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\\wsl.localhost\Ubuntu-24.04\home\bruno\coding\projects\MMKP_IoT_EC_CC\results\"/>
    </mc:Choice>
  </mc:AlternateContent>
  <xr:revisionPtr revIDLastSave="0" documentId="13_ncr:1_{2566D356-199F-41DF-9A81-EF9D60D7D67F}" xr6:coauthVersionLast="47" xr6:coauthVersionMax="47" xr10:uidLastSave="{00000000-0000-0000-0000-000000000000}"/>
  <bookViews>
    <workbookView xWindow="-25680" yWindow="-2570" windowWidth="25760" windowHeight="16160" activeTab="5" xr2:uid="{B149407A-BF6F-4B22-B405-1CADA7760DD0}"/>
  </bookViews>
  <sheets>
    <sheet name="Exact" sheetId="16" r:id="rId1"/>
    <sheet name="Heuristic" sheetId="17" r:id="rId2"/>
    <sheet name="Metaheuristic" sheetId="18" r:id="rId3"/>
    <sheet name="Controle" sheetId="2" r:id="rId4"/>
    <sheet name="Resume" sheetId="22" r:id="rId5"/>
    <sheet name="Resume Graph" sheetId="23" r:id="rId6"/>
    <sheet name="Resume Graph Fixed" sheetId="3" r:id="rId7"/>
    <sheet name="Resume Graph 10" sheetId="20" r:id="rId8"/>
  </sheets>
  <definedNames>
    <definedName name="_xlnm._FilterDatabase" localSheetId="3" hidden="1">Controle!$M$1:$U$1</definedName>
    <definedName name="DadosExternos_1" localSheetId="0" hidden="1">Exact!$A$1:$S$23</definedName>
    <definedName name="DadosExternos_2" localSheetId="1" hidden="1">Heuristic!$A$1:$P$2223</definedName>
    <definedName name="DadosExternos_3" localSheetId="2" hidden="1">Metaheuristic!$A$1:$S$3301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41" i="23" l="1"/>
  <c r="R41" i="23"/>
  <c r="X41" i="23"/>
  <c r="AD41" i="23"/>
  <c r="AD80" i="23"/>
  <c r="X80" i="23"/>
  <c r="R80" i="23"/>
  <c r="L80" i="23"/>
  <c r="K80" i="23"/>
  <c r="J80" i="23"/>
  <c r="L49" i="23"/>
  <c r="L88" i="23" s="1"/>
  <c r="K49" i="23"/>
  <c r="K88" i="23" s="1"/>
  <c r="L48" i="23"/>
  <c r="L87" i="23" s="1"/>
  <c r="K48" i="23"/>
  <c r="K87" i="23" s="1"/>
  <c r="L47" i="23"/>
  <c r="L86" i="23" s="1"/>
  <c r="L46" i="23"/>
  <c r="L85" i="23" s="1"/>
  <c r="L45" i="23"/>
  <c r="L84" i="23" s="1"/>
  <c r="L44" i="23"/>
  <c r="L83" i="23" s="1"/>
  <c r="L43" i="23"/>
  <c r="L82" i="23" s="1"/>
  <c r="K41" i="23"/>
  <c r="J41" i="23"/>
  <c r="K3" i="23" a="1"/>
  <c r="K44" i="23" s="1"/>
  <c r="K83" i="23" s="1"/>
  <c r="J3" i="23" a="1"/>
  <c r="J47" i="23" s="1"/>
  <c r="J86" i="23" s="1"/>
  <c r="AD80" i="3"/>
  <c r="X80" i="3"/>
  <c r="R80" i="3"/>
  <c r="L80" i="3"/>
  <c r="K80" i="3"/>
  <c r="J80" i="3"/>
  <c r="K49" i="3"/>
  <c r="L49" i="3"/>
  <c r="L88" i="3" s="1"/>
  <c r="K88" i="3"/>
  <c r="K48" i="3"/>
  <c r="K87" i="3" s="1"/>
  <c r="J41" i="3"/>
  <c r="K41" i="3"/>
  <c r="L41" i="3"/>
  <c r="R41" i="3"/>
  <c r="X41" i="3"/>
  <c r="AD41" i="3"/>
  <c r="K3" i="3" a="1"/>
  <c r="N2" i="3" s="1"/>
  <c r="J3" i="3" a="1"/>
  <c r="J3" i="3" s="1"/>
  <c r="J42" i="3" s="1"/>
  <c r="J81" i="3" s="1"/>
  <c r="L44" i="3"/>
  <c r="L83" i="3" s="1"/>
  <c r="L45" i="3"/>
  <c r="L84" i="3" s="1"/>
  <c r="L46" i="3"/>
  <c r="L85" i="3" s="1"/>
  <c r="L47" i="3"/>
  <c r="L86" i="3" s="1"/>
  <c r="L48" i="3"/>
  <c r="L87" i="3" s="1"/>
  <c r="L43" i="3"/>
  <c r="L82" i="3" s="1"/>
  <c r="K43" i="20"/>
  <c r="K44" i="20"/>
  <c r="K45" i="20"/>
  <c r="K42" i="20"/>
  <c r="L42" i="20"/>
  <c r="L43" i="20"/>
  <c r="L44" i="20"/>
  <c r="L45" i="20"/>
  <c r="M42" i="20"/>
  <c r="M43" i="20"/>
  <c r="M44" i="20"/>
  <c r="M45" i="20"/>
  <c r="V65" i="20"/>
  <c r="U65" i="20"/>
  <c r="T65" i="20"/>
  <c r="V64" i="20"/>
  <c r="U64" i="20"/>
  <c r="T64" i="20"/>
  <c r="S64" i="20"/>
  <c r="R64" i="20"/>
  <c r="Q64" i="20"/>
  <c r="P64" i="20"/>
  <c r="O64" i="20"/>
  <c r="N64" i="20"/>
  <c r="M64" i="20"/>
  <c r="L64" i="20"/>
  <c r="K64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V60" i="20"/>
  <c r="U60" i="20"/>
  <c r="T60" i="20"/>
  <c r="V59" i="20"/>
  <c r="U59" i="20"/>
  <c r="T59" i="20"/>
  <c r="S59" i="20"/>
  <c r="R59" i="20"/>
  <c r="Q59" i="20"/>
  <c r="P59" i="20"/>
  <c r="O59" i="20"/>
  <c r="N59" i="20"/>
  <c r="V46" i="20"/>
  <c r="U46" i="20"/>
  <c r="T46" i="20"/>
  <c r="V45" i="20"/>
  <c r="U45" i="20"/>
  <c r="T45" i="20"/>
  <c r="S45" i="20"/>
  <c r="R45" i="20"/>
  <c r="Q45" i="20"/>
  <c r="P45" i="20"/>
  <c r="O45" i="20"/>
  <c r="N45" i="20"/>
  <c r="V44" i="20"/>
  <c r="U44" i="20"/>
  <c r="T44" i="20"/>
  <c r="S44" i="20"/>
  <c r="R44" i="20"/>
  <c r="Q44" i="20"/>
  <c r="P44" i="20"/>
  <c r="O44" i="20"/>
  <c r="N44" i="20"/>
  <c r="V43" i="20"/>
  <c r="U43" i="20"/>
  <c r="T43" i="20"/>
  <c r="S43" i="20"/>
  <c r="R43" i="20"/>
  <c r="Q43" i="20"/>
  <c r="P43" i="20"/>
  <c r="O43" i="20"/>
  <c r="N43" i="20"/>
  <c r="V42" i="20"/>
  <c r="U42" i="20"/>
  <c r="T42" i="20"/>
  <c r="S42" i="20"/>
  <c r="R42" i="20"/>
  <c r="Q42" i="20"/>
  <c r="P42" i="20"/>
  <c r="O42" i="20"/>
  <c r="N42" i="20"/>
  <c r="V41" i="20"/>
  <c r="U41" i="20"/>
  <c r="T41" i="20"/>
  <c r="V40" i="20"/>
  <c r="U40" i="20"/>
  <c r="T40" i="20"/>
  <c r="S40" i="20"/>
  <c r="R40" i="20"/>
  <c r="Q40" i="20"/>
  <c r="P40" i="20"/>
  <c r="O40" i="20"/>
  <c r="N40" i="20"/>
  <c r="V27" i="20"/>
  <c r="U27" i="20"/>
  <c r="T27" i="20"/>
  <c r="V26" i="20"/>
  <c r="U26" i="20"/>
  <c r="T26" i="20"/>
  <c r="S26" i="20"/>
  <c r="R26" i="20"/>
  <c r="Q26" i="20"/>
  <c r="P26" i="20"/>
  <c r="O26" i="20"/>
  <c r="N26" i="20"/>
  <c r="M26" i="20"/>
  <c r="L26" i="20"/>
  <c r="K26" i="20"/>
  <c r="V25" i="20"/>
  <c r="U25" i="20"/>
  <c r="T25" i="20"/>
  <c r="S25" i="20"/>
  <c r="R25" i="20"/>
  <c r="Q25" i="20"/>
  <c r="P25" i="20"/>
  <c r="O25" i="20"/>
  <c r="N25" i="20"/>
  <c r="M25" i="20"/>
  <c r="L25" i="20"/>
  <c r="K25" i="20"/>
  <c r="V24" i="20"/>
  <c r="U24" i="20"/>
  <c r="T24" i="20"/>
  <c r="S24" i="20"/>
  <c r="R24" i="20"/>
  <c r="Q24" i="20"/>
  <c r="P24" i="20"/>
  <c r="O24" i="20"/>
  <c r="N24" i="20"/>
  <c r="M24" i="20"/>
  <c r="L24" i="20"/>
  <c r="K24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V22" i="20"/>
  <c r="U22" i="20"/>
  <c r="T22" i="20"/>
  <c r="V21" i="20"/>
  <c r="U21" i="20"/>
  <c r="T21" i="20"/>
  <c r="S21" i="20"/>
  <c r="R21" i="20"/>
  <c r="Q21" i="20"/>
  <c r="P21" i="20"/>
  <c r="O21" i="20"/>
  <c r="N21" i="20"/>
  <c r="V8" i="20"/>
  <c r="U8" i="20"/>
  <c r="T8" i="20"/>
  <c r="V7" i="20"/>
  <c r="U7" i="20"/>
  <c r="T7" i="20"/>
  <c r="S7" i="20"/>
  <c r="R7" i="20"/>
  <c r="Q7" i="20"/>
  <c r="P7" i="20"/>
  <c r="O7" i="20"/>
  <c r="N7" i="20"/>
  <c r="M7" i="20"/>
  <c r="L7" i="20"/>
  <c r="K7" i="20"/>
  <c r="V6" i="20"/>
  <c r="U6" i="20"/>
  <c r="T6" i="20"/>
  <c r="S6" i="20"/>
  <c r="R6" i="20"/>
  <c r="Q6" i="20"/>
  <c r="P6" i="20"/>
  <c r="O6" i="20"/>
  <c r="N6" i="20"/>
  <c r="M6" i="20"/>
  <c r="L6" i="20"/>
  <c r="K6" i="20"/>
  <c r="V5" i="20"/>
  <c r="U5" i="20"/>
  <c r="T5" i="20"/>
  <c r="S5" i="20"/>
  <c r="R5" i="20"/>
  <c r="Q5" i="20"/>
  <c r="P5" i="20"/>
  <c r="O5" i="20"/>
  <c r="N5" i="20"/>
  <c r="M5" i="20"/>
  <c r="L5" i="20"/>
  <c r="K5" i="20"/>
  <c r="V4" i="20"/>
  <c r="U4" i="20"/>
  <c r="T4" i="20"/>
  <c r="S4" i="20"/>
  <c r="R4" i="20"/>
  <c r="Q4" i="20"/>
  <c r="P4" i="20"/>
  <c r="O4" i="20"/>
  <c r="N4" i="20"/>
  <c r="M4" i="20"/>
  <c r="L4" i="20"/>
  <c r="K4" i="20"/>
  <c r="V3" i="20"/>
  <c r="U3" i="20"/>
  <c r="T3" i="20"/>
  <c r="V2" i="20"/>
  <c r="U2" i="20"/>
  <c r="T2" i="20"/>
  <c r="S2" i="20"/>
  <c r="R2" i="20"/>
  <c r="Q2" i="20"/>
  <c r="P2" i="20"/>
  <c r="O2" i="20"/>
  <c r="N2" i="20"/>
  <c r="O2" i="23" l="1"/>
  <c r="O80" i="23" s="1"/>
  <c r="AG80" i="23" s="1"/>
  <c r="P2" i="23"/>
  <c r="P9" i="23" s="1"/>
  <c r="Q2" i="23"/>
  <c r="N2" i="23"/>
  <c r="N86" i="23" s="1"/>
  <c r="N5" i="23"/>
  <c r="N4" i="23"/>
  <c r="N47" i="23"/>
  <c r="AL2" i="23"/>
  <c r="N41" i="23"/>
  <c r="AF41" i="23" s="1"/>
  <c r="Z2" i="23"/>
  <c r="P6" i="23"/>
  <c r="P4" i="23"/>
  <c r="P41" i="23"/>
  <c r="AH41" i="23" s="1"/>
  <c r="AB2" i="23"/>
  <c r="P47" i="23"/>
  <c r="AG2" i="23"/>
  <c r="P10" i="23"/>
  <c r="O10" i="23"/>
  <c r="AN2" i="23"/>
  <c r="P8" i="23"/>
  <c r="Q4" i="23"/>
  <c r="Q6" i="23"/>
  <c r="N6" i="3"/>
  <c r="N4" i="3"/>
  <c r="N8" i="3"/>
  <c r="T2" i="3"/>
  <c r="N7" i="3"/>
  <c r="N9" i="3"/>
  <c r="N80" i="3"/>
  <c r="AF80" i="3" s="1"/>
  <c r="N10" i="3"/>
  <c r="AL2" i="3"/>
  <c r="AF2" i="3"/>
  <c r="Z2" i="3"/>
  <c r="N5" i="3"/>
  <c r="N41" i="3"/>
  <c r="AF41" i="3" s="1"/>
  <c r="K45" i="3"/>
  <c r="K84" i="3" s="1"/>
  <c r="Q2" i="3"/>
  <c r="P2" i="3"/>
  <c r="O2" i="3"/>
  <c r="K47" i="3"/>
  <c r="K86" i="3" s="1"/>
  <c r="K47" i="23"/>
  <c r="K86" i="23" s="1"/>
  <c r="J44" i="23"/>
  <c r="K46" i="23"/>
  <c r="K85" i="23" s="1"/>
  <c r="K3" i="23"/>
  <c r="M2" i="23" s="1"/>
  <c r="K45" i="23"/>
  <c r="K84" i="23" s="1"/>
  <c r="K43" i="23"/>
  <c r="K82" i="23" s="1"/>
  <c r="J46" i="23"/>
  <c r="N46" i="23" s="1"/>
  <c r="J43" i="23"/>
  <c r="J45" i="23"/>
  <c r="J48" i="23"/>
  <c r="P48" i="23" s="1"/>
  <c r="J3" i="23"/>
  <c r="J49" i="23"/>
  <c r="J49" i="3"/>
  <c r="J88" i="3" s="1"/>
  <c r="N88" i="3" s="1"/>
  <c r="K46" i="3"/>
  <c r="K85" i="3" s="1"/>
  <c r="J44" i="3"/>
  <c r="J83" i="3" s="1"/>
  <c r="N83" i="3" s="1"/>
  <c r="J43" i="3"/>
  <c r="J82" i="3" s="1"/>
  <c r="N82" i="3" s="1"/>
  <c r="J48" i="3"/>
  <c r="J87" i="3" s="1"/>
  <c r="N87" i="3" s="1"/>
  <c r="J47" i="3"/>
  <c r="J86" i="3" s="1"/>
  <c r="N86" i="3" s="1"/>
  <c r="J46" i="3"/>
  <c r="J85" i="3" s="1"/>
  <c r="N85" i="3" s="1"/>
  <c r="K3" i="3"/>
  <c r="M2" i="3" s="1"/>
  <c r="K43" i="3"/>
  <c r="K82" i="3" s="1"/>
  <c r="K44" i="3"/>
  <c r="K83" i="3" s="1"/>
  <c r="J45" i="3"/>
  <c r="J84" i="3" s="1"/>
  <c r="N84" i="3" s="1"/>
  <c r="O86" i="23" l="1"/>
  <c r="O9" i="23"/>
  <c r="AA2" i="23"/>
  <c r="O41" i="23"/>
  <c r="AG41" i="23" s="1"/>
  <c r="O47" i="23"/>
  <c r="O4" i="23"/>
  <c r="AG4" i="23" s="1"/>
  <c r="O8" i="23"/>
  <c r="O44" i="23"/>
  <c r="AM2" i="23"/>
  <c r="AM80" i="23" s="1"/>
  <c r="N10" i="23"/>
  <c r="N9" i="23"/>
  <c r="Z9" i="23" s="1"/>
  <c r="N80" i="23"/>
  <c r="AF80" i="23" s="1"/>
  <c r="AF2" i="23"/>
  <c r="P80" i="23"/>
  <c r="AH80" i="23" s="1"/>
  <c r="V2" i="23"/>
  <c r="V8" i="23" s="1"/>
  <c r="O46" i="23"/>
  <c r="AA46" i="23" s="1"/>
  <c r="Q5" i="23"/>
  <c r="Q86" i="23"/>
  <c r="Q10" i="23"/>
  <c r="Q41" i="23"/>
  <c r="AI41" i="23" s="1"/>
  <c r="AI2" i="23"/>
  <c r="Q9" i="23"/>
  <c r="Q80" i="23"/>
  <c r="AI80" i="23" s="1"/>
  <c r="Q7" i="23"/>
  <c r="Q47" i="23"/>
  <c r="Q8" i="23"/>
  <c r="AC2" i="23"/>
  <c r="W2" i="23"/>
  <c r="AO2" i="23"/>
  <c r="AO7" i="23" s="1"/>
  <c r="AC6" i="23"/>
  <c r="N8" i="23"/>
  <c r="Z8" i="23" s="1"/>
  <c r="N6" i="23"/>
  <c r="Z6" i="23" s="1"/>
  <c r="N7" i="23"/>
  <c r="Z7" i="23" s="1"/>
  <c r="P86" i="23"/>
  <c r="P7" i="23"/>
  <c r="AB7" i="23" s="1"/>
  <c r="P5" i="23"/>
  <c r="AH2" i="23"/>
  <c r="O6" i="23"/>
  <c r="AA6" i="23" s="1"/>
  <c r="O7" i="23"/>
  <c r="AA7" i="23" s="1"/>
  <c r="O5" i="23"/>
  <c r="AA5" i="23" s="1"/>
  <c r="J88" i="23"/>
  <c r="M88" i="23" s="1"/>
  <c r="Q49" i="23"/>
  <c r="AH10" i="23"/>
  <c r="AH4" i="23"/>
  <c r="AH3" i="23"/>
  <c r="AH5" i="23"/>
  <c r="AH8" i="23"/>
  <c r="AH9" i="23"/>
  <c r="AH6" i="23"/>
  <c r="AH7" i="23"/>
  <c r="AL4" i="23"/>
  <c r="AL9" i="23"/>
  <c r="AL7" i="23"/>
  <c r="AL80" i="23"/>
  <c r="AL8" i="23"/>
  <c r="AL10" i="23"/>
  <c r="AL3" i="23"/>
  <c r="AL5" i="23"/>
  <c r="AL41" i="23"/>
  <c r="AL6" i="23"/>
  <c r="J42" i="23"/>
  <c r="J87" i="23"/>
  <c r="M87" i="23" s="1"/>
  <c r="Q48" i="23"/>
  <c r="J82" i="23"/>
  <c r="O43" i="23"/>
  <c r="AA43" i="23" s="1"/>
  <c r="P43" i="23"/>
  <c r="Q43" i="23"/>
  <c r="J85" i="23"/>
  <c r="M85" i="23" s="1"/>
  <c r="AF6" i="23"/>
  <c r="AF3" i="23"/>
  <c r="AF10" i="23"/>
  <c r="AF5" i="23"/>
  <c r="AF8" i="23"/>
  <c r="AF9" i="23"/>
  <c r="AF4" i="23"/>
  <c r="AF7" i="23"/>
  <c r="AG10" i="23"/>
  <c r="AG3" i="23"/>
  <c r="AG5" i="23"/>
  <c r="AG6" i="23"/>
  <c r="AG8" i="23"/>
  <c r="AG9" i="23"/>
  <c r="AG7" i="23"/>
  <c r="AI5" i="23"/>
  <c r="AI10" i="23"/>
  <c r="AI9" i="23"/>
  <c r="AI4" i="23"/>
  <c r="AI3" i="23"/>
  <c r="AI8" i="23"/>
  <c r="AI6" i="23"/>
  <c r="AI7" i="23"/>
  <c r="O45" i="23"/>
  <c r="AA45" i="23" s="1"/>
  <c r="V6" i="23"/>
  <c r="V4" i="23"/>
  <c r="V80" i="23"/>
  <c r="P49" i="23"/>
  <c r="AB49" i="23" s="1"/>
  <c r="N43" i="23"/>
  <c r="Z46" i="23"/>
  <c r="Z86" i="23"/>
  <c r="Z10" i="23"/>
  <c r="Z47" i="23"/>
  <c r="Z4" i="23"/>
  <c r="Z80" i="23"/>
  <c r="Z5" i="23"/>
  <c r="Z41" i="23"/>
  <c r="J84" i="23"/>
  <c r="Q45" i="23"/>
  <c r="N48" i="23"/>
  <c r="Z48" i="23" s="1"/>
  <c r="O49" i="23"/>
  <c r="AA49" i="23" s="1"/>
  <c r="N45" i="23"/>
  <c r="Z45" i="23" s="1"/>
  <c r="P46" i="23"/>
  <c r="AB46" i="23" s="1"/>
  <c r="M47" i="23"/>
  <c r="M7" i="23"/>
  <c r="M9" i="23"/>
  <c r="M49" i="23"/>
  <c r="M44" i="23"/>
  <c r="M41" i="23"/>
  <c r="AE41" i="23" s="1"/>
  <c r="M10" i="23"/>
  <c r="M45" i="23"/>
  <c r="M8" i="23"/>
  <c r="M46" i="23"/>
  <c r="M48" i="23"/>
  <c r="M5" i="23"/>
  <c r="M86" i="23"/>
  <c r="M6" i="23"/>
  <c r="P45" i="23"/>
  <c r="AB45" i="23" s="1"/>
  <c r="AA8" i="23"/>
  <c r="AA9" i="23"/>
  <c r="AA86" i="23"/>
  <c r="AA10" i="23"/>
  <c r="AA41" i="23"/>
  <c r="AA80" i="23"/>
  <c r="AA4" i="23"/>
  <c r="AA44" i="23"/>
  <c r="AA47" i="23"/>
  <c r="J83" i="23"/>
  <c r="M83" i="23" s="1"/>
  <c r="P44" i="23"/>
  <c r="AB44" i="23" s="1"/>
  <c r="Q44" i="23"/>
  <c r="AM3" i="23"/>
  <c r="AM41" i="23"/>
  <c r="AM5" i="23"/>
  <c r="AM6" i="23"/>
  <c r="Q46" i="23"/>
  <c r="O48" i="23"/>
  <c r="AA48" i="23" s="1"/>
  <c r="AN7" i="23"/>
  <c r="AN80" i="23"/>
  <c r="AN6" i="23"/>
  <c r="AN9" i="23"/>
  <c r="AN3" i="23"/>
  <c r="AN4" i="23"/>
  <c r="AN5" i="23"/>
  <c r="AN8" i="23"/>
  <c r="AN10" i="23"/>
  <c r="AN41" i="23"/>
  <c r="N44" i="23"/>
  <c r="Z44" i="23" s="1"/>
  <c r="AB8" i="23"/>
  <c r="AB9" i="23"/>
  <c r="AB10" i="23"/>
  <c r="AB80" i="23"/>
  <c r="AB6" i="23"/>
  <c r="AB41" i="23"/>
  <c r="AB4" i="23"/>
  <c r="AB47" i="23"/>
  <c r="AB48" i="23"/>
  <c r="N49" i="23"/>
  <c r="Z49" i="23" s="1"/>
  <c r="N46" i="3"/>
  <c r="Z46" i="3" s="1"/>
  <c r="N48" i="3"/>
  <c r="T48" i="3" s="1"/>
  <c r="N45" i="3"/>
  <c r="Z45" i="3" s="1"/>
  <c r="N47" i="3"/>
  <c r="T47" i="3" s="1"/>
  <c r="AF84" i="3"/>
  <c r="AF81" i="3"/>
  <c r="AF82" i="3"/>
  <c r="AF88" i="3"/>
  <c r="AF86" i="3"/>
  <c r="AF87" i="3"/>
  <c r="AF83" i="3"/>
  <c r="AF85" i="3"/>
  <c r="N43" i="3"/>
  <c r="Z43" i="3" s="1"/>
  <c r="Z10" i="3"/>
  <c r="Z87" i="3"/>
  <c r="Z85" i="3"/>
  <c r="Z4" i="3"/>
  <c r="Z5" i="3"/>
  <c r="Z7" i="3"/>
  <c r="Z6" i="3"/>
  <c r="Z88" i="3"/>
  <c r="Z8" i="3"/>
  <c r="Z80" i="3"/>
  <c r="Z82" i="3"/>
  <c r="Z9" i="3"/>
  <c r="Z48" i="3"/>
  <c r="Z41" i="3"/>
  <c r="Z83" i="3"/>
  <c r="Z84" i="3"/>
  <c r="Z86" i="3"/>
  <c r="N44" i="3"/>
  <c r="T44" i="3" s="1"/>
  <c r="AL82" i="3"/>
  <c r="AL87" i="3"/>
  <c r="AL83" i="3"/>
  <c r="AL81" i="3"/>
  <c r="AL9" i="3"/>
  <c r="AL41" i="3"/>
  <c r="AL10" i="3"/>
  <c r="AL3" i="3"/>
  <c r="AL5" i="3"/>
  <c r="AL4" i="3"/>
  <c r="AL6" i="3"/>
  <c r="AL84" i="3"/>
  <c r="AL7" i="3"/>
  <c r="AL86" i="3"/>
  <c r="AL8" i="3"/>
  <c r="AL85" i="3"/>
  <c r="AL88" i="3"/>
  <c r="AL80" i="3"/>
  <c r="N49" i="3"/>
  <c r="T49" i="3" s="1"/>
  <c r="O87" i="3"/>
  <c r="O48" i="3"/>
  <c r="O6" i="3"/>
  <c r="O4" i="3"/>
  <c r="O82" i="3"/>
  <c r="O41" i="3"/>
  <c r="AG41" i="3" s="1"/>
  <c r="AA2" i="3"/>
  <c r="O8" i="3"/>
  <c r="O85" i="3"/>
  <c r="O47" i="3"/>
  <c r="O44" i="3"/>
  <c r="U2" i="3"/>
  <c r="O7" i="3"/>
  <c r="O88" i="3"/>
  <c r="O9" i="3"/>
  <c r="O10" i="3"/>
  <c r="O83" i="3"/>
  <c r="O80" i="3"/>
  <c r="AG80" i="3" s="1"/>
  <c r="AM2" i="3"/>
  <c r="AG2" i="3"/>
  <c r="O45" i="3"/>
  <c r="O46" i="3"/>
  <c r="O84" i="3"/>
  <c r="O43" i="3"/>
  <c r="O49" i="3"/>
  <c r="O5" i="3"/>
  <c r="O86" i="3"/>
  <c r="M83" i="3"/>
  <c r="M44" i="3"/>
  <c r="M88" i="3"/>
  <c r="M84" i="3"/>
  <c r="M46" i="3"/>
  <c r="M85" i="3"/>
  <c r="M47" i="3"/>
  <c r="M10" i="3"/>
  <c r="M87" i="3"/>
  <c r="M7" i="3"/>
  <c r="M45" i="3"/>
  <c r="M48" i="3"/>
  <c r="M49" i="3"/>
  <c r="M9" i="3"/>
  <c r="M6" i="3"/>
  <c r="M8" i="3"/>
  <c r="M5" i="3"/>
  <c r="M86" i="3"/>
  <c r="AF5" i="3"/>
  <c r="AF6" i="3"/>
  <c r="AF7" i="3"/>
  <c r="AF8" i="3"/>
  <c r="AF9" i="3"/>
  <c r="AF4" i="3"/>
  <c r="AF10" i="3"/>
  <c r="AF3" i="3"/>
  <c r="T80" i="3"/>
  <c r="T8" i="3"/>
  <c r="T85" i="3"/>
  <c r="T84" i="3"/>
  <c r="T86" i="3"/>
  <c r="T4" i="3"/>
  <c r="T6" i="3"/>
  <c r="T87" i="3"/>
  <c r="T7" i="3"/>
  <c r="T9" i="3"/>
  <c r="T82" i="3"/>
  <c r="T10" i="3"/>
  <c r="T83" i="3"/>
  <c r="T41" i="3"/>
  <c r="T5" i="3"/>
  <c r="T88" i="3"/>
  <c r="P87" i="3"/>
  <c r="P48" i="3"/>
  <c r="P6" i="3"/>
  <c r="P4" i="3"/>
  <c r="P83" i="3"/>
  <c r="P45" i="3"/>
  <c r="P82" i="3"/>
  <c r="P41" i="3"/>
  <c r="AH41" i="3" s="1"/>
  <c r="AB2" i="3"/>
  <c r="P8" i="3"/>
  <c r="P9" i="3"/>
  <c r="P85" i="3"/>
  <c r="P47" i="3"/>
  <c r="P44" i="3"/>
  <c r="V2" i="3"/>
  <c r="P7" i="3"/>
  <c r="P88" i="3"/>
  <c r="P46" i="3"/>
  <c r="P10" i="3"/>
  <c r="P80" i="3"/>
  <c r="AH80" i="3" s="1"/>
  <c r="AN2" i="3"/>
  <c r="P5" i="3"/>
  <c r="AH2" i="3"/>
  <c r="P49" i="3"/>
  <c r="P43" i="3"/>
  <c r="P86" i="3"/>
  <c r="P84" i="3"/>
  <c r="Q87" i="3"/>
  <c r="Q48" i="3"/>
  <c r="Q83" i="3"/>
  <c r="Q45" i="3"/>
  <c r="Q82" i="3"/>
  <c r="Q41" i="3"/>
  <c r="AI41" i="3" s="1"/>
  <c r="AC2" i="3"/>
  <c r="Q9" i="3"/>
  <c r="Q44" i="3"/>
  <c r="W2" i="3"/>
  <c r="Q46" i="3"/>
  <c r="Q47" i="3"/>
  <c r="Q10" i="3"/>
  <c r="Q4" i="3"/>
  <c r="Q8" i="3"/>
  <c r="Q80" i="3"/>
  <c r="AI80" i="3" s="1"/>
  <c r="AO2" i="3"/>
  <c r="Q84" i="3"/>
  <c r="Q5" i="3"/>
  <c r="Q86" i="3"/>
  <c r="Q88" i="3"/>
  <c r="Q7" i="3"/>
  <c r="AI2" i="3"/>
  <c r="Q49" i="3"/>
  <c r="Q85" i="3"/>
  <c r="Q43" i="3"/>
  <c r="Q6" i="3"/>
  <c r="T2" i="23"/>
  <c r="U2" i="23"/>
  <c r="K42" i="23"/>
  <c r="K81" i="23" s="1"/>
  <c r="K42" i="3"/>
  <c r="K81" i="3" s="1"/>
  <c r="AM10" i="23" l="1"/>
  <c r="AM9" i="23"/>
  <c r="AM8" i="23"/>
  <c r="V48" i="23"/>
  <c r="AM7" i="23"/>
  <c r="AM4" i="23"/>
  <c r="V47" i="23"/>
  <c r="V41" i="23"/>
  <c r="W46" i="23"/>
  <c r="V9" i="23"/>
  <c r="AC48" i="23"/>
  <c r="V10" i="23"/>
  <c r="V5" i="23"/>
  <c r="V86" i="23"/>
  <c r="V45" i="23"/>
  <c r="V44" i="23"/>
  <c r="AC46" i="23"/>
  <c r="AC4" i="23"/>
  <c r="AB5" i="23"/>
  <c r="AC49" i="23"/>
  <c r="W44" i="23"/>
  <c r="W45" i="23"/>
  <c r="AO41" i="23"/>
  <c r="AO46" i="23" s="1"/>
  <c r="AO8" i="23"/>
  <c r="AO80" i="23"/>
  <c r="W9" i="23"/>
  <c r="W80" i="23"/>
  <c r="W47" i="23"/>
  <c r="W8" i="23"/>
  <c r="W7" i="23"/>
  <c r="W41" i="23"/>
  <c r="W6" i="23"/>
  <c r="W4" i="23"/>
  <c r="AC41" i="23"/>
  <c r="AC80" i="23"/>
  <c r="AC47" i="23"/>
  <c r="AC7" i="23"/>
  <c r="AC86" i="23"/>
  <c r="AC9" i="23"/>
  <c r="AC8" i="23"/>
  <c r="AC5" i="23"/>
  <c r="AC10" i="23"/>
  <c r="AB86" i="23"/>
  <c r="V7" i="23"/>
  <c r="AO6" i="23"/>
  <c r="AO5" i="23"/>
  <c r="AO9" i="23"/>
  <c r="AO4" i="23"/>
  <c r="W86" i="23"/>
  <c r="W10" i="23"/>
  <c r="AO3" i="23"/>
  <c r="AC45" i="23"/>
  <c r="W5" i="23"/>
  <c r="W48" i="23"/>
  <c r="W49" i="23"/>
  <c r="AO10" i="23"/>
  <c r="V46" i="23"/>
  <c r="T46" i="3"/>
  <c r="Z44" i="3"/>
  <c r="AF43" i="23"/>
  <c r="AF48" i="23"/>
  <c r="AF47" i="23"/>
  <c r="AF49" i="23"/>
  <c r="AF42" i="23"/>
  <c r="AF44" i="23"/>
  <c r="AF45" i="23"/>
  <c r="AF46" i="23"/>
  <c r="V49" i="23"/>
  <c r="AM46" i="23"/>
  <c r="AM49" i="23"/>
  <c r="AM44" i="23"/>
  <c r="AM42" i="23"/>
  <c r="AM48" i="23"/>
  <c r="AM43" i="23"/>
  <c r="AM45" i="23"/>
  <c r="AM47" i="23"/>
  <c r="Q85" i="23"/>
  <c r="W85" i="23" s="1"/>
  <c r="P85" i="23"/>
  <c r="V85" i="23" s="1"/>
  <c r="N85" i="23"/>
  <c r="T85" i="23" s="1"/>
  <c r="O85" i="23"/>
  <c r="U85" i="23" s="1"/>
  <c r="AI46" i="23"/>
  <c r="AI47" i="23"/>
  <c r="AI49" i="23"/>
  <c r="AI42" i="23"/>
  <c r="AI43" i="23"/>
  <c r="AI44" i="23"/>
  <c r="AI45" i="23"/>
  <c r="AI48" i="23"/>
  <c r="AH43" i="23"/>
  <c r="AH46" i="23"/>
  <c r="AH47" i="23"/>
  <c r="AH48" i="23"/>
  <c r="AH49" i="23"/>
  <c r="AH42" i="23"/>
  <c r="AH44" i="23"/>
  <c r="AH45" i="23"/>
  <c r="U80" i="23"/>
  <c r="U44" i="23"/>
  <c r="U43" i="23"/>
  <c r="U8" i="23"/>
  <c r="U45" i="23"/>
  <c r="U4" i="23"/>
  <c r="U41" i="23"/>
  <c r="U46" i="23"/>
  <c r="U47" i="23"/>
  <c r="U6" i="23"/>
  <c r="U86" i="23"/>
  <c r="U7" i="23"/>
  <c r="U5" i="23"/>
  <c r="U48" i="23"/>
  <c r="U9" i="23"/>
  <c r="U49" i="23"/>
  <c r="U10" i="23"/>
  <c r="N87" i="23"/>
  <c r="Z87" i="23" s="1"/>
  <c r="Q87" i="23"/>
  <c r="AC87" i="23" s="1"/>
  <c r="O87" i="23"/>
  <c r="AA87" i="23" s="1"/>
  <c r="P87" i="23"/>
  <c r="AB43" i="23"/>
  <c r="Z43" i="23"/>
  <c r="J81" i="23"/>
  <c r="V43" i="23"/>
  <c r="AL46" i="23"/>
  <c r="AL49" i="23"/>
  <c r="AL44" i="23"/>
  <c r="AL42" i="23"/>
  <c r="AL43" i="23"/>
  <c r="AL45" i="23"/>
  <c r="AL48" i="23"/>
  <c r="AL47" i="23"/>
  <c r="Q83" i="23"/>
  <c r="W83" i="23" s="1"/>
  <c r="O83" i="23"/>
  <c r="AA83" i="23" s="1"/>
  <c r="N83" i="23"/>
  <c r="Z83" i="23" s="1"/>
  <c r="P83" i="23"/>
  <c r="Q84" i="23"/>
  <c r="W84" i="23" s="1"/>
  <c r="AC84" i="23"/>
  <c r="O84" i="23"/>
  <c r="AA84" i="23" s="1"/>
  <c r="N84" i="23"/>
  <c r="Z84" i="23" s="1"/>
  <c r="P84" i="23"/>
  <c r="V84" i="23" s="1"/>
  <c r="AN46" i="23"/>
  <c r="AN43" i="23"/>
  <c r="AN49" i="23"/>
  <c r="AN44" i="23"/>
  <c r="AN42" i="23"/>
  <c r="AN48" i="23"/>
  <c r="AN45" i="23"/>
  <c r="AN47" i="23"/>
  <c r="AG43" i="23"/>
  <c r="AG48" i="23"/>
  <c r="AG47" i="23"/>
  <c r="AG42" i="23"/>
  <c r="AG49" i="23"/>
  <c r="AG44" i="23"/>
  <c r="AG45" i="23"/>
  <c r="AG46" i="23"/>
  <c r="Q82" i="23"/>
  <c r="W82" i="23" s="1"/>
  <c r="P82" i="23"/>
  <c r="V82" i="23" s="1"/>
  <c r="O82" i="23"/>
  <c r="U82" i="23" s="1"/>
  <c r="N82" i="23"/>
  <c r="T82" i="23" s="1"/>
  <c r="T80" i="23"/>
  <c r="T44" i="23"/>
  <c r="T49" i="23"/>
  <c r="T43" i="23"/>
  <c r="T8" i="23"/>
  <c r="T45" i="23"/>
  <c r="T4" i="23"/>
  <c r="T41" i="23"/>
  <c r="T46" i="23"/>
  <c r="T5" i="23"/>
  <c r="T47" i="23"/>
  <c r="T6" i="23"/>
  <c r="T86" i="23"/>
  <c r="T7" i="23"/>
  <c r="T48" i="23"/>
  <c r="T9" i="23"/>
  <c r="T10" i="23"/>
  <c r="M84" i="23"/>
  <c r="AC43" i="23"/>
  <c r="Z85" i="23"/>
  <c r="AC44" i="23"/>
  <c r="O88" i="23"/>
  <c r="AA88" i="23" s="1"/>
  <c r="N88" i="23"/>
  <c r="Z88" i="23" s="1"/>
  <c r="P88" i="23"/>
  <c r="Q88" i="23"/>
  <c r="W88" i="23" s="1"/>
  <c r="W43" i="23"/>
  <c r="Z47" i="3"/>
  <c r="Z49" i="3"/>
  <c r="T45" i="3"/>
  <c r="V84" i="3"/>
  <c r="V82" i="3"/>
  <c r="V41" i="3"/>
  <c r="V46" i="3"/>
  <c r="V80" i="3"/>
  <c r="V8" i="3"/>
  <c r="V9" i="3"/>
  <c r="V5" i="3"/>
  <c r="V86" i="3"/>
  <c r="V49" i="3"/>
  <c r="V4" i="3"/>
  <c r="V44" i="3"/>
  <c r="V6" i="3"/>
  <c r="V87" i="3"/>
  <c r="V48" i="3"/>
  <c r="V10" i="3"/>
  <c r="V88" i="3"/>
  <c r="V47" i="3"/>
  <c r="V43" i="3"/>
  <c r="V83" i="3"/>
  <c r="V85" i="3"/>
  <c r="V7" i="3"/>
  <c r="V45" i="3"/>
  <c r="AL46" i="3"/>
  <c r="AL44" i="3"/>
  <c r="AL45" i="3"/>
  <c r="AL48" i="3"/>
  <c r="AL43" i="3"/>
  <c r="AL49" i="3"/>
  <c r="AL47" i="3"/>
  <c r="AL42" i="3"/>
  <c r="AA44" i="3"/>
  <c r="AA5" i="3"/>
  <c r="AA49" i="3"/>
  <c r="AA10" i="3"/>
  <c r="AA85" i="3"/>
  <c r="AA43" i="3"/>
  <c r="AA4" i="3"/>
  <c r="AA87" i="3"/>
  <c r="AA46" i="3"/>
  <c r="AA7" i="3"/>
  <c r="AA84" i="3"/>
  <c r="AA6" i="3"/>
  <c r="AA45" i="3"/>
  <c r="AA88" i="3"/>
  <c r="AA8" i="3"/>
  <c r="AA47" i="3"/>
  <c r="AA80" i="3"/>
  <c r="AA82" i="3"/>
  <c r="AA9" i="3"/>
  <c r="AA86" i="3"/>
  <c r="AA48" i="3"/>
  <c r="AA83" i="3"/>
  <c r="AA41" i="3"/>
  <c r="AG84" i="3"/>
  <c r="AG86" i="3"/>
  <c r="AG82" i="3"/>
  <c r="AG88" i="3"/>
  <c r="AG83" i="3"/>
  <c r="AG81" i="3"/>
  <c r="AG87" i="3"/>
  <c r="AG85" i="3"/>
  <c r="AF47" i="3"/>
  <c r="AF46" i="3"/>
  <c r="AF48" i="3"/>
  <c r="AF43" i="3"/>
  <c r="AF44" i="3"/>
  <c r="AF42" i="3"/>
  <c r="AF49" i="3"/>
  <c r="AF45" i="3"/>
  <c r="AO86" i="3"/>
  <c r="AO5" i="3"/>
  <c r="AO41" i="3"/>
  <c r="AO10" i="3"/>
  <c r="AO8" i="3"/>
  <c r="AO88" i="3"/>
  <c r="AO4" i="3"/>
  <c r="AO84" i="3"/>
  <c r="AO82" i="3"/>
  <c r="AO83" i="3"/>
  <c r="AO85" i="3"/>
  <c r="AO87" i="3"/>
  <c r="AO80" i="3"/>
  <c r="AO7" i="3"/>
  <c r="AO9" i="3"/>
  <c r="AO3" i="3"/>
  <c r="AO81" i="3"/>
  <c r="AO6" i="3"/>
  <c r="AG47" i="3"/>
  <c r="AG46" i="3"/>
  <c r="AG48" i="3"/>
  <c r="AG43" i="3"/>
  <c r="AG44" i="3"/>
  <c r="AG49" i="3"/>
  <c r="AG42" i="3"/>
  <c r="AG45" i="3"/>
  <c r="AM41" i="3"/>
  <c r="AM10" i="3"/>
  <c r="AM82" i="3"/>
  <c r="AM87" i="3"/>
  <c r="AM83" i="3"/>
  <c r="AM84" i="3"/>
  <c r="AM3" i="3"/>
  <c r="AM5" i="3"/>
  <c r="AM4" i="3"/>
  <c r="AM6" i="3"/>
  <c r="AM80" i="3"/>
  <c r="AM7" i="3"/>
  <c r="AM86" i="3"/>
  <c r="AM8" i="3"/>
  <c r="AM9" i="3"/>
  <c r="AM85" i="3"/>
  <c r="AM88" i="3"/>
  <c r="AM81" i="3"/>
  <c r="W84" i="3"/>
  <c r="W82" i="3"/>
  <c r="W41" i="3"/>
  <c r="W46" i="3"/>
  <c r="W80" i="3"/>
  <c r="W47" i="3"/>
  <c r="W9" i="3"/>
  <c r="W5" i="3"/>
  <c r="W86" i="3"/>
  <c r="W49" i="3"/>
  <c r="W44" i="3"/>
  <c r="W6" i="3"/>
  <c r="W8" i="3"/>
  <c r="W88" i="3"/>
  <c r="W43" i="3"/>
  <c r="W83" i="3"/>
  <c r="W48" i="3"/>
  <c r="W85" i="3"/>
  <c r="W10" i="3"/>
  <c r="W87" i="3"/>
  <c r="W7" i="3"/>
  <c r="W4" i="3"/>
  <c r="W45" i="3"/>
  <c r="AC86" i="3"/>
  <c r="AC44" i="3"/>
  <c r="AC5" i="3"/>
  <c r="AC41" i="3"/>
  <c r="AC87" i="3"/>
  <c r="AC84" i="3"/>
  <c r="AC85" i="3"/>
  <c r="AC80" i="3"/>
  <c r="AC82" i="3"/>
  <c r="AC88" i="3"/>
  <c r="AC8" i="3"/>
  <c r="AC47" i="3"/>
  <c r="AC9" i="3"/>
  <c r="AC10" i="3"/>
  <c r="AC4" i="3"/>
  <c r="AC6" i="3"/>
  <c r="AC46" i="3"/>
  <c r="AC48" i="3"/>
  <c r="AC45" i="3"/>
  <c r="AC49" i="3"/>
  <c r="AC43" i="3"/>
  <c r="AC83" i="3"/>
  <c r="AC7" i="3"/>
  <c r="AB86" i="3"/>
  <c r="AB44" i="3"/>
  <c r="AB5" i="3"/>
  <c r="AB49" i="3"/>
  <c r="AB10" i="3"/>
  <c r="AB85" i="3"/>
  <c r="AB43" i="3"/>
  <c r="AB4" i="3"/>
  <c r="AB87" i="3"/>
  <c r="AB46" i="3"/>
  <c r="AB7" i="3"/>
  <c r="AB84" i="3"/>
  <c r="AB88" i="3"/>
  <c r="AB8" i="3"/>
  <c r="AB47" i="3"/>
  <c r="AB80" i="3"/>
  <c r="AB82" i="3"/>
  <c r="AB9" i="3"/>
  <c r="AB83" i="3"/>
  <c r="AB45" i="3"/>
  <c r="AB41" i="3"/>
  <c r="AB48" i="3"/>
  <c r="AB6" i="3"/>
  <c r="AI83" i="3"/>
  <c r="AI88" i="3"/>
  <c r="AI81" i="3"/>
  <c r="AI86" i="3"/>
  <c r="AI87" i="3"/>
  <c r="AI82" i="3"/>
  <c r="AI84" i="3"/>
  <c r="AI85" i="3"/>
  <c r="U46" i="3"/>
  <c r="U80" i="3"/>
  <c r="U8" i="3"/>
  <c r="U84" i="3"/>
  <c r="U86" i="3"/>
  <c r="U49" i="3"/>
  <c r="U4" i="3"/>
  <c r="U44" i="3"/>
  <c r="U87" i="3"/>
  <c r="U45" i="3"/>
  <c r="U88" i="3"/>
  <c r="U47" i="3"/>
  <c r="U9" i="3"/>
  <c r="U82" i="3"/>
  <c r="U48" i="3"/>
  <c r="U10" i="3"/>
  <c r="U43" i="3"/>
  <c r="U83" i="3"/>
  <c r="U85" i="3"/>
  <c r="U41" i="3"/>
  <c r="U5" i="3"/>
  <c r="U6" i="3"/>
  <c r="U7" i="3"/>
  <c r="AH88" i="3"/>
  <c r="AH86" i="3"/>
  <c r="AH82" i="3"/>
  <c r="AH83" i="3"/>
  <c r="AH84" i="3"/>
  <c r="AH87" i="3"/>
  <c r="AH85" i="3"/>
  <c r="AH81" i="3"/>
  <c r="AI48" i="3"/>
  <c r="AI44" i="3"/>
  <c r="AI45" i="3"/>
  <c r="AI46" i="3"/>
  <c r="AI47" i="3"/>
  <c r="AI49" i="3"/>
  <c r="AI42" i="3"/>
  <c r="AI43" i="3"/>
  <c r="AH7" i="3"/>
  <c r="AH6" i="3"/>
  <c r="AH8" i="3"/>
  <c r="AH4" i="3"/>
  <c r="AH3" i="3"/>
  <c r="AH5" i="3"/>
  <c r="AH9" i="3"/>
  <c r="AH10" i="3"/>
  <c r="AH47" i="3"/>
  <c r="AH46" i="3"/>
  <c r="AH48" i="3"/>
  <c r="AH44" i="3"/>
  <c r="AH49" i="3"/>
  <c r="AH42" i="3"/>
  <c r="AH43" i="3"/>
  <c r="AH45" i="3"/>
  <c r="AG7" i="3"/>
  <c r="AG6" i="3"/>
  <c r="AG8" i="3"/>
  <c r="AG5" i="3"/>
  <c r="AG9" i="3"/>
  <c r="AG4" i="3"/>
  <c r="AG3" i="3"/>
  <c r="AG10" i="3"/>
  <c r="AN5" i="3"/>
  <c r="AN41" i="3"/>
  <c r="AN10" i="3"/>
  <c r="AN82" i="3"/>
  <c r="AN88" i="3"/>
  <c r="AN84" i="3"/>
  <c r="AN3" i="3"/>
  <c r="AN83" i="3"/>
  <c r="AN4" i="3"/>
  <c r="AN80" i="3"/>
  <c r="AN7" i="3"/>
  <c r="AN86" i="3"/>
  <c r="AN87" i="3"/>
  <c r="AN9" i="3"/>
  <c r="AN85" i="3"/>
  <c r="AN81" i="3"/>
  <c r="AN8" i="3"/>
  <c r="AN6" i="3"/>
  <c r="T43" i="3"/>
  <c r="AI7" i="3"/>
  <c r="AI6" i="3"/>
  <c r="AI8" i="3"/>
  <c r="AI4" i="3"/>
  <c r="AI3" i="3"/>
  <c r="AI10" i="3"/>
  <c r="AI5" i="3"/>
  <c r="AI9" i="3"/>
  <c r="AE2" i="3"/>
  <c r="M80" i="3"/>
  <c r="AE80" i="3" s="1"/>
  <c r="M4" i="23"/>
  <c r="Y2" i="23"/>
  <c r="M80" i="23"/>
  <c r="AE80" i="23" s="1"/>
  <c r="AE2" i="23"/>
  <c r="M43" i="23"/>
  <c r="S2" i="23"/>
  <c r="M82" i="23"/>
  <c r="AK2" i="23"/>
  <c r="M41" i="3"/>
  <c r="AE41" i="3" s="1"/>
  <c r="S2" i="3"/>
  <c r="AK2" i="3"/>
  <c r="Y2" i="3"/>
  <c r="M43" i="3"/>
  <c r="M4" i="3"/>
  <c r="M82" i="3"/>
  <c r="AO49" i="23" l="1"/>
  <c r="AC82" i="23"/>
  <c r="AO44" i="23"/>
  <c r="AB82" i="23"/>
  <c r="AB84" i="23"/>
  <c r="T83" i="23"/>
  <c r="AO45" i="23"/>
  <c r="AO42" i="23"/>
  <c r="AO48" i="23"/>
  <c r="T84" i="23"/>
  <c r="AO47" i="23"/>
  <c r="AO43" i="23"/>
  <c r="AC83" i="23"/>
  <c r="U84" i="23"/>
  <c r="AA85" i="23"/>
  <c r="AC85" i="23"/>
  <c r="Y46" i="23"/>
  <c r="Y87" i="23"/>
  <c r="Y9" i="23"/>
  <c r="Y85" i="23"/>
  <c r="Y86" i="23"/>
  <c r="Y10" i="23"/>
  <c r="Y47" i="23"/>
  <c r="Y5" i="23"/>
  <c r="Y44" i="23"/>
  <c r="Y41" i="23"/>
  <c r="Y45" i="23"/>
  <c r="Y6" i="23"/>
  <c r="Y84" i="23"/>
  <c r="Y48" i="23"/>
  <c r="Y88" i="23"/>
  <c r="Y83" i="23"/>
  <c r="Y7" i="23"/>
  <c r="Y49" i="23"/>
  <c r="Y8" i="23"/>
  <c r="AB88" i="23"/>
  <c r="V88" i="23"/>
  <c r="AC88" i="23"/>
  <c r="U87" i="23"/>
  <c r="AB85" i="23"/>
  <c r="U88" i="23"/>
  <c r="U83" i="23"/>
  <c r="AK82" i="23"/>
  <c r="AK4" i="23"/>
  <c r="AK87" i="23"/>
  <c r="AK9" i="23"/>
  <c r="AK83" i="23"/>
  <c r="AK7" i="23"/>
  <c r="AK84" i="23"/>
  <c r="AK8" i="23"/>
  <c r="AK10" i="23"/>
  <c r="AK86" i="23"/>
  <c r="AK88" i="23"/>
  <c r="AK41" i="23"/>
  <c r="AK5" i="23"/>
  <c r="AK85" i="23"/>
  <c r="AK6" i="23"/>
  <c r="AH88" i="23"/>
  <c r="AH86" i="23"/>
  <c r="AH87" i="23"/>
  <c r="AH85" i="23"/>
  <c r="AH81" i="23"/>
  <c r="AH82" i="23"/>
  <c r="AH83" i="23"/>
  <c r="AH84" i="23"/>
  <c r="T87" i="23"/>
  <c r="AI83" i="23"/>
  <c r="AI88" i="23"/>
  <c r="AI86" i="23"/>
  <c r="AI85" i="23"/>
  <c r="AI81" i="23"/>
  <c r="AI87" i="23"/>
  <c r="AI82" i="23"/>
  <c r="AI84" i="23"/>
  <c r="V83" i="23"/>
  <c r="AB83" i="23"/>
  <c r="V87" i="23"/>
  <c r="AB87" i="23"/>
  <c r="AE6" i="23"/>
  <c r="AE10" i="23"/>
  <c r="AE5" i="23"/>
  <c r="AE8" i="23"/>
  <c r="AE9" i="23"/>
  <c r="AE4" i="23"/>
  <c r="AE7" i="23"/>
  <c r="W87" i="23"/>
  <c r="T88" i="23"/>
  <c r="AF84" i="23"/>
  <c r="AF81" i="23"/>
  <c r="AF86" i="23"/>
  <c r="AF87" i="23"/>
  <c r="AF82" i="23"/>
  <c r="AF88" i="23"/>
  <c r="AF83" i="23"/>
  <c r="AF85" i="23"/>
  <c r="Z82" i="23"/>
  <c r="AG84" i="23"/>
  <c r="AG81" i="23"/>
  <c r="AG86" i="23"/>
  <c r="AG87" i="23"/>
  <c r="AG82" i="23"/>
  <c r="AG85" i="23"/>
  <c r="AG88" i="23"/>
  <c r="AG83" i="23"/>
  <c r="AA82" i="23"/>
  <c r="AE84" i="23"/>
  <c r="AE87" i="23"/>
  <c r="AE82" i="23"/>
  <c r="AE85" i="23"/>
  <c r="AE88" i="23"/>
  <c r="AE86" i="23"/>
  <c r="AE83" i="23"/>
  <c r="AO87" i="23"/>
  <c r="AO84" i="23"/>
  <c r="AO83" i="23"/>
  <c r="AO86" i="23"/>
  <c r="AO82" i="23"/>
  <c r="AO88" i="23"/>
  <c r="AO81" i="23"/>
  <c r="AO85" i="23"/>
  <c r="AL88" i="23"/>
  <c r="AL86" i="23"/>
  <c r="AN82" i="23"/>
  <c r="AM87" i="23"/>
  <c r="AN81" i="23"/>
  <c r="AM88" i="23"/>
  <c r="AL82" i="23"/>
  <c r="AN85" i="23"/>
  <c r="AM84" i="23"/>
  <c r="AL87" i="23"/>
  <c r="AM85" i="23"/>
  <c r="AL81" i="23"/>
  <c r="AN86" i="23"/>
  <c r="AN88" i="23"/>
  <c r="AM82" i="23"/>
  <c r="AN83" i="23"/>
  <c r="AM83" i="23"/>
  <c r="AN84" i="23"/>
  <c r="AM81" i="23"/>
  <c r="AL83" i="23"/>
  <c r="AN87" i="23"/>
  <c r="AL84" i="23"/>
  <c r="AM86" i="23"/>
  <c r="AL85" i="23"/>
  <c r="S44" i="23"/>
  <c r="S49" i="23"/>
  <c r="S85" i="23"/>
  <c r="S7" i="23"/>
  <c r="S84" i="23"/>
  <c r="S8" i="23"/>
  <c r="S45" i="23"/>
  <c r="S86" i="23"/>
  <c r="S9" i="23"/>
  <c r="S46" i="23"/>
  <c r="S5" i="23"/>
  <c r="S47" i="23"/>
  <c r="S6" i="23"/>
  <c r="S48" i="23"/>
  <c r="S41" i="23"/>
  <c r="S83" i="23"/>
  <c r="S87" i="23"/>
  <c r="S88" i="23"/>
  <c r="S10" i="23"/>
  <c r="AE48" i="23"/>
  <c r="AE47" i="23"/>
  <c r="AE43" i="23"/>
  <c r="AE45" i="23"/>
  <c r="AE46" i="23"/>
  <c r="AE44" i="23"/>
  <c r="AE49" i="23"/>
  <c r="AN46" i="3"/>
  <c r="AN49" i="3"/>
  <c r="AN45" i="3"/>
  <c r="AN44" i="3"/>
  <c r="AN47" i="3"/>
  <c r="AN48" i="3"/>
  <c r="AN43" i="3"/>
  <c r="AN42" i="3"/>
  <c r="AE84" i="3"/>
  <c r="AE88" i="3"/>
  <c r="AE85" i="3"/>
  <c r="AE86" i="3"/>
  <c r="AE87" i="3"/>
  <c r="AE82" i="3"/>
  <c r="AE83" i="3"/>
  <c r="AK80" i="3"/>
  <c r="AK82" i="3"/>
  <c r="AK87" i="3"/>
  <c r="AK6" i="3"/>
  <c r="AK83" i="3"/>
  <c r="AK9" i="3"/>
  <c r="AK5" i="3"/>
  <c r="AK85" i="3"/>
  <c r="AK84" i="3"/>
  <c r="AK86" i="3"/>
  <c r="AK8" i="3"/>
  <c r="AK88" i="3"/>
  <c r="AK10" i="3"/>
  <c r="AK7" i="3"/>
  <c r="AK4" i="3"/>
  <c r="AE9" i="3"/>
  <c r="AE5" i="3"/>
  <c r="AE7" i="3"/>
  <c r="AE8" i="3"/>
  <c r="AE4" i="3"/>
  <c r="AE6" i="3"/>
  <c r="AE10" i="3"/>
  <c r="AE43" i="3"/>
  <c r="AE45" i="3"/>
  <c r="AE49" i="3"/>
  <c r="AE46" i="3"/>
  <c r="AE47" i="3"/>
  <c r="AE48" i="3"/>
  <c r="AE44" i="3"/>
  <c r="Y80" i="3"/>
  <c r="Y87" i="3"/>
  <c r="Y44" i="3"/>
  <c r="Y5" i="3"/>
  <c r="Y45" i="3"/>
  <c r="Y6" i="3"/>
  <c r="Y46" i="3"/>
  <c r="Y7" i="3"/>
  <c r="Y88" i="3"/>
  <c r="Y85" i="3"/>
  <c r="Y47" i="3"/>
  <c r="Y9" i="3"/>
  <c r="Y48" i="3"/>
  <c r="Y10" i="3"/>
  <c r="Y84" i="3"/>
  <c r="Y86" i="3"/>
  <c r="Y49" i="3"/>
  <c r="Y83" i="3"/>
  <c r="Y8" i="3"/>
  <c r="S80" i="3"/>
  <c r="S85" i="3"/>
  <c r="S84" i="3"/>
  <c r="S48" i="3"/>
  <c r="S10" i="3"/>
  <c r="S44" i="3"/>
  <c r="S6" i="3"/>
  <c r="S86" i="3"/>
  <c r="S87" i="3"/>
  <c r="S45" i="3"/>
  <c r="S7" i="3"/>
  <c r="S47" i="3"/>
  <c r="S9" i="3"/>
  <c r="S49" i="3"/>
  <c r="S83" i="3"/>
  <c r="S5" i="3"/>
  <c r="S8" i="3"/>
  <c r="S46" i="3"/>
  <c r="S88" i="3"/>
  <c r="AM46" i="3"/>
  <c r="AM49" i="3"/>
  <c r="AM44" i="3"/>
  <c r="AM45" i="3"/>
  <c r="AM48" i="3"/>
  <c r="AM43" i="3"/>
  <c r="AM47" i="3"/>
  <c r="AM42" i="3"/>
  <c r="AO49" i="3"/>
  <c r="AO45" i="3"/>
  <c r="AO44" i="3"/>
  <c r="AO46" i="3"/>
  <c r="AO47" i="3"/>
  <c r="AO48" i="3"/>
  <c r="AO43" i="3"/>
  <c r="AO42" i="3"/>
  <c r="AE3" i="3"/>
  <c r="AE81" i="3"/>
  <c r="AE42" i="3"/>
  <c r="AE3" i="23"/>
  <c r="AE81" i="23"/>
  <c r="S43" i="23"/>
  <c r="S82" i="23"/>
  <c r="S4" i="23"/>
  <c r="S80" i="23"/>
  <c r="Y82" i="23"/>
  <c r="Y43" i="23"/>
  <c r="Y4" i="23"/>
  <c r="Y80" i="23"/>
  <c r="AK80" i="23"/>
  <c r="AK81" i="23"/>
  <c r="AK3" i="23"/>
  <c r="AE42" i="23"/>
  <c r="S43" i="3"/>
  <c r="AK41" i="3"/>
  <c r="AK81" i="3"/>
  <c r="AK3" i="3"/>
  <c r="Y4" i="3"/>
  <c r="Y41" i="3"/>
  <c r="Y82" i="3"/>
  <c r="Y43" i="3"/>
  <c r="S41" i="3"/>
  <c r="S4" i="3"/>
  <c r="S82" i="3"/>
  <c r="AK49" i="23" l="1"/>
  <c r="AK44" i="23"/>
  <c r="AK45" i="23"/>
  <c r="AK48" i="23"/>
  <c r="AK43" i="23"/>
  <c r="AK46" i="23"/>
  <c r="AK47" i="23"/>
  <c r="AK44" i="3"/>
  <c r="AK46" i="3"/>
  <c r="AK45" i="3"/>
  <c r="AK48" i="3"/>
  <c r="AK43" i="3"/>
  <c r="AK47" i="3"/>
  <c r="AK49" i="3"/>
  <c r="AK42" i="23"/>
  <c r="AK4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E691B3-973F-4A0E-B38A-8F3C9941E43C}" keepAlive="1" name="Consulta - Arquivo de Amostra (4)" description="Conexão com a consulta 'Arquivo de Amostra (4)' na pasta de trabalho." type="5" refreshedVersion="0" background="1">
    <dbPr connection="Provider=Microsoft.Mashup.OleDb.1;Data Source=$Workbook$;Location=&quot;Arquivo de Amostra (4)&quot;;Extended Properties=&quot;&quot;" command="SELECT * FROM [Arquivo de Amostra (4)]"/>
  </connection>
  <connection id="2" xr16:uid="{8ACB8F17-D5D6-440F-B481-C0C4B9AFA5B4}" keepAlive="1" name="Consulta - Arquivo de Amostra (5)" description="Conexão com a consulta 'Arquivo de Amostra (5)' na pasta de trabalho." type="5" refreshedVersion="0" background="1">
    <dbPr connection="Provider=Microsoft.Mashup.OleDb.1;Data Source=$Workbook$;Location=&quot;Arquivo de Amostra (5)&quot;;Extended Properties=&quot;&quot;" command="SELECT * FROM [Arquivo de Amostra (5)]"/>
  </connection>
  <connection id="3" xr16:uid="{06A7C000-C914-44C4-9A01-DEEDB141E077}" keepAlive="1" name="Consulta - Arquivo de Amostra (6)" description="Conexão com a consulta 'Arquivo de Amostra (6)' na pasta de trabalho." type="5" refreshedVersion="0" background="1">
    <dbPr connection="Provider=Microsoft.Mashup.OleDb.1;Data Source=$Workbook$;Location=&quot;Arquivo de Amostra (6)&quot;;Extended Properties=&quot;&quot;" command="SELECT * FROM [Arquivo de Amostra (6)]"/>
  </connection>
  <connection id="4" xr16:uid="{63B691E8-E016-4D89-B71C-781D24F3FC0E}" keepAlive="1" name="Consulta - Exact" description="Conexão com a consulta 'Exact' na pasta de trabalho." type="5" refreshedVersion="8" background="1" saveData="1">
    <dbPr connection="Provider=Microsoft.Mashup.OleDb.1;Data Source=$Workbook$;Location=Exact;Extended Properties=&quot;&quot;" command="SELECT * FROM [Exact]"/>
  </connection>
  <connection id="5" xr16:uid="{97B0533F-F770-4795-B8D8-206903A16626}" keepAlive="1" name="Consulta - Heuristic" description="Conexão com a consulta 'Heuristic' na pasta de trabalho." type="5" refreshedVersion="8" background="1" saveData="1">
    <dbPr connection="Provider=Microsoft.Mashup.OleDb.1;Data Source=$Workbook$;Location=Heuristic;Extended Properties=&quot;&quot;" command="SELECT * FROM [Heuristic]"/>
  </connection>
  <connection id="6" xr16:uid="{E18A7071-D03B-4FC0-942F-98C454D0EE87}" keepAlive="1" name="Consulta - Metaheuristic" description="Conexão com a consulta 'Metaheuristic' na pasta de trabalho." type="5" refreshedVersion="8" background="1" saveData="1">
    <dbPr connection="Provider=Microsoft.Mashup.OleDb.1;Data Source=$Workbook$;Location=Metaheuristic;Extended Properties=&quot;&quot;" command="SELECT * FROM [Metaheuristic]"/>
  </connection>
  <connection id="7" xr16:uid="{73F16F23-90E6-46B6-A2B1-C0E97D6F2C3B}" keepAlive="1" name="Consulta - Parâmetro4" description="Conexão com a consulta 'Parâmetro4' na pasta de trabalho." type="5" refreshedVersion="0" background="1">
    <dbPr connection="Provider=Microsoft.Mashup.OleDb.1;Data Source=$Workbook$;Location=Parâmetro4;Extended Properties=&quot;&quot;" command="SELECT * FROM [Parâmetro4]"/>
  </connection>
  <connection id="8" xr16:uid="{00498AAF-D87D-47A2-B071-D7356398F801}" keepAlive="1" name="Consulta - Parâmetro5" description="Conexão com a consulta 'Parâmetro5' na pasta de trabalho." type="5" refreshedVersion="0" background="1">
    <dbPr connection="Provider=Microsoft.Mashup.OleDb.1;Data Source=$Workbook$;Location=Parâmetro5;Extended Properties=&quot;&quot;" command="SELECT * FROM [Parâmetro5]"/>
  </connection>
  <connection id="9" xr16:uid="{AA226B8E-F6F8-414E-8A9A-E1A798C1BED9}" keepAlive="1" name="Consulta - Parâmetro6" description="Conexão com a consulta 'Parâmetro6' na pasta de trabalho." type="5" refreshedVersion="0" background="1">
    <dbPr connection="Provider=Microsoft.Mashup.OleDb.1;Data Source=$Workbook$;Location=Parâmetro6;Extended Properties=&quot;&quot;" command="SELECT * FROM [Parâmetro6]"/>
  </connection>
  <connection id="10" xr16:uid="{FB5597BB-7EF2-4465-B916-FA3440E98127}" keepAlive="1" name="Consulta - Transformar Arquivo (4)" description="Conexão com a consulta 'Transformar Arquivo (4)' na pasta de trabalho." type="5" refreshedVersion="0" background="1">
    <dbPr connection="Provider=Microsoft.Mashup.OleDb.1;Data Source=$Workbook$;Location=&quot;Transformar Arquivo (4)&quot;;Extended Properties=&quot;&quot;" command="SELECT * FROM [Transformar Arquivo (4)]"/>
  </connection>
  <connection id="11" xr16:uid="{76BFAC36-81AA-4D93-B1F5-1BECBDEA03B9}" keepAlive="1" name="Consulta - Transformar Arquivo (5)" description="Conexão com a consulta 'Transformar Arquivo (5)' na pasta de trabalho." type="5" refreshedVersion="0" background="1">
    <dbPr connection="Provider=Microsoft.Mashup.OleDb.1;Data Source=$Workbook$;Location=&quot;Transformar Arquivo (5)&quot;;Extended Properties=&quot;&quot;" command="SELECT * FROM [Transformar Arquivo (5)]"/>
  </connection>
  <connection id="12" xr16:uid="{DCCA032A-9CFB-4CD5-AAA4-8EF2DC37A9A3}" keepAlive="1" name="Consulta - Transformar Arquivo (6)" description="Conexão com a consulta 'Transformar Arquivo (6)' na pasta de trabalho." type="5" refreshedVersion="0" background="1">
    <dbPr connection="Provider=Microsoft.Mashup.OleDb.1;Data Source=$Workbook$;Location=&quot;Transformar Arquivo (6)&quot;;Extended Properties=&quot;&quot;" command="SELECT * FROM [Transformar Arquivo (6)]"/>
  </connection>
  <connection id="13" xr16:uid="{961923FA-CFC6-4037-B915-3DAC8A75269D}" keepAlive="1" name="Consulta - Transformar o Arquivo de Exemplo (4)" description="Conexão com a consulta 'Transformar o Arquivo de Exemplo (4)' na pasta de trabalho." type="5" refreshedVersion="0" background="1">
    <dbPr connection="Provider=Microsoft.Mashup.OleDb.1;Data Source=$Workbook$;Location=&quot;Transformar o Arquivo de Exemplo (4)&quot;;Extended Properties=&quot;&quot;" command="SELECT * FROM [Transformar o Arquivo de Exemplo (4)]"/>
  </connection>
  <connection id="14" xr16:uid="{BEBE5C0C-F064-42B8-B6C2-D7596912E6D5}" keepAlive="1" name="Consulta - Transformar o Arquivo de Exemplo (5)" description="Conexão com a consulta 'Transformar o Arquivo de Exemplo (5)' na pasta de trabalho." type="5" refreshedVersion="0" background="1">
    <dbPr connection="Provider=Microsoft.Mashup.OleDb.1;Data Source=$Workbook$;Location=&quot;Transformar o Arquivo de Exemplo (5)&quot;;Extended Properties=&quot;&quot;" command="SELECT * FROM [Transformar o Arquivo de Exemplo (5)]"/>
  </connection>
  <connection id="15" xr16:uid="{DD619AE7-278B-4292-AD0B-B617DD0B4932}" keepAlive="1" name="Consulta - Transformar o Arquivo de Exemplo (6)" description="Conexão com a consulta 'Transformar o Arquivo de Exemplo (6)' na pasta de trabalho." type="5" refreshedVersion="0" background="1">
    <dbPr connection="Provider=Microsoft.Mashup.OleDb.1;Data Source=$Workbook$;Location=&quot;Transformar o Arquivo de Exemplo (6)&quot;;Extended Properties=&quot;&quot;" command="SELECT * FROM [Transformar o Arquivo de Exemplo (6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<sst xmlns="http://schemas.openxmlformats.org/spreadsheetml/2006/main" count="15270" uniqueCount="118">
  <si>
    <t>GRA</t>
  </si>
  <si>
    <t>SAG</t>
  </si>
  <si>
    <t>N</t>
  </si>
  <si>
    <t>Greedy_DescAsc</t>
  </si>
  <si>
    <t>MinCost</t>
  </si>
  <si>
    <t>Random</t>
  </si>
  <si>
    <t>SA_Greedy_DescAsc</t>
  </si>
  <si>
    <t>SA_Random</t>
  </si>
  <si>
    <t>Algoritmos</t>
  </si>
  <si>
    <t>=</t>
  </si>
  <si>
    <t>RRA</t>
  </si>
  <si>
    <t>SAR</t>
  </si>
  <si>
    <t>Devices</t>
  </si>
  <si>
    <t>Status</t>
  </si>
  <si>
    <t>Temperature</t>
  </si>
  <si>
    <t>Alpha</t>
  </si>
  <si>
    <t>TAXA DE ATENDIMENTO</t>
  </si>
  <si>
    <t>TEMPO DE EXECUÇÃO</t>
  </si>
  <si>
    <t>CUSTO  TOTAL</t>
  </si>
  <si>
    <t>TEMPO DE RESPOSTA MÉDIO</t>
  </si>
  <si>
    <t>Algorithm</t>
  </si>
  <si>
    <t>Mean</t>
  </si>
  <si>
    <t>SD</t>
  </si>
  <si>
    <t>SEM</t>
  </si>
  <si>
    <t>LCI</t>
  </si>
  <si>
    <t>UCI</t>
  </si>
  <si>
    <t>10²</t>
  </si>
  <si>
    <t>10³</t>
  </si>
  <si>
    <t>10⁴</t>
  </si>
  <si>
    <t>CUSTO TOTAL</t>
  </si>
  <si>
    <t>Paradigm</t>
  </si>
  <si>
    <t>Run</t>
  </si>
  <si>
    <t>Servers_EC</t>
  </si>
  <si>
    <t>Servers_CC</t>
  </si>
  <si>
    <t>Max_cost</t>
  </si>
  <si>
    <t>Execution_time</t>
  </si>
  <si>
    <t>Devices_served</t>
  </si>
  <si>
    <t>Devices_served_ec</t>
  </si>
  <si>
    <t>Devices_served_cc</t>
  </si>
  <si>
    <t>Servers_used</t>
  </si>
  <si>
    <t>Servers_used_ec</t>
  </si>
  <si>
    <t>Servers_used_cc</t>
  </si>
  <si>
    <t>Total_cost</t>
  </si>
  <si>
    <t>Obj_Function</t>
  </si>
  <si>
    <t>Gap</t>
  </si>
  <si>
    <t>EXACT</t>
  </si>
  <si>
    <t>SOLVER_MAXIMUM_COST</t>
  </si>
  <si>
    <t>Optimal</t>
  </si>
  <si>
    <t>Feasible</t>
  </si>
  <si>
    <t>HEURISTIC</t>
  </si>
  <si>
    <t>GREEDY_RANDOM</t>
  </si>
  <si>
    <t>GREEDY_CB</t>
  </si>
  <si>
    <t>GREEDY_RANDOM_FALLBACK</t>
  </si>
  <si>
    <t>Initial_Heuristic</t>
  </si>
  <si>
    <t>METAHEURISTIC</t>
  </si>
  <si>
    <t>SA</t>
  </si>
  <si>
    <t>Fixed</t>
  </si>
  <si>
    <t>Abas de Dados:</t>
  </si>
  <si>
    <t>Exact, Heuristic, Metaheuristic</t>
  </si>
  <si>
    <t>Cenário Alvo:</t>
  </si>
  <si>
    <t>Nível de Confiança:</t>
  </si>
  <si>
    <t>Tamanho da Amostra:</t>
  </si>
  <si>
    <t>Sim</t>
  </si>
  <si>
    <t>IQR</t>
  </si>
  <si>
    <t>Taxa de Atendimento (%)</t>
  </si>
  <si>
    <t>Tempo de Execução (s)</t>
  </si>
  <si>
    <t>-</t>
  </si>
  <si>
    <t>[Devices_served]/[Devices]</t>
  </si>
  <si>
    <t>Abas de dados separadas por vírgula</t>
  </si>
  <si>
    <t>Valores da coluna de cenário separados por vírgula</t>
  </si>
  <si>
    <t>Algoritmos Alvo:</t>
  </si>
  <si>
    <t>SOLVER_MAXIMUM_COST, GREEDY_RANDOM, GREEDY_RANDOM_FALLBACK, GREEDY_CB, SA</t>
  </si>
  <si>
    <t>Filtro:</t>
  </si>
  <si>
    <t>Algoritmos na ordem desejada de exibição</t>
  </si>
  <si>
    <t>Valores da coluna Fixed a processar (ex: 0, 1 ou apenas 1)</t>
  </si>
  <si>
    <t>Ordem "Initial_Heuristic":</t>
  </si>
  <si>
    <t>GREEDY_RANDOM, GREEDY_RANDOM_FALLBACK, GREEDY_CB</t>
  </si>
  <si>
    <t>Heurísticas iniciais (representa abas sem essa coluna, como Exact)</t>
  </si>
  <si>
    <t>Decimal (0,95) ou percentual (95%)</t>
  </si>
  <si>
    <t>Inteiro (0 ou vazio = usa todos os itens do grupo)</t>
  </si>
  <si>
    <t>Remover Outliers?</t>
  </si>
  <si>
    <t>Validação de Dados: Sim, Não</t>
  </si>
  <si>
    <t>Método de Outliers:</t>
  </si>
  <si>
    <t>Validação de Dados: IQR, ZSCORE</t>
  </si>
  <si>
    <t>Fator Limiar (Outliers):</t>
  </si>
  <si>
    <t>Padrão: 1,5 para IQR ou 3,0 para Z-Score</t>
  </si>
  <si>
    <t>ESTATÍSTICA DE SAÍDA</t>
  </si>
  <si>
    <t>EXPORTAR? (Sim/Não)</t>
  </si>
  <si>
    <t>PAPEL / MÉTRICA</t>
  </si>
  <si>
    <t>CABEÇALHO NA BASE OU EQUAÇÃO</t>
  </si>
  <si>
    <t>PROCESSAR? (Sim/Não)</t>
  </si>
  <si>
    <t>Chave: Cenário</t>
  </si>
  <si>
    <t>Fixo</t>
  </si>
  <si>
    <t>Chave: Algoritmo</t>
  </si>
  <si>
    <t>Chave: Custo Fixo</t>
  </si>
  <si>
    <t>Chave: Heurística Inicial</t>
  </si>
  <si>
    <t>Opcional</t>
  </si>
  <si>
    <t>Custo Total ($)</t>
  </si>
  <si>
    <t>Não</t>
  </si>
  <si>
    <t>SA_GREEDY_RANDOM</t>
  </si>
  <si>
    <t>SA_GREEDY_RANDOM_FALLBACK</t>
  </si>
  <si>
    <t>SA_GREEDY_CB</t>
  </si>
  <si>
    <t>GR</t>
  </si>
  <si>
    <t>GRF</t>
  </si>
  <si>
    <t>GCB</t>
  </si>
  <si>
    <t>SAGR</t>
  </si>
  <si>
    <t>SAGRF</t>
  </si>
  <si>
    <t>SAGCB</t>
  </si>
  <si>
    <t>Vertical</t>
  </si>
  <si>
    <t>Horizontal</t>
  </si>
  <si>
    <t>Taxa de Atendimento (%) (Fixed = 0)</t>
  </si>
  <si>
    <t>Tempo de Execução (s) (Fixed = 0)</t>
  </si>
  <si>
    <t>Custo Total ($) (Fixed = 0)</t>
  </si>
  <si>
    <t>0, 1</t>
  </si>
  <si>
    <t>Taxa de Atendimento (%) (Fixed = 1)</t>
  </si>
  <si>
    <t>Tempo de Execução (s) (Fixed = 1)</t>
  </si>
  <si>
    <t>Custo Total ($) (Fixed = 1)</t>
  </si>
  <si>
    <t>12000, 14000, 16000, 18000, 20000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</si>
</sst>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00000"/>
    <numFmt numFmtId="165" formatCode="0.0000"/>
    <numFmt numFmtId="166" formatCode="0.0000000000"/>
    <numFmt numFmtId="167" formatCode="0.000000000"/>
    <numFmt numFmtId="168" formatCode="0.00000%"/>
    <numFmt numFmtId="169" formatCode="&quot;LCI_&quot;@"/>
    <numFmt numFmtId="170" formatCode="&quot;UCI_&quot;@"/>
    <numFmt numFmtId="171" formatCode="&quot;ILP_&quot;@"/>
    <numFmt numFmtId="172" formatCode="&quot;LCI_&quot;General;&quot;LCI_&quot;\-General;&quot;LCI_&quot;0;&quot;LCI_&quot;@"/>
    <numFmt numFmtId="173" formatCode="&quot;UCI_&quot;General;&quot;UCI_&quot;\-General;&quot;UCI_&quot;0;&quot;UCI_&quot;@"/>
    <numFmt numFmtId="174" formatCode="&quot;ILP_&quot;General;&quot;ILP_&quot;\-General;&quot;ILP_&quot;0;&quot;ILP_&quot;@"/>
    <numFmt numFmtId="175" formatCode="0.00000000"/>
    <numFmt numFmtId="176" formatCode="0.000%"/>
    <numFmt numFmtId="177" formatCode="&quot;UB_&quot;General;&quot;UB_&quot;\-General;&quot;UB_&quot;0;&quot;UB_&quot;@"/>
    <numFmt numFmtId="178" formatCode="&quot;LB_&quot;General;&quot;LB_&quot;\-General;&quot;LB_&quot;0;&quot;LB_&quot;@"/>
  </numFmts>
  <fonts count="13" x14ac:knownFonts="1">
    <font>
      <sz val="10"/>
      <color theme="1"/>
      <name val="Times New Roman"/>
      <family val="2"/>
    </font>
    <font>
      <sz val="10"/>
      <color theme="1"/>
      <name val="Times New Roman"/>
      <family val="2"/>
    </font>
    <font>
      <b/>
      <sz val="20"/>
      <color rgb="FF000000"/>
      <name val="Times New Roman"/>
      <family val="1"/>
    </font>
    <font>
      <sz val="12"/>
      <color theme="1"/>
      <name val="Arial"/>
      <family val="2"/>
    </font>
    <font>
      <sz val="12"/>
      <color theme="1"/>
      <name val="Times New Roman"/>
      <family val="1"/>
    </font>
    <font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u/>
      <sz val="10"/>
      <color theme="1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u/>
      <sz val="10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NumberFormat="1"/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0" fontId="7" fillId="0" borderId="0" xfId="0" applyNumberFormat="1" applyFont="1" applyBorder="1" applyAlignment="1">
      <alignment horizontal="center" vertical="center"/>
    </xf>
    <xf numFmtId="10" fontId="9" fillId="0" borderId="0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165" fontId="7" fillId="0" borderId="2" xfId="0" applyNumberFormat="1" applyFont="1" applyBorder="1" applyAlignment="1">
      <alignment horizontal="left" vertical="center"/>
    </xf>
    <xf numFmtId="165" fontId="7" fillId="0" borderId="0" xfId="0" applyNumberFormat="1" applyFont="1" applyBorder="1" applyAlignment="1">
      <alignment horizontal="left" vertical="center"/>
    </xf>
    <xf numFmtId="2" fontId="7" fillId="0" borderId="0" xfId="1" applyNumberFormat="1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4" xfId="0" applyFont="1" applyBorder="1" applyAlignment="1">
      <alignment horizontal="left" vertical="center"/>
    </xf>
    <xf numFmtId="2" fontId="7" fillId="0" borderId="4" xfId="1" applyNumberFormat="1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165" fontId="7" fillId="0" borderId="3" xfId="0" applyNumberFormat="1" applyFont="1" applyBorder="1" applyAlignment="1">
      <alignment horizontal="left" vertical="center"/>
    </xf>
    <xf numFmtId="165" fontId="7" fillId="0" borderId="4" xfId="0" applyNumberFormat="1" applyFont="1" applyBorder="1" applyAlignment="1">
      <alignment horizontal="left" vertical="center"/>
    </xf>
    <xf numFmtId="2" fontId="7" fillId="0" borderId="0" xfId="1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10" fontId="7" fillId="0" borderId="1" xfId="0" applyNumberFormat="1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166" fontId="7" fillId="0" borderId="0" xfId="0" applyNumberFormat="1" applyFont="1" applyAlignment="1">
      <alignment horizontal="left" vertical="center"/>
    </xf>
    <xf numFmtId="166" fontId="7" fillId="0" borderId="0" xfId="0" applyNumberFormat="1" applyFont="1" applyBorder="1" applyAlignment="1">
      <alignment horizontal="left" vertical="center"/>
    </xf>
    <xf numFmtId="168" fontId="7" fillId="0" borderId="0" xfId="1" applyNumberFormat="1" applyFont="1" applyAlignment="1">
      <alignment horizontal="left" vertical="center"/>
    </xf>
    <xf numFmtId="168" fontId="7" fillId="0" borderId="0" xfId="0" applyNumberFormat="1" applyFont="1" applyBorder="1" applyAlignment="1">
      <alignment horizontal="left" vertical="center"/>
    </xf>
    <xf numFmtId="168" fontId="7" fillId="0" borderId="0" xfId="1" applyNumberFormat="1" applyFont="1" applyBorder="1" applyAlignment="1">
      <alignment horizontal="left" vertical="center"/>
    </xf>
    <xf numFmtId="166" fontId="7" fillId="0" borderId="0" xfId="1" applyNumberFormat="1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169" fontId="7" fillId="0" borderId="7" xfId="0" applyNumberFormat="1" applyFont="1" applyBorder="1" applyAlignment="1">
      <alignment horizontal="center" vertical="center"/>
    </xf>
    <xf numFmtId="170" fontId="7" fillId="0" borderId="7" xfId="0" applyNumberFormat="1" applyFont="1" applyBorder="1" applyAlignment="1">
      <alignment horizontal="center" vertical="center"/>
    </xf>
    <xf numFmtId="171" fontId="7" fillId="0" borderId="7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vertical="center"/>
    </xf>
    <xf numFmtId="164" fontId="8" fillId="0" borderId="9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" fontId="7" fillId="0" borderId="0" xfId="0" applyNumberFormat="1" applyFont="1" applyAlignment="1">
      <alignment vertical="center"/>
    </xf>
    <xf numFmtId="167" fontId="7" fillId="0" borderId="0" xfId="0" applyNumberFormat="1" applyFont="1" applyAlignment="1">
      <alignment vertical="center"/>
    </xf>
    <xf numFmtId="166" fontId="7" fillId="0" borderId="0" xfId="1" applyNumberFormat="1" applyFont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172" fontId="7" fillId="0" borderId="7" xfId="0" applyNumberFormat="1" applyFont="1" applyBorder="1" applyAlignment="1">
      <alignment horizontal="center" vertical="center"/>
    </xf>
    <xf numFmtId="173" fontId="7" fillId="0" borderId="7" xfId="0" applyNumberFormat="1" applyFont="1" applyBorder="1" applyAlignment="1">
      <alignment horizontal="center" vertical="center"/>
    </xf>
    <xf numFmtId="174" fontId="7" fillId="0" borderId="7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9" fontId="4" fillId="0" borderId="0" xfId="1" applyFont="1" applyAlignment="1">
      <alignment horizontal="center" vertical="center" wrapText="1"/>
    </xf>
    <xf numFmtId="167" fontId="4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left" vertical="center"/>
    </xf>
    <xf numFmtId="1" fontId="0" fillId="0" borderId="0" xfId="0" applyNumberFormat="1"/>
    <xf numFmtId="175" fontId="0" fillId="0" borderId="0" xfId="0" applyNumberFormat="1"/>
    <xf numFmtId="0" fontId="8" fillId="0" borderId="0" xfId="0" applyFont="1"/>
    <xf numFmtId="0" fontId="8" fillId="0" borderId="10" xfId="0" applyFont="1" applyBorder="1" applyAlignment="1">
      <alignment horizontal="center"/>
    </xf>
    <xf numFmtId="0" fontId="0" fillId="0" borderId="4" xfId="0" applyBorder="1"/>
    <xf numFmtId="1" fontId="0" fillId="0" borderId="4" xfId="0" applyNumberFormat="1" applyBorder="1"/>
    <xf numFmtId="175" fontId="0" fillId="0" borderId="4" xfId="0" applyNumberFormat="1" applyBorder="1"/>
    <xf numFmtId="0" fontId="0" fillId="0" borderId="0" xfId="0" applyAlignment="1">
      <alignment horizontal="left"/>
    </xf>
    <xf numFmtId="0" fontId="12" fillId="0" borderId="0" xfId="0" applyFont="1"/>
    <xf numFmtId="176" fontId="0" fillId="0" borderId="0" xfId="1" applyNumberFormat="1" applyFont="1"/>
    <xf numFmtId="176" fontId="7" fillId="0" borderId="0" xfId="1" applyNumberFormat="1" applyFont="1" applyBorder="1" applyAlignment="1">
      <alignment horizontal="left" vertical="center"/>
    </xf>
    <xf numFmtId="176" fontId="7" fillId="0" borderId="0" xfId="1" applyNumberFormat="1" applyFont="1" applyAlignment="1">
      <alignment horizontal="left" vertical="center"/>
    </xf>
    <xf numFmtId="176" fontId="9" fillId="0" borderId="0" xfId="1" applyNumberFormat="1" applyFont="1" applyBorder="1" applyAlignment="1">
      <alignment horizontal="left" vertical="center"/>
    </xf>
    <xf numFmtId="175" fontId="12" fillId="0" borderId="0" xfId="0" applyNumberFormat="1" applyFont="1"/>
    <xf numFmtId="0" fontId="7" fillId="0" borderId="11" xfId="0" applyFont="1" applyBorder="1" applyAlignment="1">
      <alignment horizontal="left" vertical="center"/>
    </xf>
    <xf numFmtId="176" fontId="0" fillId="0" borderId="0" xfId="1" applyNumberFormat="1" applyFont="1" applyBorder="1"/>
    <xf numFmtId="0" fontId="8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12" xfId="0" applyFont="1" applyBorder="1" applyAlignment="1">
      <alignment horizontal="center" vertical="center"/>
    </xf>
    <xf numFmtId="10" fontId="7" fillId="0" borderId="13" xfId="0" applyNumberFormat="1" applyFont="1" applyBorder="1" applyAlignment="1">
      <alignment horizontal="left" vertical="center"/>
    </xf>
    <xf numFmtId="176" fontId="12" fillId="0" borderId="0" xfId="1" applyNumberFormat="1" applyFont="1"/>
    <xf numFmtId="165" fontId="9" fillId="0" borderId="0" xfId="0" applyNumberFormat="1" applyFont="1" applyBorder="1" applyAlignment="1">
      <alignment horizontal="left" vertical="center"/>
    </xf>
    <xf numFmtId="177" fontId="7" fillId="0" borderId="7" xfId="0" applyNumberFormat="1" applyFont="1" applyBorder="1" applyAlignment="1">
      <alignment horizontal="center" vertical="center"/>
    </xf>
    <xf numFmtId="178" fontId="7" fillId="0" borderId="7" xfId="0" applyNumberFormat="1" applyFont="1" applyBorder="1" applyAlignment="1">
      <alignment horizontal="center" vertical="center"/>
    </xf>
    <xf numFmtId="0" fontId="7" fillId="0" borderId="0" xfId="1" applyNumberFormat="1" applyFont="1" applyBorder="1" applyAlignment="1">
      <alignment horizontal="left" vertical="center"/>
    </xf>
    <xf numFmtId="0" fontId="0" fillId="0" borderId="0" xfId="0" applyFont="1"/>
    <xf numFmtId="1" fontId="0" fillId="0" borderId="0" xfId="0" applyNumberFormat="1" applyFont="1"/>
    <xf numFmtId="175" fontId="0" fillId="0" borderId="0" xfId="0" applyNumberFormat="1" applyFont="1"/>
    <xf numFmtId="0" fontId="4" fillId="0" borderId="0" xfId="0" applyFont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Relationship Id="rId4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72211323193389"/>
          <c:y val="5.5057659982017906E-2"/>
          <c:w val="0.84648334756618271"/>
          <c:h val="0.78341229819006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'Resume Graph'!$M$2</c:f>
              <c:strCache>
                <c:ptCount val="1"/>
                <c:pt idx="0">
                  <c:v>12000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Graph'!$Y$4:$Y$9</c:f>
                <c:numCache>
                  <c:formatCode>General</c:formatCode>
                  <c:ptCount val="6"/>
                  <c:pt idx="0">
                    <c:v>6.6521981614475756E-4</c:v>
                  </c:pt>
                  <c:pt idx="1">
                    <c:v>4.1331747396777807E-4</c:v>
                  </c:pt>
                  <c:pt idx="2">
                    <c:v>0</c:v>
                  </c:pt>
                  <c:pt idx="3">
                    <c:v>8.301149357459181E-6</c:v>
                  </c:pt>
                  <c:pt idx="4">
                    <c:v>4.6880323149034453E-6</c:v>
                  </c:pt>
                  <c:pt idx="5">
                    <c:v>3.2477561244248498E-4</c:v>
                  </c:pt>
                </c:numCache>
              </c:numRef>
            </c:plus>
            <c:minus>
              <c:numRef>
                <c:f>'Resume Graph'!$S$4:$S$9</c:f>
                <c:numCache>
                  <c:formatCode>General</c:formatCode>
                  <c:ptCount val="6"/>
                  <c:pt idx="0">
                    <c:v>6.6521981614475756E-4</c:v>
                  </c:pt>
                  <c:pt idx="1">
                    <c:v>4.1331747396777807E-4</c:v>
                  </c:pt>
                  <c:pt idx="2">
                    <c:v>0</c:v>
                  </c:pt>
                  <c:pt idx="3">
                    <c:v>8.301149357459181E-6</c:v>
                  </c:pt>
                  <c:pt idx="4">
                    <c:v>4.6880323149034453E-6</c:v>
                  </c:pt>
                  <c:pt idx="5">
                    <c:v>3.2477561244248498E-4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Graph'!$M$4:$M$9</c:f>
              <c:numCache>
                <c:formatCode>0,000%</c:formatCode>
                <c:ptCount val="6"/>
                <c:pt idx="0">
                  <c:v>0.23299833333333328</c:v>
                </c:pt>
                <c:pt idx="1">
                  <c:v>0.99094000000000004</c:v>
                </c:pt>
                <c:pt idx="2">
                  <c:v>0.96466666666666667</c:v>
                </c:pt>
                <c:pt idx="3">
                  <c:v>0.99998833333333326</c:v>
                </c:pt>
                <c:pt idx="4">
                  <c:v>0.99999666666666653</c:v>
                </c:pt>
                <c:pt idx="5">
                  <c:v>0.99058833333333352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5-4151-A091-EDF918271FC6}"/>
            </c:ext>
          </c:extLst>
        </c:ser>
        <c:ser>
          <c:idx val="1"/>
          <c:order val="1"/>
          <c:tx>
            <c:strRef>
              <c:f>'Resume Graph'!$N$2</c:f>
              <c:strCache>
                <c:ptCount val="1"/>
                <c:pt idx="0">
                  <c:v>14000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Graph'!$Z$4:$Z$9</c:f>
                <c:numCache>
                  <c:formatCode>General</c:formatCode>
                  <c:ptCount val="6"/>
                  <c:pt idx="0">
                    <c:v>4.4578006426079786E-4</c:v>
                  </c:pt>
                  <c:pt idx="1">
                    <c:v>4.4818607708718705E-4</c:v>
                  </c:pt>
                  <c:pt idx="2">
                    <c:v>0</c:v>
                  </c:pt>
                  <c:pt idx="3">
                    <c:v>3.0922525252985444E-4</c:v>
                  </c:pt>
                  <c:pt idx="4">
                    <c:v>3.0927855288176431E-4</c:v>
                  </c:pt>
                  <c:pt idx="5">
                    <c:v>3.2206725601890973E-4</c:v>
                  </c:pt>
                </c:numCache>
              </c:numRef>
            </c:plus>
            <c:minus>
              <c:numRef>
                <c:f>'Resume Graph'!$T$4:$T$9</c:f>
                <c:numCache>
                  <c:formatCode>General</c:formatCode>
                  <c:ptCount val="6"/>
                  <c:pt idx="0">
                    <c:v>4.4578006426079786E-4</c:v>
                  </c:pt>
                  <c:pt idx="1">
                    <c:v>4.4818607708718705E-4</c:v>
                  </c:pt>
                  <c:pt idx="2">
                    <c:v>0</c:v>
                  </c:pt>
                  <c:pt idx="3">
                    <c:v>3.0922525252985444E-4</c:v>
                  </c:pt>
                  <c:pt idx="4">
                    <c:v>3.0927855288176431E-4</c:v>
                  </c:pt>
                  <c:pt idx="5">
                    <c:v>3.2206725601890973E-4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Graph'!$N$4:$N$9</c:f>
              <c:numCache>
                <c:formatCode>0,000%</c:formatCode>
                <c:ptCount val="6"/>
                <c:pt idx="0">
                  <c:v>0.20402571428571428</c:v>
                </c:pt>
                <c:pt idx="1">
                  <c:v>0.84999142857142829</c:v>
                </c:pt>
                <c:pt idx="2">
                  <c:v>0.85764285714285715</c:v>
                </c:pt>
                <c:pt idx="3">
                  <c:v>0.93869428571428581</c:v>
                </c:pt>
                <c:pt idx="4">
                  <c:v>0.93930000000000002</c:v>
                </c:pt>
                <c:pt idx="5">
                  <c:v>0.91830571428571417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45-4151-A091-EDF918271FC6}"/>
            </c:ext>
          </c:extLst>
        </c:ser>
        <c:ser>
          <c:idx val="2"/>
          <c:order val="2"/>
          <c:tx>
            <c:strRef>
              <c:f>'Resume Graph'!$O$2</c:f>
              <c:strCache>
                <c:ptCount val="1"/>
                <c:pt idx="0">
                  <c:v>16000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Graph'!$AA$4:$AA$9</c:f>
                <c:numCache>
                  <c:formatCode>General</c:formatCode>
                  <c:ptCount val="6"/>
                  <c:pt idx="0">
                    <c:v>4.5459714233100912E-4</c:v>
                  </c:pt>
                  <c:pt idx="1">
                    <c:v>3.7593809081193363E-4</c:v>
                  </c:pt>
                  <c:pt idx="2">
                    <c:v>0</c:v>
                  </c:pt>
                  <c:pt idx="3">
                    <c:v>3.3460009616470554E-4</c:v>
                  </c:pt>
                  <c:pt idx="4">
                    <c:v>3.0677269483569969E-4</c:v>
                  </c:pt>
                  <c:pt idx="5">
                    <c:v>2.8736373804538751E-4</c:v>
                  </c:pt>
                </c:numCache>
              </c:numRef>
            </c:plus>
            <c:minus>
              <c:numRef>
                <c:f>'Resume Graph'!$U$4:$U$9</c:f>
                <c:numCache>
                  <c:formatCode>General</c:formatCode>
                  <c:ptCount val="6"/>
                  <c:pt idx="0">
                    <c:v>4.5459714233100912E-4</c:v>
                  </c:pt>
                  <c:pt idx="1">
                    <c:v>3.7593809081193363E-4</c:v>
                  </c:pt>
                  <c:pt idx="2">
                    <c:v>0</c:v>
                  </c:pt>
                  <c:pt idx="3">
                    <c:v>3.3460009616470554E-4</c:v>
                  </c:pt>
                  <c:pt idx="4">
                    <c:v>3.0677269483569969E-4</c:v>
                  </c:pt>
                  <c:pt idx="5">
                    <c:v>2.8736373804538751E-4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Graph'!$O$4:$O$9</c:f>
              <c:numCache>
                <c:formatCode>0,000%</c:formatCode>
                <c:ptCount val="6"/>
                <c:pt idx="0">
                  <c:v>0.18474999999999997</c:v>
                </c:pt>
                <c:pt idx="1">
                  <c:v>0.75058625000000023</c:v>
                </c:pt>
                <c:pt idx="2">
                  <c:v>0.77212499999999995</c:v>
                </c:pt>
                <c:pt idx="3">
                  <c:v>0.87970000000000004</c:v>
                </c:pt>
                <c:pt idx="4">
                  <c:v>0.87979499999999999</c:v>
                </c:pt>
                <c:pt idx="5">
                  <c:v>0.86311000000000004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45-4151-A091-EDF918271FC6}"/>
            </c:ext>
          </c:extLst>
        </c:ser>
        <c:ser>
          <c:idx val="3"/>
          <c:order val="3"/>
          <c:tx>
            <c:strRef>
              <c:f>'Resume Graph'!$P$2</c:f>
              <c:strCache>
                <c:ptCount val="1"/>
                <c:pt idx="0">
                  <c:v>18000</c:v>
                </c:pt>
              </c:strCache>
            </c:strRef>
          </c:tx>
          <c:spPr>
            <a:solidFill>
              <a:srgbClr val="9B23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Graph'!$AB$4:$AB$9</c:f>
                <c:numCache>
                  <c:formatCode>General</c:formatCode>
                  <c:ptCount val="6"/>
                  <c:pt idx="0">
                    <c:v>4.157402419467382E-4</c:v>
                  </c:pt>
                  <c:pt idx="1">
                    <c:v>3.793317001504759E-4</c:v>
                  </c:pt>
                  <c:pt idx="2">
                    <c:v>0</c:v>
                  </c:pt>
                  <c:pt idx="3">
                    <c:v>2.9126857075079116E-4</c:v>
                  </c:pt>
                  <c:pt idx="4">
                    <c:v>3.3015975846484302E-4</c:v>
                  </c:pt>
                  <c:pt idx="5">
                    <c:v>3.8296877151455799E-4</c:v>
                  </c:pt>
                </c:numCache>
              </c:numRef>
            </c:plus>
            <c:minus>
              <c:numRef>
                <c:f>'Resume Graph'!$V$4:$V$9</c:f>
                <c:numCache>
                  <c:formatCode>General</c:formatCode>
                  <c:ptCount val="6"/>
                  <c:pt idx="0">
                    <c:v>4.157402419467382E-4</c:v>
                  </c:pt>
                  <c:pt idx="1">
                    <c:v>3.793317001504759E-4</c:v>
                  </c:pt>
                  <c:pt idx="2">
                    <c:v>0</c:v>
                  </c:pt>
                  <c:pt idx="3">
                    <c:v>2.9126857075079116E-4</c:v>
                  </c:pt>
                  <c:pt idx="4">
                    <c:v>3.3015975846484302E-4</c:v>
                  </c:pt>
                  <c:pt idx="5">
                    <c:v>3.8296877151455799E-4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Graph'!$P$4:$P$9</c:f>
              <c:numCache>
                <c:formatCode>0,000%</c:formatCode>
                <c:ptCount val="6"/>
                <c:pt idx="0">
                  <c:v>0.1645777777777778</c:v>
                </c:pt>
                <c:pt idx="1">
                  <c:v>0.66413333333333324</c:v>
                </c:pt>
                <c:pt idx="2">
                  <c:v>0.72211111111111115</c:v>
                </c:pt>
                <c:pt idx="3">
                  <c:v>0.82889111111111125</c:v>
                </c:pt>
                <c:pt idx="4">
                  <c:v>0.82919555555555557</c:v>
                </c:pt>
                <c:pt idx="5">
                  <c:v>0.80316777777777792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45-4151-A091-EDF918271FC6}"/>
            </c:ext>
          </c:extLst>
        </c:ser>
        <c:ser>
          <c:idx val="4"/>
          <c:order val="4"/>
          <c:tx>
            <c:strRef>
              <c:f>'Resume Graph'!$Q$2</c:f>
              <c:strCache>
                <c:ptCount val="1"/>
                <c:pt idx="0">
                  <c:v>20000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Graph'!$AC$4:$AC$9</c:f>
                <c:numCache>
                  <c:formatCode>General</c:formatCode>
                  <c:ptCount val="6"/>
                  <c:pt idx="0">
                    <c:v>3.9678880040897035E-4</c:v>
                  </c:pt>
                  <c:pt idx="1">
                    <c:v>3.2992425022504435E-4</c:v>
                  </c:pt>
                  <c:pt idx="2">
                    <c:v>0</c:v>
                  </c:pt>
                  <c:pt idx="3">
                    <c:v>2.8004406504722468E-4</c:v>
                  </c:pt>
                  <c:pt idx="4">
                    <c:v>3.8543719761652273E-4</c:v>
                  </c:pt>
                  <c:pt idx="5">
                    <c:v>2.8501867814190174E-4</c:v>
                  </c:pt>
                </c:numCache>
              </c:numRef>
            </c:plus>
            <c:minus>
              <c:numRef>
                <c:f>'Resume Graph'!$W$4:$W$9</c:f>
                <c:numCache>
                  <c:formatCode>General</c:formatCode>
                  <c:ptCount val="6"/>
                  <c:pt idx="0">
                    <c:v>3.9678880040897035E-4</c:v>
                  </c:pt>
                  <c:pt idx="1">
                    <c:v>3.2992425022504435E-4</c:v>
                  </c:pt>
                  <c:pt idx="2">
                    <c:v>0</c:v>
                  </c:pt>
                  <c:pt idx="3">
                    <c:v>2.8004406504722468E-4</c:v>
                  </c:pt>
                  <c:pt idx="4">
                    <c:v>3.8543719761652273E-4</c:v>
                  </c:pt>
                  <c:pt idx="5">
                    <c:v>2.8501867814190174E-4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Graph'!$Q$4:$Q$9</c:f>
              <c:numCache>
                <c:formatCode>0,000%</c:formatCode>
                <c:ptCount val="6"/>
                <c:pt idx="0">
                  <c:v>0.15027699999999997</c:v>
                </c:pt>
                <c:pt idx="1">
                  <c:v>0.59749200000000002</c:v>
                </c:pt>
                <c:pt idx="2">
                  <c:v>0.63890000000000002</c:v>
                </c:pt>
                <c:pt idx="3">
                  <c:v>0.77625899999999992</c:v>
                </c:pt>
                <c:pt idx="4">
                  <c:v>0.77618700000000018</c:v>
                </c:pt>
                <c:pt idx="5">
                  <c:v>0.75088200000000027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45-4151-A091-EDF918271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941529583"/>
        <c:axId val="941536303"/>
      </c:barChart>
      <c:lineChart>
        <c:grouping val="standard"/>
        <c:varyColors val="0"/>
        <c:ser>
          <c:idx val="5"/>
          <c:order val="5"/>
          <c:tx>
            <c:v>ILP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Graph'!$AK$4:$AK$9</c:f>
              <c:numCache>
                <c:formatCode>0,000%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45-4151-A091-EDF918271FC6}"/>
            </c:ext>
          </c:extLst>
        </c:ser>
        <c:ser>
          <c:idx val="6"/>
          <c:order val="6"/>
          <c:tx>
            <c:v>ILP_2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Graph'!$AL$4:$AL$9</c:f>
              <c:numCache>
                <c:formatCode>0,000%</c:formatCode>
                <c:ptCount val="6"/>
                <c:pt idx="0">
                  <c:v>0.99328571428571433</c:v>
                </c:pt>
                <c:pt idx="1">
                  <c:v>0.99328571428571433</c:v>
                </c:pt>
                <c:pt idx="2">
                  <c:v>0.99328571428571433</c:v>
                </c:pt>
                <c:pt idx="3">
                  <c:v>0.99328571428571433</c:v>
                </c:pt>
                <c:pt idx="4">
                  <c:v>0.99328571428571433</c:v>
                </c:pt>
                <c:pt idx="5">
                  <c:v>0.99328571428571433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45-4151-A091-EDF918271FC6}"/>
            </c:ext>
          </c:extLst>
        </c:ser>
        <c:ser>
          <c:idx val="7"/>
          <c:order val="7"/>
          <c:tx>
            <c:v>ILP_3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Graph'!$AM$4:$AM$9</c:f>
              <c:numCache>
                <c:formatCode>0,000%</c:formatCode>
                <c:ptCount val="6"/>
                <c:pt idx="0">
                  <c:v>0.92918750000000006</c:v>
                </c:pt>
                <c:pt idx="1">
                  <c:v>0.92918750000000006</c:v>
                </c:pt>
                <c:pt idx="2">
                  <c:v>0.92918750000000006</c:v>
                </c:pt>
                <c:pt idx="3">
                  <c:v>0.92918750000000006</c:v>
                </c:pt>
                <c:pt idx="4">
                  <c:v>0.92918750000000006</c:v>
                </c:pt>
                <c:pt idx="5">
                  <c:v>0.92918750000000006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45-4151-A091-EDF918271FC6}"/>
            </c:ext>
          </c:extLst>
        </c:ser>
        <c:ser>
          <c:idx val="8"/>
          <c:order val="8"/>
          <c:tx>
            <c:v>ILP_4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Graph'!$AN$4:$AN$9</c:f>
              <c:numCache>
                <c:formatCode>0,000%</c:formatCode>
                <c:ptCount val="6"/>
                <c:pt idx="0">
                  <c:v>0.86355555555555552</c:v>
                </c:pt>
                <c:pt idx="1">
                  <c:v>0.86355555555555552</c:v>
                </c:pt>
                <c:pt idx="2">
                  <c:v>0.86355555555555552</c:v>
                </c:pt>
                <c:pt idx="3">
                  <c:v>0.86355555555555552</c:v>
                </c:pt>
                <c:pt idx="4">
                  <c:v>0.86355555555555552</c:v>
                </c:pt>
                <c:pt idx="5">
                  <c:v>0.86355555555555552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45-4151-A091-EDF918271FC6}"/>
            </c:ext>
          </c:extLst>
        </c:ser>
        <c:ser>
          <c:idx val="9"/>
          <c:order val="9"/>
          <c:tx>
            <c:v>ILP_5</c:v>
          </c:tx>
          <c:spPr>
            <a:ln w="12700" cap="rnd" cmpd="sng" algn="ctr">
              <a:solidFill>
                <a:srgbClr val="7030A0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Graph'!$AO$4:$AO$9</c:f>
              <c:numCache>
                <c:formatCode>0,000%</c:formatCode>
                <c:ptCount val="6"/>
                <c:pt idx="0">
                  <c:v>0.82520000000000004</c:v>
                </c:pt>
                <c:pt idx="1">
                  <c:v>0.82520000000000004</c:v>
                </c:pt>
                <c:pt idx="2">
                  <c:v>0.82520000000000004</c:v>
                </c:pt>
                <c:pt idx="3">
                  <c:v>0.82520000000000004</c:v>
                </c:pt>
                <c:pt idx="4">
                  <c:v>0.82520000000000004</c:v>
                </c:pt>
                <c:pt idx="5">
                  <c:v>0.82520000000000004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245-4151-A091-EDF918271FC6}"/>
            </c:ext>
          </c:extLst>
        </c:ser>
        <c:ser>
          <c:idx val="10"/>
          <c:order val="10"/>
          <c:tx>
            <c:v>GR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Graph'!$AE$4:$AE$9</c:f>
              <c:numCache>
                <c:formatCode>0,000%</c:formatCode>
                <c:ptCount val="6"/>
                <c:pt idx="0">
                  <c:v>0.23299833333333328</c:v>
                </c:pt>
                <c:pt idx="1">
                  <c:v>0.23299833333333328</c:v>
                </c:pt>
                <c:pt idx="2">
                  <c:v>0.23299833333333328</c:v>
                </c:pt>
                <c:pt idx="3">
                  <c:v>0.23299833333333328</c:v>
                </c:pt>
                <c:pt idx="4">
                  <c:v>0.23299833333333328</c:v>
                </c:pt>
                <c:pt idx="5">
                  <c:v>0.23299833333333328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245-4151-A091-EDF918271FC6}"/>
            </c:ext>
          </c:extLst>
        </c:ser>
        <c:ser>
          <c:idx val="11"/>
          <c:order val="11"/>
          <c:tx>
            <c:v>GR_2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Graph'!$AF$4:$AF$9</c:f>
              <c:numCache>
                <c:formatCode>0,000%</c:formatCode>
                <c:ptCount val="6"/>
                <c:pt idx="0">
                  <c:v>0.20402571428571428</c:v>
                </c:pt>
                <c:pt idx="1">
                  <c:v>0.20402571428571428</c:v>
                </c:pt>
                <c:pt idx="2">
                  <c:v>0.20402571428571428</c:v>
                </c:pt>
                <c:pt idx="3">
                  <c:v>0.20402571428571428</c:v>
                </c:pt>
                <c:pt idx="4">
                  <c:v>0.20402571428571428</c:v>
                </c:pt>
                <c:pt idx="5">
                  <c:v>0.20402571428571428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245-4151-A091-EDF918271FC6}"/>
            </c:ext>
          </c:extLst>
        </c:ser>
        <c:ser>
          <c:idx val="12"/>
          <c:order val="12"/>
          <c:tx>
            <c:v>GR_3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Graph'!$AG$4:$AG$9</c:f>
              <c:numCache>
                <c:formatCode>0,000%</c:formatCode>
                <c:ptCount val="6"/>
                <c:pt idx="0">
                  <c:v>0.18474999999999997</c:v>
                </c:pt>
                <c:pt idx="1">
                  <c:v>0.18474999999999997</c:v>
                </c:pt>
                <c:pt idx="2">
                  <c:v>0.18474999999999997</c:v>
                </c:pt>
                <c:pt idx="3">
                  <c:v>0.18474999999999997</c:v>
                </c:pt>
                <c:pt idx="4">
                  <c:v>0.18474999999999997</c:v>
                </c:pt>
                <c:pt idx="5">
                  <c:v>0.18474999999999997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245-4151-A091-EDF918271FC6}"/>
            </c:ext>
          </c:extLst>
        </c:ser>
        <c:ser>
          <c:idx val="13"/>
          <c:order val="13"/>
          <c:tx>
            <c:v>GR_4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Graph'!$AH$4:$AH$9</c:f>
              <c:numCache>
                <c:formatCode>0,000%</c:formatCode>
                <c:ptCount val="6"/>
                <c:pt idx="0">
                  <c:v>0.1645777777777778</c:v>
                </c:pt>
                <c:pt idx="1">
                  <c:v>0.1645777777777778</c:v>
                </c:pt>
                <c:pt idx="2">
                  <c:v>0.1645777777777778</c:v>
                </c:pt>
                <c:pt idx="3">
                  <c:v>0.1645777777777778</c:v>
                </c:pt>
                <c:pt idx="4">
                  <c:v>0.1645777777777778</c:v>
                </c:pt>
                <c:pt idx="5">
                  <c:v>0.1645777777777778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245-4151-A091-EDF918271FC6}"/>
            </c:ext>
          </c:extLst>
        </c:ser>
        <c:ser>
          <c:idx val="14"/>
          <c:order val="14"/>
          <c:tx>
            <c:v>GR_5</c:v>
          </c:tx>
          <c:spPr>
            <a:ln w="12700" cap="rnd" cmpd="sng" algn="ctr">
              <a:solidFill>
                <a:srgbClr val="7030A0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Graph'!$AI$4:$AI$9</c:f>
              <c:numCache>
                <c:formatCode>0,000%</c:formatCode>
                <c:ptCount val="6"/>
                <c:pt idx="0">
                  <c:v>0.15027699999999997</c:v>
                </c:pt>
                <c:pt idx="1">
                  <c:v>0.15027699999999997</c:v>
                </c:pt>
                <c:pt idx="2">
                  <c:v>0.15027699999999997</c:v>
                </c:pt>
                <c:pt idx="3">
                  <c:v>0.15027699999999997</c:v>
                </c:pt>
                <c:pt idx="4">
                  <c:v>0.15027699999999997</c:v>
                </c:pt>
                <c:pt idx="5">
                  <c:v>0.15027699999999997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245-4151-A091-EDF918271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541103"/>
        <c:axId val="941533423"/>
      </c:lineChart>
      <c:catAx>
        <c:axId val="94152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41536303"/>
        <c:crosses val="min"/>
        <c:auto val="1"/>
        <c:lblAlgn val="ctr"/>
        <c:lblOffset val="100"/>
        <c:noMultiLvlLbl val="0"/>
      </c:catAx>
      <c:valAx>
        <c:axId val="941536303"/>
        <c:scaling>
          <c:orientation val="minMax"/>
          <c:max val="1.0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00" b="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pt-BR"/>
                  <a:t>Taxa de Aceitação (%)</a:t>
                </a:r>
              </a:p>
            </c:rich>
          </c:tx>
          <c:layout>
            <c:manualLayout>
              <c:xMode val="edge"/>
              <c:yMode val="edge"/>
              <c:x val="0"/>
              <c:y val="5.5057659982017906E-2"/>
            </c:manualLayout>
          </c:layout>
          <c:overlay val="0"/>
        </c:title>
        <c:numFmt formatCode="0%" sourceLinked="0"/>
        <c:majorTickMark val="cross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1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41529583"/>
        <c:crosses val="autoZero"/>
        <c:crossBetween val="between"/>
        <c:majorUnit val="0.1"/>
      </c:valAx>
      <c:valAx>
        <c:axId val="941533423"/>
        <c:scaling>
          <c:orientation val="minMax"/>
        </c:scaling>
        <c:delete val="1"/>
        <c:axPos val="r"/>
        <c:numFmt formatCode="0,000%" sourceLinked="1"/>
        <c:majorTickMark val="out"/>
        <c:minorTickMark val="none"/>
        <c:tickLblPos val="nextTo"/>
        <c:crossAx val="941541103"/>
        <c:crosses val="max"/>
        <c:crossBetween val="midCat"/>
      </c:valAx>
      <c:catAx>
        <c:axId val="941541103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941533423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"/>
          <c:y val="0.94232985418865567"/>
          <c:w val="1"/>
          <c:h val="5.7670145811344359E-2"/>
        </c:manualLayout>
      </c:layout>
      <c:overlay val="0"/>
      <c:txPr>
        <a:bodyPr/>
        <a:lstStyle/>
        <a:p>
          <a:pPr>
            <a:defRPr sz="1100">
              <a:latin typeface="Times New Roman"/>
              <a:ea typeface="Times New Roman"/>
              <a:cs typeface="Times New Roman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64185185185185"/>
          <c:y val="5.4785714285714299E-2"/>
          <c:w val="0.85056357467629884"/>
          <c:h val="0.705440718842383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'Resume Graph'!$M$41</c:f>
              <c:strCache>
                <c:ptCount val="1"/>
                <c:pt idx="0">
                  <c:v>12000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Graph'!$Y$43:$Y$48</c:f>
                <c:numCache>
                  <c:formatCode>General</c:formatCode>
                  <c:ptCount val="6"/>
                  <c:pt idx="0">
                    <c:v>4.61014303715059E-6</c:v>
                  </c:pt>
                  <c:pt idx="1">
                    <c:v>1.6985805135559854E-5</c:v>
                  </c:pt>
                  <c:pt idx="2">
                    <c:v>0</c:v>
                  </c:pt>
                  <c:pt idx="3">
                    <c:v>1.2806713172556008E-4</c:v>
                  </c:pt>
                  <c:pt idx="4">
                    <c:v>1.6191687138995478E-4</c:v>
                  </c:pt>
                  <c:pt idx="5">
                    <c:v>5.7163125684884034E-4</c:v>
                  </c:pt>
                </c:numCache>
              </c:numRef>
            </c:plus>
            <c:minus>
              <c:numRef>
                <c:f>'Resume Graph'!$S$43:$S$48</c:f>
                <c:numCache>
                  <c:formatCode>General</c:formatCode>
                  <c:ptCount val="6"/>
                  <c:pt idx="0">
                    <c:v>4.61014303715059E-6</c:v>
                  </c:pt>
                  <c:pt idx="1">
                    <c:v>1.6985805135559854E-5</c:v>
                  </c:pt>
                  <c:pt idx="2">
                    <c:v>0</c:v>
                  </c:pt>
                  <c:pt idx="3">
                    <c:v>1.2806713172556008E-4</c:v>
                  </c:pt>
                  <c:pt idx="4">
                    <c:v>1.6191687138995478E-4</c:v>
                  </c:pt>
                  <c:pt idx="5">
                    <c:v>5.7163125684884034E-4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Graph'!$M$43:$M$48</c:f>
              <c:numCache>
                <c:formatCode>General</c:formatCode>
                <c:ptCount val="6"/>
                <c:pt idx="0">
                  <c:v>2.6259475999999994E-4</c:v>
                </c:pt>
                <c:pt idx="1">
                  <c:v>8.7941886000000001E-4</c:v>
                </c:pt>
                <c:pt idx="2">
                  <c:v>1.0328809E-2</c:v>
                </c:pt>
                <c:pt idx="3">
                  <c:v>1.4422178859999997E-2</c:v>
                </c:pt>
                <c:pt idx="4">
                  <c:v>1.1815234460000004E-2</c:v>
                </c:pt>
                <c:pt idx="5">
                  <c:v>2.6481127679999997E-2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0-41E2-A614-B89C0F7CDDA4}"/>
            </c:ext>
          </c:extLst>
        </c:ser>
        <c:ser>
          <c:idx val="1"/>
          <c:order val="1"/>
          <c:tx>
            <c:strRef>
              <c:f>'Resume Graph'!$N$41</c:f>
              <c:strCache>
                <c:ptCount val="1"/>
                <c:pt idx="0">
                  <c:v>14000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Graph'!$Z$43:$Z$48</c:f>
                <c:numCache>
                  <c:formatCode>General</c:formatCode>
                  <c:ptCount val="6"/>
                  <c:pt idx="0">
                    <c:v>4.8320092716518299E-6</c:v>
                  </c:pt>
                  <c:pt idx="1">
                    <c:v>8.9672093958342467E-6</c:v>
                  </c:pt>
                  <c:pt idx="2">
                    <c:v>0</c:v>
                  </c:pt>
                  <c:pt idx="3">
                    <c:v>1.5027829983229879E-3</c:v>
                  </c:pt>
                  <c:pt idx="4">
                    <c:v>0.11788772503202319</c:v>
                  </c:pt>
                  <c:pt idx="5">
                    <c:v>8.5748693549485971E-4</c:v>
                  </c:pt>
                </c:numCache>
              </c:numRef>
            </c:plus>
            <c:minus>
              <c:numRef>
                <c:f>'Resume Graph'!$T$43:$T$48</c:f>
                <c:numCache>
                  <c:formatCode>General</c:formatCode>
                  <c:ptCount val="6"/>
                  <c:pt idx="0">
                    <c:v>4.8320092716518299E-6</c:v>
                  </c:pt>
                  <c:pt idx="1">
                    <c:v>8.9672093958342467E-6</c:v>
                  </c:pt>
                  <c:pt idx="2">
                    <c:v>0</c:v>
                  </c:pt>
                  <c:pt idx="3">
                    <c:v>1.5027829983229879E-3</c:v>
                  </c:pt>
                  <c:pt idx="4">
                    <c:v>0.11788772503202317</c:v>
                  </c:pt>
                  <c:pt idx="5">
                    <c:v>8.5748693549485971E-4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Graph'!$N$43:$N$48</c:f>
              <c:numCache>
                <c:formatCode>General</c:formatCode>
                <c:ptCount val="6"/>
                <c:pt idx="0">
                  <c:v>2.8507099999999991E-4</c:v>
                </c:pt>
                <c:pt idx="1">
                  <c:v>8.9806171999999974E-4</c:v>
                </c:pt>
                <c:pt idx="2">
                  <c:v>1.1523316E-2</c:v>
                </c:pt>
                <c:pt idx="3">
                  <c:v>0.12701005606000002</c:v>
                </c:pt>
                <c:pt idx="4">
                  <c:v>0.18486613263999999</c:v>
                </c:pt>
                <c:pt idx="5">
                  <c:v>4.4140204500000009E-2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0-41E2-A614-B89C0F7CDDA4}"/>
            </c:ext>
          </c:extLst>
        </c:ser>
        <c:ser>
          <c:idx val="2"/>
          <c:order val="2"/>
          <c:tx>
            <c:strRef>
              <c:f>'Resume Graph'!$O$41</c:f>
              <c:strCache>
                <c:ptCount val="1"/>
                <c:pt idx="0">
                  <c:v>16000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Graph'!$AA$43:$AA$48</c:f>
                <c:numCache>
                  <c:formatCode>General</c:formatCode>
                  <c:ptCount val="6"/>
                  <c:pt idx="0">
                    <c:v>3.1665326727001414E-6</c:v>
                  </c:pt>
                  <c:pt idx="1">
                    <c:v>6.2011344026087836E-6</c:v>
                  </c:pt>
                  <c:pt idx="2">
                    <c:v>0</c:v>
                  </c:pt>
                  <c:pt idx="3">
                    <c:v>1.7668156431452919E-3</c:v>
                  </c:pt>
                  <c:pt idx="4">
                    <c:v>2.0344019007111358E-3</c:v>
                  </c:pt>
                  <c:pt idx="5">
                    <c:v>7.0636712990336525E-4</c:v>
                  </c:pt>
                </c:numCache>
              </c:numRef>
            </c:plus>
            <c:minus>
              <c:numRef>
                <c:f>'Resume Graph'!$U$43:$U$48</c:f>
                <c:numCache>
                  <c:formatCode>General</c:formatCode>
                  <c:ptCount val="6"/>
                  <c:pt idx="0">
                    <c:v>3.1665326727001414E-6</c:v>
                  </c:pt>
                  <c:pt idx="1">
                    <c:v>6.2011344026087836E-6</c:v>
                  </c:pt>
                  <c:pt idx="2">
                    <c:v>0</c:v>
                  </c:pt>
                  <c:pt idx="3">
                    <c:v>1.7668156431452919E-3</c:v>
                  </c:pt>
                  <c:pt idx="4">
                    <c:v>2.0344019007111358E-3</c:v>
                  </c:pt>
                  <c:pt idx="5">
                    <c:v>7.0636712990336525E-4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Graph'!$O$43:$O$48</c:f>
              <c:numCache>
                <c:formatCode>General</c:formatCode>
                <c:ptCount val="6"/>
                <c:pt idx="0">
                  <c:v>3.0819274000000002E-4</c:v>
                </c:pt>
                <c:pt idx="1">
                  <c:v>9.3532613999999976E-4</c:v>
                </c:pt>
                <c:pt idx="2">
                  <c:v>1.5095737E-2</c:v>
                </c:pt>
                <c:pt idx="3">
                  <c:v>0.26486634385999996</c:v>
                </c:pt>
                <c:pt idx="4">
                  <c:v>0.26254204687999999</c:v>
                </c:pt>
                <c:pt idx="5">
                  <c:v>6.0259759980000008E-2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0-41E2-A614-B89C0F7CDDA4}"/>
            </c:ext>
          </c:extLst>
        </c:ser>
        <c:ser>
          <c:idx val="3"/>
          <c:order val="3"/>
          <c:tx>
            <c:strRef>
              <c:f>'Resume Graph'!$P$41</c:f>
              <c:strCache>
                <c:ptCount val="1"/>
                <c:pt idx="0">
                  <c:v>18000</c:v>
                </c:pt>
              </c:strCache>
            </c:strRef>
          </c:tx>
          <c:spPr>
            <a:solidFill>
              <a:srgbClr val="9B23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Graph'!$AB$43:$AB$48</c:f>
                <c:numCache>
                  <c:formatCode>General</c:formatCode>
                  <c:ptCount val="6"/>
                  <c:pt idx="0">
                    <c:v>3.6826220997636535E-6</c:v>
                  </c:pt>
                  <c:pt idx="1">
                    <c:v>9.0714277523706692E-6</c:v>
                  </c:pt>
                  <c:pt idx="2">
                    <c:v>0</c:v>
                  </c:pt>
                  <c:pt idx="3">
                    <c:v>2.9826278241492088E-3</c:v>
                  </c:pt>
                  <c:pt idx="4">
                    <c:v>0.11764490011093814</c:v>
                  </c:pt>
                  <c:pt idx="5">
                    <c:v>1.3948976732436613E-3</c:v>
                  </c:pt>
                </c:numCache>
              </c:numRef>
            </c:plus>
            <c:minus>
              <c:numRef>
                <c:f>'Resume Graph'!$V$43:$V$48</c:f>
                <c:numCache>
                  <c:formatCode>General</c:formatCode>
                  <c:ptCount val="6"/>
                  <c:pt idx="0">
                    <c:v>3.6826220997636535E-6</c:v>
                  </c:pt>
                  <c:pt idx="1">
                    <c:v>9.0714277523706692E-6</c:v>
                  </c:pt>
                  <c:pt idx="2">
                    <c:v>0</c:v>
                  </c:pt>
                  <c:pt idx="3">
                    <c:v>2.9826278241492088E-3</c:v>
                  </c:pt>
                  <c:pt idx="4">
                    <c:v>0.1176449001109382</c:v>
                  </c:pt>
                  <c:pt idx="5">
                    <c:v>1.3948976732436613E-3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Graph'!$P$43:$P$48</c:f>
              <c:numCache>
                <c:formatCode>General</c:formatCode>
                <c:ptCount val="6"/>
                <c:pt idx="0">
                  <c:v>3.2911139999999996E-4</c:v>
                </c:pt>
                <c:pt idx="1">
                  <c:v>9.6847839999999975E-4</c:v>
                </c:pt>
                <c:pt idx="2">
                  <c:v>1.3893559E-2</c:v>
                </c:pt>
                <c:pt idx="3">
                  <c:v>0.42487687310000005</c:v>
                </c:pt>
                <c:pt idx="4">
                  <c:v>0.47402019070000007</c:v>
                </c:pt>
                <c:pt idx="5">
                  <c:v>8.1735643699999971E-2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E0-41E2-A614-B89C0F7CDDA4}"/>
            </c:ext>
          </c:extLst>
        </c:ser>
        <c:ser>
          <c:idx val="4"/>
          <c:order val="4"/>
          <c:tx>
            <c:strRef>
              <c:f>'Resume Graph'!$Q$41</c:f>
              <c:strCache>
                <c:ptCount val="1"/>
                <c:pt idx="0">
                  <c:v>20000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Graph'!$AC$43:$AC$48</c:f>
                <c:numCache>
                  <c:formatCode>General</c:formatCode>
                  <c:ptCount val="6"/>
                  <c:pt idx="0">
                    <c:v>7.7702068616663481E-6</c:v>
                  </c:pt>
                  <c:pt idx="1">
                    <c:v>2.3778768024566811E-5</c:v>
                  </c:pt>
                  <c:pt idx="2">
                    <c:v>0</c:v>
                  </c:pt>
                  <c:pt idx="3">
                    <c:v>5.7517638506030533E-3</c:v>
                  </c:pt>
                  <c:pt idx="4">
                    <c:v>0.11811822490384694</c:v>
                  </c:pt>
                  <c:pt idx="5">
                    <c:v>1.5557376512500415E-3</c:v>
                  </c:pt>
                </c:numCache>
              </c:numRef>
            </c:plus>
            <c:minus>
              <c:numRef>
                <c:f>'Resume Graph'!$W$43:$W$48</c:f>
                <c:numCache>
                  <c:formatCode>General</c:formatCode>
                  <c:ptCount val="6"/>
                  <c:pt idx="0">
                    <c:v>7.7702068616663481E-6</c:v>
                  </c:pt>
                  <c:pt idx="1">
                    <c:v>2.3778768024566811E-5</c:v>
                  </c:pt>
                  <c:pt idx="2">
                    <c:v>0</c:v>
                  </c:pt>
                  <c:pt idx="3">
                    <c:v>5.7517638506030533E-3</c:v>
                  </c:pt>
                  <c:pt idx="4">
                    <c:v>0.11811822490384688</c:v>
                  </c:pt>
                  <c:pt idx="5">
                    <c:v>1.5557376512500415E-3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Graph'!$Q$43:$Q$48</c:f>
              <c:numCache>
                <c:formatCode>General</c:formatCode>
                <c:ptCount val="6"/>
                <c:pt idx="0">
                  <c:v>3.6474121999999996E-4</c:v>
                </c:pt>
                <c:pt idx="1">
                  <c:v>1.0390595599999999E-3</c:v>
                </c:pt>
                <c:pt idx="2">
                  <c:v>1.8628309999999999E-2</c:v>
                </c:pt>
                <c:pt idx="3">
                  <c:v>0.53910295436</c:v>
                </c:pt>
                <c:pt idx="4">
                  <c:v>0.59055713170000002</c:v>
                </c:pt>
                <c:pt idx="5">
                  <c:v>8.523751907999999E-2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E0-41E2-A614-B89C0F7CD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941544943"/>
        <c:axId val="941528623"/>
      </c:barChart>
      <c:lineChart>
        <c:grouping val="standard"/>
        <c:varyColors val="0"/>
        <c:ser>
          <c:idx val="5"/>
          <c:order val="5"/>
          <c:tx>
            <c:v>ILP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Graph'!$AK$43:$AK$48</c:f>
              <c:numCache>
                <c:formatCode>General</c:formatCode>
                <c:ptCount val="6"/>
                <c:pt idx="0">
                  <c:v>1204.496572664</c:v>
                </c:pt>
                <c:pt idx="1">
                  <c:v>1204.496572664</c:v>
                </c:pt>
                <c:pt idx="2">
                  <c:v>1204.496572664</c:v>
                </c:pt>
                <c:pt idx="3">
                  <c:v>1204.496572664</c:v>
                </c:pt>
                <c:pt idx="4">
                  <c:v>1204.496572664</c:v>
                </c:pt>
                <c:pt idx="5">
                  <c:v>1204.496572664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0-41E2-A614-B89C0F7CDDA4}"/>
            </c:ext>
          </c:extLst>
        </c:ser>
        <c:ser>
          <c:idx val="6"/>
          <c:order val="6"/>
          <c:tx>
            <c:v>ILP_2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Graph'!$AL$43:$AL$48</c:f>
              <c:numCache>
                <c:formatCode>General</c:formatCode>
                <c:ptCount val="6"/>
                <c:pt idx="0">
                  <c:v>3603.2720461459999</c:v>
                </c:pt>
                <c:pt idx="1">
                  <c:v>3603.2720461459999</c:v>
                </c:pt>
                <c:pt idx="2">
                  <c:v>3603.2720461459999</c:v>
                </c:pt>
                <c:pt idx="3">
                  <c:v>3603.2720461459999</c:v>
                </c:pt>
                <c:pt idx="4">
                  <c:v>3603.2720461459999</c:v>
                </c:pt>
                <c:pt idx="5">
                  <c:v>3603.2720461459999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0-41E2-A614-B89C0F7CDDA4}"/>
            </c:ext>
          </c:extLst>
        </c:ser>
        <c:ser>
          <c:idx val="7"/>
          <c:order val="7"/>
          <c:tx>
            <c:v>ILP_3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Graph'!$AM$43:$AM$48</c:f>
              <c:numCache>
                <c:formatCode>General</c:formatCode>
                <c:ptCount val="6"/>
                <c:pt idx="0">
                  <c:v>3601.9673100230002</c:v>
                </c:pt>
                <c:pt idx="1">
                  <c:v>3601.9673100230002</c:v>
                </c:pt>
                <c:pt idx="2">
                  <c:v>3601.9673100230002</c:v>
                </c:pt>
                <c:pt idx="3">
                  <c:v>3601.9673100230002</c:v>
                </c:pt>
                <c:pt idx="4">
                  <c:v>3601.9673100230002</c:v>
                </c:pt>
                <c:pt idx="5">
                  <c:v>3601.9673100230002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4E0-41E2-A614-B89C0F7CDDA4}"/>
            </c:ext>
          </c:extLst>
        </c:ser>
        <c:ser>
          <c:idx val="8"/>
          <c:order val="8"/>
          <c:tx>
            <c:v>ILP_4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Graph'!$AN$43:$AN$48</c:f>
              <c:numCache>
                <c:formatCode>General</c:formatCode>
                <c:ptCount val="6"/>
                <c:pt idx="0">
                  <c:v>3603.5849273949998</c:v>
                </c:pt>
                <c:pt idx="1">
                  <c:v>3603.5849273949998</c:v>
                </c:pt>
                <c:pt idx="2">
                  <c:v>3603.5849273949998</c:v>
                </c:pt>
                <c:pt idx="3">
                  <c:v>3603.5849273949998</c:v>
                </c:pt>
                <c:pt idx="4">
                  <c:v>3603.5849273949998</c:v>
                </c:pt>
                <c:pt idx="5">
                  <c:v>3603.5849273949998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4E0-41E2-A614-B89C0F7CDDA4}"/>
            </c:ext>
          </c:extLst>
        </c:ser>
        <c:ser>
          <c:idx val="9"/>
          <c:order val="9"/>
          <c:tx>
            <c:v>ILP_5</c:v>
          </c:tx>
          <c:spPr>
            <a:ln w="12700" cap="rnd" cmpd="sng" algn="ctr">
              <a:solidFill>
                <a:srgbClr val="7030A0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Graph'!$AO$43:$AO$48</c:f>
              <c:numCache>
                <c:formatCode>General</c:formatCode>
                <c:ptCount val="6"/>
                <c:pt idx="0">
                  <c:v>3605.4832893190001</c:v>
                </c:pt>
                <c:pt idx="1">
                  <c:v>3605.4832893190001</c:v>
                </c:pt>
                <c:pt idx="2">
                  <c:v>3605.4832893190001</c:v>
                </c:pt>
                <c:pt idx="3">
                  <c:v>3605.4832893190001</c:v>
                </c:pt>
                <c:pt idx="4">
                  <c:v>3605.4832893190001</c:v>
                </c:pt>
                <c:pt idx="5">
                  <c:v>3605.4832893190001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4E0-41E2-A614-B89C0F7CDDA4}"/>
            </c:ext>
          </c:extLst>
        </c:ser>
        <c:ser>
          <c:idx val="10"/>
          <c:order val="10"/>
          <c:tx>
            <c:v>GR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Graph'!$AE$43:$AE$48</c:f>
              <c:numCache>
                <c:formatCode>General</c:formatCode>
                <c:ptCount val="6"/>
                <c:pt idx="0">
                  <c:v>2.6259475999999994E-4</c:v>
                </c:pt>
                <c:pt idx="1">
                  <c:v>2.6259475999999994E-4</c:v>
                </c:pt>
                <c:pt idx="2">
                  <c:v>2.6259475999999994E-4</c:v>
                </c:pt>
                <c:pt idx="3">
                  <c:v>2.6259475999999994E-4</c:v>
                </c:pt>
                <c:pt idx="4">
                  <c:v>2.6259475999999994E-4</c:v>
                </c:pt>
                <c:pt idx="5">
                  <c:v>2.6259475999999994E-4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4E0-41E2-A614-B89C0F7CDDA4}"/>
            </c:ext>
          </c:extLst>
        </c:ser>
        <c:ser>
          <c:idx val="11"/>
          <c:order val="11"/>
          <c:tx>
            <c:v>GR_2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Graph'!$AF$43:$AF$48</c:f>
              <c:numCache>
                <c:formatCode>General</c:formatCode>
                <c:ptCount val="6"/>
                <c:pt idx="0">
                  <c:v>2.8507099999999991E-4</c:v>
                </c:pt>
                <c:pt idx="1">
                  <c:v>2.8507099999999991E-4</c:v>
                </c:pt>
                <c:pt idx="2">
                  <c:v>2.8507099999999991E-4</c:v>
                </c:pt>
                <c:pt idx="3">
                  <c:v>2.8507099999999991E-4</c:v>
                </c:pt>
                <c:pt idx="4">
                  <c:v>2.8507099999999991E-4</c:v>
                </c:pt>
                <c:pt idx="5">
                  <c:v>2.8507099999999991E-4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4E0-41E2-A614-B89C0F7CDDA4}"/>
            </c:ext>
          </c:extLst>
        </c:ser>
        <c:ser>
          <c:idx val="12"/>
          <c:order val="12"/>
          <c:tx>
            <c:v>GR_3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Graph'!$AG$43:$AG$48</c:f>
              <c:numCache>
                <c:formatCode>General</c:formatCode>
                <c:ptCount val="6"/>
                <c:pt idx="0">
                  <c:v>3.0819274000000002E-4</c:v>
                </c:pt>
                <c:pt idx="1">
                  <c:v>3.0819274000000002E-4</c:v>
                </c:pt>
                <c:pt idx="2">
                  <c:v>3.0819274000000002E-4</c:v>
                </c:pt>
                <c:pt idx="3">
                  <c:v>3.0819274000000002E-4</c:v>
                </c:pt>
                <c:pt idx="4">
                  <c:v>3.0819274000000002E-4</c:v>
                </c:pt>
                <c:pt idx="5">
                  <c:v>3.0819274000000002E-4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4E0-41E2-A614-B89C0F7CDDA4}"/>
            </c:ext>
          </c:extLst>
        </c:ser>
        <c:ser>
          <c:idx val="13"/>
          <c:order val="13"/>
          <c:tx>
            <c:v>GR_4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Graph'!$AH$43:$AH$48</c:f>
              <c:numCache>
                <c:formatCode>General</c:formatCode>
                <c:ptCount val="6"/>
                <c:pt idx="0">
                  <c:v>3.2911139999999996E-4</c:v>
                </c:pt>
                <c:pt idx="1">
                  <c:v>3.2911139999999996E-4</c:v>
                </c:pt>
                <c:pt idx="2">
                  <c:v>3.2911139999999996E-4</c:v>
                </c:pt>
                <c:pt idx="3">
                  <c:v>3.2911139999999996E-4</c:v>
                </c:pt>
                <c:pt idx="4">
                  <c:v>3.2911139999999996E-4</c:v>
                </c:pt>
                <c:pt idx="5">
                  <c:v>3.2911139999999996E-4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4E0-41E2-A614-B89C0F7CDDA4}"/>
            </c:ext>
          </c:extLst>
        </c:ser>
        <c:ser>
          <c:idx val="14"/>
          <c:order val="14"/>
          <c:tx>
            <c:v>GR_5</c:v>
          </c:tx>
          <c:spPr>
            <a:ln w="12700" cap="rnd" cmpd="sng" algn="ctr">
              <a:solidFill>
                <a:srgbClr val="7030A0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Graph'!$AI$43:$AI$48</c:f>
              <c:numCache>
                <c:formatCode>General</c:formatCode>
                <c:ptCount val="6"/>
                <c:pt idx="0">
                  <c:v>3.6474121999999996E-4</c:v>
                </c:pt>
                <c:pt idx="1">
                  <c:v>3.6474121999999996E-4</c:v>
                </c:pt>
                <c:pt idx="2">
                  <c:v>3.6474121999999996E-4</c:v>
                </c:pt>
                <c:pt idx="3">
                  <c:v>3.6474121999999996E-4</c:v>
                </c:pt>
                <c:pt idx="4">
                  <c:v>3.6474121999999996E-4</c:v>
                </c:pt>
                <c:pt idx="5">
                  <c:v>3.6474121999999996E-4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4E0-41E2-A614-B89C0F7CDDA4}"/>
            </c:ext>
          </c:extLst>
        </c:ser>
        <c:ser>
          <c:idx val="15"/>
          <c:order val="15"/>
          <c:tx>
            <c:v>1 segundo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cat>
            <c:strRef>
              <c:f>'Resume Graph'!$L$43:$L$48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Graph'!$AQ$43:$AQ$48</c:f>
              <c:numCache>
                <c:formatCode>0.0000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4E0-41E2-A614-B89C0F7CD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549263"/>
        <c:axId val="941547823"/>
      </c:lineChart>
      <c:catAx>
        <c:axId val="941544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41528623"/>
        <c:crosses val="min"/>
        <c:auto val="1"/>
        <c:lblAlgn val="ctr"/>
        <c:lblOffset val="100"/>
        <c:noMultiLvlLbl val="0"/>
      </c:catAx>
      <c:valAx>
        <c:axId val="941528623"/>
        <c:scaling>
          <c:logBase val="10"/>
          <c:orientation val="minMax"/>
          <c:max val="10000"/>
          <c:min val="1E-8"/>
        </c:scaling>
        <c:delete val="0"/>
        <c:axPos val="l"/>
        <c:title>
          <c:tx>
            <c:rich>
              <a:bodyPr/>
              <a:lstStyle/>
              <a:p>
                <a:pPr>
                  <a:defRPr sz="1300" b="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pt-BR"/>
                  <a:t>Tempo de Execução (s)</a:t>
                </a:r>
              </a:p>
            </c:rich>
          </c:tx>
          <c:layout>
            <c:manualLayout>
              <c:xMode val="edge"/>
              <c:yMode val="edge"/>
              <c:x val="0"/>
              <c:y val="5.4785669830402985E-2"/>
            </c:manualLayout>
          </c:layout>
          <c:overlay val="0"/>
        </c:title>
        <c:numFmt formatCode="0E+0" sourceLinked="0"/>
        <c:majorTickMark val="cross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1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41544943"/>
        <c:crosses val="autoZero"/>
        <c:crossBetween val="between"/>
        <c:majorUnit val="10"/>
      </c:valAx>
      <c:valAx>
        <c:axId val="941547823"/>
        <c:scaling>
          <c:logBase val="10"/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41549263"/>
        <c:crosses val="max"/>
        <c:crossBetween val="midCat"/>
      </c:valAx>
      <c:catAx>
        <c:axId val="941549263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941547823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2.0659196934738858E-3"/>
          <c:y val="0.86855648047300449"/>
          <c:w val="0.99793403651302881"/>
          <c:h val="0.12679365079365079"/>
        </c:manualLayout>
      </c:layout>
      <c:overlay val="0"/>
      <c:txPr>
        <a:bodyPr/>
        <a:lstStyle/>
        <a:p>
          <a:pPr>
            <a:defRPr sz="1100">
              <a:latin typeface="Times New Roman"/>
              <a:ea typeface="Times New Roman"/>
              <a:cs typeface="Times New Roman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92228864218618"/>
          <c:y val="5.5126080021918454E-2"/>
          <c:w val="0.8292831721559305"/>
          <c:h val="0.758289186571034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'Resume Graph'!$M$80</c:f>
              <c:strCache>
                <c:ptCount val="1"/>
                <c:pt idx="0">
                  <c:v>12000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Graph'!$Y$82:$Y$87</c:f>
                <c:numCache>
                  <c:formatCode>General</c:formatCode>
                  <c:ptCount val="6"/>
                  <c:pt idx="0">
                    <c:v>27.073414202546701</c:v>
                  </c:pt>
                  <c:pt idx="1">
                    <c:v>22.136136563963589</c:v>
                  </c:pt>
                  <c:pt idx="2">
                    <c:v>0</c:v>
                  </c:pt>
                  <c:pt idx="3">
                    <c:v>0.47339914692746854</c:v>
                  </c:pt>
                  <c:pt idx="4">
                    <c:v>0.32056097051628607</c:v>
                  </c:pt>
                  <c:pt idx="5">
                    <c:v>13.662151845188248</c:v>
                  </c:pt>
                </c:numCache>
              </c:numRef>
            </c:plus>
            <c:minus>
              <c:numRef>
                <c:f>'Resume Graph'!$S$82:$S$87</c:f>
                <c:numCache>
                  <c:formatCode>General</c:formatCode>
                  <c:ptCount val="6"/>
                  <c:pt idx="0">
                    <c:v>27.073414202546701</c:v>
                  </c:pt>
                  <c:pt idx="1">
                    <c:v>22.136136563963589</c:v>
                  </c:pt>
                  <c:pt idx="2">
                    <c:v>0</c:v>
                  </c:pt>
                  <c:pt idx="3">
                    <c:v>0.47339914692746848</c:v>
                  </c:pt>
                  <c:pt idx="4">
                    <c:v>0.32056097051628607</c:v>
                  </c:pt>
                  <c:pt idx="5">
                    <c:v>13.662151845188248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Graph'!$M$82:$M$87</c:f>
              <c:numCache>
                <c:formatCode>General</c:formatCode>
                <c:ptCount val="6"/>
                <c:pt idx="0">
                  <c:v>39858.902781875593</c:v>
                </c:pt>
                <c:pt idx="1">
                  <c:v>492.47938593414614</c:v>
                </c:pt>
                <c:pt idx="2">
                  <c:v>1048.2895412406001</c:v>
                </c:pt>
                <c:pt idx="3">
                  <c:v>0.61102934060800007</c:v>
                </c:pt>
                <c:pt idx="4">
                  <c:v>0.211249326382</c:v>
                </c:pt>
                <c:pt idx="5">
                  <c:v>404.54699381124408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4B-40AF-B3E4-5A11BFC6269A}"/>
            </c:ext>
          </c:extLst>
        </c:ser>
        <c:ser>
          <c:idx val="1"/>
          <c:order val="1"/>
          <c:tx>
            <c:strRef>
              <c:f>'Resume Graph'!$N$80</c:f>
              <c:strCache>
                <c:ptCount val="1"/>
                <c:pt idx="0">
                  <c:v>14000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Graph'!$Z$82:$Z$87</c:f>
                <c:numCache>
                  <c:formatCode>General</c:formatCode>
                  <c:ptCount val="6"/>
                  <c:pt idx="0">
                    <c:v>18.884845461274381</c:v>
                  </c:pt>
                  <c:pt idx="1">
                    <c:v>24.615662534917647</c:v>
                  </c:pt>
                  <c:pt idx="2">
                    <c:v>0</c:v>
                  </c:pt>
                  <c:pt idx="3">
                    <c:v>16.455363048095933</c:v>
                  </c:pt>
                  <c:pt idx="4">
                    <c:v>17.616955118387523</c:v>
                  </c:pt>
                  <c:pt idx="5">
                    <c:v>15.182848122290125</c:v>
                  </c:pt>
                </c:numCache>
              </c:numRef>
            </c:plus>
            <c:minus>
              <c:numRef>
                <c:f>'Resume Graph'!$T$82:$T$87</c:f>
                <c:numCache>
                  <c:formatCode>General</c:formatCode>
                  <c:ptCount val="6"/>
                  <c:pt idx="0">
                    <c:v>18.884845461274381</c:v>
                  </c:pt>
                  <c:pt idx="1">
                    <c:v>24.615662534917647</c:v>
                  </c:pt>
                  <c:pt idx="2">
                    <c:v>0</c:v>
                  </c:pt>
                  <c:pt idx="3">
                    <c:v>16.455363048095933</c:v>
                  </c:pt>
                  <c:pt idx="4">
                    <c:v>17.616955118387523</c:v>
                  </c:pt>
                  <c:pt idx="5">
                    <c:v>15.182848122290125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Graph'!$N$82:$N$87</c:f>
              <c:numCache>
                <c:formatCode>General</c:formatCode>
                <c:ptCount val="6"/>
                <c:pt idx="0">
                  <c:v>48282.775071805314</c:v>
                </c:pt>
                <c:pt idx="1">
                  <c:v>8841.4020808416553</c:v>
                </c:pt>
                <c:pt idx="2">
                  <c:v>5858.1903113335002</c:v>
                </c:pt>
                <c:pt idx="3">
                  <c:v>3184.7048283594868</c:v>
                </c:pt>
                <c:pt idx="4">
                  <c:v>3149.7629554949126</c:v>
                </c:pt>
                <c:pt idx="5">
                  <c:v>4253.2922918513241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4B-40AF-B3E4-5A11BFC6269A}"/>
            </c:ext>
          </c:extLst>
        </c:ser>
        <c:ser>
          <c:idx val="2"/>
          <c:order val="2"/>
          <c:tx>
            <c:strRef>
              <c:f>'Resume Graph'!$O$80</c:f>
              <c:strCache>
                <c:ptCount val="1"/>
                <c:pt idx="0">
                  <c:v>16000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Graph'!$AA$82:$AA$87</c:f>
                <c:numCache>
                  <c:formatCode>General</c:formatCode>
                  <c:ptCount val="6"/>
                  <c:pt idx="0">
                    <c:v>25.414261426274606</c:v>
                  </c:pt>
                  <c:pt idx="1">
                    <c:v>23.111011763316128</c:v>
                  </c:pt>
                  <c:pt idx="2">
                    <c:v>0</c:v>
                  </c:pt>
                  <c:pt idx="3">
                    <c:v>22.884034477500791</c:v>
                  </c:pt>
                  <c:pt idx="4">
                    <c:v>20.02991043916154</c:v>
                  </c:pt>
                  <c:pt idx="5">
                    <c:v>18.161823444661422</c:v>
                  </c:pt>
                </c:numCache>
              </c:numRef>
            </c:plus>
            <c:minus>
              <c:numRef>
                <c:f>'Resume Graph'!$U$82:$U$87</c:f>
                <c:numCache>
                  <c:formatCode>General</c:formatCode>
                  <c:ptCount val="6"/>
                  <c:pt idx="0">
                    <c:v>25.414261426274606</c:v>
                  </c:pt>
                  <c:pt idx="1">
                    <c:v>23.111011763316128</c:v>
                  </c:pt>
                  <c:pt idx="2">
                    <c:v>0</c:v>
                  </c:pt>
                  <c:pt idx="3">
                    <c:v>22.884034477500791</c:v>
                  </c:pt>
                  <c:pt idx="4">
                    <c:v>20.02991043916154</c:v>
                  </c:pt>
                  <c:pt idx="5">
                    <c:v>18.161823444661422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Graph'!$O$82:$O$87</c:f>
              <c:numCache>
                <c:formatCode>General</c:formatCode>
                <c:ptCount val="6"/>
                <c:pt idx="0">
                  <c:v>54130.979884014319</c:v>
                </c:pt>
                <c:pt idx="1">
                  <c:v>16250.405514026317</c:v>
                </c:pt>
                <c:pt idx="2">
                  <c:v>10624.105220630299</c:v>
                </c:pt>
                <c:pt idx="3">
                  <c:v>7492.7809106985214</c:v>
                </c:pt>
                <c:pt idx="4">
                  <c:v>7498.4861471551712</c:v>
                </c:pt>
                <c:pt idx="5">
                  <c:v>8431.4555449131767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4B-40AF-B3E4-5A11BFC6269A}"/>
            </c:ext>
          </c:extLst>
        </c:ser>
        <c:ser>
          <c:idx val="3"/>
          <c:order val="3"/>
          <c:tx>
            <c:strRef>
              <c:f>'Resume Graph'!$P$80</c:f>
              <c:strCache>
                <c:ptCount val="1"/>
                <c:pt idx="0">
                  <c:v>18000</c:v>
                </c:pt>
              </c:strCache>
            </c:strRef>
          </c:tx>
          <c:spPr>
            <a:solidFill>
              <a:srgbClr val="9B23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Graph'!$AB$82:$AB$87</c:f>
                <c:numCache>
                  <c:formatCode>General</c:formatCode>
                  <c:ptCount val="6"/>
                  <c:pt idx="0">
                    <c:v>25.102537489576207</c:v>
                  </c:pt>
                  <c:pt idx="1">
                    <c:v>25.469610682896018</c:v>
                  </c:pt>
                  <c:pt idx="2">
                    <c:v>0</c:v>
                  </c:pt>
                  <c:pt idx="3">
                    <c:v>19.242358370407601</c:v>
                  </c:pt>
                  <c:pt idx="4">
                    <c:v>22.892508003678813</c:v>
                  </c:pt>
                  <c:pt idx="5">
                    <c:v>32.637196383120681</c:v>
                  </c:pt>
                </c:numCache>
              </c:numRef>
            </c:plus>
            <c:minus>
              <c:numRef>
                <c:f>'Resume Graph'!$V$82:$V$87</c:f>
                <c:numCache>
                  <c:formatCode>General</c:formatCode>
                  <c:ptCount val="6"/>
                  <c:pt idx="0">
                    <c:v>25.102537489576207</c:v>
                  </c:pt>
                  <c:pt idx="1">
                    <c:v>25.469610682896018</c:v>
                  </c:pt>
                  <c:pt idx="2">
                    <c:v>0</c:v>
                  </c:pt>
                  <c:pt idx="3">
                    <c:v>19.242358370407601</c:v>
                  </c:pt>
                  <c:pt idx="4">
                    <c:v>22.892508003678813</c:v>
                  </c:pt>
                  <c:pt idx="5">
                    <c:v>32.637196383120681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Graph'!$P$82:$P$87</c:f>
              <c:numCache>
                <c:formatCode>General</c:formatCode>
                <c:ptCount val="6"/>
                <c:pt idx="0">
                  <c:v>64624.72523370471</c:v>
                </c:pt>
                <c:pt idx="1">
                  <c:v>25667.090207195248</c:v>
                </c:pt>
                <c:pt idx="2">
                  <c:v>17799.256490757401</c:v>
                </c:pt>
                <c:pt idx="3">
                  <c:v>12086.299090744677</c:v>
                </c:pt>
                <c:pt idx="4">
                  <c:v>12053.196906937101</c:v>
                </c:pt>
                <c:pt idx="5">
                  <c:v>14149.534686152208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4B-40AF-B3E4-5A11BFC6269A}"/>
            </c:ext>
          </c:extLst>
        </c:ser>
        <c:ser>
          <c:idx val="4"/>
          <c:order val="4"/>
          <c:tx>
            <c:strRef>
              <c:f>'Resume Graph'!$Q$80</c:f>
              <c:strCache>
                <c:ptCount val="1"/>
                <c:pt idx="0">
                  <c:v>20000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Graph'!$AC$82:$AC$87</c:f>
                <c:numCache>
                  <c:formatCode>General</c:formatCode>
                  <c:ptCount val="6"/>
                  <c:pt idx="0">
                    <c:v>23.785421471795416</c:v>
                  </c:pt>
                  <c:pt idx="1">
                    <c:v>23.199831084973994</c:v>
                  </c:pt>
                  <c:pt idx="2">
                    <c:v>0</c:v>
                  </c:pt>
                  <c:pt idx="3">
                    <c:v>24.093424171671359</c:v>
                  </c:pt>
                  <c:pt idx="4">
                    <c:v>24.392326056258753</c:v>
                  </c:pt>
                  <c:pt idx="5">
                    <c:v>24.625331536200974</c:v>
                  </c:pt>
                </c:numCache>
              </c:numRef>
            </c:plus>
            <c:minus>
              <c:numRef>
                <c:f>'Resume Graph'!$W$82:$W$87</c:f>
                <c:numCache>
                  <c:formatCode>General</c:formatCode>
                  <c:ptCount val="6"/>
                  <c:pt idx="0">
                    <c:v>23.785421471795416</c:v>
                  </c:pt>
                  <c:pt idx="1">
                    <c:v>23.199831084973994</c:v>
                  </c:pt>
                  <c:pt idx="2">
                    <c:v>0</c:v>
                  </c:pt>
                  <c:pt idx="3">
                    <c:v>24.093424171671359</c:v>
                  </c:pt>
                  <c:pt idx="4">
                    <c:v>24.392326056258753</c:v>
                  </c:pt>
                  <c:pt idx="5">
                    <c:v>24.625331536200974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Graph'!$Q$82:$Q$87</c:f>
              <c:numCache>
                <c:formatCode>General</c:formatCode>
                <c:ptCount val="6"/>
                <c:pt idx="0">
                  <c:v>71418.544925751383</c:v>
                </c:pt>
                <c:pt idx="1">
                  <c:v>33262.170166717668</c:v>
                </c:pt>
                <c:pt idx="2">
                  <c:v>23739.431401846101</c:v>
                </c:pt>
                <c:pt idx="3">
                  <c:v>18438.149173935672</c:v>
                </c:pt>
                <c:pt idx="4">
                  <c:v>18440.723326723786</c:v>
                </c:pt>
                <c:pt idx="5">
                  <c:v>19915.236385458487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4B-40AF-B3E4-5A11BFC62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941551183"/>
        <c:axId val="941552143"/>
      </c:barChart>
      <c:lineChart>
        <c:grouping val="standard"/>
        <c:varyColors val="0"/>
        <c:ser>
          <c:idx val="5"/>
          <c:order val="5"/>
          <c:tx>
            <c:v>ILP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Graph'!$AK$82:$AK$87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4B-40AF-B3E4-5A11BFC6269A}"/>
            </c:ext>
          </c:extLst>
        </c:ser>
        <c:ser>
          <c:idx val="6"/>
          <c:order val="6"/>
          <c:tx>
            <c:v>ILP_2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Graph'!$AL$82:$AL$87</c:f>
              <c:numCache>
                <c:formatCode>General</c:formatCode>
                <c:ptCount val="6"/>
                <c:pt idx="0">
                  <c:v>407.53782481299999</c:v>
                </c:pt>
                <c:pt idx="1">
                  <c:v>407.53782481299999</c:v>
                </c:pt>
                <c:pt idx="2">
                  <c:v>407.53782481299999</c:v>
                </c:pt>
                <c:pt idx="3">
                  <c:v>407.53782481299999</c:v>
                </c:pt>
                <c:pt idx="4">
                  <c:v>407.53782481299999</c:v>
                </c:pt>
                <c:pt idx="5">
                  <c:v>407.53782481299999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94B-40AF-B3E4-5A11BFC6269A}"/>
            </c:ext>
          </c:extLst>
        </c:ser>
        <c:ser>
          <c:idx val="7"/>
          <c:order val="7"/>
          <c:tx>
            <c:v>ILP_3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Graph'!$AM$82:$AM$87</c:f>
              <c:numCache>
                <c:formatCode>General</c:formatCode>
                <c:ptCount val="6"/>
                <c:pt idx="0">
                  <c:v>4019.3023708763999</c:v>
                </c:pt>
                <c:pt idx="1">
                  <c:v>4019.3023708763999</c:v>
                </c:pt>
                <c:pt idx="2">
                  <c:v>4019.3023708763999</c:v>
                </c:pt>
                <c:pt idx="3">
                  <c:v>4019.3023708763999</c:v>
                </c:pt>
                <c:pt idx="4">
                  <c:v>4019.3023708763999</c:v>
                </c:pt>
                <c:pt idx="5">
                  <c:v>4019.3023708763999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4B-40AF-B3E4-5A11BFC6269A}"/>
            </c:ext>
          </c:extLst>
        </c:ser>
        <c:ser>
          <c:idx val="8"/>
          <c:order val="8"/>
          <c:tx>
            <c:v>ILP_4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Graph'!$AN$82:$AN$87</c:f>
              <c:numCache>
                <c:formatCode>General</c:formatCode>
                <c:ptCount val="6"/>
                <c:pt idx="0">
                  <c:v>7346.8658976622</c:v>
                </c:pt>
                <c:pt idx="1">
                  <c:v>7346.8658976622</c:v>
                </c:pt>
                <c:pt idx="2">
                  <c:v>7346.8658976622</c:v>
                </c:pt>
                <c:pt idx="3">
                  <c:v>7346.8658976622</c:v>
                </c:pt>
                <c:pt idx="4">
                  <c:v>7346.8658976622</c:v>
                </c:pt>
                <c:pt idx="5">
                  <c:v>7346.8658976622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94B-40AF-B3E4-5A11BFC6269A}"/>
            </c:ext>
          </c:extLst>
        </c:ser>
        <c:ser>
          <c:idx val="9"/>
          <c:order val="9"/>
          <c:tx>
            <c:v>ILP_5</c:v>
          </c:tx>
          <c:spPr>
            <a:ln w="12700" cap="rnd" cmpd="sng" algn="ctr">
              <a:solidFill>
                <a:srgbClr val="7030A0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Graph'!$AO$82:$AO$87</c:f>
              <c:numCache>
                <c:formatCode>General</c:formatCode>
                <c:ptCount val="6"/>
                <c:pt idx="0">
                  <c:v>12848.004609625999</c:v>
                </c:pt>
                <c:pt idx="1">
                  <c:v>12848.004609625999</c:v>
                </c:pt>
                <c:pt idx="2">
                  <c:v>12848.004609625999</c:v>
                </c:pt>
                <c:pt idx="3">
                  <c:v>12848.004609625999</c:v>
                </c:pt>
                <c:pt idx="4">
                  <c:v>12848.004609625999</c:v>
                </c:pt>
                <c:pt idx="5">
                  <c:v>12848.004609625999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94B-40AF-B3E4-5A11BFC6269A}"/>
            </c:ext>
          </c:extLst>
        </c:ser>
        <c:ser>
          <c:idx val="10"/>
          <c:order val="10"/>
          <c:tx>
            <c:v>GR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Graph'!$AE$82:$AE$87</c:f>
              <c:numCache>
                <c:formatCode>General</c:formatCode>
                <c:ptCount val="6"/>
                <c:pt idx="0">
                  <c:v>39858.902781875593</c:v>
                </c:pt>
                <c:pt idx="1">
                  <c:v>39858.902781875593</c:v>
                </c:pt>
                <c:pt idx="2">
                  <c:v>39858.902781875593</c:v>
                </c:pt>
                <c:pt idx="3">
                  <c:v>39858.902781875593</c:v>
                </c:pt>
                <c:pt idx="4">
                  <c:v>39858.902781875593</c:v>
                </c:pt>
                <c:pt idx="5">
                  <c:v>39858.902781875593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94B-40AF-B3E4-5A11BFC6269A}"/>
            </c:ext>
          </c:extLst>
        </c:ser>
        <c:ser>
          <c:idx val="11"/>
          <c:order val="11"/>
          <c:tx>
            <c:v>GR_2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Graph'!$AF$82:$AF$87</c:f>
              <c:numCache>
                <c:formatCode>General</c:formatCode>
                <c:ptCount val="6"/>
                <c:pt idx="0">
                  <c:v>48282.775071805314</c:v>
                </c:pt>
                <c:pt idx="1">
                  <c:v>48282.775071805314</c:v>
                </c:pt>
                <c:pt idx="2">
                  <c:v>48282.775071805314</c:v>
                </c:pt>
                <c:pt idx="3">
                  <c:v>48282.775071805314</c:v>
                </c:pt>
                <c:pt idx="4">
                  <c:v>48282.775071805314</c:v>
                </c:pt>
                <c:pt idx="5">
                  <c:v>48282.775071805314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94B-40AF-B3E4-5A11BFC6269A}"/>
            </c:ext>
          </c:extLst>
        </c:ser>
        <c:ser>
          <c:idx val="12"/>
          <c:order val="12"/>
          <c:tx>
            <c:v>GR_3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Graph'!$AG$82:$AG$87</c:f>
              <c:numCache>
                <c:formatCode>General</c:formatCode>
                <c:ptCount val="6"/>
                <c:pt idx="0">
                  <c:v>54130.979884014319</c:v>
                </c:pt>
                <c:pt idx="1">
                  <c:v>54130.979884014319</c:v>
                </c:pt>
                <c:pt idx="2">
                  <c:v>54130.979884014319</c:v>
                </c:pt>
                <c:pt idx="3">
                  <c:v>54130.979884014319</c:v>
                </c:pt>
                <c:pt idx="4">
                  <c:v>54130.979884014319</c:v>
                </c:pt>
                <c:pt idx="5">
                  <c:v>54130.979884014319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94B-40AF-B3E4-5A11BFC6269A}"/>
            </c:ext>
          </c:extLst>
        </c:ser>
        <c:ser>
          <c:idx val="13"/>
          <c:order val="13"/>
          <c:tx>
            <c:v>GR_4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Graph'!$AH$82:$AH$87</c:f>
              <c:numCache>
                <c:formatCode>General</c:formatCode>
                <c:ptCount val="6"/>
                <c:pt idx="0">
                  <c:v>64624.72523370471</c:v>
                </c:pt>
                <c:pt idx="1">
                  <c:v>64624.72523370471</c:v>
                </c:pt>
                <c:pt idx="2">
                  <c:v>64624.72523370471</c:v>
                </c:pt>
                <c:pt idx="3">
                  <c:v>64624.72523370471</c:v>
                </c:pt>
                <c:pt idx="4">
                  <c:v>64624.72523370471</c:v>
                </c:pt>
                <c:pt idx="5">
                  <c:v>64624.72523370471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94B-40AF-B3E4-5A11BFC6269A}"/>
            </c:ext>
          </c:extLst>
        </c:ser>
        <c:ser>
          <c:idx val="14"/>
          <c:order val="14"/>
          <c:tx>
            <c:v>GR_5</c:v>
          </c:tx>
          <c:spPr>
            <a:ln w="12700">
              <a:solidFill>
                <a:srgbClr val="7030A0">
                  <a:alpha val="75000"/>
                </a:srgbClr>
              </a:solidFill>
              <a:prstDash val="sysDash"/>
            </a:ln>
          </c:spPr>
          <c:marker>
            <c:symbol val="none"/>
          </c:marker>
          <c:val>
            <c:numRef>
              <c:f>'Resume Graph'!$AI$82:$AI$87</c:f>
              <c:numCache>
                <c:formatCode>General</c:formatCode>
                <c:ptCount val="6"/>
                <c:pt idx="0">
                  <c:v>71418.544925751383</c:v>
                </c:pt>
                <c:pt idx="1">
                  <c:v>71418.544925751383</c:v>
                </c:pt>
                <c:pt idx="2">
                  <c:v>71418.544925751383</c:v>
                </c:pt>
                <c:pt idx="3">
                  <c:v>71418.544925751383</c:v>
                </c:pt>
                <c:pt idx="4">
                  <c:v>71418.544925751383</c:v>
                </c:pt>
                <c:pt idx="5">
                  <c:v>71418.544925751383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94B-40AF-B3E4-5A11BFC62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574223"/>
        <c:axId val="941565583"/>
      </c:lineChart>
      <c:catAx>
        <c:axId val="941551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41552143"/>
        <c:crosses val="autoZero"/>
        <c:auto val="1"/>
        <c:lblAlgn val="ctr"/>
        <c:lblOffset val="100"/>
        <c:noMultiLvlLbl val="0"/>
      </c:catAx>
      <c:valAx>
        <c:axId val="941552143"/>
        <c:scaling>
          <c:orientation val="minMax"/>
          <c:max val="75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00" b="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pt-BR"/>
                  <a:t>Custo Total ($)</a:t>
                </a:r>
              </a:p>
            </c:rich>
          </c:tx>
          <c:layout>
            <c:manualLayout>
              <c:xMode val="edge"/>
              <c:yMode val="edge"/>
              <c:x val="0"/>
              <c:y val="0.15022711038484496"/>
            </c:manualLayout>
          </c:layout>
          <c:overlay val="0"/>
        </c:title>
        <c:numFmt formatCode="0" sourceLinked="0"/>
        <c:majorTickMark val="cross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1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41551183"/>
        <c:crosses val="autoZero"/>
        <c:crossBetween val="between"/>
        <c:majorUnit val="5000"/>
      </c:valAx>
      <c:valAx>
        <c:axId val="94156558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41574223"/>
        <c:crosses val="max"/>
        <c:crossBetween val="midCat"/>
      </c:valAx>
      <c:catAx>
        <c:axId val="941574223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941565583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"/>
          <c:y val="0.94275788822412787"/>
          <c:w val="1"/>
          <c:h val="5.724211177587208E-2"/>
        </c:manualLayout>
      </c:layout>
      <c:overlay val="0"/>
      <c:txPr>
        <a:bodyPr/>
        <a:lstStyle/>
        <a:p>
          <a:pPr>
            <a:defRPr sz="1100">
              <a:latin typeface="Times New Roman"/>
              <a:ea typeface="Times New Roman"/>
              <a:cs typeface="Times New Roman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0975925925926"/>
          <c:y val="5.5890079365079365E-2"/>
          <c:w val="0.846032037037037"/>
          <c:h val="0.775098015873015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'Resume Graph Fixed'!$M$2</c:f>
              <c:strCache>
                <c:ptCount val="1"/>
                <c:pt idx="0">
                  <c:v>12000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Fixed'!$Y$4:$Y$9</c:f>
                <c:numCache>
                  <c:formatCode>General</c:formatCode>
                  <c:ptCount val="6"/>
                  <c:pt idx="0">
                    <c:v>6.1863378164406235E-4</c:v>
                  </c:pt>
                  <c:pt idx="1">
                    <c:v>4.1065575396548315E-4</c:v>
                  </c:pt>
                  <c:pt idx="2">
                    <c:v>0</c:v>
                  </c:pt>
                  <c:pt idx="3">
                    <c:v>8.7705053702924474E-6</c:v>
                  </c:pt>
                  <c:pt idx="4">
                    <c:v>3.3492920619160316E-6</c:v>
                  </c:pt>
                  <c:pt idx="5">
                    <c:v>3.3492920619160316E-6</c:v>
                  </c:pt>
                </c:numCache>
              </c:numRef>
            </c:plus>
            <c:minus>
              <c:numRef>
                <c:f>'Resume Graph Fixed'!$S$4:$S$9</c:f>
                <c:numCache>
                  <c:formatCode>General</c:formatCode>
                  <c:ptCount val="6"/>
                  <c:pt idx="0">
                    <c:v>6.1863378164406235E-4</c:v>
                  </c:pt>
                  <c:pt idx="1">
                    <c:v>4.1065575396548315E-4</c:v>
                  </c:pt>
                  <c:pt idx="2">
                    <c:v>0</c:v>
                  </c:pt>
                  <c:pt idx="3">
                    <c:v>8.7705053702924474E-6</c:v>
                  </c:pt>
                  <c:pt idx="4">
                    <c:v>3.3492920619160316E-6</c:v>
                  </c:pt>
                  <c:pt idx="5">
                    <c:v>3.3492920619160316E-6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Fixed'!$M$4:$M$9</c:f>
              <c:numCache>
                <c:formatCode>0,000%</c:formatCode>
                <c:ptCount val="6"/>
                <c:pt idx="0">
                  <c:v>0.23283000000000001</c:v>
                </c:pt>
                <c:pt idx="1">
                  <c:v>0.99079333333333319</c:v>
                </c:pt>
                <c:pt idx="2">
                  <c:v>0.98883333333333334</c:v>
                </c:pt>
                <c:pt idx="3">
                  <c:v>0.99998666666666647</c:v>
                </c:pt>
                <c:pt idx="4">
                  <c:v>0.99999833333333332</c:v>
                </c:pt>
                <c:pt idx="5">
                  <c:v>0.99999833333333332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50-48E3-8E7A-A4546D2DD54F}"/>
            </c:ext>
          </c:extLst>
        </c:ser>
        <c:ser>
          <c:idx val="1"/>
          <c:order val="1"/>
          <c:tx>
            <c:strRef>
              <c:f>'Resume Graph Fixed'!$N$2</c:f>
              <c:strCache>
                <c:ptCount val="1"/>
                <c:pt idx="0">
                  <c:v>14000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Fixed'!$Z$4:$Z$9</c:f>
                <c:numCache>
                  <c:formatCode>General</c:formatCode>
                  <c:ptCount val="6"/>
                  <c:pt idx="0">
                    <c:v>4.9304998269375511E-4</c:v>
                  </c:pt>
                  <c:pt idx="1">
                    <c:v>4.2529470508301248E-4</c:v>
                  </c:pt>
                  <c:pt idx="2">
                    <c:v>0</c:v>
                  </c:pt>
                  <c:pt idx="3">
                    <c:v>2.6740283182691282E-4</c:v>
                  </c:pt>
                  <c:pt idx="4">
                    <c:v>2.567639516627418E-4</c:v>
                  </c:pt>
                  <c:pt idx="5">
                    <c:v>2.5672202427895474E-4</c:v>
                  </c:pt>
                </c:numCache>
              </c:numRef>
            </c:plus>
            <c:minus>
              <c:numRef>
                <c:f>'Resume Graph Fixed'!$T$4:$T$9</c:f>
                <c:numCache>
                  <c:formatCode>General</c:formatCode>
                  <c:ptCount val="6"/>
                  <c:pt idx="0">
                    <c:v>4.9304998269375511E-4</c:v>
                  </c:pt>
                  <c:pt idx="1">
                    <c:v>4.2529470508301248E-4</c:v>
                  </c:pt>
                  <c:pt idx="2">
                    <c:v>0</c:v>
                  </c:pt>
                  <c:pt idx="3">
                    <c:v>2.6740283182691282E-4</c:v>
                  </c:pt>
                  <c:pt idx="4">
                    <c:v>2.567639516627418E-4</c:v>
                  </c:pt>
                  <c:pt idx="5">
                    <c:v>2.5672202427895474E-4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Fixed'!$N$4:$N$9</c:f>
              <c:numCache>
                <c:formatCode>0,000%</c:formatCode>
                <c:ptCount val="6"/>
                <c:pt idx="0">
                  <c:v>0.20415000000000003</c:v>
                </c:pt>
                <c:pt idx="1">
                  <c:v>0.84971999999999992</c:v>
                </c:pt>
                <c:pt idx="2">
                  <c:v>0.90792857142857142</c:v>
                </c:pt>
                <c:pt idx="3">
                  <c:v>0.94924857142857144</c:v>
                </c:pt>
                <c:pt idx="4">
                  <c:v>0.94951285714285771</c:v>
                </c:pt>
                <c:pt idx="5">
                  <c:v>0.93092428571428554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50-48E3-8E7A-A4546D2DD54F}"/>
            </c:ext>
          </c:extLst>
        </c:ser>
        <c:ser>
          <c:idx val="2"/>
          <c:order val="2"/>
          <c:tx>
            <c:strRef>
              <c:f>'Resume Graph Fixed'!$O$2</c:f>
              <c:strCache>
                <c:ptCount val="1"/>
                <c:pt idx="0">
                  <c:v>16000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Fixed'!$AA$4:$AA$9</c:f>
                <c:numCache>
                  <c:formatCode>General</c:formatCode>
                  <c:ptCount val="6"/>
                  <c:pt idx="0">
                    <c:v>4.6030342194230967E-4</c:v>
                  </c:pt>
                  <c:pt idx="1">
                    <c:v>3.7597422744972686E-4</c:v>
                  </c:pt>
                  <c:pt idx="2">
                    <c:v>0</c:v>
                  </c:pt>
                  <c:pt idx="3">
                    <c:v>2.3253102523690394E-4</c:v>
                  </c:pt>
                  <c:pt idx="4">
                    <c:v>2.4946046383678144E-4</c:v>
                  </c:pt>
                  <c:pt idx="5">
                    <c:v>3.0069973762825164E-4</c:v>
                  </c:pt>
                </c:numCache>
              </c:numRef>
            </c:plus>
            <c:minus>
              <c:numRef>
                <c:f>'Resume Graph Fixed'!$U$4:$U$9</c:f>
                <c:numCache>
                  <c:formatCode>General</c:formatCode>
                  <c:ptCount val="6"/>
                  <c:pt idx="0">
                    <c:v>4.6030342194230967E-4</c:v>
                  </c:pt>
                  <c:pt idx="1">
                    <c:v>3.7597422744972686E-4</c:v>
                  </c:pt>
                  <c:pt idx="2">
                    <c:v>0</c:v>
                  </c:pt>
                  <c:pt idx="3">
                    <c:v>2.3253102523690394E-4</c:v>
                  </c:pt>
                  <c:pt idx="4">
                    <c:v>2.4946046383678144E-4</c:v>
                  </c:pt>
                  <c:pt idx="5">
                    <c:v>3.0069973762825164E-4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Fixed'!$O$4:$O$9</c:f>
              <c:numCache>
                <c:formatCode>0,000%</c:formatCode>
                <c:ptCount val="6"/>
                <c:pt idx="0">
                  <c:v>0.18505874999999999</c:v>
                </c:pt>
                <c:pt idx="1">
                  <c:v>0.75027500000000003</c:v>
                </c:pt>
                <c:pt idx="2">
                  <c:v>0.84112500000000001</c:v>
                </c:pt>
                <c:pt idx="3">
                  <c:v>0.89686999999999972</c:v>
                </c:pt>
                <c:pt idx="4">
                  <c:v>0.89706124999999981</c:v>
                </c:pt>
                <c:pt idx="5">
                  <c:v>0.87288999999999972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50-48E3-8E7A-A4546D2DD54F}"/>
            </c:ext>
          </c:extLst>
        </c:ser>
        <c:ser>
          <c:idx val="3"/>
          <c:order val="3"/>
          <c:tx>
            <c:strRef>
              <c:f>'Resume Graph Fixed'!$P$2</c:f>
              <c:strCache>
                <c:ptCount val="1"/>
                <c:pt idx="0">
                  <c:v>18000</c:v>
                </c:pt>
              </c:strCache>
            </c:strRef>
          </c:tx>
          <c:spPr>
            <a:solidFill>
              <a:srgbClr val="9B23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Fixed'!$AB$4:$AB$9</c:f>
                <c:numCache>
                  <c:formatCode>General</c:formatCode>
                  <c:ptCount val="6"/>
                  <c:pt idx="0">
                    <c:v>4.1394044228520999E-4</c:v>
                  </c:pt>
                  <c:pt idx="1">
                    <c:v>3.1900013200902855E-4</c:v>
                  </c:pt>
                  <c:pt idx="2">
                    <c:v>0</c:v>
                  </c:pt>
                  <c:pt idx="3">
                    <c:v>2.6121810041257465E-4</c:v>
                  </c:pt>
                  <c:pt idx="4">
                    <c:v>2.6678436521976323E-4</c:v>
                  </c:pt>
                  <c:pt idx="5">
                    <c:v>2.4590373467647808E-4</c:v>
                  </c:pt>
                </c:numCache>
              </c:numRef>
            </c:plus>
            <c:minus>
              <c:numRef>
                <c:f>'Resume Graph Fixed'!$V$4:$V$9</c:f>
                <c:numCache>
                  <c:formatCode>General</c:formatCode>
                  <c:ptCount val="6"/>
                  <c:pt idx="0">
                    <c:v>4.1394044228520999E-4</c:v>
                  </c:pt>
                  <c:pt idx="1">
                    <c:v>3.1900013200902855E-4</c:v>
                  </c:pt>
                  <c:pt idx="2">
                    <c:v>0</c:v>
                  </c:pt>
                  <c:pt idx="3">
                    <c:v>2.6121810041257465E-4</c:v>
                  </c:pt>
                  <c:pt idx="4">
                    <c:v>2.6678436521976323E-4</c:v>
                  </c:pt>
                  <c:pt idx="5">
                    <c:v>2.4590373467647808E-4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Fixed'!$P$4:$P$9</c:f>
              <c:numCache>
                <c:formatCode>0,000%</c:formatCode>
                <c:ptCount val="6"/>
                <c:pt idx="0">
                  <c:v>0.16452888888888889</c:v>
                </c:pt>
                <c:pt idx="1">
                  <c:v>0.66456111111111138</c:v>
                </c:pt>
                <c:pt idx="2">
                  <c:v>0.78494444444444444</c:v>
                </c:pt>
                <c:pt idx="3">
                  <c:v>0.84508222222222218</c:v>
                </c:pt>
                <c:pt idx="4">
                  <c:v>0.84514333333333314</c:v>
                </c:pt>
                <c:pt idx="5">
                  <c:v>0.82127555555555587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50-48E3-8E7A-A4546D2DD54F}"/>
            </c:ext>
          </c:extLst>
        </c:ser>
        <c:ser>
          <c:idx val="4"/>
          <c:order val="4"/>
          <c:tx>
            <c:strRef>
              <c:f>'Resume Graph Fixed'!$Q$2</c:f>
              <c:strCache>
                <c:ptCount val="1"/>
                <c:pt idx="0">
                  <c:v>20000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Fixed'!$AC$4:$AC$9</c:f>
                <c:numCache>
                  <c:formatCode>General</c:formatCode>
                  <c:ptCount val="6"/>
                  <c:pt idx="0">
                    <c:v>3.8395295905757632E-4</c:v>
                  </c:pt>
                  <c:pt idx="1">
                    <c:v>3.0494627724919621E-4</c:v>
                  </c:pt>
                  <c:pt idx="2">
                    <c:v>0</c:v>
                  </c:pt>
                  <c:pt idx="3">
                    <c:v>3.1444922149059806E-4</c:v>
                  </c:pt>
                  <c:pt idx="4">
                    <c:v>2.6855996759556078E-4</c:v>
                  </c:pt>
                  <c:pt idx="5">
                    <c:v>3.1341025647135812E-4</c:v>
                  </c:pt>
                </c:numCache>
              </c:numRef>
            </c:plus>
            <c:minus>
              <c:numRef>
                <c:f>'Resume Graph Fixed'!$W$4:$W$9</c:f>
                <c:numCache>
                  <c:formatCode>General</c:formatCode>
                  <c:ptCount val="6"/>
                  <c:pt idx="0">
                    <c:v>3.8395295905757632E-4</c:v>
                  </c:pt>
                  <c:pt idx="1">
                    <c:v>3.0494627724919621E-4</c:v>
                  </c:pt>
                  <c:pt idx="2">
                    <c:v>0</c:v>
                  </c:pt>
                  <c:pt idx="3">
                    <c:v>3.1444922149059806E-4</c:v>
                  </c:pt>
                  <c:pt idx="4">
                    <c:v>2.6855996759556078E-4</c:v>
                  </c:pt>
                  <c:pt idx="5">
                    <c:v>3.1341025647135812E-4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Fixed'!$Q$4:$Q$9</c:f>
              <c:numCache>
                <c:formatCode>0,000%</c:formatCode>
                <c:ptCount val="6"/>
                <c:pt idx="0">
                  <c:v>0.14985499999999999</c:v>
                </c:pt>
                <c:pt idx="1">
                  <c:v>0.59751500000000002</c:v>
                </c:pt>
                <c:pt idx="2">
                  <c:v>0.73714999999999997</c:v>
                </c:pt>
                <c:pt idx="3">
                  <c:v>0.7994159999999999</c:v>
                </c:pt>
                <c:pt idx="4">
                  <c:v>0.79933500000000013</c:v>
                </c:pt>
                <c:pt idx="5">
                  <c:v>0.77721100000000021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50-48E3-8E7A-A4546D2DD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905797071"/>
        <c:axId val="905792271"/>
      </c:barChart>
      <c:lineChart>
        <c:grouping val="standard"/>
        <c:varyColors val="0"/>
        <c:ser>
          <c:idx val="5"/>
          <c:order val="5"/>
          <c:tx>
            <c:v>ILP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Fixed'!$AK$4:$AK$9</c:f>
              <c:numCache>
                <c:formatCode>0,000%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D50-48E3-8E7A-A4546D2DD54F}"/>
            </c:ext>
          </c:extLst>
        </c:ser>
        <c:ser>
          <c:idx val="6"/>
          <c:order val="6"/>
          <c:tx>
            <c:v>ILP_2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Fixed'!$AL$4:$AL$9</c:f>
              <c:numCache>
                <c:formatCode>0,000%</c:formatCode>
                <c:ptCount val="6"/>
                <c:pt idx="0">
                  <c:v>0.99414285714285711</c:v>
                </c:pt>
                <c:pt idx="1">
                  <c:v>0.99414285714285711</c:v>
                </c:pt>
                <c:pt idx="2">
                  <c:v>0.99414285714285711</c:v>
                </c:pt>
                <c:pt idx="3">
                  <c:v>0.99414285714285711</c:v>
                </c:pt>
                <c:pt idx="4">
                  <c:v>0.99414285714285711</c:v>
                </c:pt>
                <c:pt idx="5">
                  <c:v>0.99414285714285711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50-48E3-8E7A-A4546D2DD54F}"/>
            </c:ext>
          </c:extLst>
        </c:ser>
        <c:ser>
          <c:idx val="7"/>
          <c:order val="7"/>
          <c:tx>
            <c:v>ILP_3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Fixed'!$AM$4:$AM$9</c:f>
              <c:numCache>
                <c:formatCode>0,000%</c:formatCode>
                <c:ptCount val="6"/>
                <c:pt idx="0">
                  <c:v>0.950125</c:v>
                </c:pt>
                <c:pt idx="1">
                  <c:v>0.950125</c:v>
                </c:pt>
                <c:pt idx="2">
                  <c:v>0.950125</c:v>
                </c:pt>
                <c:pt idx="3">
                  <c:v>0.950125</c:v>
                </c:pt>
                <c:pt idx="4">
                  <c:v>0.950125</c:v>
                </c:pt>
                <c:pt idx="5">
                  <c:v>0.950125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D50-48E3-8E7A-A4546D2DD54F}"/>
            </c:ext>
          </c:extLst>
        </c:ser>
        <c:ser>
          <c:idx val="8"/>
          <c:order val="8"/>
          <c:tx>
            <c:v>ILP_4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Fixed'!$AN$4:$AN$9</c:f>
              <c:numCache>
                <c:formatCode>0,000%</c:formatCode>
                <c:ptCount val="6"/>
                <c:pt idx="0">
                  <c:v>0.90205555555555561</c:v>
                </c:pt>
                <c:pt idx="1">
                  <c:v>0.90205555555555561</c:v>
                </c:pt>
                <c:pt idx="2">
                  <c:v>0.90205555555555561</c:v>
                </c:pt>
                <c:pt idx="3">
                  <c:v>0.90205555555555561</c:v>
                </c:pt>
                <c:pt idx="4">
                  <c:v>0.90205555555555561</c:v>
                </c:pt>
                <c:pt idx="5">
                  <c:v>0.90205555555555561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D50-48E3-8E7A-A4546D2DD54F}"/>
            </c:ext>
          </c:extLst>
        </c:ser>
        <c:ser>
          <c:idx val="9"/>
          <c:order val="9"/>
          <c:tx>
            <c:v>ILP_5</c:v>
          </c:tx>
          <c:spPr>
            <a:ln w="12700" cap="rnd" cmpd="sng" algn="ctr">
              <a:solidFill>
                <a:srgbClr val="7030A0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Fixed'!$AO$4:$AO$9</c:f>
              <c:numCache>
                <c:formatCode>0,000%</c:formatCode>
                <c:ptCount val="6"/>
                <c:pt idx="0">
                  <c:v>0.85829999999999995</c:v>
                </c:pt>
                <c:pt idx="1">
                  <c:v>0.85829999999999995</c:v>
                </c:pt>
                <c:pt idx="2">
                  <c:v>0.85829999999999995</c:v>
                </c:pt>
                <c:pt idx="3">
                  <c:v>0.85829999999999995</c:v>
                </c:pt>
                <c:pt idx="4">
                  <c:v>0.85829999999999995</c:v>
                </c:pt>
                <c:pt idx="5">
                  <c:v>0.85829999999999995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D50-48E3-8E7A-A4546D2DD54F}"/>
            </c:ext>
          </c:extLst>
        </c:ser>
        <c:ser>
          <c:idx val="10"/>
          <c:order val="10"/>
          <c:tx>
            <c:v>GR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Fixed'!$AE$4:$AE$9</c:f>
              <c:numCache>
                <c:formatCode>0,000%</c:formatCode>
                <c:ptCount val="6"/>
                <c:pt idx="0">
                  <c:v>0.23283000000000001</c:v>
                </c:pt>
                <c:pt idx="1">
                  <c:v>0.23283000000000001</c:v>
                </c:pt>
                <c:pt idx="2">
                  <c:v>0.23283000000000001</c:v>
                </c:pt>
                <c:pt idx="3">
                  <c:v>0.23283000000000001</c:v>
                </c:pt>
                <c:pt idx="4">
                  <c:v>0.23283000000000001</c:v>
                </c:pt>
                <c:pt idx="5">
                  <c:v>0.23283000000000001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D50-48E3-8E7A-A4546D2DD54F}"/>
            </c:ext>
          </c:extLst>
        </c:ser>
        <c:ser>
          <c:idx val="11"/>
          <c:order val="11"/>
          <c:tx>
            <c:v>GR_2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Fixed'!$AF$4:$AF$9</c:f>
              <c:numCache>
                <c:formatCode>0,000%</c:formatCode>
                <c:ptCount val="6"/>
                <c:pt idx="0">
                  <c:v>0.20415000000000003</c:v>
                </c:pt>
                <c:pt idx="1">
                  <c:v>0.20415000000000003</c:v>
                </c:pt>
                <c:pt idx="2">
                  <c:v>0.20415000000000003</c:v>
                </c:pt>
                <c:pt idx="3">
                  <c:v>0.20415000000000003</c:v>
                </c:pt>
                <c:pt idx="4">
                  <c:v>0.20415000000000003</c:v>
                </c:pt>
                <c:pt idx="5">
                  <c:v>0.20415000000000003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D50-48E3-8E7A-A4546D2DD54F}"/>
            </c:ext>
          </c:extLst>
        </c:ser>
        <c:ser>
          <c:idx val="12"/>
          <c:order val="12"/>
          <c:tx>
            <c:v>GR_3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Fixed'!$AG$4:$AG$9</c:f>
              <c:numCache>
                <c:formatCode>0,000%</c:formatCode>
                <c:ptCount val="6"/>
                <c:pt idx="0">
                  <c:v>0.18505874999999999</c:v>
                </c:pt>
                <c:pt idx="1">
                  <c:v>0.18505874999999999</c:v>
                </c:pt>
                <c:pt idx="2">
                  <c:v>0.18505874999999999</c:v>
                </c:pt>
                <c:pt idx="3">
                  <c:v>0.18505874999999999</c:v>
                </c:pt>
                <c:pt idx="4">
                  <c:v>0.18505874999999999</c:v>
                </c:pt>
                <c:pt idx="5">
                  <c:v>0.18505874999999999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D50-48E3-8E7A-A4546D2DD54F}"/>
            </c:ext>
          </c:extLst>
        </c:ser>
        <c:ser>
          <c:idx val="13"/>
          <c:order val="13"/>
          <c:tx>
            <c:v>GR_4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Fixed'!$AH$4:$AH$9</c:f>
              <c:numCache>
                <c:formatCode>0,000%</c:formatCode>
                <c:ptCount val="6"/>
                <c:pt idx="0">
                  <c:v>0.16452888888888889</c:v>
                </c:pt>
                <c:pt idx="1">
                  <c:v>0.16452888888888889</c:v>
                </c:pt>
                <c:pt idx="2">
                  <c:v>0.16452888888888889</c:v>
                </c:pt>
                <c:pt idx="3">
                  <c:v>0.16452888888888889</c:v>
                </c:pt>
                <c:pt idx="4">
                  <c:v>0.16452888888888889</c:v>
                </c:pt>
                <c:pt idx="5">
                  <c:v>0.16452888888888889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D50-48E3-8E7A-A4546D2DD54F}"/>
            </c:ext>
          </c:extLst>
        </c:ser>
        <c:ser>
          <c:idx val="14"/>
          <c:order val="14"/>
          <c:tx>
            <c:v>GR_5</c:v>
          </c:tx>
          <c:spPr>
            <a:ln w="12700" cap="rnd" cmpd="sng" algn="ctr">
              <a:solidFill>
                <a:srgbClr val="7030A0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Fixed'!$L$4:$L$9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Fixed'!$AI$4:$AI$9</c:f>
              <c:numCache>
                <c:formatCode>0,000%</c:formatCode>
                <c:ptCount val="6"/>
                <c:pt idx="0">
                  <c:v>0.14985499999999999</c:v>
                </c:pt>
                <c:pt idx="1">
                  <c:v>0.14985499999999999</c:v>
                </c:pt>
                <c:pt idx="2">
                  <c:v>0.14985499999999999</c:v>
                </c:pt>
                <c:pt idx="3">
                  <c:v>0.14985499999999999</c:v>
                </c:pt>
                <c:pt idx="4">
                  <c:v>0.14985499999999999</c:v>
                </c:pt>
                <c:pt idx="5">
                  <c:v>0.14985499999999999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D50-48E3-8E7A-A4546D2DD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803311"/>
        <c:axId val="905790351"/>
      </c:lineChart>
      <c:catAx>
        <c:axId val="90579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05792271"/>
        <c:crosses val="min"/>
        <c:auto val="1"/>
        <c:lblAlgn val="ctr"/>
        <c:lblOffset val="100"/>
        <c:noMultiLvlLbl val="0"/>
      </c:catAx>
      <c:valAx>
        <c:axId val="905792271"/>
        <c:scaling>
          <c:orientation val="minMax"/>
          <c:max val="1.0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00" b="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pt-BR"/>
                  <a:t>Taxa de Aceitação (%)</a:t>
                </a:r>
              </a:p>
            </c:rich>
          </c:tx>
          <c:layout>
            <c:manualLayout>
              <c:xMode val="edge"/>
              <c:yMode val="edge"/>
              <c:x val="0"/>
              <c:y val="5.5890079365079365E-2"/>
            </c:manualLayout>
          </c:layout>
          <c:overlay val="0"/>
        </c:title>
        <c:numFmt formatCode="0%" sourceLinked="0"/>
        <c:majorTickMark val="cross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1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05797071"/>
        <c:crosses val="autoZero"/>
        <c:crossBetween val="between"/>
        <c:majorUnit val="0.1"/>
      </c:valAx>
      <c:valAx>
        <c:axId val="905790351"/>
        <c:scaling>
          <c:orientation val="minMax"/>
        </c:scaling>
        <c:delete val="1"/>
        <c:axPos val="r"/>
        <c:numFmt formatCode="0,000%" sourceLinked="1"/>
        <c:majorTickMark val="out"/>
        <c:minorTickMark val="none"/>
        <c:tickLblPos val="nextTo"/>
        <c:crossAx val="905803311"/>
        <c:crosses val="max"/>
        <c:crossBetween val="midCat"/>
      </c:valAx>
      <c:catAx>
        <c:axId val="905803311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905790351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"/>
          <c:y val="0.94649761904761909"/>
          <c:w val="1"/>
          <c:h val="5.3502380952380954E-2"/>
        </c:manualLayout>
      </c:layout>
      <c:overlay val="0"/>
      <c:txPr>
        <a:bodyPr/>
        <a:lstStyle/>
        <a:p>
          <a:pPr>
            <a:defRPr sz="1100">
              <a:latin typeface="Times New Roman"/>
              <a:ea typeface="Times New Roman"/>
              <a:cs typeface="Times New Roman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00537037037038"/>
          <c:y val="5.5890079365079365E-2"/>
          <c:w val="0.85012425925925938"/>
          <c:h val="0.719661507936507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'Resume Graph Fixed'!$M$41</c:f>
              <c:strCache>
                <c:ptCount val="1"/>
                <c:pt idx="0">
                  <c:v>12000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Fixed'!$Y$43:$Y$48</c:f>
                <c:numCache>
                  <c:formatCode>General</c:formatCode>
                  <c:ptCount val="6"/>
                  <c:pt idx="0">
                    <c:v>7.6347094912220816E-6</c:v>
                  </c:pt>
                  <c:pt idx="1">
                    <c:v>3.0972098403282688E-5</c:v>
                  </c:pt>
                  <c:pt idx="2">
                    <c:v>0</c:v>
                  </c:pt>
                  <c:pt idx="3">
                    <c:v>5.6267785753072279E-4</c:v>
                  </c:pt>
                  <c:pt idx="4">
                    <c:v>4.1365869930996661E-4</c:v>
                  </c:pt>
                  <c:pt idx="5">
                    <c:v>3.7386238318310588E-4</c:v>
                  </c:pt>
                </c:numCache>
              </c:numRef>
            </c:plus>
            <c:minus>
              <c:numRef>
                <c:f>'Resume Graph Fixed'!$S$43:$S$48</c:f>
                <c:numCache>
                  <c:formatCode>General</c:formatCode>
                  <c:ptCount val="6"/>
                  <c:pt idx="0">
                    <c:v>7.6347094912220816E-6</c:v>
                  </c:pt>
                  <c:pt idx="1">
                    <c:v>3.097209840328258E-5</c:v>
                  </c:pt>
                  <c:pt idx="2">
                    <c:v>0</c:v>
                  </c:pt>
                  <c:pt idx="3">
                    <c:v>5.6267785753072279E-4</c:v>
                  </c:pt>
                  <c:pt idx="4">
                    <c:v>4.1365869930996661E-4</c:v>
                  </c:pt>
                  <c:pt idx="5">
                    <c:v>3.7386238318310588E-4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Fixed'!$M$43:$M$48</c:f>
              <c:numCache>
                <c:formatCode>General</c:formatCode>
                <c:ptCount val="6"/>
                <c:pt idx="0">
                  <c:v>2.6667266000000004E-4</c:v>
                </c:pt>
                <c:pt idx="1">
                  <c:v>9.6379844000000006E-4</c:v>
                </c:pt>
                <c:pt idx="2">
                  <c:v>1.0860850999999999E-2</c:v>
                </c:pt>
                <c:pt idx="3">
                  <c:v>1.4671271879999996E-2</c:v>
                </c:pt>
                <c:pt idx="4">
                  <c:v>1.2137088700000003E-2</c:v>
                </c:pt>
                <c:pt idx="5">
                  <c:v>2.2655430100000006E-2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15-471D-9374-D8E023E3BF12}"/>
            </c:ext>
          </c:extLst>
        </c:ser>
        <c:ser>
          <c:idx val="1"/>
          <c:order val="1"/>
          <c:tx>
            <c:strRef>
              <c:f>'Resume Graph Fixed'!$N$41</c:f>
              <c:strCache>
                <c:ptCount val="1"/>
                <c:pt idx="0">
                  <c:v>14000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Fixed'!$Z$43:$Z$48</c:f>
                <c:numCache>
                  <c:formatCode>General</c:formatCode>
                  <c:ptCount val="6"/>
                  <c:pt idx="0">
                    <c:v>9.855118039527825E-6</c:v>
                  </c:pt>
                  <c:pt idx="1">
                    <c:v>2.503021965695408E-5</c:v>
                  </c:pt>
                  <c:pt idx="2">
                    <c:v>0</c:v>
                  </c:pt>
                  <c:pt idx="3">
                    <c:v>5.8275519279653992E-4</c:v>
                  </c:pt>
                  <c:pt idx="4">
                    <c:v>3.9776962749962438E-4</c:v>
                  </c:pt>
                  <c:pt idx="5">
                    <c:v>8.2642211673254057E-4</c:v>
                  </c:pt>
                </c:numCache>
              </c:numRef>
            </c:plus>
            <c:minus>
              <c:numRef>
                <c:f>'Resume Graph Fixed'!$T$43:$T$48</c:f>
                <c:numCache>
                  <c:formatCode>General</c:formatCode>
                  <c:ptCount val="6"/>
                  <c:pt idx="0">
                    <c:v>9.855118039527825E-6</c:v>
                  </c:pt>
                  <c:pt idx="1">
                    <c:v>2.503021965695408E-5</c:v>
                  </c:pt>
                  <c:pt idx="2">
                    <c:v>0</c:v>
                  </c:pt>
                  <c:pt idx="3">
                    <c:v>5.8275519279653992E-4</c:v>
                  </c:pt>
                  <c:pt idx="4">
                    <c:v>3.9776962749962438E-4</c:v>
                  </c:pt>
                  <c:pt idx="5">
                    <c:v>8.2642211673254057E-4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Fixed'!$N$43:$N$48</c:f>
              <c:numCache>
                <c:formatCode>General</c:formatCode>
                <c:ptCount val="6"/>
                <c:pt idx="0">
                  <c:v>2.8935127999999999E-4</c:v>
                </c:pt>
                <c:pt idx="1">
                  <c:v>9.2647148000000014E-4</c:v>
                </c:pt>
                <c:pt idx="2">
                  <c:v>1.2753861999999999E-2</c:v>
                </c:pt>
                <c:pt idx="3">
                  <c:v>2.0304220380000005E-2</c:v>
                </c:pt>
                <c:pt idx="4">
                  <c:v>1.7988359740000005E-2</c:v>
                </c:pt>
                <c:pt idx="5">
                  <c:v>3.3260932040000003E-2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15-471D-9374-D8E023E3BF12}"/>
            </c:ext>
          </c:extLst>
        </c:ser>
        <c:ser>
          <c:idx val="2"/>
          <c:order val="2"/>
          <c:tx>
            <c:strRef>
              <c:f>'Resume Graph Fixed'!$O$41</c:f>
              <c:strCache>
                <c:ptCount val="1"/>
                <c:pt idx="0">
                  <c:v>16000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Fixed'!$AA$43:$AA$48</c:f>
                <c:numCache>
                  <c:formatCode>General</c:formatCode>
                  <c:ptCount val="6"/>
                  <c:pt idx="0">
                    <c:v>7.4096275832938145E-6</c:v>
                  </c:pt>
                  <c:pt idx="1">
                    <c:v>8.8570966780385403E-6</c:v>
                  </c:pt>
                  <c:pt idx="2">
                    <c:v>0</c:v>
                  </c:pt>
                  <c:pt idx="3">
                    <c:v>1.6665522709967753E-4</c:v>
                  </c:pt>
                  <c:pt idx="4">
                    <c:v>4.1114262160592274E-4</c:v>
                  </c:pt>
                  <c:pt idx="5">
                    <c:v>5.6254256381434165E-4</c:v>
                  </c:pt>
                </c:numCache>
              </c:numRef>
            </c:plus>
            <c:minus>
              <c:numRef>
                <c:f>'Resume Graph Fixed'!$U$43:$U$48</c:f>
                <c:numCache>
                  <c:formatCode>General</c:formatCode>
                  <c:ptCount val="6"/>
                  <c:pt idx="0">
                    <c:v>7.4096275832938145E-6</c:v>
                  </c:pt>
                  <c:pt idx="1">
                    <c:v>8.8570966780385403E-6</c:v>
                  </c:pt>
                  <c:pt idx="2">
                    <c:v>0</c:v>
                  </c:pt>
                  <c:pt idx="3">
                    <c:v>1.6665522709967753E-4</c:v>
                  </c:pt>
                  <c:pt idx="4">
                    <c:v>4.1114262160592274E-4</c:v>
                  </c:pt>
                  <c:pt idx="5">
                    <c:v>5.6254256381434165E-4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Fixed'!$O$43:$O$48</c:f>
              <c:numCache>
                <c:formatCode>General</c:formatCode>
                <c:ptCount val="6"/>
                <c:pt idx="0">
                  <c:v>3.1366603999999994E-4</c:v>
                </c:pt>
                <c:pt idx="1">
                  <c:v>9.6006887999999986E-4</c:v>
                </c:pt>
                <c:pt idx="2">
                  <c:v>1.4100807E-2</c:v>
                </c:pt>
                <c:pt idx="3">
                  <c:v>2.6320671679999994E-2</c:v>
                </c:pt>
                <c:pt idx="4">
                  <c:v>2.4798854659999994E-2</c:v>
                </c:pt>
                <c:pt idx="5">
                  <c:v>4.0680797379999994E-2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15-471D-9374-D8E023E3BF12}"/>
            </c:ext>
          </c:extLst>
        </c:ser>
        <c:ser>
          <c:idx val="3"/>
          <c:order val="3"/>
          <c:tx>
            <c:strRef>
              <c:f>'Resume Graph Fixed'!$P$41</c:f>
              <c:strCache>
                <c:ptCount val="1"/>
                <c:pt idx="0">
                  <c:v>18000</c:v>
                </c:pt>
              </c:strCache>
            </c:strRef>
          </c:tx>
          <c:spPr>
            <a:solidFill>
              <a:srgbClr val="9B23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Fixed'!$AB$43:$AB$48</c:f>
                <c:numCache>
                  <c:formatCode>General</c:formatCode>
                  <c:ptCount val="6"/>
                  <c:pt idx="0">
                    <c:v>1.8747144099531029E-5</c:v>
                  </c:pt>
                  <c:pt idx="1">
                    <c:v>3.0360257372646525E-5</c:v>
                  </c:pt>
                  <c:pt idx="2">
                    <c:v>0</c:v>
                  </c:pt>
                  <c:pt idx="3">
                    <c:v>8.5015122851283403E-4</c:v>
                  </c:pt>
                  <c:pt idx="4">
                    <c:v>3.2519439897445851E-4</c:v>
                  </c:pt>
                  <c:pt idx="5">
                    <c:v>0.11808704347198563</c:v>
                  </c:pt>
                </c:numCache>
              </c:numRef>
            </c:plus>
            <c:minus>
              <c:numRef>
                <c:f>'Resume Graph Fixed'!$V$43:$V$48</c:f>
                <c:numCache>
                  <c:formatCode>General</c:formatCode>
                  <c:ptCount val="6"/>
                  <c:pt idx="0">
                    <c:v>1.8747144099531029E-5</c:v>
                  </c:pt>
                  <c:pt idx="1">
                    <c:v>3.0360257372646525E-5</c:v>
                  </c:pt>
                  <c:pt idx="2">
                    <c:v>0</c:v>
                  </c:pt>
                  <c:pt idx="3">
                    <c:v>8.5015122851283403E-4</c:v>
                  </c:pt>
                  <c:pt idx="4">
                    <c:v>3.2519439897445851E-4</c:v>
                  </c:pt>
                  <c:pt idx="5">
                    <c:v>0.11808704347198563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Fixed'!$P$43:$P$48</c:f>
              <c:numCache>
                <c:formatCode>General</c:formatCode>
                <c:ptCount val="6"/>
                <c:pt idx="0">
                  <c:v>3.6096126000000007E-4</c:v>
                </c:pt>
                <c:pt idx="1">
                  <c:v>9.9965965999999993E-4</c:v>
                </c:pt>
                <c:pt idx="2">
                  <c:v>1.5994049E-2</c:v>
                </c:pt>
                <c:pt idx="3">
                  <c:v>3.4104818599999996E-2</c:v>
                </c:pt>
                <c:pt idx="4">
                  <c:v>3.1776659700000001E-2</c:v>
                </c:pt>
                <c:pt idx="5">
                  <c:v>0.11029103380000001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15-471D-9374-D8E023E3BF12}"/>
            </c:ext>
          </c:extLst>
        </c:ser>
        <c:ser>
          <c:idx val="4"/>
          <c:order val="4"/>
          <c:tx>
            <c:strRef>
              <c:f>'Resume Graph Fixed'!$Q$41</c:f>
              <c:strCache>
                <c:ptCount val="1"/>
                <c:pt idx="0">
                  <c:v>20000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Fixed'!$AC$43:$AC$48</c:f>
                <c:numCache>
                  <c:formatCode>General</c:formatCode>
                  <c:ptCount val="6"/>
                  <c:pt idx="0">
                    <c:v>6.3358022600635026E-6</c:v>
                  </c:pt>
                  <c:pt idx="1">
                    <c:v>8.7433429508201616E-6</c:v>
                  </c:pt>
                  <c:pt idx="2">
                    <c:v>0</c:v>
                  </c:pt>
                  <c:pt idx="3">
                    <c:v>1.2731412550940485E-4</c:v>
                  </c:pt>
                  <c:pt idx="4">
                    <c:v>4.0991348451201864E-4</c:v>
                  </c:pt>
                  <c:pt idx="5">
                    <c:v>8.6828946614311842E-4</c:v>
                  </c:pt>
                </c:numCache>
              </c:numRef>
            </c:plus>
            <c:minus>
              <c:numRef>
                <c:f>'Resume Graph Fixed'!$W$43:$W$48</c:f>
                <c:numCache>
                  <c:formatCode>General</c:formatCode>
                  <c:ptCount val="6"/>
                  <c:pt idx="0">
                    <c:v>6.3358022600635026E-6</c:v>
                  </c:pt>
                  <c:pt idx="1">
                    <c:v>8.7433429508201616E-6</c:v>
                  </c:pt>
                  <c:pt idx="2">
                    <c:v>0</c:v>
                  </c:pt>
                  <c:pt idx="3">
                    <c:v>1.2731412550940485E-4</c:v>
                  </c:pt>
                  <c:pt idx="4">
                    <c:v>4.0991348451201864E-4</c:v>
                  </c:pt>
                  <c:pt idx="5">
                    <c:v>8.6828946614311842E-4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Fixed'!$Q$43:$Q$48</c:f>
              <c:numCache>
                <c:formatCode>General</c:formatCode>
                <c:ptCount val="6"/>
                <c:pt idx="0">
                  <c:v>3.471843E-4</c:v>
                </c:pt>
                <c:pt idx="1">
                  <c:v>1.0132053E-3</c:v>
                </c:pt>
                <c:pt idx="2">
                  <c:v>1.7127897E-2</c:v>
                </c:pt>
                <c:pt idx="3">
                  <c:v>3.8194759799999999E-2</c:v>
                </c:pt>
                <c:pt idx="4">
                  <c:v>3.8351467260000008E-2</c:v>
                </c:pt>
                <c:pt idx="5">
                  <c:v>5.5339666240000002E-2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15-471D-9374-D8E023E3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905791311"/>
        <c:axId val="905808111"/>
      </c:barChart>
      <c:lineChart>
        <c:grouping val="standard"/>
        <c:varyColors val="0"/>
        <c:ser>
          <c:idx val="5"/>
          <c:order val="5"/>
          <c:tx>
            <c:v>ILP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Fixed'!$AK$43:$AK$48</c:f>
              <c:numCache>
                <c:formatCode>General</c:formatCode>
                <c:ptCount val="6"/>
                <c:pt idx="0">
                  <c:v>1119.38779148</c:v>
                </c:pt>
                <c:pt idx="1">
                  <c:v>1119.38779148</c:v>
                </c:pt>
                <c:pt idx="2">
                  <c:v>1119.38779148</c:v>
                </c:pt>
                <c:pt idx="3">
                  <c:v>1119.38779148</c:v>
                </c:pt>
                <c:pt idx="4">
                  <c:v>1119.38779148</c:v>
                </c:pt>
                <c:pt idx="5">
                  <c:v>1119.38779148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915-471D-9374-D8E023E3BF12}"/>
            </c:ext>
          </c:extLst>
        </c:ser>
        <c:ser>
          <c:idx val="6"/>
          <c:order val="6"/>
          <c:tx>
            <c:v>ILP_2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Fixed'!$AL$43:$AL$48</c:f>
              <c:numCache>
                <c:formatCode>General</c:formatCode>
                <c:ptCount val="6"/>
                <c:pt idx="0">
                  <c:v>3606.574387395</c:v>
                </c:pt>
                <c:pt idx="1">
                  <c:v>3606.574387395</c:v>
                </c:pt>
                <c:pt idx="2">
                  <c:v>3606.574387395</c:v>
                </c:pt>
                <c:pt idx="3">
                  <c:v>3606.574387395</c:v>
                </c:pt>
                <c:pt idx="4">
                  <c:v>3606.574387395</c:v>
                </c:pt>
                <c:pt idx="5">
                  <c:v>3606.574387395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915-471D-9374-D8E023E3BF12}"/>
            </c:ext>
          </c:extLst>
        </c:ser>
        <c:ser>
          <c:idx val="7"/>
          <c:order val="7"/>
          <c:tx>
            <c:v>ILP_3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Fixed'!$AM$43:$AM$48</c:f>
              <c:numCache>
                <c:formatCode>General</c:formatCode>
                <c:ptCount val="6"/>
                <c:pt idx="0">
                  <c:v>3604.0535430730001</c:v>
                </c:pt>
                <c:pt idx="1">
                  <c:v>3604.0535430730001</c:v>
                </c:pt>
                <c:pt idx="2">
                  <c:v>3604.0535430730001</c:v>
                </c:pt>
                <c:pt idx="3">
                  <c:v>3604.0535430730001</c:v>
                </c:pt>
                <c:pt idx="4">
                  <c:v>3604.0535430730001</c:v>
                </c:pt>
                <c:pt idx="5">
                  <c:v>3604.0535430730001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915-471D-9374-D8E023E3BF12}"/>
            </c:ext>
          </c:extLst>
        </c:ser>
        <c:ser>
          <c:idx val="8"/>
          <c:order val="8"/>
          <c:tx>
            <c:v>ILP_4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Fixed'!$AN$43:$AN$48</c:f>
              <c:numCache>
                <c:formatCode>General</c:formatCode>
                <c:ptCount val="6"/>
                <c:pt idx="0">
                  <c:v>3604.6554710780001</c:v>
                </c:pt>
                <c:pt idx="1">
                  <c:v>3604.6554710780001</c:v>
                </c:pt>
                <c:pt idx="2">
                  <c:v>3604.6554710780001</c:v>
                </c:pt>
                <c:pt idx="3">
                  <c:v>3604.6554710780001</c:v>
                </c:pt>
                <c:pt idx="4">
                  <c:v>3604.6554710780001</c:v>
                </c:pt>
                <c:pt idx="5">
                  <c:v>3604.6554710780001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915-471D-9374-D8E023E3BF12}"/>
            </c:ext>
          </c:extLst>
        </c:ser>
        <c:ser>
          <c:idx val="9"/>
          <c:order val="9"/>
          <c:tx>
            <c:v>ILP_5</c:v>
          </c:tx>
          <c:spPr>
            <a:ln w="12700" cap="rnd" cmpd="sng" algn="ctr">
              <a:solidFill>
                <a:srgbClr val="7030A0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Fixed'!$AO$43:$AO$48</c:f>
              <c:numCache>
                <c:formatCode>General</c:formatCode>
                <c:ptCount val="6"/>
                <c:pt idx="0">
                  <c:v>3603.0207222230001</c:v>
                </c:pt>
                <c:pt idx="1">
                  <c:v>3603.0207222230001</c:v>
                </c:pt>
                <c:pt idx="2">
                  <c:v>3603.0207222230001</c:v>
                </c:pt>
                <c:pt idx="3">
                  <c:v>3603.0207222230001</c:v>
                </c:pt>
                <c:pt idx="4">
                  <c:v>3603.0207222230001</c:v>
                </c:pt>
                <c:pt idx="5">
                  <c:v>3603.0207222230001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915-471D-9374-D8E023E3BF12}"/>
            </c:ext>
          </c:extLst>
        </c:ser>
        <c:ser>
          <c:idx val="10"/>
          <c:order val="10"/>
          <c:tx>
            <c:v>GR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Fixed'!$AE$43:$AE$48</c:f>
              <c:numCache>
                <c:formatCode>General</c:formatCode>
                <c:ptCount val="6"/>
                <c:pt idx="0">
                  <c:v>2.6667266000000004E-4</c:v>
                </c:pt>
                <c:pt idx="1">
                  <c:v>2.6667266000000004E-4</c:v>
                </c:pt>
                <c:pt idx="2">
                  <c:v>2.6667266000000004E-4</c:v>
                </c:pt>
                <c:pt idx="3">
                  <c:v>2.6667266000000004E-4</c:v>
                </c:pt>
                <c:pt idx="4">
                  <c:v>2.6667266000000004E-4</c:v>
                </c:pt>
                <c:pt idx="5">
                  <c:v>2.6667266000000004E-4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915-471D-9374-D8E023E3BF12}"/>
            </c:ext>
          </c:extLst>
        </c:ser>
        <c:ser>
          <c:idx val="11"/>
          <c:order val="11"/>
          <c:tx>
            <c:v>GR_2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Fixed'!$AF$43:$AF$48</c:f>
              <c:numCache>
                <c:formatCode>General</c:formatCode>
                <c:ptCount val="6"/>
                <c:pt idx="0">
                  <c:v>2.8935127999999999E-4</c:v>
                </c:pt>
                <c:pt idx="1">
                  <c:v>2.8935127999999999E-4</c:v>
                </c:pt>
                <c:pt idx="2">
                  <c:v>2.8935127999999999E-4</c:v>
                </c:pt>
                <c:pt idx="3">
                  <c:v>2.8935127999999999E-4</c:v>
                </c:pt>
                <c:pt idx="4">
                  <c:v>2.8935127999999999E-4</c:v>
                </c:pt>
                <c:pt idx="5">
                  <c:v>2.8935127999999999E-4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915-471D-9374-D8E023E3BF12}"/>
            </c:ext>
          </c:extLst>
        </c:ser>
        <c:ser>
          <c:idx val="12"/>
          <c:order val="12"/>
          <c:tx>
            <c:v>GR_3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Fixed'!$AG$43:$AG$48</c:f>
              <c:numCache>
                <c:formatCode>General</c:formatCode>
                <c:ptCount val="6"/>
                <c:pt idx="0">
                  <c:v>3.1366603999999994E-4</c:v>
                </c:pt>
                <c:pt idx="1">
                  <c:v>3.1366603999999994E-4</c:v>
                </c:pt>
                <c:pt idx="2">
                  <c:v>3.1366603999999994E-4</c:v>
                </c:pt>
                <c:pt idx="3">
                  <c:v>3.1366603999999994E-4</c:v>
                </c:pt>
                <c:pt idx="4">
                  <c:v>3.1366603999999994E-4</c:v>
                </c:pt>
                <c:pt idx="5">
                  <c:v>3.1366603999999994E-4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915-471D-9374-D8E023E3BF12}"/>
            </c:ext>
          </c:extLst>
        </c:ser>
        <c:ser>
          <c:idx val="13"/>
          <c:order val="13"/>
          <c:tx>
            <c:v>GR_4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Fixed'!$AH$43:$AH$48</c:f>
              <c:numCache>
                <c:formatCode>General</c:formatCode>
                <c:ptCount val="6"/>
                <c:pt idx="0">
                  <c:v>3.6096126000000007E-4</c:v>
                </c:pt>
                <c:pt idx="1">
                  <c:v>3.6096126000000007E-4</c:v>
                </c:pt>
                <c:pt idx="2">
                  <c:v>3.6096126000000007E-4</c:v>
                </c:pt>
                <c:pt idx="3">
                  <c:v>3.6096126000000007E-4</c:v>
                </c:pt>
                <c:pt idx="4">
                  <c:v>3.6096126000000007E-4</c:v>
                </c:pt>
                <c:pt idx="5">
                  <c:v>3.6096126000000007E-4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915-471D-9374-D8E023E3BF12}"/>
            </c:ext>
          </c:extLst>
        </c:ser>
        <c:ser>
          <c:idx val="14"/>
          <c:order val="14"/>
          <c:tx>
            <c:v>GR_5</c:v>
          </c:tx>
          <c:spPr>
            <a:ln w="12700" cap="rnd" cmpd="sng" algn="ctr">
              <a:solidFill>
                <a:srgbClr val="7030A0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Fixed'!$AI$43:$AI$48</c:f>
              <c:numCache>
                <c:formatCode>General</c:formatCode>
                <c:ptCount val="6"/>
                <c:pt idx="0">
                  <c:v>3.471843E-4</c:v>
                </c:pt>
                <c:pt idx="1">
                  <c:v>3.471843E-4</c:v>
                </c:pt>
                <c:pt idx="2">
                  <c:v>3.471843E-4</c:v>
                </c:pt>
                <c:pt idx="3">
                  <c:v>3.471843E-4</c:v>
                </c:pt>
                <c:pt idx="4">
                  <c:v>3.471843E-4</c:v>
                </c:pt>
                <c:pt idx="5">
                  <c:v>3.471843E-4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915-471D-9374-D8E023E3BF12}"/>
            </c:ext>
          </c:extLst>
        </c:ser>
        <c:ser>
          <c:idx val="15"/>
          <c:order val="15"/>
          <c:tx>
            <c:v>1 segundo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cat>
            <c:strRef>
              <c:f>'Resume Graph Fixed'!$L$43:$L$48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Fixed'!$AQ$43:$AQ$48</c:f>
              <c:numCache>
                <c:formatCode>0.0000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915-471D-9374-D8E023E3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812431"/>
        <c:axId val="905811471"/>
      </c:lineChart>
      <c:catAx>
        <c:axId val="905791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05808111"/>
        <c:crosses val="min"/>
        <c:auto val="1"/>
        <c:lblAlgn val="ctr"/>
        <c:lblOffset val="100"/>
        <c:noMultiLvlLbl val="0"/>
      </c:catAx>
      <c:valAx>
        <c:axId val="905808111"/>
        <c:scaling>
          <c:logBase val="10"/>
          <c:orientation val="minMax"/>
          <c:max val="10000"/>
          <c:min val="1E-8"/>
        </c:scaling>
        <c:delete val="0"/>
        <c:axPos val="l"/>
        <c:title>
          <c:tx>
            <c:rich>
              <a:bodyPr/>
              <a:lstStyle/>
              <a:p>
                <a:pPr>
                  <a:defRPr sz="1300" b="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pt-BR"/>
                  <a:t>Tempo de Execução (s)</a:t>
                </a:r>
              </a:p>
            </c:rich>
          </c:tx>
          <c:layout>
            <c:manualLayout>
              <c:xMode val="edge"/>
              <c:yMode val="edge"/>
              <c:x val="0"/>
              <c:y val="5.5890079365079365E-2"/>
            </c:manualLayout>
          </c:layout>
          <c:overlay val="0"/>
        </c:title>
        <c:numFmt formatCode="0E+0" sourceLinked="0"/>
        <c:majorTickMark val="cross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1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05791311"/>
        <c:crosses val="autoZero"/>
        <c:crossBetween val="between"/>
        <c:majorUnit val="10"/>
      </c:valAx>
      <c:valAx>
        <c:axId val="905811471"/>
        <c:scaling>
          <c:logBase val="10"/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05812431"/>
        <c:crosses val="max"/>
        <c:crossBetween val="midCat"/>
      </c:valAx>
      <c:catAx>
        <c:axId val="905812431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905811471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"/>
          <c:y val="0.89106111111111108"/>
          <c:w val="1"/>
          <c:h val="0.10893888888888889"/>
        </c:manualLayout>
      </c:layout>
      <c:overlay val="0"/>
      <c:txPr>
        <a:bodyPr/>
        <a:lstStyle/>
        <a:p>
          <a:pPr>
            <a:defRPr sz="1100">
              <a:latin typeface="Times New Roman"/>
              <a:ea typeface="Times New Roman"/>
              <a:cs typeface="Times New Roman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8853703703704"/>
          <c:y val="5.5890079365079365E-2"/>
          <c:w val="0.84524425925925928"/>
          <c:h val="0.775098015873015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'Resume Graph Fixed'!$M$80</c:f>
              <c:strCache>
                <c:ptCount val="1"/>
                <c:pt idx="0">
                  <c:v>12000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Fixed'!$Y$82:$Y$87</c:f>
                <c:numCache>
                  <c:formatCode>General</c:formatCode>
                  <c:ptCount val="6"/>
                  <c:pt idx="0">
                    <c:v>7.4236053797285422</c:v>
                  </c:pt>
                  <c:pt idx="1">
                    <c:v>4.9278690475860003</c:v>
                  </c:pt>
                  <c:pt idx="2">
                    <c:v>0</c:v>
                  </c:pt>
                  <c:pt idx="3">
                    <c:v>0.10524606444404075</c:v>
                  </c:pt>
                  <c:pt idx="4">
                    <c:v>4.0191504742584774E-2</c:v>
                  </c:pt>
                  <c:pt idx="5">
                    <c:v>4.0191504742584774E-2</c:v>
                  </c:pt>
                </c:numCache>
              </c:numRef>
            </c:plus>
            <c:minus>
              <c:numRef>
                <c:f>'Resume Graph Fixed'!$S$82:$S$87</c:f>
                <c:numCache>
                  <c:formatCode>General</c:formatCode>
                  <c:ptCount val="6"/>
                  <c:pt idx="0">
                    <c:v>7.4236053797285422</c:v>
                  </c:pt>
                  <c:pt idx="1">
                    <c:v>4.9278690475860003</c:v>
                  </c:pt>
                  <c:pt idx="2">
                    <c:v>0</c:v>
                  </c:pt>
                  <c:pt idx="3">
                    <c:v>0.10524606444404078</c:v>
                  </c:pt>
                  <c:pt idx="4">
                    <c:v>4.0191504742584774E-2</c:v>
                  </c:pt>
                  <c:pt idx="5">
                    <c:v>4.0191504742584774E-2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Fixed'!$M$82:$M$87</c:f>
              <c:numCache>
                <c:formatCode>General</c:formatCode>
                <c:ptCount val="6"/>
                <c:pt idx="0">
                  <c:v>9206.0400000000009</c:v>
                </c:pt>
                <c:pt idx="1">
                  <c:v>110.48</c:v>
                </c:pt>
                <c:pt idx="2">
                  <c:v>134</c:v>
                </c:pt>
                <c:pt idx="3">
                  <c:v>0.16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C9-429A-BB93-DB1AEA86BE31}"/>
            </c:ext>
          </c:extLst>
        </c:ser>
        <c:ser>
          <c:idx val="1"/>
          <c:order val="1"/>
          <c:tx>
            <c:strRef>
              <c:f>'Resume Graph Fixed'!$N$80</c:f>
              <c:strCache>
                <c:ptCount val="1"/>
                <c:pt idx="0">
                  <c:v>14000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Fixed'!$Z$82:$Z$87</c:f>
                <c:numCache>
                  <c:formatCode>General</c:formatCode>
                  <c:ptCount val="6"/>
                  <c:pt idx="0">
                    <c:v>6.9026997577129805</c:v>
                  </c:pt>
                  <c:pt idx="1">
                    <c:v>5.9541258711615228</c:v>
                  </c:pt>
                  <c:pt idx="2">
                    <c:v>0</c:v>
                  </c:pt>
                  <c:pt idx="3">
                    <c:v>3.7436396455766499</c:v>
                  </c:pt>
                  <c:pt idx="4">
                    <c:v>3.594695323278529</c:v>
                  </c:pt>
                  <c:pt idx="5">
                    <c:v>3.5941083399056879</c:v>
                  </c:pt>
                </c:numCache>
              </c:numRef>
            </c:plus>
            <c:minus>
              <c:numRef>
                <c:f>'Resume Graph Fixed'!$T$82:$T$87</c:f>
                <c:numCache>
                  <c:formatCode>General</c:formatCode>
                  <c:ptCount val="6"/>
                  <c:pt idx="0">
                    <c:v>6.9026997577129805</c:v>
                  </c:pt>
                  <c:pt idx="1">
                    <c:v>5.9541258711615228</c:v>
                  </c:pt>
                  <c:pt idx="2">
                    <c:v>0</c:v>
                  </c:pt>
                  <c:pt idx="3">
                    <c:v>3.7436396455766499</c:v>
                  </c:pt>
                  <c:pt idx="4">
                    <c:v>3.594695323278529</c:v>
                  </c:pt>
                  <c:pt idx="5">
                    <c:v>3.5941083399056879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Fixed'!$N$82:$N$87</c:f>
              <c:numCache>
                <c:formatCode>General</c:formatCode>
                <c:ptCount val="6"/>
                <c:pt idx="0">
                  <c:v>11141.9</c:v>
                </c:pt>
                <c:pt idx="1">
                  <c:v>2103.92</c:v>
                </c:pt>
                <c:pt idx="2">
                  <c:v>1289</c:v>
                </c:pt>
                <c:pt idx="3">
                  <c:v>710.52</c:v>
                </c:pt>
                <c:pt idx="4">
                  <c:v>706.82</c:v>
                </c:pt>
                <c:pt idx="5">
                  <c:v>967.06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C9-429A-BB93-DB1AEA86BE31}"/>
            </c:ext>
          </c:extLst>
        </c:ser>
        <c:ser>
          <c:idx val="2"/>
          <c:order val="2"/>
          <c:tx>
            <c:strRef>
              <c:f>'Resume Graph Fixed'!$O$80</c:f>
              <c:strCache>
                <c:ptCount val="1"/>
                <c:pt idx="0">
                  <c:v>16000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Fixed'!$AA$82:$AA$87</c:f>
                <c:numCache>
                  <c:formatCode>General</c:formatCode>
                  <c:ptCount val="6"/>
                  <c:pt idx="0">
                    <c:v>7.3648547510765638</c:v>
                  </c:pt>
                  <c:pt idx="1">
                    <c:v>6.0155876391959282</c:v>
                  </c:pt>
                  <c:pt idx="2">
                    <c:v>0</c:v>
                  </c:pt>
                  <c:pt idx="3">
                    <c:v>3.7204964037912305</c:v>
                  </c:pt>
                  <c:pt idx="4">
                    <c:v>3.991367421389441</c:v>
                  </c:pt>
                  <c:pt idx="5">
                    <c:v>4.8111958020522252</c:v>
                  </c:pt>
                </c:numCache>
              </c:numRef>
            </c:plus>
            <c:minus>
              <c:numRef>
                <c:f>'Resume Graph Fixed'!$U$82:$U$87</c:f>
                <c:numCache>
                  <c:formatCode>General</c:formatCode>
                  <c:ptCount val="6"/>
                  <c:pt idx="0">
                    <c:v>7.3648547510765638</c:v>
                  </c:pt>
                  <c:pt idx="1">
                    <c:v>6.0155876391959282</c:v>
                  </c:pt>
                  <c:pt idx="2">
                    <c:v>0</c:v>
                  </c:pt>
                  <c:pt idx="3">
                    <c:v>3.7204964037912305</c:v>
                  </c:pt>
                  <c:pt idx="4">
                    <c:v>3.991367421389441</c:v>
                  </c:pt>
                  <c:pt idx="5">
                    <c:v>4.8111958020522252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Fixed'!$O$82:$O$87</c:f>
              <c:numCache>
                <c:formatCode>General</c:formatCode>
                <c:ptCount val="6"/>
                <c:pt idx="0">
                  <c:v>13039.06</c:v>
                </c:pt>
                <c:pt idx="1">
                  <c:v>3995.6</c:v>
                </c:pt>
                <c:pt idx="2">
                  <c:v>2542</c:v>
                </c:pt>
                <c:pt idx="3">
                  <c:v>1650.08</c:v>
                </c:pt>
                <c:pt idx="4">
                  <c:v>1647.02</c:v>
                </c:pt>
                <c:pt idx="5">
                  <c:v>2033.76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C9-429A-BB93-DB1AEA86BE31}"/>
            </c:ext>
          </c:extLst>
        </c:ser>
        <c:ser>
          <c:idx val="3"/>
          <c:order val="3"/>
          <c:tx>
            <c:strRef>
              <c:f>'Resume Graph Fixed'!$P$80</c:f>
              <c:strCache>
                <c:ptCount val="1"/>
                <c:pt idx="0">
                  <c:v>18000</c:v>
                </c:pt>
              </c:strCache>
            </c:strRef>
          </c:tx>
          <c:spPr>
            <a:solidFill>
              <a:srgbClr val="9B23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Fixed'!$AB$82:$AB$87</c:f>
                <c:numCache>
                  <c:formatCode>General</c:formatCode>
                  <c:ptCount val="6"/>
                  <c:pt idx="0">
                    <c:v>7.450927961133857</c:v>
                  </c:pt>
                  <c:pt idx="1">
                    <c:v>5.7420023761624179</c:v>
                  </c:pt>
                  <c:pt idx="2">
                    <c:v>0</c:v>
                  </c:pt>
                  <c:pt idx="3">
                    <c:v>4.7019258074260506</c:v>
                  </c:pt>
                  <c:pt idx="4">
                    <c:v>4.8021185739553403</c:v>
                  </c:pt>
                  <c:pt idx="5">
                    <c:v>4.426267224176172</c:v>
                  </c:pt>
                </c:numCache>
              </c:numRef>
            </c:plus>
            <c:minus>
              <c:numRef>
                <c:f>'Resume Graph Fixed'!$V$82:$V$87</c:f>
                <c:numCache>
                  <c:formatCode>General</c:formatCode>
                  <c:ptCount val="6"/>
                  <c:pt idx="0">
                    <c:v>7.450927961133857</c:v>
                  </c:pt>
                  <c:pt idx="1">
                    <c:v>5.7420023761624179</c:v>
                  </c:pt>
                  <c:pt idx="2">
                    <c:v>0</c:v>
                  </c:pt>
                  <c:pt idx="3">
                    <c:v>4.7019258074260506</c:v>
                  </c:pt>
                  <c:pt idx="4">
                    <c:v>4.8021185739553403</c:v>
                  </c:pt>
                  <c:pt idx="5">
                    <c:v>4.426267224176172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Fixed'!$P$82:$P$87</c:f>
              <c:numCache>
                <c:formatCode>General</c:formatCode>
                <c:ptCount val="6"/>
                <c:pt idx="0">
                  <c:v>15038.48</c:v>
                </c:pt>
                <c:pt idx="1">
                  <c:v>6037.9</c:v>
                </c:pt>
                <c:pt idx="2">
                  <c:v>3871</c:v>
                </c:pt>
                <c:pt idx="3">
                  <c:v>2788.52</c:v>
                </c:pt>
                <c:pt idx="4">
                  <c:v>2787.42</c:v>
                </c:pt>
                <c:pt idx="5">
                  <c:v>3217.04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3C9-429A-BB93-DB1AEA86BE31}"/>
            </c:ext>
          </c:extLst>
        </c:ser>
        <c:ser>
          <c:idx val="4"/>
          <c:order val="4"/>
          <c:tx>
            <c:strRef>
              <c:f>'Resume Graph Fixed'!$Q$80</c:f>
              <c:strCache>
                <c:ptCount val="1"/>
                <c:pt idx="0">
                  <c:v>20000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 Fixed'!$AC$82:$AC$87</c:f>
                <c:numCache>
                  <c:formatCode>General</c:formatCode>
                  <c:ptCount val="6"/>
                  <c:pt idx="0">
                    <c:v>7.6790591811513877</c:v>
                  </c:pt>
                  <c:pt idx="1">
                    <c:v>6.0989255449849225</c:v>
                  </c:pt>
                  <c:pt idx="2">
                    <c:v>0</c:v>
                  </c:pt>
                  <c:pt idx="3">
                    <c:v>6.2889844298115349</c:v>
                  </c:pt>
                  <c:pt idx="4">
                    <c:v>5.3711993519114003</c:v>
                  </c:pt>
                  <c:pt idx="5">
                    <c:v>6.2682051294268604</c:v>
                  </c:pt>
                </c:numCache>
              </c:numRef>
            </c:plus>
            <c:minus>
              <c:numRef>
                <c:f>'Resume Graph Fixed'!$W$82:$W$87</c:f>
                <c:numCache>
                  <c:formatCode>General</c:formatCode>
                  <c:ptCount val="6"/>
                  <c:pt idx="0">
                    <c:v>7.6790591811513877</c:v>
                  </c:pt>
                  <c:pt idx="1">
                    <c:v>6.0989255449849225</c:v>
                  </c:pt>
                  <c:pt idx="2">
                    <c:v>0</c:v>
                  </c:pt>
                  <c:pt idx="3">
                    <c:v>6.2889844298115349</c:v>
                  </c:pt>
                  <c:pt idx="4">
                    <c:v>5.3711993519114003</c:v>
                  </c:pt>
                  <c:pt idx="5">
                    <c:v>6.2682051294268604</c:v>
                  </c:pt>
                </c:numCache>
              </c:numRef>
            </c:minus>
            <c:spPr>
              <a:ln w="12700">
                <a:solidFill>
                  <a:srgbClr val="000000">
                    <a:alpha val="75000"/>
                  </a:srgbClr>
                </a:solidFill>
              </a:ln>
            </c:spPr>
          </c:errBars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Fixed'!$Q$82:$Q$87</c:f>
              <c:numCache>
                <c:formatCode>General</c:formatCode>
                <c:ptCount val="6"/>
                <c:pt idx="0">
                  <c:v>17002.900000000001</c:v>
                </c:pt>
                <c:pt idx="1">
                  <c:v>8049.7</c:v>
                </c:pt>
                <c:pt idx="2">
                  <c:v>5257</c:v>
                </c:pt>
                <c:pt idx="3">
                  <c:v>4011.68</c:v>
                </c:pt>
                <c:pt idx="4">
                  <c:v>4013.3</c:v>
                </c:pt>
                <c:pt idx="5">
                  <c:v>4455.78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C9-429A-BB93-DB1AEA86B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905816271"/>
        <c:axId val="905814831"/>
      </c:barChart>
      <c:lineChart>
        <c:grouping val="standard"/>
        <c:varyColors val="0"/>
        <c:ser>
          <c:idx val="5"/>
          <c:order val="5"/>
          <c:tx>
            <c:v>ILP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Fixed'!$AK$82:$AK$87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3C9-429A-BB93-DB1AEA86BE31}"/>
            </c:ext>
          </c:extLst>
        </c:ser>
        <c:ser>
          <c:idx val="6"/>
          <c:order val="6"/>
          <c:tx>
            <c:v>ILP_2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Fixed'!$AL$82:$AL$87</c:f>
              <c:numCache>
                <c:formatCode>General</c:formatCode>
                <c:ptCount val="6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3C9-429A-BB93-DB1AEA86BE31}"/>
            </c:ext>
          </c:extLst>
        </c:ser>
        <c:ser>
          <c:idx val="7"/>
          <c:order val="7"/>
          <c:tx>
            <c:v>ILP_3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Fixed'!$AM$82:$AM$87</c:f>
              <c:numCache>
                <c:formatCode>General</c:formatCode>
                <c:ptCount val="6"/>
                <c:pt idx="0">
                  <c:v>798</c:v>
                </c:pt>
                <c:pt idx="1">
                  <c:v>798</c:v>
                </c:pt>
                <c:pt idx="2">
                  <c:v>798</c:v>
                </c:pt>
                <c:pt idx="3">
                  <c:v>798</c:v>
                </c:pt>
                <c:pt idx="4">
                  <c:v>798</c:v>
                </c:pt>
                <c:pt idx="5">
                  <c:v>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3C9-429A-BB93-DB1AEA86BE31}"/>
            </c:ext>
          </c:extLst>
        </c:ser>
        <c:ser>
          <c:idx val="8"/>
          <c:order val="8"/>
          <c:tx>
            <c:v>ILP_4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Fixed'!$AN$82:$AN$87</c:f>
              <c:numCache>
                <c:formatCode>General</c:formatCode>
                <c:ptCount val="6"/>
                <c:pt idx="0">
                  <c:v>1763</c:v>
                </c:pt>
                <c:pt idx="1">
                  <c:v>1763</c:v>
                </c:pt>
                <c:pt idx="2">
                  <c:v>1763</c:v>
                </c:pt>
                <c:pt idx="3">
                  <c:v>1763</c:v>
                </c:pt>
                <c:pt idx="4">
                  <c:v>1763</c:v>
                </c:pt>
                <c:pt idx="5">
                  <c:v>1763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3C9-429A-BB93-DB1AEA86BE31}"/>
            </c:ext>
          </c:extLst>
        </c:ser>
        <c:ser>
          <c:idx val="9"/>
          <c:order val="9"/>
          <c:tx>
            <c:v>ILP_5</c:v>
          </c:tx>
          <c:spPr>
            <a:ln w="12700" cap="rnd" cmpd="sng" algn="ctr">
              <a:solidFill>
                <a:srgbClr val="7030A0">
                  <a:alpha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Fixed'!$AO$82:$AO$87</c:f>
              <c:numCache>
                <c:formatCode>General</c:formatCode>
                <c:ptCount val="6"/>
                <c:pt idx="0">
                  <c:v>2834</c:v>
                </c:pt>
                <c:pt idx="1">
                  <c:v>2834</c:v>
                </c:pt>
                <c:pt idx="2">
                  <c:v>2834</c:v>
                </c:pt>
                <c:pt idx="3">
                  <c:v>2834</c:v>
                </c:pt>
                <c:pt idx="4">
                  <c:v>2834</c:v>
                </c:pt>
                <c:pt idx="5">
                  <c:v>2834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3C9-429A-BB93-DB1AEA86BE31}"/>
            </c:ext>
          </c:extLst>
        </c:ser>
        <c:ser>
          <c:idx val="10"/>
          <c:order val="10"/>
          <c:tx>
            <c:v>GR</c:v>
          </c:tx>
          <c:spPr>
            <a:ln w="12700" cap="rnd" cmpd="sng" algn="ctr">
              <a:solidFill>
                <a:srgbClr val="15608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Fixed'!$AE$82:$AE$87</c:f>
              <c:numCache>
                <c:formatCode>General</c:formatCode>
                <c:ptCount val="6"/>
                <c:pt idx="0">
                  <c:v>9206.0400000000009</c:v>
                </c:pt>
                <c:pt idx="1">
                  <c:v>9206.0400000000009</c:v>
                </c:pt>
                <c:pt idx="2">
                  <c:v>9206.0400000000009</c:v>
                </c:pt>
                <c:pt idx="3">
                  <c:v>9206.0400000000009</c:v>
                </c:pt>
                <c:pt idx="4">
                  <c:v>9206.0400000000009</c:v>
                </c:pt>
                <c:pt idx="5">
                  <c:v>9206.0400000000009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3C9-429A-BB93-DB1AEA86BE31}"/>
            </c:ext>
          </c:extLst>
        </c:ser>
        <c:ser>
          <c:idx val="11"/>
          <c:order val="11"/>
          <c:tx>
            <c:v>GR_2</c:v>
          </c:tx>
          <c:spPr>
            <a:ln w="12700" cap="rnd" cmpd="sng" algn="ctr">
              <a:solidFill>
                <a:srgbClr val="E97132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Fixed'!$AF$82:$AF$87</c:f>
              <c:numCache>
                <c:formatCode>General</c:formatCode>
                <c:ptCount val="6"/>
                <c:pt idx="0">
                  <c:v>11141.9</c:v>
                </c:pt>
                <c:pt idx="1">
                  <c:v>11141.9</c:v>
                </c:pt>
                <c:pt idx="2">
                  <c:v>11141.9</c:v>
                </c:pt>
                <c:pt idx="3">
                  <c:v>11141.9</c:v>
                </c:pt>
                <c:pt idx="4">
                  <c:v>11141.9</c:v>
                </c:pt>
                <c:pt idx="5">
                  <c:v>11141.9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3C9-429A-BB93-DB1AEA86BE31}"/>
            </c:ext>
          </c:extLst>
        </c:ser>
        <c:ser>
          <c:idx val="12"/>
          <c:order val="12"/>
          <c:tx>
            <c:v>GR_3</c:v>
          </c:tx>
          <c:spPr>
            <a:ln w="12700" cap="rnd" cmpd="sng" algn="ctr">
              <a:solidFill>
                <a:srgbClr val="196B24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Fixed'!$AG$82:$AG$87</c:f>
              <c:numCache>
                <c:formatCode>General</c:formatCode>
                <c:ptCount val="6"/>
                <c:pt idx="0">
                  <c:v>13039.06</c:v>
                </c:pt>
                <c:pt idx="1">
                  <c:v>13039.06</c:v>
                </c:pt>
                <c:pt idx="2">
                  <c:v>13039.06</c:v>
                </c:pt>
                <c:pt idx="3">
                  <c:v>13039.06</c:v>
                </c:pt>
                <c:pt idx="4">
                  <c:v>13039.06</c:v>
                </c:pt>
                <c:pt idx="5">
                  <c:v>13039.06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3C9-429A-BB93-DB1AEA86BE31}"/>
            </c:ext>
          </c:extLst>
        </c:ser>
        <c:ser>
          <c:idx val="13"/>
          <c:order val="13"/>
          <c:tx>
            <c:v>GR_4</c:v>
          </c:tx>
          <c:spPr>
            <a:ln w="12700" cap="rnd" cmpd="sng" algn="ctr">
              <a:solidFill>
                <a:srgbClr val="9B2335">
                  <a:alpha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Fixed'!$AH$82:$AH$87</c:f>
              <c:numCache>
                <c:formatCode>General</c:formatCode>
                <c:ptCount val="6"/>
                <c:pt idx="0">
                  <c:v>15038.48</c:v>
                </c:pt>
                <c:pt idx="1">
                  <c:v>15038.48</c:v>
                </c:pt>
                <c:pt idx="2">
                  <c:v>15038.48</c:v>
                </c:pt>
                <c:pt idx="3">
                  <c:v>15038.48</c:v>
                </c:pt>
                <c:pt idx="4">
                  <c:v>15038.48</c:v>
                </c:pt>
                <c:pt idx="5">
                  <c:v>15038.48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3C9-429A-BB93-DB1AEA86BE31}"/>
            </c:ext>
          </c:extLst>
        </c:ser>
        <c:ser>
          <c:idx val="14"/>
          <c:order val="14"/>
          <c:spPr>
            <a:ln w="12700">
              <a:solidFill>
                <a:srgbClr val="7030A0">
                  <a:alpha val="75000"/>
                </a:srgbClr>
              </a:solidFill>
              <a:prstDash val="sysDash"/>
            </a:ln>
          </c:spPr>
          <c:marker>
            <c:symbol val="none"/>
          </c:marker>
          <c:cat>
            <c:strRef>
              <c:f>'Resume Graph Fixed'!$L$82:$L$87</c:f>
              <c:strCache>
                <c:ptCount val="6"/>
                <c:pt idx="0">
                  <c:v>GR</c:v>
                </c:pt>
                <c:pt idx="1">
                  <c:v>GRF</c:v>
                </c:pt>
                <c:pt idx="2">
                  <c:v>GCB</c:v>
                </c:pt>
                <c:pt idx="3">
                  <c:v>SAGR</c:v>
                </c:pt>
                <c:pt idx="4">
                  <c:v>SAGRF</c:v>
                </c:pt>
                <c:pt idx="5">
                  <c:v>SAGCB</c:v>
                </c:pt>
              </c:strCache>
            </c:strRef>
          </c:cat>
          <c:val>
            <c:numRef>
              <c:f>'Resume Graph Fixed'!$AI$82:$AI$87</c:f>
              <c:numCache>
                <c:formatCode>General</c:formatCode>
                <c:ptCount val="6"/>
                <c:pt idx="0">
                  <c:v>17002.900000000001</c:v>
                </c:pt>
                <c:pt idx="1">
                  <c:v>17002.900000000001</c:v>
                </c:pt>
                <c:pt idx="2">
                  <c:v>17002.900000000001</c:v>
                </c:pt>
                <c:pt idx="3">
                  <c:v>17002.900000000001</c:v>
                </c:pt>
                <c:pt idx="4">
                  <c:v>17002.900000000001</c:v>
                </c:pt>
                <c:pt idx="5">
                  <c:v>17002.900000000001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3C9-429A-BB93-DB1AEA86B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820111"/>
        <c:axId val="905818671"/>
      </c:lineChart>
      <c:catAx>
        <c:axId val="90581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05814831"/>
        <c:crosses val="min"/>
        <c:auto val="1"/>
        <c:lblAlgn val="ctr"/>
        <c:lblOffset val="100"/>
        <c:noMultiLvlLbl val="0"/>
      </c:catAx>
      <c:valAx>
        <c:axId val="905814831"/>
        <c:scaling>
          <c:orientation val="minMax"/>
          <c:max val="172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00" b="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pt-BR"/>
                  <a:t>Custo Total ($)</a:t>
                </a:r>
              </a:p>
            </c:rich>
          </c:tx>
          <c:layout>
            <c:manualLayout>
              <c:xMode val="edge"/>
              <c:yMode val="edge"/>
              <c:x val="0"/>
              <c:y val="0.1453797619047619"/>
            </c:manualLayout>
          </c:layout>
          <c:overlay val="0"/>
        </c:title>
        <c:numFmt formatCode="0" sourceLinked="0"/>
        <c:majorTickMark val="cross"/>
        <c:minorTickMark val="none"/>
        <c:tickLblPos val="nextTo"/>
        <c:spPr>
          <a:ln w="19050">
            <a:solidFill>
              <a:srgbClr val="000000"/>
            </a:solidFill>
          </a:ln>
        </c:spPr>
        <c:txPr>
          <a:bodyPr/>
          <a:lstStyle/>
          <a:p>
            <a:pPr>
              <a:defRPr sz="1100">
                <a:solidFill>
                  <a:srgbClr val="595959"/>
                </a:solidFill>
                <a:latin typeface="Times New Roman"/>
                <a:ea typeface="Times New Roman"/>
                <a:cs typeface="Times New Roman"/>
              </a:defRPr>
            </a:pPr>
            <a:endParaRPr lang="pt-BR"/>
          </a:p>
        </c:txPr>
        <c:crossAx val="905816271"/>
        <c:crosses val="autoZero"/>
        <c:crossBetween val="between"/>
        <c:majorUnit val="1000"/>
        <c:minorUnit val="1000"/>
      </c:valAx>
      <c:valAx>
        <c:axId val="905818671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05820111"/>
        <c:crosses val="max"/>
        <c:crossBetween val="midCat"/>
      </c:valAx>
      <c:catAx>
        <c:axId val="905820111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905818671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"/>
          <c:y val="0.93641825396825396"/>
          <c:w val="1"/>
          <c:h val="6.3581746031746031E-2"/>
        </c:manualLayout>
      </c:layout>
      <c:overlay val="0"/>
      <c:txPr>
        <a:bodyPr/>
        <a:lstStyle/>
        <a:p>
          <a:pPr>
            <a:defRPr sz="1100">
              <a:latin typeface="Times New Roman"/>
              <a:ea typeface="Times New Roman"/>
              <a:cs typeface="Times New Roman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917654320987655"/>
          <c:y val="2.4608024691358026E-2"/>
          <c:w val="0.71060000000000001"/>
          <c:h val="0.78402388888888885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'Resume Graph 10'!$K$2</c:f>
              <c:strCache>
                <c:ptCount val="1"/>
                <c:pt idx="0">
                  <c:v>10²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10'!$Q$3:$Q$8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3.1789824582681425E-3</c:v>
                  </c:pt>
                  <c:pt idx="3">
                    <c:v>2.044505744875913E-3</c:v>
                  </c:pt>
                  <c:pt idx="4">
                    <c:v>2.6349994567717028E-3</c:v>
                  </c:pt>
                </c:numCache>
              </c:numRef>
            </c:plus>
            <c:minus>
              <c:numRef>
                <c:f>'Resume Graph 10'!$N$3:$N$8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3.1789824582681425E-3</c:v>
                  </c:pt>
                  <c:pt idx="3">
                    <c:v>2.044505744875913E-3</c:v>
                  </c:pt>
                  <c:pt idx="4">
                    <c:v>2.6349994567717028E-3</c:v>
                  </c:pt>
                </c:numCache>
              </c:numRef>
            </c:minus>
            <c:spPr>
              <a:noFill/>
              <a:ln w="25400" cap="sq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10'!$K$3:$K$8</c:f>
              <c:numCache>
                <c:formatCode>0.00000%</c:formatCode>
                <c:ptCount val="6"/>
                <c:pt idx="1">
                  <c:v>0.42245989304812837</c:v>
                </c:pt>
                <c:pt idx="2">
                  <c:v>0.39505882352941168</c:v>
                </c:pt>
                <c:pt idx="3">
                  <c:v>0.45164705882352957</c:v>
                </c:pt>
                <c:pt idx="4">
                  <c:v>0.45627807486631011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1-4FE9-9DDB-DFC9425CA145}"/>
            </c:ext>
          </c:extLst>
        </c:ser>
        <c:ser>
          <c:idx val="1"/>
          <c:order val="4"/>
          <c:tx>
            <c:strRef>
              <c:f>'Resume Graph 10'!$L$2</c:f>
              <c:strCache>
                <c:ptCount val="1"/>
                <c:pt idx="0">
                  <c:v>10³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10'!$R$3:$R$8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4.5407695424601324E-4</c:v>
                  </c:pt>
                  <c:pt idx="3">
                    <c:v>1.2121809242730278E-2</c:v>
                  </c:pt>
                  <c:pt idx="4">
                    <c:v>1.6853409068144073E-2</c:v>
                  </c:pt>
                </c:numCache>
              </c:numRef>
            </c:plus>
            <c:minus>
              <c:numRef>
                <c:f>'Resume Graph 10'!$O$3:$O$8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4.5407695424601324E-4</c:v>
                  </c:pt>
                  <c:pt idx="3">
                    <c:v>1.2121809242730278E-2</c:v>
                  </c:pt>
                  <c:pt idx="4">
                    <c:v>1.685340906814406E-2</c:v>
                  </c:pt>
                </c:numCache>
              </c:numRef>
            </c:minus>
            <c:spPr>
              <a:noFill/>
              <a:ln w="25400" cap="sq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10'!$L$3:$L$8</c:f>
              <c:numCache>
                <c:formatCode>0.00000%</c:formatCode>
                <c:ptCount val="6"/>
                <c:pt idx="1">
                  <c:v>4.4541010320477997E-2</c:v>
                </c:pt>
                <c:pt idx="2">
                  <c:v>5.0922324823465523E-2</c:v>
                </c:pt>
                <c:pt idx="3">
                  <c:v>9.3989136338946247E-2</c:v>
                </c:pt>
                <c:pt idx="4">
                  <c:v>0.11282781097229767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E1-4FE9-9DDB-DFC9425CA145}"/>
            </c:ext>
          </c:extLst>
        </c:ser>
        <c:ser>
          <c:idx val="2"/>
          <c:order val="5"/>
          <c:tx>
            <c:strRef>
              <c:f>'Resume Graph 10'!$M$2</c:f>
              <c:strCache>
                <c:ptCount val="1"/>
                <c:pt idx="0">
                  <c:v>10⁴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10'!$S$3:$S$8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1.4746594644783964E-4</c:v>
                  </c:pt>
                  <c:pt idx="3">
                    <c:v>9.7485422630858715E-5</c:v>
                  </c:pt>
                  <c:pt idx="4">
                    <c:v>1.3528356402840724E-4</c:v>
                  </c:pt>
                </c:numCache>
              </c:numRef>
            </c:plus>
            <c:minus>
              <c:numRef>
                <c:f>'Resume Graph 10'!$T$12</c:f>
                <c:numCache>
                  <c:formatCode>General</c:formatCode>
                  <c:ptCount val="1"/>
                </c:numCache>
              </c:numRef>
            </c:minus>
            <c:spPr>
              <a:noFill/>
              <a:ln w="25400" cap="sq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10'!$M$3:$M$8</c:f>
              <c:numCache>
                <c:formatCode>0.00000%</c:formatCode>
                <c:ptCount val="6"/>
                <c:pt idx="1">
                  <c:v>1.201946524759665E-2</c:v>
                </c:pt>
                <c:pt idx="2">
                  <c:v>1.7378044154464759E-2</c:v>
                </c:pt>
                <c:pt idx="3">
                  <c:v>1.2945690225107567E-2</c:v>
                </c:pt>
                <c:pt idx="4">
                  <c:v>2.0267051058341555E-2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E1-4FE9-9DDB-DFC9425CA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3"/>
          <c:order val="0"/>
          <c:tx>
            <c:strRef>
              <c:f>'Resume Graph 10'!$T$2</c:f>
              <c:strCache>
                <c:ptCount val="1"/>
                <c:pt idx="0">
                  <c:v>ILP_10²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'Resume Graph 10'!$T$3:$T$8</c:f>
              <c:numCache>
                <c:formatCode>0.00000%</c:formatCode>
                <c:ptCount val="6"/>
                <c:pt idx="0">
                  <c:v>0.44278074866310158</c:v>
                </c:pt>
                <c:pt idx="1">
                  <c:v>0.44278074866310158</c:v>
                </c:pt>
                <c:pt idx="2">
                  <c:v>0.44278074866310158</c:v>
                </c:pt>
                <c:pt idx="3">
                  <c:v>0.44278074866310158</c:v>
                </c:pt>
                <c:pt idx="4">
                  <c:v>0.44278074866310158</c:v>
                </c:pt>
                <c:pt idx="5">
                  <c:v>0.44278074866310158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E1-4FE9-9DDB-DFC9425CA145}"/>
            </c:ext>
          </c:extLst>
        </c:ser>
        <c:ser>
          <c:idx val="4"/>
          <c:order val="1"/>
          <c:tx>
            <c:strRef>
              <c:f>'Resume Graph 10'!$U$2</c:f>
              <c:strCache>
                <c:ptCount val="1"/>
                <c:pt idx="0">
                  <c:v>ILP_10³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'Resume Graph 10'!$U$3:$U$8</c:f>
              <c:numCache>
                <c:formatCode>0.00000%</c:formatCode>
                <c:ptCount val="6"/>
                <c:pt idx="0">
                  <c:v>4.9646931015752314E-2</c:v>
                </c:pt>
                <c:pt idx="1">
                  <c:v>4.9646931015752314E-2</c:v>
                </c:pt>
                <c:pt idx="2">
                  <c:v>4.9646931015752314E-2</c:v>
                </c:pt>
                <c:pt idx="3">
                  <c:v>4.9646931015752314E-2</c:v>
                </c:pt>
                <c:pt idx="4">
                  <c:v>4.9646931015752314E-2</c:v>
                </c:pt>
                <c:pt idx="5">
                  <c:v>4.9646931015752314E-2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E1-4FE9-9DDB-DFC9425CA145}"/>
            </c:ext>
          </c:extLst>
        </c:ser>
        <c:ser>
          <c:idx val="5"/>
          <c:order val="2"/>
          <c:tx>
            <c:strRef>
              <c:f>'Resume Graph 10'!$V$2</c:f>
              <c:strCache>
                <c:ptCount val="1"/>
                <c:pt idx="0">
                  <c:v>ILP_10⁴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'Resume Graph 10'!$V$3:$V$8</c:f>
              <c:numCache>
                <c:formatCode>0.00000%</c:formatCode>
                <c:ptCount val="6"/>
                <c:pt idx="0">
                  <c:v>2.5523751720550145E-2</c:v>
                </c:pt>
                <c:pt idx="1">
                  <c:v>2.5523751720550145E-2</c:v>
                </c:pt>
                <c:pt idx="2">
                  <c:v>2.5523751720550145E-2</c:v>
                </c:pt>
                <c:pt idx="3">
                  <c:v>2.5523751720550145E-2</c:v>
                </c:pt>
                <c:pt idx="4">
                  <c:v>2.5523751720550145E-2</c:v>
                </c:pt>
                <c:pt idx="5">
                  <c:v>2.5523751720550145E-2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E1-4FE9-9DDB-DFC9425CA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orientation val="minMax"/>
          <c:max val="1.0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Acceptance Rate (%)</a:t>
                </a:r>
              </a:p>
            </c:rich>
          </c:tx>
          <c:layout>
            <c:manualLayout>
              <c:xMode val="edge"/>
              <c:yMode val="edge"/>
              <c:x val="1.7491666666666669E-3"/>
              <c:y val="0.15220722222222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%" sourceLinked="0"/>
        <c:majorTickMark val="cross"/>
        <c:minorTickMark val="none"/>
        <c:tickLblPos val="nextTo"/>
        <c:spPr>
          <a:noFill/>
          <a:ln w="12700" cap="sq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 val="autoZero"/>
        <c:crossBetween val="midCat"/>
        <c:majorUnit val="0.25"/>
        <c:minorUnit val="0.1"/>
      </c:valAx>
      <c:spPr>
        <a:noFill/>
        <a:ln>
          <a:noFill/>
        </a:ln>
        <a:effectLst/>
      </c:spPr>
    </c:plotArea>
    <c:legend>
      <c:legendPos val="b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noFill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noFill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noFill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16027131890798541"/>
          <c:y val="0.92658111111111108"/>
          <c:w val="0.7256032808399614"/>
          <c:h val="6.97588888888888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8125771604938276"/>
          <c:y val="3.8147191118767347E-2"/>
          <c:w val="0.706062962962963"/>
          <c:h val="0.7832466666666666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'Resume Graph 10'!$K$21</c:f>
              <c:strCache>
                <c:ptCount val="1"/>
                <c:pt idx="0">
                  <c:v>10²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10'!$Q$22:$Q$27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6.7570243998366195E-6</c:v>
                  </c:pt>
                  <c:pt idx="3">
                    <c:v>6.8660428165646492E-2</c:v>
                  </c:pt>
                  <c:pt idx="4">
                    <c:v>7.4055855103198343E-2</c:v>
                  </c:pt>
                </c:numCache>
              </c:numRef>
            </c:plus>
            <c:minus>
              <c:numRef>
                <c:f>'Resume Graph 10'!$N$22:$N$27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6.7570243998366195E-6</c:v>
                  </c:pt>
                  <c:pt idx="3">
                    <c:v>6.8660428165646492E-2</c:v>
                  </c:pt>
                  <c:pt idx="4">
                    <c:v>7.4055855103198343E-2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10'!$K$22:$K$27</c:f>
              <c:numCache>
                <c:formatCode>0.0000000000</c:formatCode>
                <c:ptCount val="6"/>
                <c:pt idx="1">
                  <c:v>2.2702E-3</c:v>
                </c:pt>
                <c:pt idx="2">
                  <c:v>1.7123999999999997E-4</c:v>
                </c:pt>
                <c:pt idx="3">
                  <c:v>0.32818826599999995</c:v>
                </c:pt>
                <c:pt idx="4">
                  <c:v>0.36770738700000011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6-477C-9452-3078C3912E6A}"/>
            </c:ext>
          </c:extLst>
        </c:ser>
        <c:ser>
          <c:idx val="4"/>
          <c:order val="1"/>
          <c:tx>
            <c:strRef>
              <c:f>'Resume Graph 10'!$L$21</c:f>
              <c:strCache>
                <c:ptCount val="1"/>
                <c:pt idx="0">
                  <c:v>10³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10'!$R$22:$R$27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2.9260554935101914E-5</c:v>
                  </c:pt>
                  <c:pt idx="3">
                    <c:v>1.0952224210669197</c:v>
                  </c:pt>
                  <c:pt idx="4">
                    <c:v>1.6460655950699756</c:v>
                  </c:pt>
                </c:numCache>
              </c:numRef>
            </c:plus>
            <c:minus>
              <c:numRef>
                <c:f>'Resume Graph 10'!$O$22:$O$27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2.9260554935101914E-5</c:v>
                  </c:pt>
                  <c:pt idx="3">
                    <c:v>1.0952224210669197</c:v>
                  </c:pt>
                  <c:pt idx="4">
                    <c:v>1.6460655950699756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10'!$L$22:$L$27</c:f>
              <c:numCache>
                <c:formatCode>0.0000000000</c:formatCode>
                <c:ptCount val="6"/>
                <c:pt idx="1">
                  <c:v>2.29806E-2</c:v>
                </c:pt>
                <c:pt idx="2">
                  <c:v>1.3865059999999998E-3</c:v>
                </c:pt>
                <c:pt idx="3">
                  <c:v>5.1432382090000006</c:v>
                </c:pt>
                <c:pt idx="4">
                  <c:v>8.196249642999998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76-477C-9452-3078C3912E6A}"/>
            </c:ext>
          </c:extLst>
        </c:ser>
        <c:ser>
          <c:idx val="5"/>
          <c:order val="2"/>
          <c:tx>
            <c:strRef>
              <c:f>'Resume Graph 10'!$M$21</c:f>
              <c:strCache>
                <c:ptCount val="1"/>
                <c:pt idx="0">
                  <c:v>10⁴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10'!$S$22:$S$27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9.3575172097567355E-5</c:v>
                  </c:pt>
                  <c:pt idx="3">
                    <c:v>8.9422373266508259E-2</c:v>
                  </c:pt>
                  <c:pt idx="4">
                    <c:v>0.35662252945418516</c:v>
                  </c:pt>
                </c:numCache>
              </c:numRef>
            </c:plus>
            <c:minus>
              <c:numRef>
                <c:f>'Resume Graph 10'!$P$22:$P$27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9.3575172097567355E-5</c:v>
                  </c:pt>
                  <c:pt idx="3">
                    <c:v>8.9422373266508259E-2</c:v>
                  </c:pt>
                  <c:pt idx="4">
                    <c:v>0.35662252945418516</c:v>
                  </c:pt>
                </c:numCache>
              </c:numRef>
            </c:minus>
            <c:spPr>
              <a:noFill/>
              <a:ln w="25400" cap="sq" cmpd="sng" algn="ctr">
                <a:solidFill>
                  <a:sysClr val="windowText" lastClr="000000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10'!$M$22:$M$27</c:f>
              <c:numCache>
                <c:formatCode>0.0000000000</c:formatCode>
                <c:ptCount val="6"/>
                <c:pt idx="1">
                  <c:v>0.21190809999999999</c:v>
                </c:pt>
                <c:pt idx="2">
                  <c:v>1.1102568000000005E-2</c:v>
                </c:pt>
                <c:pt idx="3">
                  <c:v>39.106785873999996</c:v>
                </c:pt>
                <c:pt idx="4">
                  <c:v>67.477600288000005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6-477C-9452-3078C3912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6"/>
          <c:order val="3"/>
          <c:tx>
            <c:strRef>
              <c:f>'Resume Graph 10'!$T$21</c:f>
              <c:strCache>
                <c:ptCount val="1"/>
                <c:pt idx="0">
                  <c:v>ILP_10²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cat>
            <c:multiLvlStrRef>
              <c:f>'Tempo de Execução'!#REF!</c:f>
            </c:multiLvlStrRef>
          </c:cat>
          <c:val>
            <c:numRef>
              <c:f>'Resume Graph 10'!$T$22:$T$27</c:f>
              <c:numCache>
                <c:formatCode>0.0000000000</c:formatCode>
                <c:ptCount val="6"/>
                <c:pt idx="0">
                  <c:v>94.875901999999996</c:v>
                </c:pt>
                <c:pt idx="1">
                  <c:v>94.875901999999996</c:v>
                </c:pt>
                <c:pt idx="2">
                  <c:v>94.875901999999996</c:v>
                </c:pt>
                <c:pt idx="3">
                  <c:v>94.875901999999996</c:v>
                </c:pt>
                <c:pt idx="4">
                  <c:v>94.875901999999996</c:v>
                </c:pt>
                <c:pt idx="5">
                  <c:v>94.875901999999996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76-477C-9452-3078C3912E6A}"/>
            </c:ext>
          </c:extLst>
        </c:ser>
        <c:ser>
          <c:idx val="7"/>
          <c:order val="4"/>
          <c:tx>
            <c:strRef>
              <c:f>'Resume Graph 10'!$U$21</c:f>
              <c:strCache>
                <c:ptCount val="1"/>
                <c:pt idx="0">
                  <c:v>ILP_10³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cat>
            <c:multiLvlStrRef>
              <c:f>'Tempo de Execução'!#REF!</c:f>
            </c:multiLvlStrRef>
          </c:cat>
          <c:val>
            <c:numRef>
              <c:f>'Resume Graph 10'!$U$22:$U$27</c:f>
              <c:numCache>
                <c:formatCode>0.0000000000</c:formatCode>
                <c:ptCount val="6"/>
                <c:pt idx="0">
                  <c:v>655.08153860000004</c:v>
                </c:pt>
                <c:pt idx="1">
                  <c:v>655.08153860000004</c:v>
                </c:pt>
                <c:pt idx="2">
                  <c:v>655.08153860000004</c:v>
                </c:pt>
                <c:pt idx="3">
                  <c:v>655.08153860000004</c:v>
                </c:pt>
                <c:pt idx="4">
                  <c:v>655.08153860000004</c:v>
                </c:pt>
                <c:pt idx="5">
                  <c:v>655.08153860000004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76-477C-9452-3078C3912E6A}"/>
            </c:ext>
          </c:extLst>
        </c:ser>
        <c:ser>
          <c:idx val="8"/>
          <c:order val="5"/>
          <c:tx>
            <c:strRef>
              <c:f>'Resume Graph 10'!$V$21</c:f>
              <c:strCache>
                <c:ptCount val="1"/>
                <c:pt idx="0">
                  <c:v>ILP_10⁴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cat>
            <c:multiLvlStrRef>
              <c:f>'Tempo de Execução'!#REF!</c:f>
            </c:multiLvlStrRef>
          </c:cat>
          <c:val>
            <c:numRef>
              <c:f>'Resume Graph 10'!$V$22:$V$27</c:f>
              <c:numCache>
                <c:formatCode>0.0000000000</c:formatCode>
                <c:ptCount val="6"/>
                <c:pt idx="0">
                  <c:v>3815.1011147999998</c:v>
                </c:pt>
                <c:pt idx="1">
                  <c:v>3815.1011147999998</c:v>
                </c:pt>
                <c:pt idx="2">
                  <c:v>3815.1011147999998</c:v>
                </c:pt>
                <c:pt idx="3">
                  <c:v>3815.1011147999998</c:v>
                </c:pt>
                <c:pt idx="4">
                  <c:v>3815.1011147999998</c:v>
                </c:pt>
                <c:pt idx="5">
                  <c:v>3815.1011147999998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76-477C-9452-3078C3912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9.9999999999999995E-7"/>
        <c:auto val="0"/>
        <c:lblAlgn val="ctr"/>
        <c:lblOffset val="0"/>
        <c:noMultiLvlLbl val="0"/>
      </c:catAx>
      <c:valAx>
        <c:axId val="139410912"/>
        <c:scaling>
          <c:logBase val="100"/>
          <c:orientation val="minMax"/>
          <c:max val="10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Runtime (s)</a:t>
                </a:r>
              </a:p>
            </c:rich>
          </c:tx>
          <c:layout>
            <c:manualLayout>
              <c:xMode val="edge"/>
              <c:yMode val="edge"/>
              <c:x val="1.7491666666666669E-3"/>
              <c:y val="0.286262777777777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E+0" sourceLinked="0"/>
        <c:majorTickMark val="cross"/>
        <c:minorTickMark val="none"/>
        <c:tickLblPos val="low"/>
        <c:spPr>
          <a:noFill/>
          <a:ln w="12700" cap="sq"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At val="1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14379787836334357"/>
          <c:y val="0.92658111111111108"/>
          <c:w val="0.74086374199149718"/>
          <c:h val="7.341899970836979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4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44598765432099"/>
          <c:y val="3.8147191118767347E-2"/>
          <c:w val="0.6820222222222222"/>
          <c:h val="0.7909689238888205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'Resume Graph 10'!$K$40</c:f>
              <c:strCache>
                <c:ptCount val="1"/>
                <c:pt idx="0">
                  <c:v>10²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10'!$Q$41:$Q$46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13.661600478372293</c:v>
                  </c:pt>
                  <c:pt idx="3">
                    <c:v>9.0524155468960998</c:v>
                  </c:pt>
                  <c:pt idx="4">
                    <c:v>9.3353739751455578</c:v>
                  </c:pt>
                </c:numCache>
              </c:numRef>
            </c:plus>
            <c:minus>
              <c:numRef>
                <c:f>'Resume Graph 10'!$N$41:$N$46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13.661600478372293</c:v>
                  </c:pt>
                  <c:pt idx="3">
                    <c:v>9.0524155468960998</c:v>
                  </c:pt>
                  <c:pt idx="4">
                    <c:v>9.3353739751455578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10'!$K$41:$K$46</c:f>
              <c:numCache>
                <c:formatCode>0.0000000000</c:formatCode>
                <c:ptCount val="6"/>
                <c:pt idx="1">
                  <c:v>3559.3359300000002</c:v>
                </c:pt>
                <c:pt idx="2">
                  <c:v>3816.9707883999999</c:v>
                </c:pt>
                <c:pt idx="3">
                  <c:v>3470.8368077999994</c:v>
                </c:pt>
                <c:pt idx="4">
                  <c:v>3465.2804402999991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0-494C-BB8F-987A6BC41792}"/>
            </c:ext>
          </c:extLst>
        </c:ser>
        <c:ser>
          <c:idx val="4"/>
          <c:order val="1"/>
          <c:tx>
            <c:strRef>
              <c:f>'Resume Graph 10'!$L$40</c:f>
              <c:strCache>
                <c:ptCount val="1"/>
                <c:pt idx="0">
                  <c:v>10³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10'!$R$41:$R$46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14.502122619582224</c:v>
                  </c:pt>
                  <c:pt idx="3">
                    <c:v>466.4743544657249</c:v>
                  </c:pt>
                  <c:pt idx="4">
                    <c:v>547.81264010963787</c:v>
                  </c:pt>
                </c:numCache>
              </c:numRef>
            </c:plus>
            <c:minus>
              <c:numRef>
                <c:f>'Resume Graph 10'!$O$41:$O$46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14.502122619582224</c:v>
                  </c:pt>
                  <c:pt idx="3">
                    <c:v>466.4743544657249</c:v>
                  </c:pt>
                  <c:pt idx="4">
                    <c:v>547.81264010963787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10'!$L$41:$L$46</c:f>
              <c:numCache>
                <c:formatCode>0.0000000000</c:formatCode>
                <c:ptCount val="6"/>
                <c:pt idx="1">
                  <c:v>55440.238019999997</c:v>
                </c:pt>
                <c:pt idx="2">
                  <c:v>55353.292138199991</c:v>
                </c:pt>
                <c:pt idx="3">
                  <c:v>53589.225162399998</c:v>
                </c:pt>
                <c:pt idx="4">
                  <c:v>53268.453663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0-494C-BB8F-987A6BC41792}"/>
            </c:ext>
          </c:extLst>
        </c:ser>
        <c:ser>
          <c:idx val="5"/>
          <c:order val="2"/>
          <c:tx>
            <c:strRef>
              <c:f>'Resume Graph 10'!$M$40</c:f>
              <c:strCache>
                <c:ptCount val="1"/>
                <c:pt idx="0">
                  <c:v>10⁴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10'!$S$41:$S$46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48.602366542327218</c:v>
                  </c:pt>
                  <c:pt idx="3">
                    <c:v>28.95539769961033</c:v>
                  </c:pt>
                  <c:pt idx="4">
                    <c:v>34.744359118980356</c:v>
                  </c:pt>
                </c:numCache>
              </c:numRef>
            </c:plus>
            <c:minus>
              <c:numRef>
                <c:f>'Resume Graph 10'!$P$41:$P$46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48.602366542327218</c:v>
                  </c:pt>
                  <c:pt idx="3">
                    <c:v>28.95539769961033</c:v>
                  </c:pt>
                  <c:pt idx="4">
                    <c:v>34.744359118980356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10'!$M$41:$M$46</c:f>
              <c:numCache>
                <c:formatCode>0.0000000000</c:formatCode>
                <c:ptCount val="6"/>
                <c:pt idx="1">
                  <c:v>576696.82782999997</c:v>
                </c:pt>
                <c:pt idx="2">
                  <c:v>575813.63731239992</c:v>
                </c:pt>
                <c:pt idx="3">
                  <c:v>576473.6174797999</c:v>
                </c:pt>
                <c:pt idx="4">
                  <c:v>575179.31335640012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70-494C-BB8F-987A6BC41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6"/>
          <c:order val="3"/>
          <c:tx>
            <c:strRef>
              <c:f>'Resume Graph 10'!$T$40</c:f>
              <c:strCache>
                <c:ptCount val="1"/>
                <c:pt idx="0">
                  <c:v>ILP_10²</c:v>
                </c:pt>
              </c:strCache>
            </c:strRef>
          </c:tx>
          <c:spPr>
            <a:ln w="25400" cap="sq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10'!$T$41:$T$46</c:f>
              <c:numCache>
                <c:formatCode>0.0000000000</c:formatCode>
                <c:ptCount val="6"/>
                <c:pt idx="0">
                  <c:v>3504.9152199999999</c:v>
                </c:pt>
                <c:pt idx="1">
                  <c:v>3504.9152199999999</c:v>
                </c:pt>
                <c:pt idx="2">
                  <c:v>3504.9152199999999</c:v>
                </c:pt>
                <c:pt idx="3">
                  <c:v>3504.9152199999999</c:v>
                </c:pt>
                <c:pt idx="4">
                  <c:v>3504.9152199999999</c:v>
                </c:pt>
                <c:pt idx="5">
                  <c:v>3504.9152199999999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0-494C-BB8F-987A6BC41792}"/>
            </c:ext>
          </c:extLst>
        </c:ser>
        <c:ser>
          <c:idx val="7"/>
          <c:order val="4"/>
          <c:tx>
            <c:strRef>
              <c:f>'Resume Graph 10'!$U$40</c:f>
              <c:strCache>
                <c:ptCount val="1"/>
                <c:pt idx="0">
                  <c:v>ILP_10³</c:v>
                </c:pt>
              </c:strCache>
            </c:strRef>
          </c:tx>
          <c:spPr>
            <a:ln w="25400" cap="sq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10'!$U$41:$U$46</c:f>
              <c:numCache>
                <c:formatCode>0.0000000000</c:formatCode>
                <c:ptCount val="6"/>
                <c:pt idx="0">
                  <c:v>55314.036419999997</c:v>
                </c:pt>
                <c:pt idx="1">
                  <c:v>55314.036419999997</c:v>
                </c:pt>
                <c:pt idx="2">
                  <c:v>55314.036419999997</c:v>
                </c:pt>
                <c:pt idx="3">
                  <c:v>55314.036419999997</c:v>
                </c:pt>
                <c:pt idx="4">
                  <c:v>55314.036419999997</c:v>
                </c:pt>
                <c:pt idx="5">
                  <c:v>55314.036419999997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70-494C-BB8F-987A6BC41792}"/>
            </c:ext>
          </c:extLst>
        </c:ser>
        <c:ser>
          <c:idx val="8"/>
          <c:order val="5"/>
          <c:tx>
            <c:strRef>
              <c:f>'Resume Graph 10'!$V$40</c:f>
              <c:strCache>
                <c:ptCount val="1"/>
                <c:pt idx="0">
                  <c:v>ILP_10⁴</c:v>
                </c:pt>
              </c:strCache>
            </c:strRef>
          </c:tx>
          <c:spPr>
            <a:ln w="25400" cap="sq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10'!$V$41:$V$46</c:f>
              <c:numCache>
                <c:formatCode>0.0000000000</c:formatCode>
                <c:ptCount val="6"/>
                <c:pt idx="0">
                  <c:v>574009.13060999999</c:v>
                </c:pt>
                <c:pt idx="1">
                  <c:v>574009.13060999999</c:v>
                </c:pt>
                <c:pt idx="2">
                  <c:v>574009.13060999999</c:v>
                </c:pt>
                <c:pt idx="3">
                  <c:v>574009.13060999999</c:v>
                </c:pt>
                <c:pt idx="4">
                  <c:v>574009.13060999999</c:v>
                </c:pt>
                <c:pt idx="5">
                  <c:v>574009.13060999999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370-494C-BB8F-987A6BC41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logBase val="10"/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Total Cost</a:t>
                </a:r>
                <a:r>
                  <a:rPr lang="pt-BR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(€)</a:t>
                </a:r>
                <a:endParaRPr lang="pt-BR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7491666666666669E-3"/>
              <c:y val="0.25804055555555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At val="1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14732114219215353"/>
          <c:y val="0.9265810808963264"/>
          <c:w val="0.74106872163371695"/>
          <c:h val="6.97588888888888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451944444444443"/>
          <c:y val="4.0042202429315769E-2"/>
          <c:w val="0.71791759259259258"/>
          <c:h val="0.7909689238888205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'Resume Graph 10'!$K$59</c:f>
              <c:strCache>
                <c:ptCount val="1"/>
                <c:pt idx="0">
                  <c:v>10²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10'!$Q$60:$Q$65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1.7381941478560634</c:v>
                  </c:pt>
                  <c:pt idx="3">
                    <c:v>1.2636123073046974</c:v>
                  </c:pt>
                  <c:pt idx="4">
                    <c:v>1.737360589337527</c:v>
                  </c:pt>
                </c:numCache>
              </c:numRef>
            </c:plus>
            <c:minus>
              <c:numRef>
                <c:f>'Resume Graph 10'!$N$60:$N$65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1.7381941478560634</c:v>
                  </c:pt>
                  <c:pt idx="3">
                    <c:v>1.2636123073046974</c:v>
                  </c:pt>
                  <c:pt idx="4">
                    <c:v>1.737360589337527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10'!$K$60:$K$65</c:f>
              <c:numCache>
                <c:formatCode>0.0000000000</c:formatCode>
                <c:ptCount val="6"/>
                <c:pt idx="1">
                  <c:v>214.81287499999999</c:v>
                </c:pt>
                <c:pt idx="2">
                  <c:v>213.66835075999995</c:v>
                </c:pt>
                <c:pt idx="3">
                  <c:v>184.04933973000004</c:v>
                </c:pt>
                <c:pt idx="4">
                  <c:v>208.29263733000005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6-4E94-8042-A6A2963C4AC2}"/>
            </c:ext>
          </c:extLst>
        </c:ser>
        <c:ser>
          <c:idx val="4"/>
          <c:order val="1"/>
          <c:tx>
            <c:strRef>
              <c:f>'Resume Graph 10'!$L$59</c:f>
              <c:strCache>
                <c:ptCount val="1"/>
                <c:pt idx="0">
                  <c:v>10³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10'!$R$60:$R$65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1.4089423104390733</c:v>
                  </c:pt>
                  <c:pt idx="3">
                    <c:v>2.5409224332914846</c:v>
                  </c:pt>
                  <c:pt idx="4">
                    <c:v>5.3885601914245456</c:v>
                  </c:pt>
                </c:numCache>
              </c:numRef>
            </c:plus>
            <c:minus>
              <c:numRef>
                <c:f>'Resume Graph 10'!$O$60:$O$65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1.4089423104390733</c:v>
                  </c:pt>
                  <c:pt idx="3">
                    <c:v>2.5409224332914846</c:v>
                  </c:pt>
                  <c:pt idx="4">
                    <c:v>5.3885601914245456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10'!$L$60:$L$65</c:f>
              <c:numCache>
                <c:formatCode>0.0000000000</c:formatCode>
                <c:ptCount val="6"/>
                <c:pt idx="1">
                  <c:v>203.406711</c:v>
                </c:pt>
                <c:pt idx="2">
                  <c:v>194.55707678000002</c:v>
                </c:pt>
                <c:pt idx="3">
                  <c:v>173.86866466999999</c:v>
                </c:pt>
                <c:pt idx="4">
                  <c:v>183.10107070999999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6-4E94-8042-A6A2963C4AC2}"/>
            </c:ext>
          </c:extLst>
        </c:ser>
        <c:ser>
          <c:idx val="5"/>
          <c:order val="2"/>
          <c:tx>
            <c:strRef>
              <c:f>'Resume Graph 10'!$M$59</c:f>
              <c:strCache>
                <c:ptCount val="1"/>
                <c:pt idx="0">
                  <c:v>10⁴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10'!$S$60:$S$65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0.91434252956941009</c:v>
                  </c:pt>
                  <c:pt idx="3">
                    <c:v>1.4339677011606113</c:v>
                  </c:pt>
                  <c:pt idx="4">
                    <c:v>1.2411661910578289</c:v>
                  </c:pt>
                </c:numCache>
              </c:numRef>
            </c:plus>
            <c:minus>
              <c:numRef>
                <c:f>'Resume Graph 10'!$P$60:$P$65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0.91434252956941009</c:v>
                  </c:pt>
                  <c:pt idx="3">
                    <c:v>1.4339677011606113</c:v>
                  </c:pt>
                  <c:pt idx="4">
                    <c:v>1.2411661910578289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10'!$M$60:$M$65</c:f>
              <c:numCache>
                <c:formatCode>0.0000000000</c:formatCode>
                <c:ptCount val="6"/>
                <c:pt idx="1">
                  <c:v>203.10889499999999</c:v>
                </c:pt>
                <c:pt idx="2">
                  <c:v>172.57158922000002</c:v>
                </c:pt>
                <c:pt idx="3">
                  <c:v>195.17000895999993</c:v>
                </c:pt>
                <c:pt idx="4">
                  <c:v>169.70836320000001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6-4E94-8042-A6A2963C4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0"/>
          <c:order val="3"/>
          <c:tx>
            <c:strRef>
              <c:f>'Resume Graph 10'!$T$59</c:f>
              <c:strCache>
                <c:ptCount val="1"/>
                <c:pt idx="0">
                  <c:v>ILP_10²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-1.437226195394257E-16"/>
                  <c:y val="-0.190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noFill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C6-4E94-8042-A6A2963C4A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'Resume Graph 10'!$T$60:$T$65</c:f>
              <c:numCache>
                <c:formatCode>0.0000000000</c:formatCode>
                <c:ptCount val="6"/>
                <c:pt idx="0">
                  <c:v>168.152759</c:v>
                </c:pt>
                <c:pt idx="1">
                  <c:v>168.152759</c:v>
                </c:pt>
                <c:pt idx="2">
                  <c:v>168.152759</c:v>
                </c:pt>
                <c:pt idx="3">
                  <c:v>168.152759</c:v>
                </c:pt>
                <c:pt idx="4">
                  <c:v>168.152759</c:v>
                </c:pt>
                <c:pt idx="5">
                  <c:v>168.152759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C6-4E94-8042-A6A2963C4AC2}"/>
            </c:ext>
          </c:extLst>
        </c:ser>
        <c:ser>
          <c:idx val="1"/>
          <c:order val="4"/>
          <c:tx>
            <c:strRef>
              <c:f>'Resume Graph 10'!$U$59</c:f>
              <c:strCache>
                <c:ptCount val="1"/>
                <c:pt idx="0">
                  <c:v>ILP_10³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val>
            <c:numRef>
              <c:f>'Resume Graph 10'!$U$60:$U$65</c:f>
              <c:numCache>
                <c:formatCode>0.0000000000</c:formatCode>
                <c:ptCount val="6"/>
                <c:pt idx="0">
                  <c:v>152.76427699999999</c:v>
                </c:pt>
                <c:pt idx="1">
                  <c:v>152.76427699999999</c:v>
                </c:pt>
                <c:pt idx="2">
                  <c:v>152.76427699999999</c:v>
                </c:pt>
                <c:pt idx="3">
                  <c:v>152.76427699999999</c:v>
                </c:pt>
                <c:pt idx="4">
                  <c:v>152.76427699999999</c:v>
                </c:pt>
                <c:pt idx="5">
                  <c:v>152.76427699999999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C6-4E94-8042-A6A2963C4AC2}"/>
            </c:ext>
          </c:extLst>
        </c:ser>
        <c:ser>
          <c:idx val="2"/>
          <c:order val="5"/>
          <c:tx>
            <c:strRef>
              <c:f>'Resume Graph 10'!$V$59</c:f>
              <c:strCache>
                <c:ptCount val="1"/>
                <c:pt idx="0">
                  <c:v>ILP_10⁴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-1.3719135802469137E-2"/>
                  <c:y val="0.253999999999999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noFill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6204938271604937E-2"/>
                      <c:h val="0.1761772222222222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6C6-4E94-8042-A6A2963C4A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'Resume Graph 10'!$V$60:$V$65</c:f>
              <c:numCache>
                <c:formatCode>0.0000000000</c:formatCode>
                <c:ptCount val="6"/>
                <c:pt idx="0">
                  <c:v>112.676382</c:v>
                </c:pt>
                <c:pt idx="1">
                  <c:v>112.676382</c:v>
                </c:pt>
                <c:pt idx="2">
                  <c:v>112.676382</c:v>
                </c:pt>
                <c:pt idx="3">
                  <c:v>112.676382</c:v>
                </c:pt>
                <c:pt idx="4">
                  <c:v>112.676382</c:v>
                </c:pt>
                <c:pt idx="5">
                  <c:v>112.676382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6C6-4E94-8042-A6A2963C4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b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>
                    <a:ln>
                      <a:noFill/>
                    </a:ln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Average </a:t>
                </a:r>
                <a:r>
                  <a:rPr lang="pt-BR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Delay (ms)</a:t>
                </a:r>
                <a:endParaRPr lang="pt-BR">
                  <a:ln>
                    <a:noFill/>
                  </a:ln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7680555555555555E-3"/>
              <c:y val="0.17916166666666666"/>
            </c:manualLayout>
          </c:layout>
          <c:overlay val="0"/>
          <c:spPr>
            <a:noFill/>
            <a:ln w="6350">
              <a:noFill/>
            </a:ln>
            <a:effectLst/>
          </c:spPr>
          <c:txPr>
            <a:bodyPr rot="-5400000" spcFirstLastPara="1" vertOverflow="ellipsis" vert="horz" wrap="square" anchor="b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12700" cap="sq"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At val="1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14521757510179914"/>
          <c:y val="0.9265810808963264"/>
          <c:w val="0.72085073145603917"/>
          <c:h val="7.341899970836979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2</xdr:col>
          <xdr:colOff>4295775</xdr:colOff>
          <xdr:row>0</xdr:row>
          <xdr:rowOff>600075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Gerar Resumo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47625</xdr:rowOff>
        </xdr:from>
        <xdr:to>
          <xdr:col>9</xdr:col>
          <xdr:colOff>752475</xdr:colOff>
          <xdr:row>0</xdr:row>
          <xdr:rowOff>561975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Gerar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42</xdr:col>
      <xdr:colOff>203200</xdr:colOff>
      <xdr:row>10</xdr:row>
      <xdr:rowOff>53975</xdr:rowOff>
    </xdr:from>
    <xdr:to>
      <xdr:col>51</xdr:col>
      <xdr:colOff>27900</xdr:colOff>
      <xdr:row>25</xdr:row>
      <xdr:rowOff>132400</xdr:rowOff>
    </xdr:to>
    <xdr:graphicFrame macro="">
      <xdr:nvGraphicFramePr>
        <xdr:cNvPr id="14" name="Taxa de Aceitação (%)">
          <a:extLst>
            <a:ext uri="{FF2B5EF4-FFF2-40B4-BE49-F238E27FC236}">
              <a16:creationId xmlns:a16="http://schemas.microsoft.com/office/drawing/2014/main" id="{6DE78715-5F6A-4B1F-C7BE-026D08D46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599870</xdr:colOff>
      <xdr:row>41</xdr:row>
      <xdr:rowOff>135705</xdr:rowOff>
    </xdr:from>
    <xdr:to>
      <xdr:col>51</xdr:col>
      <xdr:colOff>427745</xdr:colOff>
      <xdr:row>57</xdr:row>
      <xdr:rowOff>64905</xdr:rowOff>
    </xdr:to>
    <xdr:graphicFrame macro="">
      <xdr:nvGraphicFramePr>
        <xdr:cNvPr id="15" name="Tempo de Execução (s)">
          <a:extLst>
            <a:ext uri="{FF2B5EF4-FFF2-40B4-BE49-F238E27FC236}">
              <a16:creationId xmlns:a16="http://schemas.microsoft.com/office/drawing/2014/main" id="{359CDDDC-21DC-4089-CF53-67297DAAB3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393700</xdr:colOff>
      <xdr:row>81</xdr:row>
      <xdr:rowOff>111125</xdr:rowOff>
    </xdr:from>
    <xdr:to>
      <xdr:col>51</xdr:col>
      <xdr:colOff>221575</xdr:colOff>
      <xdr:row>97</xdr:row>
      <xdr:rowOff>40325</xdr:rowOff>
    </xdr:to>
    <xdr:graphicFrame macro="">
      <xdr:nvGraphicFramePr>
        <xdr:cNvPr id="16" name="Custo Total ($)">
          <a:extLst>
            <a:ext uri="{FF2B5EF4-FFF2-40B4-BE49-F238E27FC236}">
              <a16:creationId xmlns:a16="http://schemas.microsoft.com/office/drawing/2014/main" id="{AD0BB002-4C3A-567C-329F-FFE19263B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47625</xdr:rowOff>
        </xdr:from>
        <xdr:to>
          <xdr:col>10</xdr:col>
          <xdr:colOff>542925</xdr:colOff>
          <xdr:row>0</xdr:row>
          <xdr:rowOff>561975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Gerar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203200</xdr:colOff>
      <xdr:row>3</xdr:row>
      <xdr:rowOff>63500</xdr:rowOff>
    </xdr:from>
    <xdr:to>
      <xdr:col>52</xdr:col>
      <xdr:colOff>31075</xdr:colOff>
      <xdr:row>18</xdr:row>
      <xdr:rowOff>154625</xdr:rowOff>
    </xdr:to>
    <xdr:graphicFrame macro="">
      <xdr:nvGraphicFramePr>
        <xdr:cNvPr id="11" name="Taxa de Aceitação (%)">
          <a:extLst>
            <a:ext uri="{FF2B5EF4-FFF2-40B4-BE49-F238E27FC236}">
              <a16:creationId xmlns:a16="http://schemas.microsoft.com/office/drawing/2014/main" id="{83C7E15D-090F-F758-5783-3764926721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307975</xdr:colOff>
      <xdr:row>43</xdr:row>
      <xdr:rowOff>82550</xdr:rowOff>
    </xdr:from>
    <xdr:to>
      <xdr:col>52</xdr:col>
      <xdr:colOff>135850</xdr:colOff>
      <xdr:row>59</xdr:row>
      <xdr:rowOff>11750</xdr:rowOff>
    </xdr:to>
    <xdr:graphicFrame macro="">
      <xdr:nvGraphicFramePr>
        <xdr:cNvPr id="12" name="Tempo de Execução (s)">
          <a:extLst>
            <a:ext uri="{FF2B5EF4-FFF2-40B4-BE49-F238E27FC236}">
              <a16:creationId xmlns:a16="http://schemas.microsoft.com/office/drawing/2014/main" id="{1F40BF75-E7C0-729A-A63D-63ED424F35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98425</xdr:colOff>
      <xdr:row>81</xdr:row>
      <xdr:rowOff>101600</xdr:rowOff>
    </xdr:from>
    <xdr:to>
      <xdr:col>51</xdr:col>
      <xdr:colOff>545425</xdr:colOff>
      <xdr:row>97</xdr:row>
      <xdr:rowOff>30800</xdr:rowOff>
    </xdr:to>
    <xdr:graphicFrame macro="">
      <xdr:nvGraphicFramePr>
        <xdr:cNvPr id="13" name="Custo Total ($)">
          <a:extLst>
            <a:ext uri="{FF2B5EF4-FFF2-40B4-BE49-F238E27FC236}">
              <a16:creationId xmlns:a16="http://schemas.microsoft.com/office/drawing/2014/main" id="{882B50A2-E78A-B5B1-EC7E-4A510A58B8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170318</xdr:colOff>
      <xdr:row>6</xdr:row>
      <xdr:rowOff>20427</xdr:rowOff>
    </xdr:from>
    <xdr:to>
      <xdr:col>28</xdr:col>
      <xdr:colOff>298818</xdr:colOff>
      <xdr:row>17</xdr:row>
      <xdr:rowOff>4327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7E63E37-8006-43F3-B53D-1A489D83F7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293460</xdr:colOff>
      <xdr:row>24</xdr:row>
      <xdr:rowOff>49892</xdr:rowOff>
    </xdr:from>
    <xdr:to>
      <xdr:col>28</xdr:col>
      <xdr:colOff>421960</xdr:colOff>
      <xdr:row>35</xdr:row>
      <xdr:rowOff>33792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D563A3D-45EE-47E6-A044-0C390C5DC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23</xdr:col>
      <xdr:colOff>163284</xdr:colOff>
      <xdr:row>42</xdr:row>
      <xdr:rowOff>41501</xdr:rowOff>
    </xdr:from>
    <xdr:to>
      <xdr:col>28</xdr:col>
      <xdr:colOff>291784</xdr:colOff>
      <xdr:row>53</xdr:row>
      <xdr:rowOff>25401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EAE0408-83AA-4348-984C-E0B6E3057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490187</xdr:colOff>
      <xdr:row>62</xdr:row>
      <xdr:rowOff>1813</xdr:rowOff>
    </xdr:from>
    <xdr:to>
      <xdr:col>28</xdr:col>
      <xdr:colOff>618687</xdr:colOff>
      <xdr:row>72</xdr:row>
      <xdr:rowOff>150813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3BCC40C-6C0C-4788-A4D5-022D4B72D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0.9074</cdr:x>
      <cdr:y>0.68248</cdr:y>
    </cdr:from>
    <cdr:to>
      <cdr:x>1</cdr:x>
      <cdr:y>0.76735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377427C-9DC2-D7FD-FCED-42786C739780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228466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377427C-9DC2-D7FD-FCED-42786C739780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228466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ILP_(10^3)^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0.4468</cdr:y>
    </cdr:from>
    <cdr:to>
      <cdr:x>1</cdr:x>
      <cdr:y>0.53167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8F866777-BFC7-3277-DB9A-897F7B67633F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80424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8F866777-BFC7-3277-DB9A-897F7B67633F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80424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ILP_(10^2)^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0.04219</cdr:y>
    </cdr:from>
    <cdr:to>
      <cdr:x>1</cdr:x>
      <cdr:y>0.12706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DE68A8F-B93B-9310-56D3-4BB354FEDAA5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7594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4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DE68A8F-B93B-9310-56D3-4BB354FEDAA5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7594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ILP_(10^1)^∗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0.9074</cdr:x>
      <cdr:y>0.18344</cdr:y>
    </cdr:from>
    <cdr:to>
      <cdr:x>1</cdr:x>
      <cdr:y>0.26831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A098869-65DD-C20B-6F03-03A77AB50FB3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3302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4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A098869-65DD-C20B-6F03-03A77AB50FB3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3302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ILP_(10^1)^∗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0.08467</cdr:y>
    </cdr:from>
    <cdr:to>
      <cdr:x>1</cdr:x>
      <cdr:y>0.16954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7515B85-73E1-CAD4-B2C5-444B0DFE0DCC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524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7515B85-73E1-CAD4-B2C5-444B0DFE0DCC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524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ILP_(10^2)^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</cdr:y>
    </cdr:from>
    <cdr:to>
      <cdr:x>1</cdr:x>
      <cdr:y>0.08487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9AD806E3-A186-5CCA-2184-5610E2612C93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9AD806E3-A186-5CCA-2184-5610E2612C93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ILP_(10^3)^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0.9074</cdr:x>
      <cdr:y>0.39864</cdr:y>
    </cdr:from>
    <cdr:to>
      <cdr:x>1</cdr:x>
      <cdr:y>0.48351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157BD70-ED23-4E98-3F24-821FFD329A72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717554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157BD70-ED23-4E98-3F24-821FFD329A72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717554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ILP_(10^1)^∗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0.14112</cdr:y>
    </cdr:from>
    <cdr:to>
      <cdr:x>1</cdr:x>
      <cdr:y>0.22599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25400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6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25400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ILP_(10^2)^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0.02116</cdr:y>
    </cdr:from>
    <cdr:to>
      <cdr:x>1</cdr:x>
      <cdr:y>0.10603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38094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38094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ILP_(10^3)^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0.9074</cdr:x>
      <cdr:y>0.05644</cdr:y>
    </cdr:from>
    <cdr:to>
      <cdr:x>1</cdr:x>
      <cdr:y>0.14131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157BD70-ED23-4E98-3F24-821FFD329A72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016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157BD70-ED23-4E98-3F24-821FFD329A72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016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ILP_(10^1)^∗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0.27517</cdr:y>
    </cdr:from>
    <cdr:to>
      <cdr:x>1</cdr:x>
      <cdr:y>0.36004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4953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4953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ILP_(10^2)^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0.53975</cdr:y>
    </cdr:from>
    <cdr:to>
      <cdr:x>1</cdr:x>
      <cdr:y>0.62462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97155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97155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ILP_(10^3)^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482D82FA-A00A-4B9C-89A9-9214D2C3FFCB}" autoFormatId="16" applyNumberFormats="0" applyBorderFormats="0" applyFontFormats="0" applyPatternFormats="0" applyAlignmentFormats="0" applyWidthHeightFormats="0">
  <queryTableRefresh nextId="52">
    <queryTableFields count="19">
      <queryTableField id="23" name="Paradigm" tableColumnId="2"/>
      <queryTableField id="1" name="Algorithm" tableColumnId="1"/>
      <queryTableField id="24" name="Run" tableColumnId="3"/>
      <queryTableField id="4" name="Devices" tableColumnId="4"/>
      <queryTableField id="25" name="Servers_EC" tableColumnId="5"/>
      <queryTableField id="26" name="Servers_CC" tableColumnId="6"/>
      <queryTableField id="27" name="Max_cost" tableColumnId="7"/>
      <queryTableField id="28" name="Execution_time" tableColumnId="8"/>
      <queryTableField id="29" name="Devices_served" tableColumnId="9"/>
      <queryTableField id="30" name="Devices_served_ec" tableColumnId="10"/>
      <queryTableField id="31" name="Devices_served_cc" tableColumnId="11"/>
      <queryTableField id="32" name="Servers_used" tableColumnId="12"/>
      <queryTableField id="33" name="Servers_used_ec" tableColumnId="13"/>
      <queryTableField id="34" name="Servers_used_cc" tableColumnId="14"/>
      <queryTableField id="35" name="Total_cost" tableColumnId="15"/>
      <queryTableField id="19" name="Status" tableColumnId="19"/>
      <queryTableField id="36" name="Obj_Function" tableColumnId="16"/>
      <queryTableField id="21" name="GAP" tableColumnId="21"/>
      <queryTableField id="51" name="Fixed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5" xr16:uid="{BE8B5FAD-8FDD-4362-85BF-12D10C5E882F}" autoFormatId="16" applyNumberFormats="0" applyBorderFormats="0" applyFontFormats="0" applyPatternFormats="0" applyAlignmentFormats="0" applyWidthHeightFormats="0">
  <queryTableRefresh nextId="36">
    <queryTableFields count="16">
      <queryTableField id="20" name="Paradigm" tableColumnId="2"/>
      <queryTableField id="1" name="Algorithm" tableColumnId="1"/>
      <queryTableField id="21" name="Run" tableColumnId="3"/>
      <queryTableField id="4" name="Devices" tableColumnId="4"/>
      <queryTableField id="22" name="Servers_EC" tableColumnId="5"/>
      <queryTableField id="23" name="Servers_CC" tableColumnId="6"/>
      <queryTableField id="24" name="Max_cost" tableColumnId="7"/>
      <queryTableField id="25" name="Execution_time" tableColumnId="8"/>
      <queryTableField id="26" name="Devices_served" tableColumnId="9"/>
      <queryTableField id="27" name="Devices_served_ec" tableColumnId="10"/>
      <queryTableField id="28" name="Devices_served_cc" tableColumnId="11"/>
      <queryTableField id="29" name="Servers_used" tableColumnId="12"/>
      <queryTableField id="30" name="Servers_used_ec" tableColumnId="13"/>
      <queryTableField id="31" name="Servers_used_cc" tableColumnId="14"/>
      <queryTableField id="32" name="Total_cost" tableColumnId="15"/>
      <queryTableField id="35" name="Fixe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6" xr16:uid="{2F1FC03A-CF9D-47A3-8132-FA407FA5990C}" autoFormatId="16" applyNumberFormats="0" applyBorderFormats="0" applyFontFormats="0" applyPatternFormats="0" applyAlignmentFormats="0" applyWidthHeightFormats="0">
  <queryTableRefresh nextId="51">
    <queryTableFields count="19">
      <queryTableField id="22" name="Paradigm" tableColumnId="2"/>
      <queryTableField id="1" name="Algorithm" tableColumnId="1"/>
      <queryTableField id="23" name="Run" tableColumnId="3"/>
      <queryTableField id="4" name="Devices" tableColumnId="4"/>
      <queryTableField id="24" name="Servers_EC" tableColumnId="5"/>
      <queryTableField id="25" name="Servers_CC" tableColumnId="6"/>
      <queryTableField id="26" name="Max_cost" tableColumnId="7"/>
      <queryTableField id="27" name="Execution_time" tableColumnId="8"/>
      <queryTableField id="28" name="Devices_served" tableColumnId="9"/>
      <queryTableField id="29" name="Devices_served_ec" tableColumnId="10"/>
      <queryTableField id="30" name="Devices_served_cc" tableColumnId="11"/>
      <queryTableField id="31" name="Servers_used" tableColumnId="12"/>
      <queryTableField id="32" name="Servers_used_ec" tableColumnId="13"/>
      <queryTableField id="33" name="Servers_used_cc" tableColumnId="14"/>
      <queryTableField id="34" name="Total_cost" tableColumnId="15"/>
      <queryTableField id="35" name="Initial_Heuristic" tableColumnId="16"/>
      <queryTableField id="19" name="Temperature" tableColumnId="19"/>
      <queryTableField id="20" name="Alpha" tableColumnId="20"/>
      <queryTableField id="50" name="Fixed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FC7B36-B2C4-47CE-8FC4-F1037FAD661A}" name="Exact" displayName="Exact" ref="A1:S23" tableType="queryTable" totalsRowShown="0">
  <autoFilter ref="A1:S23" xr:uid="{0BFC7B36-B2C4-47CE-8FC4-F1037FAD661A}"/>
  <sortState xmlns:xlrd2="http://schemas.microsoft.com/office/spreadsheetml/2017/richdata2" ref="A2:S23">
    <sortCondition descending="1" ref="S1:S23"/>
  </sortState>
  <tableColumns count="19">
    <tableColumn id="2" xr3:uid="{9A93F26D-783E-452E-88C0-E9D97746B31C}" uniqueName="2" name="Paradigm" queryTableFieldId="23" dataDxfId="8"/>
    <tableColumn id="1" xr3:uid="{41D6D64E-A111-4981-AEFA-064D3DC39B5D}" uniqueName="1" name="Algorithm" queryTableFieldId="1" dataDxfId="7"/>
    <tableColumn id="3" xr3:uid="{5420BE73-1447-47C4-AD19-2EC7347E4F80}" uniqueName="3" name="Run" queryTableFieldId="24"/>
    <tableColumn id="4" xr3:uid="{7C5EFB90-81A0-489C-8951-0F8CD8964DD0}" uniqueName="4" name="Devices" queryTableFieldId="4"/>
    <tableColumn id="5" xr3:uid="{D0141DAB-79C7-405D-8585-AB74D6D5B0D7}" uniqueName="5" name="Servers_EC" queryTableFieldId="25"/>
    <tableColumn id="6" xr3:uid="{C53597AA-1526-4A30-B258-F42A2DFC0FFB}" uniqueName="6" name="Servers_CC" queryTableFieldId="26"/>
    <tableColumn id="7" xr3:uid="{99427EBF-2DEF-45CD-8B99-AA1EA37F5204}" uniqueName="7" name="Max_cost" queryTableFieldId="27"/>
    <tableColumn id="8" xr3:uid="{76A177EA-26BB-4166-90A4-A681DFF45B9E}" uniqueName="8" name="Execution_time" queryTableFieldId="28"/>
    <tableColumn id="9" xr3:uid="{EC761AE3-3A7B-4078-801F-C88D1CEDD1BC}" uniqueName="9" name="Devices_served" queryTableFieldId="29"/>
    <tableColumn id="10" xr3:uid="{6FAAAC19-4CF7-4F7E-8693-C9BC5FC94B25}" uniqueName="10" name="Devices_served_ec" queryTableFieldId="30"/>
    <tableColumn id="11" xr3:uid="{C9452B38-B8D5-4CD8-BC7B-49FB7068FC51}" uniqueName="11" name="Devices_served_cc" queryTableFieldId="31"/>
    <tableColumn id="12" xr3:uid="{2D135765-7D1E-4E82-A0A4-759528BD3363}" uniqueName="12" name="Servers_used" queryTableFieldId="32"/>
    <tableColumn id="13" xr3:uid="{C84E24DB-7AF3-49A2-948A-2F8DC5C6C39E}" uniqueName="13" name="Servers_used_ec" queryTableFieldId="33"/>
    <tableColumn id="14" xr3:uid="{DB46BE3E-CB6F-4919-B3A0-F0C5529E0F8C}" uniqueName="14" name="Servers_used_cc" queryTableFieldId="34"/>
    <tableColumn id="15" xr3:uid="{EEA40C9A-DB03-4D19-BFA7-32A7299F34D6}" uniqueName="15" name="Total_cost" queryTableFieldId="35"/>
    <tableColumn id="19" xr3:uid="{D3E8465F-DF5B-4B60-9EBD-CE9ED2150662}" uniqueName="19" name="Status" queryTableFieldId="19" dataDxfId="6"/>
    <tableColumn id="16" xr3:uid="{002291CC-ECD7-43AE-88A9-E910A763E436}" uniqueName="16" name="Obj_Function" queryTableFieldId="36"/>
    <tableColumn id="21" xr3:uid="{97D4956C-0920-4EC8-8266-B757BFC000EC}" uniqueName="21" name="Gap" queryTableFieldId="21" dataDxfId="5"/>
    <tableColumn id="17" xr3:uid="{2D45A50D-7876-4F06-99D7-7772889A31C0}" uniqueName="17" name="Fixed" queryTableFieldId="5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8318AC-A5DD-4F32-9E71-D7F65891D105}" name="Heuristic" displayName="Heuristic" ref="A1:P2223" tableType="queryTable" totalsRowShown="0">
  <autoFilter ref="A1:P2223" xr:uid="{418318AC-A5DD-4F32-9E71-D7F65891D105}"/>
  <sortState xmlns:xlrd2="http://schemas.microsoft.com/office/spreadsheetml/2017/richdata2" ref="A2:P2223">
    <sortCondition descending="1" ref="H1:H2223"/>
  </sortState>
  <tableColumns count="16">
    <tableColumn id="2" xr3:uid="{749429AE-A511-41B3-B3B8-5DD7FBA3C0EE}" uniqueName="2" name="Paradigm" queryTableFieldId="20" dataDxfId="1"/>
    <tableColumn id="1" xr3:uid="{408E6A26-8766-4916-9223-1D2CED350787}" uniqueName="1" name="Algorithm" queryTableFieldId="1" dataDxfId="0"/>
    <tableColumn id="3" xr3:uid="{B611B89D-A64A-4CAC-8064-C2EC54A7B42E}" uniqueName="3" name="Run" queryTableFieldId="21"/>
    <tableColumn id="4" xr3:uid="{3B978EBF-B7A6-4311-B437-F72E52D29DB5}" uniqueName="4" name="Devices" queryTableFieldId="4"/>
    <tableColumn id="5" xr3:uid="{5FFF2C9D-2C27-4374-9265-6A95D58F7986}" uniqueName="5" name="Servers_EC" queryTableFieldId="22"/>
    <tableColumn id="6" xr3:uid="{7EC6D25C-13E0-4246-A89F-D2A95B1006E5}" uniqueName="6" name="Servers_CC" queryTableFieldId="23"/>
    <tableColumn id="7" xr3:uid="{786E8001-97D4-40C6-966C-A043AF09F04B}" uniqueName="7" name="Max_cost" queryTableFieldId="24"/>
    <tableColumn id="8" xr3:uid="{664F9091-833A-42A5-B7B3-75B6179DC848}" uniqueName="8" name="Execution_time" queryTableFieldId="25"/>
    <tableColumn id="9" xr3:uid="{81FF2BA1-C969-465A-B268-49A2903A3F5A}" uniqueName="9" name="Devices_served" queryTableFieldId="26"/>
    <tableColumn id="10" xr3:uid="{CAE49E4D-E51D-4798-9029-AD03770D5E51}" uniqueName="10" name="Devices_served_ec" queryTableFieldId="27"/>
    <tableColumn id="11" xr3:uid="{D04705FE-195A-4620-BB3D-7C8FEF52C55E}" uniqueName="11" name="Devices_served_cc" queryTableFieldId="28"/>
    <tableColumn id="12" xr3:uid="{8BC7BE8E-C283-4C5A-B9A1-09527150523F}" uniqueName="12" name="Servers_used" queryTableFieldId="29"/>
    <tableColumn id="13" xr3:uid="{DD35A500-4B68-4306-832D-477735BD535A}" uniqueName="13" name="Servers_used_ec" queryTableFieldId="30"/>
    <tableColumn id="14" xr3:uid="{91A1B27B-7EA9-4954-BB5E-B5D1FA9FCD4A}" uniqueName="14" name="Servers_used_cc" queryTableFieldId="31"/>
    <tableColumn id="15" xr3:uid="{2FF730C6-8F75-47E0-B319-203CB73E668A}" uniqueName="15" name="Total_cost" queryTableFieldId="32"/>
    <tableColumn id="16" xr3:uid="{4C17B304-2171-4FB3-A542-2C2D9C4DEEF8}" uniqueName="16" name="Fixed" queryTableFieldId="3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FC9BFD-C17D-497A-B74E-C874DC70FDA2}" name="Metaheuristic" displayName="Metaheuristic" ref="A1:S3301" tableType="queryTable" totalsRowShown="0">
  <autoFilter ref="A1:S3301" xr:uid="{D4FC9BFD-C17D-497A-B74E-C874DC70FDA2}"/>
  <sortState xmlns:xlrd2="http://schemas.microsoft.com/office/spreadsheetml/2017/richdata2" ref="A2:S3301">
    <sortCondition descending="1" ref="H1:H3301"/>
  </sortState>
  <tableColumns count="19">
    <tableColumn id="2" xr3:uid="{933AB2A6-AD82-4B86-92D8-41EAE68D5A08}" uniqueName="2" name="Paradigm" queryTableFieldId="22" dataDxfId="4"/>
    <tableColumn id="1" xr3:uid="{3FA96AB3-1C07-4FD0-A6BB-08601388FD23}" uniqueName="1" name="Algorithm" queryTableFieldId="1" dataDxfId="3"/>
    <tableColumn id="3" xr3:uid="{1A00485A-16AD-4687-9ECA-5551CBEDB9AD}" uniqueName="3" name="Run" queryTableFieldId="23"/>
    <tableColumn id="4" xr3:uid="{22969DEE-179A-4506-9BE5-DC9217F7CF48}" uniqueName="4" name="Devices" queryTableFieldId="4"/>
    <tableColumn id="5" xr3:uid="{D63206B9-30AA-481F-A1F1-2EC3F8564472}" uniqueName="5" name="Servers_EC" queryTableFieldId="24"/>
    <tableColumn id="6" xr3:uid="{FF4C7E5A-EBF5-475C-AB57-2D6FDE6E9AC9}" uniqueName="6" name="Servers_CC" queryTableFieldId="25"/>
    <tableColumn id="7" xr3:uid="{82E76102-E847-4F1B-A793-6DDEEAF6EE16}" uniqueName="7" name="Max_cost" queryTableFieldId="26"/>
    <tableColumn id="8" xr3:uid="{59497CD1-4BEE-48FF-9489-B7DDA8D697D3}" uniqueName="8" name="Execution_time" queryTableFieldId="27"/>
    <tableColumn id="9" xr3:uid="{6E8613E8-CDFA-4D12-AF3D-9D2D08CF78DE}" uniqueName="9" name="Devices_served" queryTableFieldId="28"/>
    <tableColumn id="10" xr3:uid="{4F7267BE-0A55-4BAD-8FBA-7C97B7406FF9}" uniqueName="10" name="Devices_served_ec" queryTableFieldId="29"/>
    <tableColumn id="11" xr3:uid="{88006CA3-6086-476E-9988-C04D5D35429F}" uniqueName="11" name="Devices_served_cc" queryTableFieldId="30"/>
    <tableColumn id="12" xr3:uid="{FCBA91D1-3014-439C-B685-BF41B539B2F5}" uniqueName="12" name="Servers_used" queryTableFieldId="31"/>
    <tableColumn id="13" xr3:uid="{792170BA-D914-4B14-A216-432AE70126B7}" uniqueName="13" name="Servers_used_ec" queryTableFieldId="32"/>
    <tableColumn id="14" xr3:uid="{C4854139-B018-4A01-B77F-5673712B82EA}" uniqueName="14" name="Servers_used_cc" queryTableFieldId="33"/>
    <tableColumn id="15" xr3:uid="{94959F32-8DD2-4F5E-8309-4DFBD53864AA}" uniqueName="15" name="Total_cost" queryTableFieldId="34"/>
    <tableColumn id="16" xr3:uid="{02FE29B5-2CFA-4DE1-8B65-019F58050F4F}" uniqueName="16" name="Initial_Heuristic" queryTableFieldId="35" dataDxfId="2"/>
    <tableColumn id="19" xr3:uid="{3BFCC9F3-10A0-496F-BD33-8551C33D24FB}" uniqueName="19" name="Temperature" queryTableFieldId="19"/>
    <tableColumn id="20" xr3:uid="{E1178A6E-FCE5-46BE-B263-7B93CC41FBB6}" uniqueName="20" name="Alpha" queryTableFieldId="20"/>
    <tableColumn id="17" xr3:uid="{100544D5-A021-4985-B048-6E8A72BE00DD}" uniqueName="17" name="Fixed" queryTableFieldId="5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1188D-B22E-43C9-9259-5E00CB0DFF2F}">
  <sheetPr codeName="Planilha1"/>
  <dimension ref="A1:S23"/>
  <sheetViews>
    <sheetView topLeftCell="B1" zoomScaleNormal="100" workbookViewId="0">
      <selection activeCell="H6" sqref="H6"/>
    </sheetView>
  </sheetViews>
  <sheetFormatPr defaultRowHeight="12.75" x14ac:dyDescent="0.2"/>
  <cols>
    <col min="1" max="1" width="12.6640625" bestFit="1" customWidth="1"/>
    <col min="2" max="2" width="28.5" bestFit="1" customWidth="1"/>
    <col min="3" max="3" width="7.6640625" bestFit="1" customWidth="1"/>
    <col min="4" max="4" width="10.83203125" bestFit="1" customWidth="1"/>
    <col min="5" max="5" width="14.83203125" bestFit="1" customWidth="1"/>
    <col min="6" max="6" width="15.1640625" bestFit="1" customWidth="1"/>
    <col min="7" max="7" width="12.5" bestFit="1" customWidth="1"/>
    <col min="8" max="9" width="18" bestFit="1" customWidth="1"/>
    <col min="10" max="11" width="21.33203125" bestFit="1" customWidth="1"/>
    <col min="12" max="12" width="16.5" bestFit="1" customWidth="1"/>
    <col min="13" max="14" width="19.6640625" bestFit="1" customWidth="1"/>
    <col min="15" max="15" width="13.33203125" bestFit="1" customWidth="1"/>
    <col min="16" max="16" width="9.6640625" bestFit="1" customWidth="1"/>
    <col min="17" max="17" width="16.5" bestFit="1" customWidth="1"/>
    <col min="18" max="18" width="12.1640625" style="73" bestFit="1" customWidth="1"/>
    <col min="19" max="19" width="8.6640625" bestFit="1" customWidth="1"/>
    <col min="20" max="20" width="12.6640625" bestFit="1" customWidth="1"/>
    <col min="21" max="21" width="11.5" bestFit="1" customWidth="1"/>
    <col min="22" max="22" width="14.1640625" bestFit="1" customWidth="1"/>
    <col min="23" max="23" width="14.5" bestFit="1" customWidth="1"/>
    <col min="24" max="24" width="11" bestFit="1" customWidth="1"/>
    <col min="25" max="25" width="9.5" bestFit="1" customWidth="1"/>
    <col min="26" max="26" width="12.1640625" bestFit="1" customWidth="1"/>
    <col min="27" max="27" width="12.5" bestFit="1" customWidth="1"/>
    <col min="28" max="28" width="12.6640625" bestFit="1" customWidth="1"/>
    <col min="29" max="29" width="18.1640625" bestFit="1" customWidth="1"/>
    <col min="30" max="30" width="16.5" bestFit="1" customWidth="1"/>
    <col min="31" max="31" width="10.1640625" bestFit="1" customWidth="1"/>
    <col min="32" max="32" width="14" bestFit="1" customWidth="1"/>
    <col min="33" max="33" width="13.5" bestFit="1" customWidth="1"/>
    <col min="34" max="34" width="9.83203125" bestFit="1" customWidth="1"/>
    <col min="35" max="35" width="12.1640625" bestFit="1" customWidth="1"/>
    <col min="36" max="36" width="8.1640625" bestFit="1" customWidth="1"/>
    <col min="37" max="37" width="15.33203125" bestFit="1" customWidth="1"/>
  </cols>
  <sheetData>
    <row r="1" spans="1:19" x14ac:dyDescent="0.2">
      <c r="A1" t="s">
        <v>30</v>
      </c>
      <c r="B1" t="s">
        <v>20</v>
      </c>
      <c r="C1" t="s">
        <v>31</v>
      </c>
      <c r="D1" t="s">
        <v>12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13</v>
      </c>
      <c r="Q1" t="s">
        <v>43</v>
      </c>
      <c r="R1" s="73" t="s">
        <v>44</v>
      </c>
      <c r="S1" t="s">
        <v>56</v>
      </c>
    </row>
    <row r="2" spans="1:19" x14ac:dyDescent="0.2">
      <c r="A2" s="3" t="s">
        <v>45</v>
      </c>
      <c r="B2" s="3" t="s">
        <v>46</v>
      </c>
      <c r="C2">
        <v>1</v>
      </c>
      <c r="D2">
        <v>10000</v>
      </c>
      <c r="E2">
        <v>499</v>
      </c>
      <c r="F2">
        <v>1</v>
      </c>
      <c r="G2">
        <v>10000</v>
      </c>
      <c r="H2">
        <v>988.47132264300001</v>
      </c>
      <c r="I2">
        <v>10000</v>
      </c>
      <c r="J2">
        <v>2798</v>
      </c>
      <c r="K2">
        <v>7202</v>
      </c>
      <c r="L2">
        <v>490</v>
      </c>
      <c r="M2">
        <v>489</v>
      </c>
      <c r="N2">
        <v>1</v>
      </c>
      <c r="O2">
        <v>0</v>
      </c>
      <c r="P2" s="3" t="s">
        <v>47</v>
      </c>
      <c r="Q2">
        <v>10000</v>
      </c>
      <c r="R2" s="73">
        <v>0</v>
      </c>
      <c r="S2">
        <v>1</v>
      </c>
    </row>
    <row r="3" spans="1:19" x14ac:dyDescent="0.2">
      <c r="A3" s="3" t="s">
        <v>45</v>
      </c>
      <c r="B3" s="3" t="s">
        <v>46</v>
      </c>
      <c r="C3">
        <v>1</v>
      </c>
      <c r="D3">
        <v>11000</v>
      </c>
      <c r="E3">
        <v>499</v>
      </c>
      <c r="F3">
        <v>1</v>
      </c>
      <c r="G3">
        <v>11000</v>
      </c>
      <c r="H3">
        <v>1429.845013787</v>
      </c>
      <c r="I3">
        <v>11000</v>
      </c>
      <c r="J3">
        <v>2872</v>
      </c>
      <c r="K3">
        <v>8128</v>
      </c>
      <c r="L3">
        <v>498</v>
      </c>
      <c r="M3">
        <v>497</v>
      </c>
      <c r="N3">
        <v>1</v>
      </c>
      <c r="O3">
        <v>0</v>
      </c>
      <c r="P3" s="3" t="s">
        <v>47</v>
      </c>
      <c r="Q3">
        <v>11000</v>
      </c>
      <c r="R3" s="73">
        <v>0</v>
      </c>
      <c r="S3">
        <v>1</v>
      </c>
    </row>
    <row r="4" spans="1:19" x14ac:dyDescent="0.2">
      <c r="A4" s="3" t="s">
        <v>45</v>
      </c>
      <c r="B4" s="3" t="s">
        <v>46</v>
      </c>
      <c r="C4">
        <v>1</v>
      </c>
      <c r="D4">
        <v>12000</v>
      </c>
      <c r="E4">
        <v>499</v>
      </c>
      <c r="F4">
        <v>1</v>
      </c>
      <c r="G4">
        <v>12000</v>
      </c>
      <c r="H4">
        <v>1119.38779148</v>
      </c>
      <c r="I4">
        <v>12000</v>
      </c>
      <c r="J4">
        <v>2362</v>
      </c>
      <c r="K4">
        <v>9638</v>
      </c>
      <c r="L4">
        <v>498</v>
      </c>
      <c r="M4">
        <v>497</v>
      </c>
      <c r="N4">
        <v>1</v>
      </c>
      <c r="O4">
        <v>0</v>
      </c>
      <c r="P4" s="3" t="s">
        <v>47</v>
      </c>
      <c r="Q4">
        <v>12000</v>
      </c>
      <c r="R4" s="73">
        <v>0</v>
      </c>
      <c r="S4">
        <v>1</v>
      </c>
    </row>
    <row r="5" spans="1:19" x14ac:dyDescent="0.2">
      <c r="A5" s="3" t="s">
        <v>45</v>
      </c>
      <c r="B5" s="3" t="s">
        <v>46</v>
      </c>
      <c r="C5">
        <v>1</v>
      </c>
      <c r="D5">
        <v>13000</v>
      </c>
      <c r="E5">
        <v>499</v>
      </c>
      <c r="F5">
        <v>1</v>
      </c>
      <c r="G5">
        <v>13000</v>
      </c>
      <c r="H5">
        <v>3603.4871873000002</v>
      </c>
      <c r="I5">
        <v>12924</v>
      </c>
      <c r="J5">
        <v>2662</v>
      </c>
      <c r="K5">
        <v>10262</v>
      </c>
      <c r="L5">
        <v>500</v>
      </c>
      <c r="M5">
        <v>499</v>
      </c>
      <c r="N5">
        <v>1</v>
      </c>
      <c r="O5">
        <v>76</v>
      </c>
      <c r="P5" s="3" t="s">
        <v>48</v>
      </c>
      <c r="Q5">
        <v>12924</v>
      </c>
      <c r="R5" s="73">
        <v>5.8805322999999996E-3</v>
      </c>
      <c r="S5">
        <v>1</v>
      </c>
    </row>
    <row r="6" spans="1:19" x14ac:dyDescent="0.2">
      <c r="A6" s="3" t="s">
        <v>45</v>
      </c>
      <c r="B6" s="3" t="s">
        <v>46</v>
      </c>
      <c r="C6">
        <v>1</v>
      </c>
      <c r="D6">
        <v>14000</v>
      </c>
      <c r="E6">
        <v>499</v>
      </c>
      <c r="F6">
        <v>1</v>
      </c>
      <c r="G6">
        <v>14000</v>
      </c>
      <c r="H6">
        <v>3606.574387395</v>
      </c>
      <c r="I6">
        <v>13918</v>
      </c>
      <c r="J6">
        <v>3503</v>
      </c>
      <c r="K6">
        <v>10415</v>
      </c>
      <c r="L6">
        <v>500</v>
      </c>
      <c r="M6">
        <v>499</v>
      </c>
      <c r="N6">
        <v>1</v>
      </c>
      <c r="O6">
        <v>82</v>
      </c>
      <c r="P6" s="3" t="s">
        <v>48</v>
      </c>
      <c r="Q6">
        <v>13918</v>
      </c>
      <c r="R6" s="73">
        <v>5.8916511E-3</v>
      </c>
      <c r="S6">
        <v>1</v>
      </c>
    </row>
    <row r="7" spans="1:19" x14ac:dyDescent="0.2">
      <c r="A7" s="3" t="s">
        <v>45</v>
      </c>
      <c r="B7" s="3" t="s">
        <v>46</v>
      </c>
      <c r="C7">
        <v>1</v>
      </c>
      <c r="D7">
        <v>15000</v>
      </c>
      <c r="E7">
        <v>499</v>
      </c>
      <c r="F7">
        <v>1</v>
      </c>
      <c r="G7">
        <v>15000</v>
      </c>
      <c r="H7">
        <v>3602.1957357370002</v>
      </c>
      <c r="I7">
        <v>14555</v>
      </c>
      <c r="J7">
        <v>4223</v>
      </c>
      <c r="K7">
        <v>10332</v>
      </c>
      <c r="L7">
        <v>500</v>
      </c>
      <c r="M7">
        <v>499</v>
      </c>
      <c r="N7">
        <v>1</v>
      </c>
      <c r="O7">
        <v>445</v>
      </c>
      <c r="P7" s="3" t="s">
        <v>48</v>
      </c>
      <c r="Q7">
        <v>14555</v>
      </c>
      <c r="R7" s="73">
        <v>8.3879984000000008E-3</v>
      </c>
      <c r="S7">
        <v>1</v>
      </c>
    </row>
    <row r="8" spans="1:19" x14ac:dyDescent="0.2">
      <c r="A8" s="3" t="s">
        <v>45</v>
      </c>
      <c r="B8" s="3" t="s">
        <v>46</v>
      </c>
      <c r="C8">
        <v>1</v>
      </c>
      <c r="D8">
        <v>16000</v>
      </c>
      <c r="E8">
        <v>499</v>
      </c>
      <c r="F8">
        <v>1</v>
      </c>
      <c r="G8">
        <v>16000</v>
      </c>
      <c r="H8">
        <v>3604.0535430730001</v>
      </c>
      <c r="I8">
        <v>15202</v>
      </c>
      <c r="J8">
        <v>4344</v>
      </c>
      <c r="K8">
        <v>10858</v>
      </c>
      <c r="L8">
        <v>500</v>
      </c>
      <c r="M8">
        <v>499</v>
      </c>
      <c r="N8">
        <v>1</v>
      </c>
      <c r="O8">
        <v>798</v>
      </c>
      <c r="P8" s="3" t="s">
        <v>48</v>
      </c>
      <c r="Q8">
        <v>15202</v>
      </c>
      <c r="R8" s="73">
        <v>9.0040923000000005E-3</v>
      </c>
      <c r="S8">
        <v>1</v>
      </c>
    </row>
    <row r="9" spans="1:19" x14ac:dyDescent="0.2">
      <c r="A9" s="3" t="s">
        <v>45</v>
      </c>
      <c r="B9" s="3" t="s">
        <v>46</v>
      </c>
      <c r="C9">
        <v>1</v>
      </c>
      <c r="D9">
        <v>17000</v>
      </c>
      <c r="E9">
        <v>499</v>
      </c>
      <c r="F9">
        <v>1</v>
      </c>
      <c r="G9">
        <v>17000</v>
      </c>
      <c r="H9">
        <v>3602.7555087360001</v>
      </c>
      <c r="I9">
        <v>15678</v>
      </c>
      <c r="J9">
        <v>4492</v>
      </c>
      <c r="K9">
        <v>11186</v>
      </c>
      <c r="L9">
        <v>500</v>
      </c>
      <c r="M9">
        <v>499</v>
      </c>
      <c r="N9">
        <v>1</v>
      </c>
      <c r="O9">
        <v>1322</v>
      </c>
      <c r="P9" s="3" t="s">
        <v>48</v>
      </c>
      <c r="Q9">
        <v>15678</v>
      </c>
      <c r="R9" s="73">
        <v>9.7116488000000001E-3</v>
      </c>
      <c r="S9">
        <v>1</v>
      </c>
    </row>
    <row r="10" spans="1:19" x14ac:dyDescent="0.2">
      <c r="A10" s="3" t="s">
        <v>45</v>
      </c>
      <c r="B10" s="3" t="s">
        <v>46</v>
      </c>
      <c r="C10">
        <v>1</v>
      </c>
      <c r="D10">
        <v>18000</v>
      </c>
      <c r="E10">
        <v>499</v>
      </c>
      <c r="F10">
        <v>1</v>
      </c>
      <c r="G10">
        <v>18000</v>
      </c>
      <c r="H10">
        <v>3604.6554710780001</v>
      </c>
      <c r="I10">
        <v>16237</v>
      </c>
      <c r="J10">
        <v>4738</v>
      </c>
      <c r="K10">
        <v>11499</v>
      </c>
      <c r="L10">
        <v>500</v>
      </c>
      <c r="M10">
        <v>499</v>
      </c>
      <c r="N10">
        <v>1</v>
      </c>
      <c r="O10">
        <v>1763</v>
      </c>
      <c r="P10" s="3" t="s">
        <v>48</v>
      </c>
      <c r="Q10">
        <v>16237</v>
      </c>
      <c r="R10" s="73">
        <v>8.0844616000000005E-3</v>
      </c>
      <c r="S10">
        <v>1</v>
      </c>
    </row>
    <row r="11" spans="1:19" x14ac:dyDescent="0.2">
      <c r="A11" s="3" t="s">
        <v>45</v>
      </c>
      <c r="B11" s="3" t="s">
        <v>46</v>
      </c>
      <c r="C11">
        <v>1</v>
      </c>
      <c r="D11">
        <v>19000</v>
      </c>
      <c r="E11">
        <v>499</v>
      </c>
      <c r="F11">
        <v>1</v>
      </c>
      <c r="G11">
        <v>19000</v>
      </c>
      <c r="H11">
        <v>3602.7423132059998</v>
      </c>
      <c r="I11">
        <v>16697</v>
      </c>
      <c r="J11">
        <v>4846</v>
      </c>
      <c r="K11">
        <v>11851</v>
      </c>
      <c r="L11">
        <v>500</v>
      </c>
      <c r="M11">
        <v>499</v>
      </c>
      <c r="N11">
        <v>1</v>
      </c>
      <c r="O11">
        <v>2303</v>
      </c>
      <c r="P11" s="3" t="s">
        <v>48</v>
      </c>
      <c r="Q11">
        <v>16697</v>
      </c>
      <c r="R11" s="73">
        <v>9.4458528999999992E-3</v>
      </c>
      <c r="S11">
        <v>1</v>
      </c>
    </row>
    <row r="12" spans="1:19" x14ac:dyDescent="0.2">
      <c r="A12" s="3" t="s">
        <v>45</v>
      </c>
      <c r="B12" s="3" t="s">
        <v>46</v>
      </c>
      <c r="C12">
        <v>1</v>
      </c>
      <c r="D12">
        <v>20000</v>
      </c>
      <c r="E12">
        <v>499</v>
      </c>
      <c r="F12">
        <v>1</v>
      </c>
      <c r="G12">
        <v>20000</v>
      </c>
      <c r="H12">
        <v>3603.0207222230001</v>
      </c>
      <c r="I12">
        <v>17166</v>
      </c>
      <c r="J12">
        <v>4992</v>
      </c>
      <c r="K12">
        <v>12174</v>
      </c>
      <c r="L12">
        <v>500</v>
      </c>
      <c r="M12">
        <v>499</v>
      </c>
      <c r="N12">
        <v>1</v>
      </c>
      <c r="O12">
        <v>2834</v>
      </c>
      <c r="P12" s="3" t="s">
        <v>48</v>
      </c>
      <c r="Q12">
        <v>17166</v>
      </c>
      <c r="R12" s="73">
        <v>9.1063645999999998E-3</v>
      </c>
      <c r="S12">
        <v>1</v>
      </c>
    </row>
    <row r="13" spans="1:19" x14ac:dyDescent="0.2">
      <c r="A13" s="3" t="s">
        <v>45</v>
      </c>
      <c r="B13" s="3" t="s">
        <v>46</v>
      </c>
      <c r="C13">
        <v>1</v>
      </c>
      <c r="D13">
        <v>10000</v>
      </c>
      <c r="E13">
        <v>499</v>
      </c>
      <c r="F13">
        <v>1</v>
      </c>
      <c r="G13">
        <v>41026.641856316201</v>
      </c>
      <c r="H13">
        <v>1153.7580303130001</v>
      </c>
      <c r="I13">
        <v>10000</v>
      </c>
      <c r="J13">
        <v>2528</v>
      </c>
      <c r="K13">
        <v>7472</v>
      </c>
      <c r="L13">
        <v>500</v>
      </c>
      <c r="M13">
        <v>499</v>
      </c>
      <c r="N13">
        <v>1</v>
      </c>
      <c r="O13">
        <v>0</v>
      </c>
      <c r="P13" s="3" t="s">
        <v>47</v>
      </c>
      <c r="Q13">
        <v>41026.641856316201</v>
      </c>
      <c r="R13" s="73">
        <v>0</v>
      </c>
      <c r="S13">
        <v>0</v>
      </c>
    </row>
    <row r="14" spans="1:19" x14ac:dyDescent="0.2">
      <c r="A14" s="3" t="s">
        <v>45</v>
      </c>
      <c r="B14" s="3" t="s">
        <v>46</v>
      </c>
      <c r="C14">
        <v>1</v>
      </c>
      <c r="D14">
        <v>11000</v>
      </c>
      <c r="E14">
        <v>499</v>
      </c>
      <c r="F14">
        <v>1</v>
      </c>
      <c r="G14">
        <v>46962.058257581702</v>
      </c>
      <c r="H14">
        <v>1111.4609536840001</v>
      </c>
      <c r="I14">
        <v>11000</v>
      </c>
      <c r="J14">
        <v>2623</v>
      </c>
      <c r="K14">
        <v>8377</v>
      </c>
      <c r="L14">
        <v>500</v>
      </c>
      <c r="M14">
        <v>499</v>
      </c>
      <c r="N14">
        <v>1</v>
      </c>
      <c r="O14">
        <v>0</v>
      </c>
      <c r="P14" s="3" t="s">
        <v>47</v>
      </c>
      <c r="Q14">
        <v>46962.058257581702</v>
      </c>
      <c r="R14" s="73">
        <v>0</v>
      </c>
      <c r="S14">
        <v>0</v>
      </c>
    </row>
    <row r="15" spans="1:19" x14ac:dyDescent="0.2">
      <c r="A15" s="3" t="s">
        <v>45</v>
      </c>
      <c r="B15" s="3" t="s">
        <v>46</v>
      </c>
      <c r="C15">
        <v>1</v>
      </c>
      <c r="D15">
        <v>12000</v>
      </c>
      <c r="E15">
        <v>499</v>
      </c>
      <c r="F15">
        <v>1</v>
      </c>
      <c r="G15">
        <v>47867.584225991799</v>
      </c>
      <c r="H15">
        <v>1204.496572664</v>
      </c>
      <c r="I15">
        <v>12000</v>
      </c>
      <c r="J15">
        <v>3023</v>
      </c>
      <c r="K15">
        <v>8977</v>
      </c>
      <c r="L15">
        <v>500</v>
      </c>
      <c r="M15">
        <v>499</v>
      </c>
      <c r="N15">
        <v>1</v>
      </c>
      <c r="O15">
        <v>0</v>
      </c>
      <c r="P15" s="3" t="s">
        <v>47</v>
      </c>
      <c r="Q15">
        <v>47867.584225991799</v>
      </c>
      <c r="R15" s="73">
        <v>0</v>
      </c>
      <c r="S15">
        <v>0</v>
      </c>
    </row>
    <row r="16" spans="1:19" x14ac:dyDescent="0.2">
      <c r="A16" s="3" t="s">
        <v>45</v>
      </c>
      <c r="B16" s="3" t="s">
        <v>46</v>
      </c>
      <c r="C16">
        <v>1</v>
      </c>
      <c r="D16">
        <v>13000</v>
      </c>
      <c r="E16">
        <v>499</v>
      </c>
      <c r="F16">
        <v>1</v>
      </c>
      <c r="G16">
        <v>56665.571337419897</v>
      </c>
      <c r="H16">
        <v>3604.0168972719998</v>
      </c>
      <c r="I16">
        <v>12927</v>
      </c>
      <c r="J16">
        <v>3008</v>
      </c>
      <c r="K16">
        <v>9919</v>
      </c>
      <c r="L16">
        <v>500</v>
      </c>
      <c r="M16">
        <v>499</v>
      </c>
      <c r="N16">
        <v>1</v>
      </c>
      <c r="O16">
        <v>271.03179440389999</v>
      </c>
      <c r="P16" s="3" t="s">
        <v>48</v>
      </c>
      <c r="Q16">
        <v>56394.539543015897</v>
      </c>
      <c r="R16" s="73">
        <v>4.8059935999999999E-3</v>
      </c>
      <c r="S16">
        <v>0</v>
      </c>
    </row>
    <row r="17" spans="1:19" x14ac:dyDescent="0.2">
      <c r="A17" s="3" t="s">
        <v>45</v>
      </c>
      <c r="B17" s="3" t="s">
        <v>46</v>
      </c>
      <c r="C17">
        <v>1</v>
      </c>
      <c r="D17">
        <v>14000</v>
      </c>
      <c r="E17">
        <v>499</v>
      </c>
      <c r="F17">
        <v>1</v>
      </c>
      <c r="G17">
        <v>57130.121506792799</v>
      </c>
      <c r="H17">
        <v>3603.2720461459999</v>
      </c>
      <c r="I17">
        <v>13906</v>
      </c>
      <c r="J17">
        <v>3816</v>
      </c>
      <c r="K17">
        <v>10090</v>
      </c>
      <c r="L17">
        <v>500</v>
      </c>
      <c r="M17">
        <v>499</v>
      </c>
      <c r="N17">
        <v>1</v>
      </c>
      <c r="O17">
        <v>407.53782481299999</v>
      </c>
      <c r="P17" s="3" t="s">
        <v>48</v>
      </c>
      <c r="Q17">
        <v>56722.583681979799</v>
      </c>
      <c r="R17" s="73">
        <v>7.1847543000000003E-3</v>
      </c>
      <c r="S17">
        <v>0</v>
      </c>
    </row>
    <row r="18" spans="1:19" x14ac:dyDescent="0.2">
      <c r="A18" s="3" t="s">
        <v>45</v>
      </c>
      <c r="B18" s="3" t="s">
        <v>46</v>
      </c>
      <c r="C18">
        <v>1</v>
      </c>
      <c r="D18">
        <v>15000</v>
      </c>
      <c r="E18">
        <v>499</v>
      </c>
      <c r="F18">
        <v>1</v>
      </c>
      <c r="G18">
        <v>61388.505717987697</v>
      </c>
      <c r="H18">
        <v>3602.1202669690001</v>
      </c>
      <c r="I18">
        <v>14412</v>
      </c>
      <c r="J18">
        <v>4289</v>
      </c>
      <c r="K18">
        <v>10123</v>
      </c>
      <c r="L18">
        <v>500</v>
      </c>
      <c r="M18">
        <v>499</v>
      </c>
      <c r="N18">
        <v>1</v>
      </c>
      <c r="O18">
        <v>2463.3068497599002</v>
      </c>
      <c r="P18" s="3" t="s">
        <v>48</v>
      </c>
      <c r="Q18">
        <v>58925.198868227599</v>
      </c>
      <c r="R18" s="73">
        <v>1.7811480899999999E-2</v>
      </c>
      <c r="S18">
        <v>0</v>
      </c>
    </row>
    <row r="19" spans="1:19" x14ac:dyDescent="0.2">
      <c r="A19" s="3" t="s">
        <v>45</v>
      </c>
      <c r="B19" s="3" t="s">
        <v>46</v>
      </c>
      <c r="C19">
        <v>1</v>
      </c>
      <c r="D19">
        <v>16000</v>
      </c>
      <c r="E19">
        <v>499</v>
      </c>
      <c r="F19">
        <v>1</v>
      </c>
      <c r="G19">
        <v>66919.205495966293</v>
      </c>
      <c r="H19">
        <v>3601.9673100230002</v>
      </c>
      <c r="I19">
        <v>14867</v>
      </c>
      <c r="J19">
        <v>4314</v>
      </c>
      <c r="K19">
        <v>10553</v>
      </c>
      <c r="L19">
        <v>500</v>
      </c>
      <c r="M19">
        <v>499</v>
      </c>
      <c r="N19">
        <v>1</v>
      </c>
      <c r="O19">
        <v>4019.3023708763999</v>
      </c>
      <c r="P19" s="3" t="s">
        <v>48</v>
      </c>
      <c r="Q19">
        <v>62899.903125090001</v>
      </c>
      <c r="R19" s="73">
        <v>1.607797E-2</v>
      </c>
      <c r="S19">
        <v>0</v>
      </c>
    </row>
    <row r="20" spans="1:19" x14ac:dyDescent="0.2">
      <c r="A20" s="3" t="s">
        <v>45</v>
      </c>
      <c r="B20" s="3" t="s">
        <v>46</v>
      </c>
      <c r="C20">
        <v>1</v>
      </c>
      <c r="D20">
        <v>17000</v>
      </c>
      <c r="E20">
        <v>499</v>
      </c>
      <c r="F20">
        <v>1</v>
      </c>
      <c r="G20">
        <v>67417.573771384399</v>
      </c>
      <c r="H20">
        <v>3602.1483013669999</v>
      </c>
      <c r="I20">
        <v>15324</v>
      </c>
      <c r="J20">
        <v>4531</v>
      </c>
      <c r="K20">
        <v>10793</v>
      </c>
      <c r="L20">
        <v>500</v>
      </c>
      <c r="M20">
        <v>499</v>
      </c>
      <c r="N20">
        <v>1</v>
      </c>
      <c r="O20">
        <v>6204.3587703513003</v>
      </c>
      <c r="P20" s="3" t="s">
        <v>48</v>
      </c>
      <c r="Q20">
        <v>61213.2150010322</v>
      </c>
      <c r="R20" s="73">
        <v>1.7063258299999998E-2</v>
      </c>
      <c r="S20">
        <v>0</v>
      </c>
    </row>
    <row r="21" spans="1:19" x14ac:dyDescent="0.2">
      <c r="A21" s="3" t="s">
        <v>45</v>
      </c>
      <c r="B21" s="3" t="s">
        <v>46</v>
      </c>
      <c r="C21">
        <v>1</v>
      </c>
      <c r="D21">
        <v>18000</v>
      </c>
      <c r="E21">
        <v>499</v>
      </c>
      <c r="F21">
        <v>1</v>
      </c>
      <c r="G21">
        <v>74679.473005688196</v>
      </c>
      <c r="H21">
        <v>3603.5849273949998</v>
      </c>
      <c r="I21">
        <v>15544</v>
      </c>
      <c r="J21">
        <v>4652</v>
      </c>
      <c r="K21">
        <v>10892</v>
      </c>
      <c r="L21">
        <v>500</v>
      </c>
      <c r="M21">
        <v>499</v>
      </c>
      <c r="N21">
        <v>1</v>
      </c>
      <c r="O21">
        <v>7346.8658976622</v>
      </c>
      <c r="P21" s="3" t="s">
        <v>48</v>
      </c>
      <c r="Q21">
        <v>67332.607108026903</v>
      </c>
      <c r="R21" s="73">
        <v>7.6916357000000003E-3</v>
      </c>
      <c r="S21">
        <v>0</v>
      </c>
    </row>
    <row r="22" spans="1:19" x14ac:dyDescent="0.2">
      <c r="A22" s="3" t="s">
        <v>45</v>
      </c>
      <c r="B22" s="3" t="s">
        <v>46</v>
      </c>
      <c r="C22">
        <v>1</v>
      </c>
      <c r="D22">
        <v>19000</v>
      </c>
      <c r="E22">
        <v>499</v>
      </c>
      <c r="F22">
        <v>1</v>
      </c>
      <c r="G22">
        <v>74596.890790698206</v>
      </c>
      <c r="H22">
        <v>3608.1858430000002</v>
      </c>
      <c r="I22">
        <v>15878</v>
      </c>
      <c r="J22">
        <v>4735</v>
      </c>
      <c r="K22">
        <v>11143</v>
      </c>
      <c r="L22">
        <v>500</v>
      </c>
      <c r="M22">
        <v>499</v>
      </c>
      <c r="N22">
        <v>1</v>
      </c>
      <c r="O22">
        <v>10876.1601479398</v>
      </c>
      <c r="P22" s="3" t="s">
        <v>48</v>
      </c>
      <c r="Q22">
        <v>63720.730642760202</v>
      </c>
      <c r="R22" s="73">
        <v>1.09716364E-2</v>
      </c>
      <c r="S22">
        <v>0</v>
      </c>
    </row>
    <row r="23" spans="1:19" x14ac:dyDescent="0.2">
      <c r="A23" s="3" t="s">
        <v>45</v>
      </c>
      <c r="B23" s="3" t="s">
        <v>46</v>
      </c>
      <c r="C23">
        <v>1</v>
      </c>
      <c r="D23">
        <v>20000</v>
      </c>
      <c r="E23">
        <v>499</v>
      </c>
      <c r="F23">
        <v>1</v>
      </c>
      <c r="G23">
        <v>82760.725107784194</v>
      </c>
      <c r="H23">
        <v>3605.4832893190001</v>
      </c>
      <c r="I23">
        <v>16504</v>
      </c>
      <c r="J23">
        <v>4922</v>
      </c>
      <c r="K23">
        <v>11582</v>
      </c>
      <c r="L23">
        <v>500</v>
      </c>
      <c r="M23">
        <v>499</v>
      </c>
      <c r="N23">
        <v>1</v>
      </c>
      <c r="O23">
        <v>12848.004609625999</v>
      </c>
      <c r="P23" s="3" t="s">
        <v>48</v>
      </c>
      <c r="Q23">
        <v>69912.720498158</v>
      </c>
      <c r="R23" s="73">
        <v>9.7753028999999995E-3</v>
      </c>
      <c r="S23">
        <v>0</v>
      </c>
    </row>
  </sheetData>
  <phoneticPr fontId="10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BCC11-FF10-4291-9E7F-C4AA97834E5C}">
  <sheetPr codeName="Planilha2"/>
  <dimension ref="A1:P2223"/>
  <sheetViews>
    <sheetView workbookViewId="0">
      <selection activeCell="D11" sqref="D11"/>
    </sheetView>
  </sheetViews>
  <sheetFormatPr defaultRowHeight="12.75" x14ac:dyDescent="0.2"/>
  <cols>
    <col min="1" max="1" width="12.6640625" bestFit="1" customWidth="1"/>
    <col min="2" max="2" width="32.6640625" bestFit="1" customWidth="1"/>
    <col min="3" max="3" width="7.6640625" bestFit="1" customWidth="1"/>
    <col min="4" max="4" width="10.83203125" bestFit="1" customWidth="1"/>
    <col min="5" max="5" width="14.83203125" bestFit="1" customWidth="1"/>
    <col min="6" max="6" width="15.1640625" bestFit="1" customWidth="1"/>
    <col min="7" max="7" width="12.5" bestFit="1" customWidth="1"/>
    <col min="8" max="9" width="18" bestFit="1" customWidth="1"/>
    <col min="10" max="11" width="21.33203125" bestFit="1" customWidth="1"/>
    <col min="12" max="12" width="16.5" bestFit="1" customWidth="1"/>
    <col min="13" max="14" width="19.6640625" bestFit="1" customWidth="1"/>
    <col min="15" max="15" width="13.33203125" bestFit="1" customWidth="1"/>
    <col min="16" max="16" width="8.6640625" bestFit="1" customWidth="1"/>
    <col min="17" max="17" width="12.1640625" bestFit="1" customWidth="1"/>
    <col min="18" max="18" width="10.83203125" bestFit="1" customWidth="1"/>
    <col min="19" max="19" width="12.6640625" bestFit="1" customWidth="1"/>
    <col min="20" max="20" width="11.5" bestFit="1" customWidth="1"/>
    <col min="21" max="21" width="14.1640625" bestFit="1" customWidth="1"/>
    <col min="22" max="22" width="14.5" bestFit="1" customWidth="1"/>
    <col min="23" max="23" width="11" bestFit="1" customWidth="1"/>
    <col min="24" max="24" width="9.5" bestFit="1" customWidth="1"/>
    <col min="25" max="25" width="12.1640625" bestFit="1" customWidth="1"/>
    <col min="26" max="26" width="12.5" bestFit="1" customWidth="1"/>
    <col min="27" max="27" width="12.6640625" bestFit="1" customWidth="1"/>
    <col min="28" max="28" width="18.1640625" bestFit="1" customWidth="1"/>
    <col min="29" max="29" width="16.5" bestFit="1" customWidth="1"/>
    <col min="30" max="30" width="11.1640625" bestFit="1" customWidth="1"/>
    <col min="31" max="31" width="14" bestFit="1" customWidth="1"/>
    <col min="32" max="32" width="13.5" bestFit="1" customWidth="1"/>
    <col min="33" max="33" width="15.33203125" bestFit="1" customWidth="1"/>
  </cols>
  <sheetData>
    <row r="1" spans="1:16" x14ac:dyDescent="0.2">
      <c r="A1" t="s">
        <v>30</v>
      </c>
      <c r="B1" t="s">
        <v>20</v>
      </c>
      <c r="C1" t="s">
        <v>31</v>
      </c>
      <c r="D1" t="s">
        <v>12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56</v>
      </c>
    </row>
    <row r="2" spans="1:16" x14ac:dyDescent="0.2">
      <c r="A2" s="3" t="s">
        <v>49</v>
      </c>
      <c r="B2" s="3" t="s">
        <v>51</v>
      </c>
      <c r="C2">
        <v>1</v>
      </c>
      <c r="D2">
        <v>20000</v>
      </c>
      <c r="E2">
        <v>499</v>
      </c>
      <c r="F2">
        <v>1</v>
      </c>
      <c r="G2">
        <v>82302.7524576211</v>
      </c>
      <c r="H2">
        <v>1.8628309999999999E-2</v>
      </c>
      <c r="I2">
        <v>12778</v>
      </c>
      <c r="J2">
        <v>4476</v>
      </c>
      <c r="K2">
        <v>8302</v>
      </c>
      <c r="L2">
        <v>500</v>
      </c>
      <c r="M2">
        <v>499</v>
      </c>
      <c r="N2">
        <v>1</v>
      </c>
      <c r="O2">
        <v>23739.431401846101</v>
      </c>
      <c r="P2">
        <v>0</v>
      </c>
    </row>
    <row r="3" spans="1:16" x14ac:dyDescent="0.2">
      <c r="A3" s="3" t="s">
        <v>49</v>
      </c>
      <c r="B3" s="3" t="s">
        <v>51</v>
      </c>
      <c r="C3">
        <v>1</v>
      </c>
      <c r="D3">
        <v>20000</v>
      </c>
      <c r="E3">
        <v>499</v>
      </c>
      <c r="F3">
        <v>1</v>
      </c>
      <c r="G3">
        <v>20000</v>
      </c>
      <c r="H3">
        <v>1.7127897E-2</v>
      </c>
      <c r="I3">
        <v>14743</v>
      </c>
      <c r="J3">
        <v>4690</v>
      </c>
      <c r="K3">
        <v>10053</v>
      </c>
      <c r="L3">
        <v>500</v>
      </c>
      <c r="M3">
        <v>499</v>
      </c>
      <c r="N3">
        <v>1</v>
      </c>
      <c r="O3">
        <v>5257</v>
      </c>
      <c r="P3">
        <v>1</v>
      </c>
    </row>
    <row r="4" spans="1:16" x14ac:dyDescent="0.2">
      <c r="A4" s="3" t="s">
        <v>49</v>
      </c>
      <c r="B4" s="3" t="s">
        <v>51</v>
      </c>
      <c r="C4">
        <v>1</v>
      </c>
      <c r="D4">
        <v>18000</v>
      </c>
      <c r="E4">
        <v>499</v>
      </c>
      <c r="F4">
        <v>1</v>
      </c>
      <c r="G4">
        <v>18000</v>
      </c>
      <c r="H4">
        <v>1.5994049E-2</v>
      </c>
      <c r="I4">
        <v>14129</v>
      </c>
      <c r="J4">
        <v>4508</v>
      </c>
      <c r="K4">
        <v>9621</v>
      </c>
      <c r="L4">
        <v>500</v>
      </c>
      <c r="M4">
        <v>499</v>
      </c>
      <c r="N4">
        <v>1</v>
      </c>
      <c r="O4">
        <v>3871</v>
      </c>
      <c r="P4">
        <v>1</v>
      </c>
    </row>
    <row r="5" spans="1:16" x14ac:dyDescent="0.2">
      <c r="A5" s="3" t="s">
        <v>49</v>
      </c>
      <c r="B5" s="3" t="s">
        <v>51</v>
      </c>
      <c r="C5">
        <v>1</v>
      </c>
      <c r="D5">
        <v>19000</v>
      </c>
      <c r="E5">
        <v>499</v>
      </c>
      <c r="F5">
        <v>1</v>
      </c>
      <c r="G5">
        <v>19000</v>
      </c>
      <c r="H5">
        <v>1.5959408000000001E-2</v>
      </c>
      <c r="I5">
        <v>14519</v>
      </c>
      <c r="J5">
        <v>4655</v>
      </c>
      <c r="K5">
        <v>9864</v>
      </c>
      <c r="L5">
        <v>500</v>
      </c>
      <c r="M5">
        <v>499</v>
      </c>
      <c r="N5">
        <v>1</v>
      </c>
      <c r="O5">
        <v>4481</v>
      </c>
      <c r="P5">
        <v>1</v>
      </c>
    </row>
    <row r="6" spans="1:16" x14ac:dyDescent="0.2">
      <c r="A6" s="3" t="s">
        <v>49</v>
      </c>
      <c r="B6" s="3" t="s">
        <v>51</v>
      </c>
      <c r="C6">
        <v>1</v>
      </c>
      <c r="D6">
        <v>17000</v>
      </c>
      <c r="E6">
        <v>499</v>
      </c>
      <c r="F6">
        <v>1</v>
      </c>
      <c r="G6">
        <v>65872.258119671897</v>
      </c>
      <c r="H6">
        <v>1.5541601E-2</v>
      </c>
      <c r="I6">
        <v>12802</v>
      </c>
      <c r="J6">
        <v>4104</v>
      </c>
      <c r="K6">
        <v>8698</v>
      </c>
      <c r="L6">
        <v>500</v>
      </c>
      <c r="M6">
        <v>499</v>
      </c>
      <c r="N6">
        <v>1</v>
      </c>
      <c r="O6">
        <v>12289.9679312014</v>
      </c>
      <c r="P6">
        <v>0</v>
      </c>
    </row>
    <row r="7" spans="1:16" x14ac:dyDescent="0.2">
      <c r="A7" s="3" t="s">
        <v>49</v>
      </c>
      <c r="B7" s="3" t="s">
        <v>51</v>
      </c>
      <c r="C7">
        <v>1</v>
      </c>
      <c r="D7">
        <v>19000</v>
      </c>
      <c r="E7">
        <v>499</v>
      </c>
      <c r="F7">
        <v>1</v>
      </c>
      <c r="G7">
        <v>84218.384375429901</v>
      </c>
      <c r="H7">
        <v>1.5132164E-2</v>
      </c>
      <c r="I7">
        <v>13727</v>
      </c>
      <c r="J7">
        <v>4043</v>
      </c>
      <c r="K7">
        <v>9684</v>
      </c>
      <c r="L7">
        <v>500</v>
      </c>
      <c r="M7">
        <v>499</v>
      </c>
      <c r="N7">
        <v>1</v>
      </c>
      <c r="O7">
        <v>19636.983839000699</v>
      </c>
      <c r="P7">
        <v>0</v>
      </c>
    </row>
    <row r="8" spans="1:16" x14ac:dyDescent="0.2">
      <c r="A8" s="3" t="s">
        <v>49</v>
      </c>
      <c r="B8" s="3" t="s">
        <v>51</v>
      </c>
      <c r="C8">
        <v>1</v>
      </c>
      <c r="D8">
        <v>16000</v>
      </c>
      <c r="E8">
        <v>499</v>
      </c>
      <c r="F8">
        <v>1</v>
      </c>
      <c r="G8">
        <v>64781.839036288002</v>
      </c>
      <c r="H8">
        <v>1.5095737E-2</v>
      </c>
      <c r="I8">
        <v>12354</v>
      </c>
      <c r="J8">
        <v>4084</v>
      </c>
      <c r="K8">
        <v>8270</v>
      </c>
      <c r="L8">
        <v>500</v>
      </c>
      <c r="M8">
        <v>499</v>
      </c>
      <c r="N8">
        <v>1</v>
      </c>
      <c r="O8">
        <v>10624.105220630299</v>
      </c>
      <c r="P8">
        <v>0</v>
      </c>
    </row>
    <row r="9" spans="1:16" x14ac:dyDescent="0.2">
      <c r="A9" s="3" t="s">
        <v>49</v>
      </c>
      <c r="B9" s="3" t="s">
        <v>51</v>
      </c>
      <c r="C9">
        <v>1</v>
      </c>
      <c r="D9">
        <v>17000</v>
      </c>
      <c r="E9">
        <v>499</v>
      </c>
      <c r="F9">
        <v>1</v>
      </c>
      <c r="G9">
        <v>17000</v>
      </c>
      <c r="H9">
        <v>1.4956127E-2</v>
      </c>
      <c r="I9">
        <v>13783</v>
      </c>
      <c r="J9">
        <v>4493</v>
      </c>
      <c r="K9">
        <v>9290</v>
      </c>
      <c r="L9">
        <v>500</v>
      </c>
      <c r="M9">
        <v>499</v>
      </c>
      <c r="N9">
        <v>1</v>
      </c>
      <c r="O9">
        <v>3217</v>
      </c>
      <c r="P9">
        <v>1</v>
      </c>
    </row>
    <row r="10" spans="1:16" x14ac:dyDescent="0.2">
      <c r="A10" s="3" t="s">
        <v>49</v>
      </c>
      <c r="B10" s="3" t="s">
        <v>51</v>
      </c>
      <c r="C10">
        <v>1</v>
      </c>
      <c r="D10">
        <v>16000</v>
      </c>
      <c r="E10">
        <v>499</v>
      </c>
      <c r="F10">
        <v>1</v>
      </c>
      <c r="G10">
        <v>16000</v>
      </c>
      <c r="H10">
        <v>1.4100807E-2</v>
      </c>
      <c r="I10">
        <v>13458</v>
      </c>
      <c r="J10">
        <v>4488</v>
      </c>
      <c r="K10">
        <v>8970</v>
      </c>
      <c r="L10">
        <v>500</v>
      </c>
      <c r="M10">
        <v>499</v>
      </c>
      <c r="N10">
        <v>1</v>
      </c>
      <c r="O10">
        <v>2542</v>
      </c>
      <c r="P10">
        <v>1</v>
      </c>
    </row>
    <row r="11" spans="1:16" x14ac:dyDescent="0.2">
      <c r="A11" s="3" t="s">
        <v>49</v>
      </c>
      <c r="B11" s="3" t="s">
        <v>51</v>
      </c>
      <c r="C11">
        <v>1</v>
      </c>
      <c r="D11">
        <v>18000</v>
      </c>
      <c r="E11">
        <v>499</v>
      </c>
      <c r="F11">
        <v>1</v>
      </c>
      <c r="G11">
        <v>75479.649376234796</v>
      </c>
      <c r="H11">
        <v>1.3893559E-2</v>
      </c>
      <c r="I11">
        <v>12998</v>
      </c>
      <c r="J11">
        <v>3782</v>
      </c>
      <c r="K11">
        <v>9216</v>
      </c>
      <c r="L11">
        <v>500</v>
      </c>
      <c r="M11">
        <v>499</v>
      </c>
      <c r="N11">
        <v>1</v>
      </c>
      <c r="O11">
        <v>17799.256490757401</v>
      </c>
      <c r="P11">
        <v>0</v>
      </c>
    </row>
    <row r="12" spans="1:16" x14ac:dyDescent="0.2">
      <c r="A12" s="3" t="s">
        <v>49</v>
      </c>
      <c r="B12" s="3" t="s">
        <v>51</v>
      </c>
      <c r="C12">
        <v>1</v>
      </c>
      <c r="D12">
        <v>15000</v>
      </c>
      <c r="E12">
        <v>499</v>
      </c>
      <c r="F12">
        <v>1</v>
      </c>
      <c r="G12">
        <v>15000</v>
      </c>
      <c r="H12">
        <v>1.3363745999999999E-2</v>
      </c>
      <c r="I12">
        <v>13117</v>
      </c>
      <c r="J12">
        <v>4617</v>
      </c>
      <c r="K12">
        <v>8500</v>
      </c>
      <c r="L12">
        <v>500</v>
      </c>
      <c r="M12">
        <v>499</v>
      </c>
      <c r="N12">
        <v>1</v>
      </c>
      <c r="O12">
        <v>1883</v>
      </c>
      <c r="P12">
        <v>1</v>
      </c>
    </row>
    <row r="13" spans="1:16" x14ac:dyDescent="0.2">
      <c r="A13" s="3" t="s">
        <v>49</v>
      </c>
      <c r="B13" s="3" t="s">
        <v>51</v>
      </c>
      <c r="C13">
        <v>1</v>
      </c>
      <c r="D13">
        <v>15000</v>
      </c>
      <c r="E13">
        <v>499</v>
      </c>
      <c r="F13">
        <v>1</v>
      </c>
      <c r="G13">
        <v>60572.237308582698</v>
      </c>
      <c r="H13">
        <v>1.3070716E-2</v>
      </c>
      <c r="I13">
        <v>12532</v>
      </c>
      <c r="J13">
        <v>3550</v>
      </c>
      <c r="K13">
        <v>8982</v>
      </c>
      <c r="L13">
        <v>500</v>
      </c>
      <c r="M13">
        <v>499</v>
      </c>
      <c r="N13">
        <v>1</v>
      </c>
      <c r="O13">
        <v>7750.7860020598</v>
      </c>
      <c r="P13">
        <v>0</v>
      </c>
    </row>
    <row r="14" spans="1:16" x14ac:dyDescent="0.2">
      <c r="A14" s="3" t="s">
        <v>49</v>
      </c>
      <c r="B14" s="3" t="s">
        <v>51</v>
      </c>
      <c r="C14">
        <v>1</v>
      </c>
      <c r="D14">
        <v>14000</v>
      </c>
      <c r="E14">
        <v>499</v>
      </c>
      <c r="F14">
        <v>1</v>
      </c>
      <c r="G14">
        <v>14000</v>
      </c>
      <c r="H14">
        <v>1.2753861999999999E-2</v>
      </c>
      <c r="I14">
        <v>12711</v>
      </c>
      <c r="J14">
        <v>4578</v>
      </c>
      <c r="K14">
        <v>8133</v>
      </c>
      <c r="L14">
        <v>500</v>
      </c>
      <c r="M14">
        <v>499</v>
      </c>
      <c r="N14">
        <v>1</v>
      </c>
      <c r="O14">
        <v>1289</v>
      </c>
      <c r="P14">
        <v>1</v>
      </c>
    </row>
    <row r="15" spans="1:16" x14ac:dyDescent="0.2">
      <c r="A15" s="3" t="s">
        <v>49</v>
      </c>
      <c r="B15" s="3" t="s">
        <v>51</v>
      </c>
      <c r="C15">
        <v>1</v>
      </c>
      <c r="D15">
        <v>13000</v>
      </c>
      <c r="E15">
        <v>499</v>
      </c>
      <c r="F15">
        <v>1</v>
      </c>
      <c r="G15">
        <v>53044.701099550097</v>
      </c>
      <c r="H15">
        <v>1.2197502000000001E-2</v>
      </c>
      <c r="I15">
        <v>12128</v>
      </c>
      <c r="J15">
        <v>3872</v>
      </c>
      <c r="K15">
        <v>8256</v>
      </c>
      <c r="L15">
        <v>500</v>
      </c>
      <c r="M15">
        <v>499</v>
      </c>
      <c r="N15">
        <v>1</v>
      </c>
      <c r="O15">
        <v>2661.9502683687001</v>
      </c>
      <c r="P15">
        <v>0</v>
      </c>
    </row>
    <row r="16" spans="1:16" x14ac:dyDescent="0.2">
      <c r="A16" s="3" t="s">
        <v>49</v>
      </c>
      <c r="B16" s="3" t="s">
        <v>51</v>
      </c>
      <c r="C16">
        <v>1</v>
      </c>
      <c r="D16">
        <v>13000</v>
      </c>
      <c r="E16">
        <v>499</v>
      </c>
      <c r="F16">
        <v>1</v>
      </c>
      <c r="G16">
        <v>13000</v>
      </c>
      <c r="H16">
        <v>1.1629738000000001E-2</v>
      </c>
      <c r="I16">
        <v>12314</v>
      </c>
      <c r="J16">
        <v>4562</v>
      </c>
      <c r="K16">
        <v>7752</v>
      </c>
      <c r="L16">
        <v>500</v>
      </c>
      <c r="M16">
        <v>499</v>
      </c>
      <c r="N16">
        <v>1</v>
      </c>
      <c r="O16">
        <v>686</v>
      </c>
      <c r="P16">
        <v>1</v>
      </c>
    </row>
    <row r="17" spans="1:16" x14ac:dyDescent="0.2">
      <c r="A17" s="3" t="s">
        <v>49</v>
      </c>
      <c r="B17" s="3" t="s">
        <v>51</v>
      </c>
      <c r="C17">
        <v>1</v>
      </c>
      <c r="D17">
        <v>14000</v>
      </c>
      <c r="E17">
        <v>499</v>
      </c>
      <c r="F17">
        <v>1</v>
      </c>
      <c r="G17">
        <v>58565.0323707059</v>
      </c>
      <c r="H17">
        <v>1.1523316E-2</v>
      </c>
      <c r="I17">
        <v>12007</v>
      </c>
      <c r="J17">
        <v>3503</v>
      </c>
      <c r="K17">
        <v>8504</v>
      </c>
      <c r="L17">
        <v>500</v>
      </c>
      <c r="M17">
        <v>499</v>
      </c>
      <c r="N17">
        <v>1</v>
      </c>
      <c r="O17">
        <v>5858.1903113335002</v>
      </c>
      <c r="P17">
        <v>0</v>
      </c>
    </row>
    <row r="18" spans="1:16" x14ac:dyDescent="0.2">
      <c r="A18" s="3" t="s">
        <v>49</v>
      </c>
      <c r="B18" s="3" t="s">
        <v>51</v>
      </c>
      <c r="C18">
        <v>1</v>
      </c>
      <c r="D18">
        <v>12000</v>
      </c>
      <c r="E18">
        <v>499</v>
      </c>
      <c r="F18">
        <v>1</v>
      </c>
      <c r="G18">
        <v>12000</v>
      </c>
      <c r="H18">
        <v>1.0860850999999999E-2</v>
      </c>
      <c r="I18">
        <v>11866</v>
      </c>
      <c r="J18">
        <v>4482</v>
      </c>
      <c r="K18">
        <v>7384</v>
      </c>
      <c r="L18">
        <v>500</v>
      </c>
      <c r="M18">
        <v>499</v>
      </c>
      <c r="N18">
        <v>1</v>
      </c>
      <c r="O18">
        <v>134</v>
      </c>
      <c r="P18">
        <v>1</v>
      </c>
    </row>
    <row r="19" spans="1:16" x14ac:dyDescent="0.2">
      <c r="A19" s="3" t="s">
        <v>49</v>
      </c>
      <c r="B19" s="3" t="s">
        <v>51</v>
      </c>
      <c r="C19">
        <v>1</v>
      </c>
      <c r="D19">
        <v>12000</v>
      </c>
      <c r="E19">
        <v>499</v>
      </c>
      <c r="F19">
        <v>1</v>
      </c>
      <c r="G19">
        <v>50533.323552418398</v>
      </c>
      <c r="H19">
        <v>1.0328809E-2</v>
      </c>
      <c r="I19">
        <v>11576</v>
      </c>
      <c r="J19">
        <v>3827</v>
      </c>
      <c r="K19">
        <v>7749</v>
      </c>
      <c r="L19">
        <v>500</v>
      </c>
      <c r="M19">
        <v>499</v>
      </c>
      <c r="N19">
        <v>1</v>
      </c>
      <c r="O19">
        <v>1048.2895412406001</v>
      </c>
      <c r="P19">
        <v>0</v>
      </c>
    </row>
    <row r="20" spans="1:16" x14ac:dyDescent="0.2">
      <c r="A20" s="3" t="s">
        <v>49</v>
      </c>
      <c r="B20" s="3" t="s">
        <v>51</v>
      </c>
      <c r="C20">
        <v>1</v>
      </c>
      <c r="D20">
        <v>10000</v>
      </c>
      <c r="E20">
        <v>499</v>
      </c>
      <c r="F20">
        <v>1</v>
      </c>
      <c r="G20">
        <v>10000</v>
      </c>
      <c r="H20">
        <v>1.0154781999999999E-2</v>
      </c>
      <c r="I20">
        <v>10000</v>
      </c>
      <c r="J20">
        <v>4183</v>
      </c>
      <c r="K20">
        <v>5817</v>
      </c>
      <c r="L20">
        <v>500</v>
      </c>
      <c r="M20">
        <v>499</v>
      </c>
      <c r="N20">
        <v>1</v>
      </c>
      <c r="O20">
        <v>0</v>
      </c>
      <c r="P20">
        <v>1</v>
      </c>
    </row>
    <row r="21" spans="1:16" x14ac:dyDescent="0.2">
      <c r="A21" s="3" t="s">
        <v>49</v>
      </c>
      <c r="B21" s="3" t="s">
        <v>51</v>
      </c>
      <c r="C21">
        <v>1</v>
      </c>
      <c r="D21">
        <v>11000</v>
      </c>
      <c r="E21">
        <v>499</v>
      </c>
      <c r="F21">
        <v>1</v>
      </c>
      <c r="G21">
        <v>44062.122210792702</v>
      </c>
      <c r="H21">
        <v>1.0110368E-2</v>
      </c>
      <c r="I21">
        <v>11000</v>
      </c>
      <c r="J21">
        <v>3547</v>
      </c>
      <c r="K21">
        <v>7453</v>
      </c>
      <c r="L21">
        <v>500</v>
      </c>
      <c r="M21">
        <v>499</v>
      </c>
      <c r="N21">
        <v>1</v>
      </c>
      <c r="O21">
        <v>0</v>
      </c>
      <c r="P21">
        <v>0</v>
      </c>
    </row>
    <row r="22" spans="1:16" x14ac:dyDescent="0.2">
      <c r="A22" s="3" t="s">
        <v>49</v>
      </c>
      <c r="B22" s="3" t="s">
        <v>51</v>
      </c>
      <c r="C22">
        <v>1</v>
      </c>
      <c r="D22">
        <v>11000</v>
      </c>
      <c r="E22">
        <v>499</v>
      </c>
      <c r="F22">
        <v>1</v>
      </c>
      <c r="G22">
        <v>11000</v>
      </c>
      <c r="H22">
        <v>9.605433E-3</v>
      </c>
      <c r="I22">
        <v>11000</v>
      </c>
      <c r="J22">
        <v>4329</v>
      </c>
      <c r="K22">
        <v>6671</v>
      </c>
      <c r="L22">
        <v>500</v>
      </c>
      <c r="M22">
        <v>499</v>
      </c>
      <c r="N22">
        <v>1</v>
      </c>
      <c r="O22">
        <v>0</v>
      </c>
      <c r="P22">
        <v>1</v>
      </c>
    </row>
    <row r="23" spans="1:16" x14ac:dyDescent="0.2">
      <c r="A23" s="3" t="s">
        <v>49</v>
      </c>
      <c r="B23" s="3" t="s">
        <v>51</v>
      </c>
      <c r="C23">
        <v>1</v>
      </c>
      <c r="D23">
        <v>10000</v>
      </c>
      <c r="E23">
        <v>499</v>
      </c>
      <c r="F23">
        <v>1</v>
      </c>
      <c r="G23">
        <v>39482.677260513999</v>
      </c>
      <c r="H23">
        <v>9.5269399999999994E-3</v>
      </c>
      <c r="I23">
        <v>10000</v>
      </c>
      <c r="J23">
        <v>3500</v>
      </c>
      <c r="K23">
        <v>6500</v>
      </c>
      <c r="L23">
        <v>500</v>
      </c>
      <c r="M23">
        <v>499</v>
      </c>
      <c r="N23">
        <v>1</v>
      </c>
      <c r="O23">
        <v>0</v>
      </c>
      <c r="P23">
        <v>0</v>
      </c>
    </row>
    <row r="24" spans="1:16" x14ac:dyDescent="0.2">
      <c r="A24" s="3" t="s">
        <v>49</v>
      </c>
      <c r="B24" s="3" t="s">
        <v>52</v>
      </c>
      <c r="C24">
        <v>44</v>
      </c>
      <c r="D24">
        <v>18000</v>
      </c>
      <c r="E24">
        <v>499</v>
      </c>
      <c r="F24">
        <v>1</v>
      </c>
      <c r="G24">
        <v>18000</v>
      </c>
      <c r="H24">
        <v>1.5725909999999999E-3</v>
      </c>
      <c r="I24">
        <v>11987</v>
      </c>
      <c r="J24">
        <v>2949</v>
      </c>
      <c r="K24">
        <v>9038</v>
      </c>
      <c r="L24">
        <v>500</v>
      </c>
      <c r="M24">
        <v>499</v>
      </c>
      <c r="N24">
        <v>1</v>
      </c>
      <c r="O24">
        <v>6013</v>
      </c>
      <c r="P24">
        <v>1</v>
      </c>
    </row>
    <row r="25" spans="1:16" x14ac:dyDescent="0.2">
      <c r="A25" s="3" t="s">
        <v>49</v>
      </c>
      <c r="B25" s="3" t="s">
        <v>52</v>
      </c>
      <c r="C25">
        <v>26</v>
      </c>
      <c r="D25">
        <v>20000</v>
      </c>
      <c r="E25">
        <v>499</v>
      </c>
      <c r="F25">
        <v>1</v>
      </c>
      <c r="G25">
        <v>82302.7524576211</v>
      </c>
      <c r="H25">
        <v>1.5318549999999999E-3</v>
      </c>
      <c r="I25">
        <v>11978</v>
      </c>
      <c r="J25">
        <v>3036</v>
      </c>
      <c r="K25">
        <v>8942</v>
      </c>
      <c r="L25">
        <v>500</v>
      </c>
      <c r="M25">
        <v>499</v>
      </c>
      <c r="N25">
        <v>1</v>
      </c>
      <c r="O25">
        <v>33166.0515860499</v>
      </c>
      <c r="P25">
        <v>0</v>
      </c>
    </row>
    <row r="26" spans="1:16" x14ac:dyDescent="0.2">
      <c r="A26" s="3" t="s">
        <v>49</v>
      </c>
      <c r="B26" s="3" t="s">
        <v>52</v>
      </c>
      <c r="C26">
        <v>2</v>
      </c>
      <c r="D26">
        <v>19000</v>
      </c>
      <c r="E26">
        <v>499</v>
      </c>
      <c r="F26">
        <v>1</v>
      </c>
      <c r="G26">
        <v>19000</v>
      </c>
      <c r="H26">
        <v>1.4246059999999999E-3</v>
      </c>
      <c r="I26">
        <v>12026</v>
      </c>
      <c r="J26">
        <v>2941</v>
      </c>
      <c r="K26">
        <v>9085</v>
      </c>
      <c r="L26">
        <v>500</v>
      </c>
      <c r="M26">
        <v>499</v>
      </c>
      <c r="N26">
        <v>1</v>
      </c>
      <c r="O26">
        <v>6974</v>
      </c>
      <c r="P26">
        <v>1</v>
      </c>
    </row>
    <row r="27" spans="1:16" x14ac:dyDescent="0.2">
      <c r="A27" s="3" t="s">
        <v>49</v>
      </c>
      <c r="B27" s="3" t="s">
        <v>52</v>
      </c>
      <c r="C27">
        <v>1</v>
      </c>
      <c r="D27">
        <v>18000</v>
      </c>
      <c r="E27">
        <v>499</v>
      </c>
      <c r="F27">
        <v>1</v>
      </c>
      <c r="G27">
        <v>18000</v>
      </c>
      <c r="H27">
        <v>1.422212E-3</v>
      </c>
      <c r="I27">
        <v>11972</v>
      </c>
      <c r="J27">
        <v>2913</v>
      </c>
      <c r="K27">
        <v>9059</v>
      </c>
      <c r="L27">
        <v>500</v>
      </c>
      <c r="M27">
        <v>499</v>
      </c>
      <c r="N27">
        <v>1</v>
      </c>
      <c r="O27">
        <v>6028</v>
      </c>
      <c r="P27">
        <v>1</v>
      </c>
    </row>
    <row r="28" spans="1:16" x14ac:dyDescent="0.2">
      <c r="A28" s="3" t="s">
        <v>49</v>
      </c>
      <c r="B28" s="3" t="s">
        <v>52</v>
      </c>
      <c r="C28">
        <v>9</v>
      </c>
      <c r="D28">
        <v>15000</v>
      </c>
      <c r="E28">
        <v>499</v>
      </c>
      <c r="F28">
        <v>1</v>
      </c>
      <c r="G28">
        <v>15000</v>
      </c>
      <c r="H28">
        <v>1.3621799999999999E-3</v>
      </c>
      <c r="I28">
        <v>11864</v>
      </c>
      <c r="J28">
        <v>2887</v>
      </c>
      <c r="K28">
        <v>8977</v>
      </c>
      <c r="L28">
        <v>500</v>
      </c>
      <c r="M28">
        <v>499</v>
      </c>
      <c r="N28">
        <v>1</v>
      </c>
      <c r="O28">
        <v>3136</v>
      </c>
      <c r="P28">
        <v>1</v>
      </c>
    </row>
    <row r="29" spans="1:16" x14ac:dyDescent="0.2">
      <c r="A29" s="3" t="s">
        <v>49</v>
      </c>
      <c r="B29" s="3" t="s">
        <v>52</v>
      </c>
      <c r="C29">
        <v>14</v>
      </c>
      <c r="D29">
        <v>19000</v>
      </c>
      <c r="E29">
        <v>499</v>
      </c>
      <c r="F29">
        <v>1</v>
      </c>
      <c r="G29">
        <v>19000</v>
      </c>
      <c r="H29">
        <v>1.3598239999999999E-3</v>
      </c>
      <c r="I29">
        <v>12024</v>
      </c>
      <c r="J29">
        <v>2955</v>
      </c>
      <c r="K29">
        <v>9069</v>
      </c>
      <c r="L29">
        <v>500</v>
      </c>
      <c r="M29">
        <v>499</v>
      </c>
      <c r="N29">
        <v>1</v>
      </c>
      <c r="O29">
        <v>6976</v>
      </c>
      <c r="P29">
        <v>1</v>
      </c>
    </row>
    <row r="30" spans="1:16" x14ac:dyDescent="0.2">
      <c r="A30" s="3" t="s">
        <v>49</v>
      </c>
      <c r="B30" s="3" t="s">
        <v>52</v>
      </c>
      <c r="C30">
        <v>33</v>
      </c>
      <c r="D30">
        <v>14000</v>
      </c>
      <c r="E30">
        <v>499</v>
      </c>
      <c r="F30">
        <v>1</v>
      </c>
      <c r="G30">
        <v>14000</v>
      </c>
      <c r="H30">
        <v>1.3518409999999999E-3</v>
      </c>
      <c r="I30">
        <v>11897</v>
      </c>
      <c r="J30">
        <v>2817</v>
      </c>
      <c r="K30">
        <v>9080</v>
      </c>
      <c r="L30">
        <v>500</v>
      </c>
      <c r="M30">
        <v>499</v>
      </c>
      <c r="N30">
        <v>1</v>
      </c>
      <c r="O30">
        <v>2103</v>
      </c>
      <c r="P30">
        <v>1</v>
      </c>
    </row>
    <row r="31" spans="1:16" x14ac:dyDescent="0.2">
      <c r="A31" s="3" t="s">
        <v>49</v>
      </c>
      <c r="B31" s="3" t="s">
        <v>52</v>
      </c>
      <c r="C31">
        <v>18</v>
      </c>
      <c r="D31">
        <v>19000</v>
      </c>
      <c r="E31">
        <v>499</v>
      </c>
      <c r="F31">
        <v>1</v>
      </c>
      <c r="G31">
        <v>84218.384375429901</v>
      </c>
      <c r="H31">
        <v>1.3495029999999999E-3</v>
      </c>
      <c r="I31">
        <v>12000</v>
      </c>
      <c r="J31">
        <v>2918</v>
      </c>
      <c r="K31">
        <v>9082</v>
      </c>
      <c r="L31">
        <v>500</v>
      </c>
      <c r="M31">
        <v>499</v>
      </c>
      <c r="N31">
        <v>1</v>
      </c>
      <c r="O31">
        <v>31306.309985255299</v>
      </c>
      <c r="P31">
        <v>0</v>
      </c>
    </row>
    <row r="32" spans="1:16" x14ac:dyDescent="0.2">
      <c r="A32" s="3" t="s">
        <v>49</v>
      </c>
      <c r="B32" s="3" t="s">
        <v>52</v>
      </c>
      <c r="C32">
        <v>11</v>
      </c>
      <c r="D32">
        <v>14000</v>
      </c>
      <c r="E32">
        <v>499</v>
      </c>
      <c r="F32">
        <v>1</v>
      </c>
      <c r="G32">
        <v>14000</v>
      </c>
      <c r="H32">
        <v>1.325028E-3</v>
      </c>
      <c r="I32">
        <v>11912</v>
      </c>
      <c r="J32">
        <v>2829</v>
      </c>
      <c r="K32">
        <v>9083</v>
      </c>
      <c r="L32">
        <v>500</v>
      </c>
      <c r="M32">
        <v>499</v>
      </c>
      <c r="N32">
        <v>1</v>
      </c>
      <c r="O32">
        <v>2088</v>
      </c>
      <c r="P32">
        <v>1</v>
      </c>
    </row>
    <row r="33" spans="1:16" x14ac:dyDescent="0.2">
      <c r="A33" s="3" t="s">
        <v>49</v>
      </c>
      <c r="B33" s="3" t="s">
        <v>52</v>
      </c>
      <c r="C33">
        <v>20</v>
      </c>
      <c r="D33">
        <v>13000</v>
      </c>
      <c r="E33">
        <v>499</v>
      </c>
      <c r="F33">
        <v>1</v>
      </c>
      <c r="G33">
        <v>53044.701099550097</v>
      </c>
      <c r="H33">
        <v>1.324331E-3</v>
      </c>
      <c r="I33">
        <v>11835</v>
      </c>
      <c r="J33">
        <v>2757</v>
      </c>
      <c r="K33">
        <v>9078</v>
      </c>
      <c r="L33">
        <v>500</v>
      </c>
      <c r="M33">
        <v>499</v>
      </c>
      <c r="N33">
        <v>1</v>
      </c>
      <c r="O33">
        <v>4728.6639450702996</v>
      </c>
      <c r="P33">
        <v>0</v>
      </c>
    </row>
    <row r="34" spans="1:16" x14ac:dyDescent="0.2">
      <c r="A34" s="3" t="s">
        <v>49</v>
      </c>
      <c r="B34" s="3" t="s">
        <v>52</v>
      </c>
      <c r="C34">
        <v>47</v>
      </c>
      <c r="D34">
        <v>12000</v>
      </c>
      <c r="E34">
        <v>499</v>
      </c>
      <c r="F34">
        <v>1</v>
      </c>
      <c r="G34">
        <v>12000</v>
      </c>
      <c r="H34">
        <v>1.318832E-3</v>
      </c>
      <c r="I34">
        <v>11881</v>
      </c>
      <c r="J34">
        <v>2777</v>
      </c>
      <c r="K34">
        <v>9104</v>
      </c>
      <c r="L34">
        <v>500</v>
      </c>
      <c r="M34">
        <v>499</v>
      </c>
      <c r="N34">
        <v>1</v>
      </c>
      <c r="O34">
        <v>119</v>
      </c>
      <c r="P34">
        <v>1</v>
      </c>
    </row>
    <row r="35" spans="1:16" x14ac:dyDescent="0.2">
      <c r="A35" s="3" t="s">
        <v>49</v>
      </c>
      <c r="B35" s="3" t="s">
        <v>52</v>
      </c>
      <c r="C35">
        <v>32</v>
      </c>
      <c r="D35">
        <v>12000</v>
      </c>
      <c r="E35">
        <v>499</v>
      </c>
      <c r="F35">
        <v>1</v>
      </c>
      <c r="G35">
        <v>12000</v>
      </c>
      <c r="H35">
        <v>1.3119570000000001E-3</v>
      </c>
      <c r="I35">
        <v>11881</v>
      </c>
      <c r="J35">
        <v>2784</v>
      </c>
      <c r="K35">
        <v>9097</v>
      </c>
      <c r="L35">
        <v>500</v>
      </c>
      <c r="M35">
        <v>499</v>
      </c>
      <c r="N35">
        <v>1</v>
      </c>
      <c r="O35">
        <v>119</v>
      </c>
      <c r="P35">
        <v>1</v>
      </c>
    </row>
    <row r="36" spans="1:16" x14ac:dyDescent="0.2">
      <c r="A36" s="3" t="s">
        <v>49</v>
      </c>
      <c r="B36" s="3" t="s">
        <v>52</v>
      </c>
      <c r="C36">
        <v>8</v>
      </c>
      <c r="D36">
        <v>15000</v>
      </c>
      <c r="E36">
        <v>499</v>
      </c>
      <c r="F36">
        <v>1</v>
      </c>
      <c r="G36">
        <v>15000</v>
      </c>
      <c r="H36">
        <v>1.307466E-3</v>
      </c>
      <c r="I36">
        <v>11852</v>
      </c>
      <c r="J36">
        <v>2899</v>
      </c>
      <c r="K36">
        <v>8953</v>
      </c>
      <c r="L36">
        <v>500</v>
      </c>
      <c r="M36">
        <v>499</v>
      </c>
      <c r="N36">
        <v>1</v>
      </c>
      <c r="O36">
        <v>3148</v>
      </c>
      <c r="P36">
        <v>1</v>
      </c>
    </row>
    <row r="37" spans="1:16" x14ac:dyDescent="0.2">
      <c r="A37" s="3" t="s">
        <v>49</v>
      </c>
      <c r="B37" s="3" t="s">
        <v>52</v>
      </c>
      <c r="C37">
        <v>17</v>
      </c>
      <c r="D37">
        <v>15000</v>
      </c>
      <c r="E37">
        <v>499</v>
      </c>
      <c r="F37">
        <v>1</v>
      </c>
      <c r="G37">
        <v>60572.237308582698</v>
      </c>
      <c r="H37">
        <v>1.301204E-3</v>
      </c>
      <c r="I37">
        <v>11851</v>
      </c>
      <c r="J37">
        <v>2851</v>
      </c>
      <c r="K37">
        <v>9000</v>
      </c>
      <c r="L37">
        <v>500</v>
      </c>
      <c r="M37">
        <v>499</v>
      </c>
      <c r="N37">
        <v>1</v>
      </c>
      <c r="O37">
        <v>12757.205385796</v>
      </c>
      <c r="P37">
        <v>0</v>
      </c>
    </row>
    <row r="38" spans="1:16" x14ac:dyDescent="0.2">
      <c r="A38" s="3" t="s">
        <v>49</v>
      </c>
      <c r="B38" s="3" t="s">
        <v>52</v>
      </c>
      <c r="C38">
        <v>13</v>
      </c>
      <c r="D38">
        <v>19000</v>
      </c>
      <c r="E38">
        <v>499</v>
      </c>
      <c r="F38">
        <v>1</v>
      </c>
      <c r="G38">
        <v>84218.384375429901</v>
      </c>
      <c r="H38">
        <v>1.285163E-3</v>
      </c>
      <c r="I38">
        <v>12053</v>
      </c>
      <c r="J38">
        <v>2950</v>
      </c>
      <c r="K38">
        <v>9103</v>
      </c>
      <c r="L38">
        <v>500</v>
      </c>
      <c r="M38">
        <v>499</v>
      </c>
      <c r="N38">
        <v>1</v>
      </c>
      <c r="O38">
        <v>31120.956755952498</v>
      </c>
      <c r="P38">
        <v>0</v>
      </c>
    </row>
    <row r="39" spans="1:16" x14ac:dyDescent="0.2">
      <c r="A39" s="3" t="s">
        <v>49</v>
      </c>
      <c r="B39" s="3" t="s">
        <v>52</v>
      </c>
      <c r="C39">
        <v>40</v>
      </c>
      <c r="D39">
        <v>12000</v>
      </c>
      <c r="E39">
        <v>499</v>
      </c>
      <c r="F39">
        <v>1</v>
      </c>
      <c r="G39">
        <v>12000</v>
      </c>
      <c r="H39">
        <v>1.2850889999999999E-3</v>
      </c>
      <c r="I39">
        <v>11868</v>
      </c>
      <c r="J39">
        <v>2771</v>
      </c>
      <c r="K39">
        <v>9097</v>
      </c>
      <c r="L39">
        <v>500</v>
      </c>
      <c r="M39">
        <v>499</v>
      </c>
      <c r="N39">
        <v>1</v>
      </c>
      <c r="O39">
        <v>132</v>
      </c>
      <c r="P39">
        <v>1</v>
      </c>
    </row>
    <row r="40" spans="1:16" x14ac:dyDescent="0.2">
      <c r="A40" s="3" t="s">
        <v>49</v>
      </c>
      <c r="B40" s="3" t="s">
        <v>52</v>
      </c>
      <c r="C40">
        <v>5</v>
      </c>
      <c r="D40">
        <v>13000</v>
      </c>
      <c r="E40">
        <v>499</v>
      </c>
      <c r="F40">
        <v>1</v>
      </c>
      <c r="G40">
        <v>13000</v>
      </c>
      <c r="H40">
        <v>1.2849420000000001E-3</v>
      </c>
      <c r="I40">
        <v>11849</v>
      </c>
      <c r="J40">
        <v>2841</v>
      </c>
      <c r="K40">
        <v>9008</v>
      </c>
      <c r="L40">
        <v>500</v>
      </c>
      <c r="M40">
        <v>499</v>
      </c>
      <c r="N40">
        <v>1</v>
      </c>
      <c r="O40">
        <v>1151</v>
      </c>
      <c r="P40">
        <v>1</v>
      </c>
    </row>
    <row r="41" spans="1:16" x14ac:dyDescent="0.2">
      <c r="A41" s="3" t="s">
        <v>49</v>
      </c>
      <c r="B41" s="3" t="s">
        <v>52</v>
      </c>
      <c r="C41">
        <v>31</v>
      </c>
      <c r="D41">
        <v>17000</v>
      </c>
      <c r="E41">
        <v>499</v>
      </c>
      <c r="F41">
        <v>1</v>
      </c>
      <c r="G41">
        <v>17000</v>
      </c>
      <c r="H41">
        <v>1.276124E-3</v>
      </c>
      <c r="I41">
        <v>11978</v>
      </c>
      <c r="J41">
        <v>2918</v>
      </c>
      <c r="K41">
        <v>9060</v>
      </c>
      <c r="L41">
        <v>500</v>
      </c>
      <c r="M41">
        <v>499</v>
      </c>
      <c r="N41">
        <v>1</v>
      </c>
      <c r="O41">
        <v>5022</v>
      </c>
      <c r="P41">
        <v>1</v>
      </c>
    </row>
    <row r="42" spans="1:16" x14ac:dyDescent="0.2">
      <c r="A42" s="3" t="s">
        <v>49</v>
      </c>
      <c r="B42" s="3" t="s">
        <v>52</v>
      </c>
      <c r="C42">
        <v>26</v>
      </c>
      <c r="D42">
        <v>13000</v>
      </c>
      <c r="E42">
        <v>499</v>
      </c>
      <c r="F42">
        <v>1</v>
      </c>
      <c r="G42">
        <v>13000</v>
      </c>
      <c r="H42">
        <v>1.265326E-3</v>
      </c>
      <c r="I42">
        <v>11830</v>
      </c>
      <c r="J42">
        <v>2822</v>
      </c>
      <c r="K42">
        <v>9008</v>
      </c>
      <c r="L42">
        <v>500</v>
      </c>
      <c r="M42">
        <v>499</v>
      </c>
      <c r="N42">
        <v>1</v>
      </c>
      <c r="O42">
        <v>1170</v>
      </c>
      <c r="P42">
        <v>1</v>
      </c>
    </row>
    <row r="43" spans="1:16" x14ac:dyDescent="0.2">
      <c r="A43" s="3" t="s">
        <v>49</v>
      </c>
      <c r="B43" s="3" t="s">
        <v>52</v>
      </c>
      <c r="C43">
        <v>11</v>
      </c>
      <c r="D43">
        <v>17000</v>
      </c>
      <c r="E43">
        <v>499</v>
      </c>
      <c r="F43">
        <v>1</v>
      </c>
      <c r="G43">
        <v>17000</v>
      </c>
      <c r="H43">
        <v>1.2646109999999999E-3</v>
      </c>
      <c r="I43">
        <v>11954</v>
      </c>
      <c r="J43">
        <v>2896</v>
      </c>
      <c r="K43">
        <v>9058</v>
      </c>
      <c r="L43">
        <v>500</v>
      </c>
      <c r="M43">
        <v>499</v>
      </c>
      <c r="N43">
        <v>1</v>
      </c>
      <c r="O43">
        <v>5046</v>
      </c>
      <c r="P43">
        <v>1</v>
      </c>
    </row>
    <row r="44" spans="1:16" x14ac:dyDescent="0.2">
      <c r="A44" s="3" t="s">
        <v>49</v>
      </c>
      <c r="B44" s="3" t="s">
        <v>52</v>
      </c>
      <c r="C44">
        <v>1</v>
      </c>
      <c r="D44">
        <v>12000</v>
      </c>
      <c r="E44">
        <v>499</v>
      </c>
      <c r="F44">
        <v>1</v>
      </c>
      <c r="G44">
        <v>12000</v>
      </c>
      <c r="H44">
        <v>1.2477530000000001E-3</v>
      </c>
      <c r="I44">
        <v>11893</v>
      </c>
      <c r="J44">
        <v>2782</v>
      </c>
      <c r="K44">
        <v>9111</v>
      </c>
      <c r="L44">
        <v>500</v>
      </c>
      <c r="M44">
        <v>499</v>
      </c>
      <c r="N44">
        <v>1</v>
      </c>
      <c r="O44">
        <v>107</v>
      </c>
      <c r="P44">
        <v>1</v>
      </c>
    </row>
    <row r="45" spans="1:16" x14ac:dyDescent="0.2">
      <c r="A45" s="3" t="s">
        <v>49</v>
      </c>
      <c r="B45" s="3" t="s">
        <v>52</v>
      </c>
      <c r="C45">
        <v>40</v>
      </c>
      <c r="D45">
        <v>12000</v>
      </c>
      <c r="E45">
        <v>499</v>
      </c>
      <c r="F45">
        <v>1</v>
      </c>
      <c r="G45">
        <v>50533.323552418398</v>
      </c>
      <c r="H45">
        <v>1.219145E-3</v>
      </c>
      <c r="I45">
        <v>11883</v>
      </c>
      <c r="J45">
        <v>2741</v>
      </c>
      <c r="K45">
        <v>9142</v>
      </c>
      <c r="L45">
        <v>500</v>
      </c>
      <c r="M45">
        <v>499</v>
      </c>
      <c r="N45">
        <v>1</v>
      </c>
      <c r="O45">
        <v>536.13874347420006</v>
      </c>
      <c r="P45">
        <v>0</v>
      </c>
    </row>
    <row r="46" spans="1:16" x14ac:dyDescent="0.2">
      <c r="A46" s="3" t="s">
        <v>49</v>
      </c>
      <c r="B46" s="3" t="s">
        <v>52</v>
      </c>
      <c r="C46">
        <v>19</v>
      </c>
      <c r="D46">
        <v>13000</v>
      </c>
      <c r="E46">
        <v>499</v>
      </c>
      <c r="F46">
        <v>1</v>
      </c>
      <c r="G46">
        <v>13000</v>
      </c>
      <c r="H46">
        <v>1.216394E-3</v>
      </c>
      <c r="I46">
        <v>11814</v>
      </c>
      <c r="J46">
        <v>2773</v>
      </c>
      <c r="K46">
        <v>9041</v>
      </c>
      <c r="L46">
        <v>500</v>
      </c>
      <c r="M46">
        <v>499</v>
      </c>
      <c r="N46">
        <v>1</v>
      </c>
      <c r="O46">
        <v>1186</v>
      </c>
      <c r="P46">
        <v>1</v>
      </c>
    </row>
    <row r="47" spans="1:16" x14ac:dyDescent="0.2">
      <c r="A47" s="3" t="s">
        <v>49</v>
      </c>
      <c r="B47" s="3" t="s">
        <v>52</v>
      </c>
      <c r="C47">
        <v>8</v>
      </c>
      <c r="D47">
        <v>20000</v>
      </c>
      <c r="E47">
        <v>499</v>
      </c>
      <c r="F47">
        <v>1</v>
      </c>
      <c r="G47">
        <v>82302.7524576211</v>
      </c>
      <c r="H47">
        <v>1.198272E-3</v>
      </c>
      <c r="I47">
        <v>11965</v>
      </c>
      <c r="J47">
        <v>3001</v>
      </c>
      <c r="K47">
        <v>8964</v>
      </c>
      <c r="L47">
        <v>500</v>
      </c>
      <c r="M47">
        <v>499</v>
      </c>
      <c r="N47">
        <v>1</v>
      </c>
      <c r="O47">
        <v>33225.5755646096</v>
      </c>
      <c r="P47">
        <v>0</v>
      </c>
    </row>
    <row r="48" spans="1:16" x14ac:dyDescent="0.2">
      <c r="A48" s="3" t="s">
        <v>49</v>
      </c>
      <c r="B48" s="3" t="s">
        <v>52</v>
      </c>
      <c r="C48">
        <v>15</v>
      </c>
      <c r="D48">
        <v>11000</v>
      </c>
      <c r="E48">
        <v>499</v>
      </c>
      <c r="F48">
        <v>1</v>
      </c>
      <c r="G48">
        <v>11000</v>
      </c>
      <c r="H48">
        <v>1.1704969999999999E-3</v>
      </c>
      <c r="I48">
        <v>11000</v>
      </c>
      <c r="J48">
        <v>2774</v>
      </c>
      <c r="K48">
        <v>8226</v>
      </c>
      <c r="L48">
        <v>500</v>
      </c>
      <c r="M48">
        <v>499</v>
      </c>
      <c r="N48">
        <v>1</v>
      </c>
      <c r="O48">
        <v>0</v>
      </c>
      <c r="P48">
        <v>1</v>
      </c>
    </row>
    <row r="49" spans="1:16" x14ac:dyDescent="0.2">
      <c r="A49" s="3" t="s">
        <v>49</v>
      </c>
      <c r="B49" s="3" t="s">
        <v>52</v>
      </c>
      <c r="C49">
        <v>12</v>
      </c>
      <c r="D49">
        <v>19000</v>
      </c>
      <c r="E49">
        <v>499</v>
      </c>
      <c r="F49">
        <v>1</v>
      </c>
      <c r="G49">
        <v>84218.384375429901</v>
      </c>
      <c r="H49">
        <v>1.1445279999999999E-3</v>
      </c>
      <c r="I49">
        <v>12035</v>
      </c>
      <c r="J49">
        <v>2973</v>
      </c>
      <c r="K49">
        <v>9062</v>
      </c>
      <c r="L49">
        <v>500</v>
      </c>
      <c r="M49">
        <v>499</v>
      </c>
      <c r="N49">
        <v>1</v>
      </c>
      <c r="O49">
        <v>31176.566517234201</v>
      </c>
      <c r="P49">
        <v>0</v>
      </c>
    </row>
    <row r="50" spans="1:16" x14ac:dyDescent="0.2">
      <c r="A50" s="3" t="s">
        <v>49</v>
      </c>
      <c r="B50" s="3" t="s">
        <v>52</v>
      </c>
      <c r="C50">
        <v>25</v>
      </c>
      <c r="D50">
        <v>20000</v>
      </c>
      <c r="E50">
        <v>499</v>
      </c>
      <c r="F50">
        <v>1</v>
      </c>
      <c r="G50">
        <v>82302.7524576211</v>
      </c>
      <c r="H50">
        <v>1.1320519999999999E-3</v>
      </c>
      <c r="I50">
        <v>11962</v>
      </c>
      <c r="J50">
        <v>2958</v>
      </c>
      <c r="K50">
        <v>9004</v>
      </c>
      <c r="L50">
        <v>500</v>
      </c>
      <c r="M50">
        <v>499</v>
      </c>
      <c r="N50">
        <v>1</v>
      </c>
      <c r="O50">
        <v>33225.257946637001</v>
      </c>
      <c r="P50">
        <v>0</v>
      </c>
    </row>
    <row r="51" spans="1:16" x14ac:dyDescent="0.2">
      <c r="A51" s="3" t="s">
        <v>49</v>
      </c>
      <c r="B51" s="3" t="s">
        <v>52</v>
      </c>
      <c r="C51">
        <v>10</v>
      </c>
      <c r="D51">
        <v>11000</v>
      </c>
      <c r="E51">
        <v>499</v>
      </c>
      <c r="F51">
        <v>1</v>
      </c>
      <c r="G51">
        <v>11000</v>
      </c>
      <c r="H51">
        <v>1.115167E-3</v>
      </c>
      <c r="I51">
        <v>11000</v>
      </c>
      <c r="J51">
        <v>2756</v>
      </c>
      <c r="K51">
        <v>8244</v>
      </c>
      <c r="L51">
        <v>500</v>
      </c>
      <c r="M51">
        <v>499</v>
      </c>
      <c r="N51">
        <v>1</v>
      </c>
      <c r="O51">
        <v>0</v>
      </c>
      <c r="P51">
        <v>1</v>
      </c>
    </row>
    <row r="52" spans="1:16" x14ac:dyDescent="0.2">
      <c r="A52" s="3" t="s">
        <v>49</v>
      </c>
      <c r="B52" s="3" t="s">
        <v>52</v>
      </c>
      <c r="C52">
        <v>32</v>
      </c>
      <c r="D52">
        <v>20000</v>
      </c>
      <c r="E52">
        <v>499</v>
      </c>
      <c r="F52">
        <v>1</v>
      </c>
      <c r="G52">
        <v>82302.7524576211</v>
      </c>
      <c r="H52">
        <v>1.110043E-3</v>
      </c>
      <c r="I52">
        <v>11983</v>
      </c>
      <c r="J52">
        <v>2973</v>
      </c>
      <c r="K52">
        <v>9010</v>
      </c>
      <c r="L52">
        <v>500</v>
      </c>
      <c r="M52">
        <v>499</v>
      </c>
      <c r="N52">
        <v>1</v>
      </c>
      <c r="O52">
        <v>33140.643586769897</v>
      </c>
      <c r="P52">
        <v>0</v>
      </c>
    </row>
    <row r="53" spans="1:16" x14ac:dyDescent="0.2">
      <c r="A53" s="3" t="s">
        <v>49</v>
      </c>
      <c r="B53" s="3" t="s">
        <v>52</v>
      </c>
      <c r="C53">
        <v>16</v>
      </c>
      <c r="D53">
        <v>13000</v>
      </c>
      <c r="E53">
        <v>499</v>
      </c>
      <c r="F53">
        <v>1</v>
      </c>
      <c r="G53">
        <v>13000</v>
      </c>
      <c r="H53">
        <v>1.1068440000000001E-3</v>
      </c>
      <c r="I53">
        <v>11814</v>
      </c>
      <c r="J53">
        <v>2802</v>
      </c>
      <c r="K53">
        <v>9012</v>
      </c>
      <c r="L53">
        <v>500</v>
      </c>
      <c r="M53">
        <v>499</v>
      </c>
      <c r="N53">
        <v>1</v>
      </c>
      <c r="O53">
        <v>1186</v>
      </c>
      <c r="P53">
        <v>1</v>
      </c>
    </row>
    <row r="54" spans="1:16" x14ac:dyDescent="0.2">
      <c r="A54" s="3" t="s">
        <v>49</v>
      </c>
      <c r="B54" s="3" t="s">
        <v>52</v>
      </c>
      <c r="C54">
        <v>34</v>
      </c>
      <c r="D54">
        <v>15000</v>
      </c>
      <c r="E54">
        <v>499</v>
      </c>
      <c r="F54">
        <v>1</v>
      </c>
      <c r="G54">
        <v>15000</v>
      </c>
      <c r="H54">
        <v>1.097806E-3</v>
      </c>
      <c r="I54">
        <v>11856</v>
      </c>
      <c r="J54">
        <v>2866</v>
      </c>
      <c r="K54">
        <v>8990</v>
      </c>
      <c r="L54">
        <v>500</v>
      </c>
      <c r="M54">
        <v>499</v>
      </c>
      <c r="N54">
        <v>1</v>
      </c>
      <c r="O54">
        <v>3144</v>
      </c>
      <c r="P54">
        <v>1</v>
      </c>
    </row>
    <row r="55" spans="1:16" x14ac:dyDescent="0.2">
      <c r="A55" s="3" t="s">
        <v>49</v>
      </c>
      <c r="B55" s="3" t="s">
        <v>52</v>
      </c>
      <c r="C55">
        <v>43</v>
      </c>
      <c r="D55">
        <v>12000</v>
      </c>
      <c r="E55">
        <v>499</v>
      </c>
      <c r="F55">
        <v>1</v>
      </c>
      <c r="G55">
        <v>12000</v>
      </c>
      <c r="H55">
        <v>1.09468E-3</v>
      </c>
      <c r="I55">
        <v>11925</v>
      </c>
      <c r="J55">
        <v>2812</v>
      </c>
      <c r="K55">
        <v>9113</v>
      </c>
      <c r="L55">
        <v>500</v>
      </c>
      <c r="M55">
        <v>499</v>
      </c>
      <c r="N55">
        <v>1</v>
      </c>
      <c r="O55">
        <v>75</v>
      </c>
      <c r="P55">
        <v>1</v>
      </c>
    </row>
    <row r="56" spans="1:16" x14ac:dyDescent="0.2">
      <c r="A56" s="3" t="s">
        <v>49</v>
      </c>
      <c r="B56" s="3" t="s">
        <v>52</v>
      </c>
      <c r="C56">
        <v>32</v>
      </c>
      <c r="D56">
        <v>13000</v>
      </c>
      <c r="E56">
        <v>499</v>
      </c>
      <c r="F56">
        <v>1</v>
      </c>
      <c r="G56">
        <v>13000</v>
      </c>
      <c r="H56">
        <v>1.094158E-3</v>
      </c>
      <c r="I56">
        <v>11842</v>
      </c>
      <c r="J56">
        <v>2850</v>
      </c>
      <c r="K56">
        <v>8992</v>
      </c>
      <c r="L56">
        <v>500</v>
      </c>
      <c r="M56">
        <v>499</v>
      </c>
      <c r="N56">
        <v>1</v>
      </c>
      <c r="O56">
        <v>1158</v>
      </c>
      <c r="P56">
        <v>1</v>
      </c>
    </row>
    <row r="57" spans="1:16" x14ac:dyDescent="0.2">
      <c r="A57" s="3" t="s">
        <v>49</v>
      </c>
      <c r="B57" s="3" t="s">
        <v>52</v>
      </c>
      <c r="C57">
        <v>41</v>
      </c>
      <c r="D57">
        <v>20000</v>
      </c>
      <c r="E57">
        <v>499</v>
      </c>
      <c r="F57">
        <v>1</v>
      </c>
      <c r="G57">
        <v>20000</v>
      </c>
      <c r="H57">
        <v>1.0936710000000001E-3</v>
      </c>
      <c r="I57">
        <v>11935</v>
      </c>
      <c r="J57">
        <v>2919</v>
      </c>
      <c r="K57">
        <v>9016</v>
      </c>
      <c r="L57">
        <v>500</v>
      </c>
      <c r="M57">
        <v>499</v>
      </c>
      <c r="N57">
        <v>1</v>
      </c>
      <c r="O57">
        <v>8065</v>
      </c>
      <c r="P57">
        <v>1</v>
      </c>
    </row>
    <row r="58" spans="1:16" x14ac:dyDescent="0.2">
      <c r="A58" s="3" t="s">
        <v>49</v>
      </c>
      <c r="B58" s="3" t="s">
        <v>52</v>
      </c>
      <c r="C58">
        <v>46</v>
      </c>
      <c r="D58">
        <v>12000</v>
      </c>
      <c r="E58">
        <v>499</v>
      </c>
      <c r="F58">
        <v>1</v>
      </c>
      <c r="G58">
        <v>12000</v>
      </c>
      <c r="H58">
        <v>1.0934510000000001E-3</v>
      </c>
      <c r="I58">
        <v>11909</v>
      </c>
      <c r="J58">
        <v>2782</v>
      </c>
      <c r="K58">
        <v>9127</v>
      </c>
      <c r="L58">
        <v>500</v>
      </c>
      <c r="M58">
        <v>499</v>
      </c>
      <c r="N58">
        <v>1</v>
      </c>
      <c r="O58">
        <v>91</v>
      </c>
      <c r="P58">
        <v>1</v>
      </c>
    </row>
    <row r="59" spans="1:16" x14ac:dyDescent="0.2">
      <c r="A59" s="3" t="s">
        <v>49</v>
      </c>
      <c r="B59" s="3" t="s">
        <v>52</v>
      </c>
      <c r="C59">
        <v>41</v>
      </c>
      <c r="D59">
        <v>20000</v>
      </c>
      <c r="E59">
        <v>499</v>
      </c>
      <c r="F59">
        <v>1</v>
      </c>
      <c r="G59">
        <v>82302.7524576211</v>
      </c>
      <c r="H59">
        <v>1.0878050000000001E-3</v>
      </c>
      <c r="I59">
        <v>11958</v>
      </c>
      <c r="J59">
        <v>2965</v>
      </c>
      <c r="K59">
        <v>8993</v>
      </c>
      <c r="L59">
        <v>500</v>
      </c>
      <c r="M59">
        <v>499</v>
      </c>
      <c r="N59">
        <v>1</v>
      </c>
      <c r="O59">
        <v>33240.691371216599</v>
      </c>
      <c r="P59">
        <v>0</v>
      </c>
    </row>
    <row r="60" spans="1:16" x14ac:dyDescent="0.2">
      <c r="A60" s="3" t="s">
        <v>49</v>
      </c>
      <c r="B60" s="3" t="s">
        <v>52</v>
      </c>
      <c r="C60">
        <v>17</v>
      </c>
      <c r="D60">
        <v>20000</v>
      </c>
      <c r="E60">
        <v>499</v>
      </c>
      <c r="F60">
        <v>1</v>
      </c>
      <c r="G60">
        <v>82302.7524576211</v>
      </c>
      <c r="H60">
        <v>1.086898E-3</v>
      </c>
      <c r="I60">
        <v>11936</v>
      </c>
      <c r="J60">
        <v>3007</v>
      </c>
      <c r="K60">
        <v>8929</v>
      </c>
      <c r="L60">
        <v>500</v>
      </c>
      <c r="M60">
        <v>499</v>
      </c>
      <c r="N60">
        <v>1</v>
      </c>
      <c r="O60">
        <v>33303.276178999702</v>
      </c>
      <c r="P60">
        <v>0</v>
      </c>
    </row>
    <row r="61" spans="1:16" x14ac:dyDescent="0.2">
      <c r="A61" s="3" t="s">
        <v>49</v>
      </c>
      <c r="B61" s="3" t="s">
        <v>52</v>
      </c>
      <c r="C61">
        <v>12</v>
      </c>
      <c r="D61">
        <v>20000</v>
      </c>
      <c r="E61">
        <v>499</v>
      </c>
      <c r="F61">
        <v>1</v>
      </c>
      <c r="G61">
        <v>82302.7524576211</v>
      </c>
      <c r="H61">
        <v>1.0862560000000001E-3</v>
      </c>
      <c r="I61">
        <v>11967</v>
      </c>
      <c r="J61">
        <v>2945</v>
      </c>
      <c r="K61">
        <v>9022</v>
      </c>
      <c r="L61">
        <v>500</v>
      </c>
      <c r="M61">
        <v>499</v>
      </c>
      <c r="N61">
        <v>1</v>
      </c>
      <c r="O61">
        <v>33201.206123882002</v>
      </c>
      <c r="P61">
        <v>0</v>
      </c>
    </row>
    <row r="62" spans="1:16" x14ac:dyDescent="0.2">
      <c r="A62" s="3" t="s">
        <v>49</v>
      </c>
      <c r="B62" s="3" t="s">
        <v>52</v>
      </c>
      <c r="C62">
        <v>43</v>
      </c>
      <c r="D62">
        <v>20000</v>
      </c>
      <c r="E62">
        <v>499</v>
      </c>
      <c r="F62">
        <v>1</v>
      </c>
      <c r="G62">
        <v>82302.7524576211</v>
      </c>
      <c r="H62">
        <v>1.0857060000000001E-3</v>
      </c>
      <c r="I62">
        <v>11976</v>
      </c>
      <c r="J62">
        <v>2987</v>
      </c>
      <c r="K62">
        <v>8989</v>
      </c>
      <c r="L62">
        <v>500</v>
      </c>
      <c r="M62">
        <v>499</v>
      </c>
      <c r="N62">
        <v>1</v>
      </c>
      <c r="O62">
        <v>33158.115744407602</v>
      </c>
      <c r="P62">
        <v>0</v>
      </c>
    </row>
    <row r="63" spans="1:16" x14ac:dyDescent="0.2">
      <c r="A63" s="3" t="s">
        <v>49</v>
      </c>
      <c r="B63" s="3" t="s">
        <v>52</v>
      </c>
      <c r="C63">
        <v>3</v>
      </c>
      <c r="D63">
        <v>18000</v>
      </c>
      <c r="E63">
        <v>499</v>
      </c>
      <c r="F63">
        <v>1</v>
      </c>
      <c r="G63">
        <v>75479.649376234796</v>
      </c>
      <c r="H63">
        <v>1.0836439999999999E-3</v>
      </c>
      <c r="I63">
        <v>11963</v>
      </c>
      <c r="J63">
        <v>2930</v>
      </c>
      <c r="K63">
        <v>9033</v>
      </c>
      <c r="L63">
        <v>500</v>
      </c>
      <c r="M63">
        <v>499</v>
      </c>
      <c r="N63">
        <v>1</v>
      </c>
      <c r="O63">
        <v>25637.5173062342</v>
      </c>
      <c r="P63">
        <v>0</v>
      </c>
    </row>
    <row r="64" spans="1:16" x14ac:dyDescent="0.2">
      <c r="A64" s="3" t="s">
        <v>49</v>
      </c>
      <c r="B64" s="3" t="s">
        <v>52</v>
      </c>
      <c r="C64">
        <v>11</v>
      </c>
      <c r="D64">
        <v>11000</v>
      </c>
      <c r="E64">
        <v>499</v>
      </c>
      <c r="F64">
        <v>1</v>
      </c>
      <c r="G64">
        <v>11000</v>
      </c>
      <c r="H64">
        <v>1.082305E-3</v>
      </c>
      <c r="I64">
        <v>11000</v>
      </c>
      <c r="J64">
        <v>2757</v>
      </c>
      <c r="K64">
        <v>8243</v>
      </c>
      <c r="L64">
        <v>500</v>
      </c>
      <c r="M64">
        <v>499</v>
      </c>
      <c r="N64">
        <v>1</v>
      </c>
      <c r="O64">
        <v>0</v>
      </c>
      <c r="P64">
        <v>1</v>
      </c>
    </row>
    <row r="65" spans="1:16" x14ac:dyDescent="0.2">
      <c r="A65" s="3" t="s">
        <v>49</v>
      </c>
      <c r="B65" s="3" t="s">
        <v>52</v>
      </c>
      <c r="C65">
        <v>21</v>
      </c>
      <c r="D65">
        <v>11000</v>
      </c>
      <c r="E65">
        <v>499</v>
      </c>
      <c r="F65">
        <v>1</v>
      </c>
      <c r="G65">
        <v>11000</v>
      </c>
      <c r="H65">
        <v>1.0806640000000001E-3</v>
      </c>
      <c r="I65">
        <v>11000</v>
      </c>
      <c r="J65">
        <v>2758</v>
      </c>
      <c r="K65">
        <v>8242</v>
      </c>
      <c r="L65">
        <v>500</v>
      </c>
      <c r="M65">
        <v>499</v>
      </c>
      <c r="N65">
        <v>1</v>
      </c>
      <c r="O65">
        <v>0</v>
      </c>
      <c r="P65">
        <v>1</v>
      </c>
    </row>
    <row r="66" spans="1:16" x14ac:dyDescent="0.2">
      <c r="A66" s="3" t="s">
        <v>49</v>
      </c>
      <c r="B66" s="3" t="s">
        <v>52</v>
      </c>
      <c r="C66">
        <v>1</v>
      </c>
      <c r="D66">
        <v>16000</v>
      </c>
      <c r="E66">
        <v>499</v>
      </c>
      <c r="F66">
        <v>1</v>
      </c>
      <c r="G66">
        <v>16000</v>
      </c>
      <c r="H66">
        <v>1.0805260000000001E-3</v>
      </c>
      <c r="I66">
        <v>11980</v>
      </c>
      <c r="J66">
        <v>2919</v>
      </c>
      <c r="K66">
        <v>9061</v>
      </c>
      <c r="L66">
        <v>500</v>
      </c>
      <c r="M66">
        <v>499</v>
      </c>
      <c r="N66">
        <v>1</v>
      </c>
      <c r="O66">
        <v>4020</v>
      </c>
      <c r="P66">
        <v>1</v>
      </c>
    </row>
    <row r="67" spans="1:16" x14ac:dyDescent="0.2">
      <c r="A67" s="3" t="s">
        <v>49</v>
      </c>
      <c r="B67" s="3" t="s">
        <v>52</v>
      </c>
      <c r="C67">
        <v>3</v>
      </c>
      <c r="D67">
        <v>20000</v>
      </c>
      <c r="E67">
        <v>499</v>
      </c>
      <c r="F67">
        <v>1</v>
      </c>
      <c r="G67">
        <v>82302.7524576211</v>
      </c>
      <c r="H67">
        <v>1.073542E-3</v>
      </c>
      <c r="I67">
        <v>11954</v>
      </c>
      <c r="J67">
        <v>2977</v>
      </c>
      <c r="K67">
        <v>8977</v>
      </c>
      <c r="L67">
        <v>500</v>
      </c>
      <c r="M67">
        <v>499</v>
      </c>
      <c r="N67">
        <v>1</v>
      </c>
      <c r="O67">
        <v>33248.482077093096</v>
      </c>
      <c r="P67">
        <v>0</v>
      </c>
    </row>
    <row r="68" spans="1:16" x14ac:dyDescent="0.2">
      <c r="A68" s="3" t="s">
        <v>49</v>
      </c>
      <c r="B68" s="3" t="s">
        <v>52</v>
      </c>
      <c r="C68">
        <v>11</v>
      </c>
      <c r="D68">
        <v>19000</v>
      </c>
      <c r="E68">
        <v>499</v>
      </c>
      <c r="F68">
        <v>1</v>
      </c>
      <c r="G68">
        <v>19000</v>
      </c>
      <c r="H68">
        <v>1.0730010000000001E-3</v>
      </c>
      <c r="I68">
        <v>12027</v>
      </c>
      <c r="J68">
        <v>2941</v>
      </c>
      <c r="K68">
        <v>9086</v>
      </c>
      <c r="L68">
        <v>500</v>
      </c>
      <c r="M68">
        <v>499</v>
      </c>
      <c r="N68">
        <v>1</v>
      </c>
      <c r="O68">
        <v>6973</v>
      </c>
      <c r="P68">
        <v>1</v>
      </c>
    </row>
    <row r="69" spans="1:16" x14ac:dyDescent="0.2">
      <c r="A69" s="3" t="s">
        <v>49</v>
      </c>
      <c r="B69" s="3" t="s">
        <v>52</v>
      </c>
      <c r="C69">
        <v>50</v>
      </c>
      <c r="D69">
        <v>20000</v>
      </c>
      <c r="E69">
        <v>499</v>
      </c>
      <c r="F69">
        <v>1</v>
      </c>
      <c r="G69">
        <v>20000</v>
      </c>
      <c r="H69">
        <v>1.0723499999999999E-3</v>
      </c>
      <c r="I69">
        <v>11961</v>
      </c>
      <c r="J69">
        <v>2975</v>
      </c>
      <c r="K69">
        <v>8986</v>
      </c>
      <c r="L69">
        <v>500</v>
      </c>
      <c r="M69">
        <v>499</v>
      </c>
      <c r="N69">
        <v>1</v>
      </c>
      <c r="O69">
        <v>8039</v>
      </c>
      <c r="P69">
        <v>1</v>
      </c>
    </row>
    <row r="70" spans="1:16" x14ac:dyDescent="0.2">
      <c r="A70" s="3" t="s">
        <v>49</v>
      </c>
      <c r="B70" s="3" t="s">
        <v>52</v>
      </c>
      <c r="C70">
        <v>14</v>
      </c>
      <c r="D70">
        <v>20000</v>
      </c>
      <c r="E70">
        <v>499</v>
      </c>
      <c r="F70">
        <v>1</v>
      </c>
      <c r="G70">
        <v>20000</v>
      </c>
      <c r="H70">
        <v>1.0713319999999999E-3</v>
      </c>
      <c r="I70">
        <v>11928</v>
      </c>
      <c r="J70">
        <v>2943</v>
      </c>
      <c r="K70">
        <v>8985</v>
      </c>
      <c r="L70">
        <v>500</v>
      </c>
      <c r="M70">
        <v>499</v>
      </c>
      <c r="N70">
        <v>1</v>
      </c>
      <c r="O70">
        <v>8072</v>
      </c>
      <c r="P70">
        <v>1</v>
      </c>
    </row>
    <row r="71" spans="1:16" x14ac:dyDescent="0.2">
      <c r="A71" s="3" t="s">
        <v>49</v>
      </c>
      <c r="B71" s="3" t="s">
        <v>52</v>
      </c>
      <c r="C71">
        <v>49</v>
      </c>
      <c r="D71">
        <v>19000</v>
      </c>
      <c r="E71">
        <v>499</v>
      </c>
      <c r="F71">
        <v>1</v>
      </c>
      <c r="G71">
        <v>19000</v>
      </c>
      <c r="H71">
        <v>1.068683E-3</v>
      </c>
      <c r="I71">
        <v>12073</v>
      </c>
      <c r="J71">
        <v>2969</v>
      </c>
      <c r="K71">
        <v>9104</v>
      </c>
      <c r="L71">
        <v>500</v>
      </c>
      <c r="M71">
        <v>499</v>
      </c>
      <c r="N71">
        <v>1</v>
      </c>
      <c r="O71">
        <v>6927</v>
      </c>
      <c r="P71">
        <v>1</v>
      </c>
    </row>
    <row r="72" spans="1:16" x14ac:dyDescent="0.2">
      <c r="A72" s="3" t="s">
        <v>49</v>
      </c>
      <c r="B72" s="3" t="s">
        <v>52</v>
      </c>
      <c r="C72">
        <v>24</v>
      </c>
      <c r="D72">
        <v>20000</v>
      </c>
      <c r="E72">
        <v>499</v>
      </c>
      <c r="F72">
        <v>1</v>
      </c>
      <c r="G72">
        <v>82302.7524576211</v>
      </c>
      <c r="H72">
        <v>1.068252E-3</v>
      </c>
      <c r="I72">
        <v>11935</v>
      </c>
      <c r="J72">
        <v>2925</v>
      </c>
      <c r="K72">
        <v>9010</v>
      </c>
      <c r="L72">
        <v>500</v>
      </c>
      <c r="M72">
        <v>499</v>
      </c>
      <c r="N72">
        <v>1</v>
      </c>
      <c r="O72">
        <v>33307.8219434969</v>
      </c>
      <c r="P72">
        <v>0</v>
      </c>
    </row>
    <row r="73" spans="1:16" x14ac:dyDescent="0.2">
      <c r="A73" s="3" t="s">
        <v>49</v>
      </c>
      <c r="B73" s="3" t="s">
        <v>52</v>
      </c>
      <c r="C73">
        <v>6</v>
      </c>
      <c r="D73">
        <v>19000</v>
      </c>
      <c r="E73">
        <v>499</v>
      </c>
      <c r="F73">
        <v>1</v>
      </c>
      <c r="G73">
        <v>19000</v>
      </c>
      <c r="H73">
        <v>1.0648789999999999E-3</v>
      </c>
      <c r="I73">
        <v>12017</v>
      </c>
      <c r="J73">
        <v>2975</v>
      </c>
      <c r="K73">
        <v>9042</v>
      </c>
      <c r="L73">
        <v>500</v>
      </c>
      <c r="M73">
        <v>499</v>
      </c>
      <c r="N73">
        <v>1</v>
      </c>
      <c r="O73">
        <v>6983</v>
      </c>
      <c r="P73">
        <v>1</v>
      </c>
    </row>
    <row r="74" spans="1:16" x14ac:dyDescent="0.2">
      <c r="A74" s="3" t="s">
        <v>49</v>
      </c>
      <c r="B74" s="3" t="s">
        <v>52</v>
      </c>
      <c r="C74">
        <v>44</v>
      </c>
      <c r="D74">
        <v>20000</v>
      </c>
      <c r="E74">
        <v>499</v>
      </c>
      <c r="F74">
        <v>1</v>
      </c>
      <c r="G74">
        <v>82302.7524576211</v>
      </c>
      <c r="H74">
        <v>1.0635950000000001E-3</v>
      </c>
      <c r="I74">
        <v>11979</v>
      </c>
      <c r="J74">
        <v>2934</v>
      </c>
      <c r="K74">
        <v>9045</v>
      </c>
      <c r="L74">
        <v>500</v>
      </c>
      <c r="M74">
        <v>499</v>
      </c>
      <c r="N74">
        <v>1</v>
      </c>
      <c r="O74">
        <v>33135.846648760104</v>
      </c>
      <c r="P74">
        <v>0</v>
      </c>
    </row>
    <row r="75" spans="1:16" x14ac:dyDescent="0.2">
      <c r="A75" s="3" t="s">
        <v>49</v>
      </c>
      <c r="B75" s="3" t="s">
        <v>52</v>
      </c>
      <c r="C75">
        <v>23</v>
      </c>
      <c r="D75">
        <v>19000</v>
      </c>
      <c r="E75">
        <v>499</v>
      </c>
      <c r="F75">
        <v>1</v>
      </c>
      <c r="G75">
        <v>84218.384375429901</v>
      </c>
      <c r="H75">
        <v>1.0618730000000001E-3</v>
      </c>
      <c r="I75">
        <v>11995</v>
      </c>
      <c r="J75">
        <v>2915</v>
      </c>
      <c r="K75">
        <v>9080</v>
      </c>
      <c r="L75">
        <v>500</v>
      </c>
      <c r="M75">
        <v>499</v>
      </c>
      <c r="N75">
        <v>1</v>
      </c>
      <c r="O75">
        <v>31348.025835681001</v>
      </c>
      <c r="P75">
        <v>0</v>
      </c>
    </row>
    <row r="76" spans="1:16" x14ac:dyDescent="0.2">
      <c r="A76" s="3" t="s">
        <v>49</v>
      </c>
      <c r="B76" s="3" t="s">
        <v>52</v>
      </c>
      <c r="C76">
        <v>2</v>
      </c>
      <c r="D76">
        <v>20000</v>
      </c>
      <c r="E76">
        <v>499</v>
      </c>
      <c r="F76">
        <v>1</v>
      </c>
      <c r="G76">
        <v>82302.7524576211</v>
      </c>
      <c r="H76">
        <v>1.059342E-3</v>
      </c>
      <c r="I76">
        <v>11975</v>
      </c>
      <c r="J76">
        <v>2982</v>
      </c>
      <c r="K76">
        <v>8993</v>
      </c>
      <c r="L76">
        <v>500</v>
      </c>
      <c r="M76">
        <v>499</v>
      </c>
      <c r="N76">
        <v>1</v>
      </c>
      <c r="O76">
        <v>33173.415541070899</v>
      </c>
      <c r="P76">
        <v>0</v>
      </c>
    </row>
    <row r="77" spans="1:16" x14ac:dyDescent="0.2">
      <c r="A77" s="3" t="s">
        <v>49</v>
      </c>
      <c r="B77" s="3" t="s">
        <v>52</v>
      </c>
      <c r="C77">
        <v>12</v>
      </c>
      <c r="D77">
        <v>20000</v>
      </c>
      <c r="E77">
        <v>499</v>
      </c>
      <c r="F77">
        <v>1</v>
      </c>
      <c r="G77">
        <v>20000</v>
      </c>
      <c r="H77">
        <v>1.0565920000000001E-3</v>
      </c>
      <c r="I77">
        <v>11965</v>
      </c>
      <c r="J77">
        <v>2929</v>
      </c>
      <c r="K77">
        <v>9036</v>
      </c>
      <c r="L77">
        <v>500</v>
      </c>
      <c r="M77">
        <v>499</v>
      </c>
      <c r="N77">
        <v>1</v>
      </c>
      <c r="O77">
        <v>8035</v>
      </c>
      <c r="P77">
        <v>1</v>
      </c>
    </row>
    <row r="78" spans="1:16" x14ac:dyDescent="0.2">
      <c r="A78" s="3" t="s">
        <v>49</v>
      </c>
      <c r="B78" s="3" t="s">
        <v>52</v>
      </c>
      <c r="C78">
        <v>16</v>
      </c>
      <c r="D78">
        <v>19000</v>
      </c>
      <c r="E78">
        <v>499</v>
      </c>
      <c r="F78">
        <v>1</v>
      </c>
      <c r="G78">
        <v>19000</v>
      </c>
      <c r="H78">
        <v>1.055676E-3</v>
      </c>
      <c r="I78">
        <v>11988</v>
      </c>
      <c r="J78">
        <v>2919</v>
      </c>
      <c r="K78">
        <v>9069</v>
      </c>
      <c r="L78">
        <v>500</v>
      </c>
      <c r="M78">
        <v>499</v>
      </c>
      <c r="N78">
        <v>1</v>
      </c>
      <c r="O78">
        <v>7012</v>
      </c>
      <c r="P78">
        <v>1</v>
      </c>
    </row>
    <row r="79" spans="1:16" x14ac:dyDescent="0.2">
      <c r="A79" s="3" t="s">
        <v>49</v>
      </c>
      <c r="B79" s="3" t="s">
        <v>52</v>
      </c>
      <c r="C79">
        <v>29</v>
      </c>
      <c r="D79">
        <v>18000</v>
      </c>
      <c r="E79">
        <v>499</v>
      </c>
      <c r="F79">
        <v>1</v>
      </c>
      <c r="G79">
        <v>18000</v>
      </c>
      <c r="H79">
        <v>1.0555930000000001E-3</v>
      </c>
      <c r="I79">
        <v>11972</v>
      </c>
      <c r="J79">
        <v>2925</v>
      </c>
      <c r="K79">
        <v>9047</v>
      </c>
      <c r="L79">
        <v>500</v>
      </c>
      <c r="M79">
        <v>499</v>
      </c>
      <c r="N79">
        <v>1</v>
      </c>
      <c r="O79">
        <v>6028</v>
      </c>
      <c r="P79">
        <v>1</v>
      </c>
    </row>
    <row r="80" spans="1:16" x14ac:dyDescent="0.2">
      <c r="A80" s="3" t="s">
        <v>49</v>
      </c>
      <c r="B80" s="3" t="s">
        <v>52</v>
      </c>
      <c r="C80">
        <v>13</v>
      </c>
      <c r="D80">
        <v>20000</v>
      </c>
      <c r="E80">
        <v>499</v>
      </c>
      <c r="F80">
        <v>1</v>
      </c>
      <c r="G80">
        <v>20000</v>
      </c>
      <c r="H80">
        <v>1.054677E-3</v>
      </c>
      <c r="I80">
        <v>11951</v>
      </c>
      <c r="J80">
        <v>2964</v>
      </c>
      <c r="K80">
        <v>8987</v>
      </c>
      <c r="L80">
        <v>500</v>
      </c>
      <c r="M80">
        <v>499</v>
      </c>
      <c r="N80">
        <v>1</v>
      </c>
      <c r="O80">
        <v>8049</v>
      </c>
      <c r="P80">
        <v>1</v>
      </c>
    </row>
    <row r="81" spans="1:16" x14ac:dyDescent="0.2">
      <c r="A81" s="3" t="s">
        <v>49</v>
      </c>
      <c r="B81" s="3" t="s">
        <v>52</v>
      </c>
      <c r="C81">
        <v>13</v>
      </c>
      <c r="D81">
        <v>15000</v>
      </c>
      <c r="E81">
        <v>499</v>
      </c>
      <c r="F81">
        <v>1</v>
      </c>
      <c r="G81">
        <v>15000</v>
      </c>
      <c r="H81">
        <v>1.0543639999999999E-3</v>
      </c>
      <c r="I81">
        <v>11822</v>
      </c>
      <c r="J81">
        <v>2836</v>
      </c>
      <c r="K81">
        <v>8986</v>
      </c>
      <c r="L81">
        <v>500</v>
      </c>
      <c r="M81">
        <v>499</v>
      </c>
      <c r="N81">
        <v>1</v>
      </c>
      <c r="O81">
        <v>3178</v>
      </c>
      <c r="P81">
        <v>1</v>
      </c>
    </row>
    <row r="82" spans="1:16" x14ac:dyDescent="0.2">
      <c r="A82" s="3" t="s">
        <v>49</v>
      </c>
      <c r="B82" s="3" t="s">
        <v>52</v>
      </c>
      <c r="C82">
        <v>34</v>
      </c>
      <c r="D82">
        <v>20000</v>
      </c>
      <c r="E82">
        <v>499</v>
      </c>
      <c r="F82">
        <v>1</v>
      </c>
      <c r="G82">
        <v>20000</v>
      </c>
      <c r="H82">
        <v>1.054035E-3</v>
      </c>
      <c r="I82">
        <v>11921</v>
      </c>
      <c r="J82">
        <v>2927</v>
      </c>
      <c r="K82">
        <v>8994</v>
      </c>
      <c r="L82">
        <v>500</v>
      </c>
      <c r="M82">
        <v>499</v>
      </c>
      <c r="N82">
        <v>1</v>
      </c>
      <c r="O82">
        <v>8079</v>
      </c>
      <c r="P82">
        <v>1</v>
      </c>
    </row>
    <row r="83" spans="1:16" x14ac:dyDescent="0.2">
      <c r="A83" s="3" t="s">
        <v>49</v>
      </c>
      <c r="B83" s="3" t="s">
        <v>52</v>
      </c>
      <c r="C83">
        <v>26</v>
      </c>
      <c r="D83">
        <v>20000</v>
      </c>
      <c r="E83">
        <v>499</v>
      </c>
      <c r="F83">
        <v>1</v>
      </c>
      <c r="G83">
        <v>20000</v>
      </c>
      <c r="H83">
        <v>1.0521650000000001E-3</v>
      </c>
      <c r="I83">
        <v>11958</v>
      </c>
      <c r="J83">
        <v>2984</v>
      </c>
      <c r="K83">
        <v>8974</v>
      </c>
      <c r="L83">
        <v>500</v>
      </c>
      <c r="M83">
        <v>499</v>
      </c>
      <c r="N83">
        <v>1</v>
      </c>
      <c r="O83">
        <v>8042</v>
      </c>
      <c r="P83">
        <v>1</v>
      </c>
    </row>
    <row r="84" spans="1:16" x14ac:dyDescent="0.2">
      <c r="A84" s="3" t="s">
        <v>49</v>
      </c>
      <c r="B84" s="3" t="s">
        <v>52</v>
      </c>
      <c r="C84">
        <v>22</v>
      </c>
      <c r="D84">
        <v>20000</v>
      </c>
      <c r="E84">
        <v>499</v>
      </c>
      <c r="F84">
        <v>1</v>
      </c>
      <c r="G84">
        <v>20000</v>
      </c>
      <c r="H84">
        <v>1.0520919999999999E-3</v>
      </c>
      <c r="I84">
        <v>11972</v>
      </c>
      <c r="J84">
        <v>3031</v>
      </c>
      <c r="K84">
        <v>8941</v>
      </c>
      <c r="L84">
        <v>500</v>
      </c>
      <c r="M84">
        <v>499</v>
      </c>
      <c r="N84">
        <v>1</v>
      </c>
      <c r="O84">
        <v>8028</v>
      </c>
      <c r="P84">
        <v>1</v>
      </c>
    </row>
    <row r="85" spans="1:16" x14ac:dyDescent="0.2">
      <c r="A85" s="3" t="s">
        <v>49</v>
      </c>
      <c r="B85" s="3" t="s">
        <v>52</v>
      </c>
      <c r="C85">
        <v>31</v>
      </c>
      <c r="D85">
        <v>20000</v>
      </c>
      <c r="E85">
        <v>499</v>
      </c>
      <c r="F85">
        <v>1</v>
      </c>
      <c r="G85">
        <v>20000</v>
      </c>
      <c r="H85">
        <v>1.0520359999999999E-3</v>
      </c>
      <c r="I85">
        <v>11966</v>
      </c>
      <c r="J85">
        <v>2993</v>
      </c>
      <c r="K85">
        <v>8973</v>
      </c>
      <c r="L85">
        <v>500</v>
      </c>
      <c r="M85">
        <v>499</v>
      </c>
      <c r="N85">
        <v>1</v>
      </c>
      <c r="O85">
        <v>8034</v>
      </c>
      <c r="P85">
        <v>1</v>
      </c>
    </row>
    <row r="86" spans="1:16" x14ac:dyDescent="0.2">
      <c r="A86" s="3" t="s">
        <v>49</v>
      </c>
      <c r="B86" s="3" t="s">
        <v>52</v>
      </c>
      <c r="C86">
        <v>40</v>
      </c>
      <c r="D86">
        <v>20000</v>
      </c>
      <c r="E86">
        <v>499</v>
      </c>
      <c r="F86">
        <v>1</v>
      </c>
      <c r="G86">
        <v>82302.7524576211</v>
      </c>
      <c r="H86">
        <v>1.0518350000000001E-3</v>
      </c>
      <c r="I86">
        <v>11961</v>
      </c>
      <c r="J86">
        <v>2961</v>
      </c>
      <c r="K86">
        <v>9000</v>
      </c>
      <c r="L86">
        <v>500</v>
      </c>
      <c r="M86">
        <v>499</v>
      </c>
      <c r="N86">
        <v>1</v>
      </c>
      <c r="O86">
        <v>33224.955328779899</v>
      </c>
      <c r="P86">
        <v>0</v>
      </c>
    </row>
    <row r="87" spans="1:16" x14ac:dyDescent="0.2">
      <c r="A87" s="3" t="s">
        <v>49</v>
      </c>
      <c r="B87" s="3" t="s">
        <v>52</v>
      </c>
      <c r="C87">
        <v>50</v>
      </c>
      <c r="D87">
        <v>20000</v>
      </c>
      <c r="E87">
        <v>499</v>
      </c>
      <c r="F87">
        <v>1</v>
      </c>
      <c r="G87">
        <v>82302.7524576211</v>
      </c>
      <c r="H87">
        <v>1.049901E-3</v>
      </c>
      <c r="I87">
        <v>11950</v>
      </c>
      <c r="J87">
        <v>2968</v>
      </c>
      <c r="K87">
        <v>8982</v>
      </c>
      <c r="L87">
        <v>500</v>
      </c>
      <c r="M87">
        <v>499</v>
      </c>
      <c r="N87">
        <v>1</v>
      </c>
      <c r="O87">
        <v>33276.307803068499</v>
      </c>
      <c r="P87">
        <v>0</v>
      </c>
    </row>
    <row r="88" spans="1:16" x14ac:dyDescent="0.2">
      <c r="A88" s="3" t="s">
        <v>49</v>
      </c>
      <c r="B88" s="3" t="s">
        <v>52</v>
      </c>
      <c r="C88">
        <v>36</v>
      </c>
      <c r="D88">
        <v>20000</v>
      </c>
      <c r="E88">
        <v>499</v>
      </c>
      <c r="F88">
        <v>1</v>
      </c>
      <c r="G88">
        <v>20000</v>
      </c>
      <c r="H88">
        <v>1.0494149999999999E-3</v>
      </c>
      <c r="I88">
        <v>11941</v>
      </c>
      <c r="J88">
        <v>2951</v>
      </c>
      <c r="K88">
        <v>8990</v>
      </c>
      <c r="L88">
        <v>500</v>
      </c>
      <c r="M88">
        <v>499</v>
      </c>
      <c r="N88">
        <v>1</v>
      </c>
      <c r="O88">
        <v>8059</v>
      </c>
      <c r="P88">
        <v>1</v>
      </c>
    </row>
    <row r="89" spans="1:16" x14ac:dyDescent="0.2">
      <c r="A89" s="3" t="s">
        <v>49</v>
      </c>
      <c r="B89" s="3" t="s">
        <v>52</v>
      </c>
      <c r="C89">
        <v>19</v>
      </c>
      <c r="D89">
        <v>20000</v>
      </c>
      <c r="E89">
        <v>499</v>
      </c>
      <c r="F89">
        <v>1</v>
      </c>
      <c r="G89">
        <v>20000</v>
      </c>
      <c r="H89">
        <v>1.0494059999999999E-3</v>
      </c>
      <c r="I89">
        <v>12004</v>
      </c>
      <c r="J89">
        <v>3000</v>
      </c>
      <c r="K89">
        <v>9004</v>
      </c>
      <c r="L89">
        <v>500</v>
      </c>
      <c r="M89">
        <v>499</v>
      </c>
      <c r="N89">
        <v>1</v>
      </c>
      <c r="O89">
        <v>7996</v>
      </c>
      <c r="P89">
        <v>1</v>
      </c>
    </row>
    <row r="90" spans="1:16" x14ac:dyDescent="0.2">
      <c r="A90" s="3" t="s">
        <v>49</v>
      </c>
      <c r="B90" s="3" t="s">
        <v>52</v>
      </c>
      <c r="C90">
        <v>10</v>
      </c>
      <c r="D90">
        <v>20000</v>
      </c>
      <c r="E90">
        <v>499</v>
      </c>
      <c r="F90">
        <v>1</v>
      </c>
      <c r="G90">
        <v>82302.7524576211</v>
      </c>
      <c r="H90">
        <v>1.0491859999999999E-3</v>
      </c>
      <c r="I90">
        <v>11935</v>
      </c>
      <c r="J90">
        <v>2944</v>
      </c>
      <c r="K90">
        <v>8991</v>
      </c>
      <c r="L90">
        <v>500</v>
      </c>
      <c r="M90">
        <v>499</v>
      </c>
      <c r="N90">
        <v>1</v>
      </c>
      <c r="O90">
        <v>33300.820396814102</v>
      </c>
      <c r="P90">
        <v>0</v>
      </c>
    </row>
    <row r="91" spans="1:16" x14ac:dyDescent="0.2">
      <c r="A91" s="3" t="s">
        <v>49</v>
      </c>
      <c r="B91" s="3" t="s">
        <v>52</v>
      </c>
      <c r="C91">
        <v>38</v>
      </c>
      <c r="D91">
        <v>20000</v>
      </c>
      <c r="E91">
        <v>499</v>
      </c>
      <c r="F91">
        <v>1</v>
      </c>
      <c r="G91">
        <v>82302.7524576211</v>
      </c>
      <c r="H91">
        <v>1.047856E-3</v>
      </c>
      <c r="I91">
        <v>11961</v>
      </c>
      <c r="J91">
        <v>2959</v>
      </c>
      <c r="K91">
        <v>9002</v>
      </c>
      <c r="L91">
        <v>500</v>
      </c>
      <c r="M91">
        <v>499</v>
      </c>
      <c r="N91">
        <v>1</v>
      </c>
      <c r="O91">
        <v>33218.603516885603</v>
      </c>
      <c r="P91">
        <v>0</v>
      </c>
    </row>
    <row r="92" spans="1:16" x14ac:dyDescent="0.2">
      <c r="A92" s="3" t="s">
        <v>49</v>
      </c>
      <c r="B92" s="3" t="s">
        <v>52</v>
      </c>
      <c r="C92">
        <v>37</v>
      </c>
      <c r="D92">
        <v>20000</v>
      </c>
      <c r="E92">
        <v>499</v>
      </c>
      <c r="F92">
        <v>1</v>
      </c>
      <c r="G92">
        <v>82302.7524576211</v>
      </c>
      <c r="H92">
        <v>1.0472070000000001E-3</v>
      </c>
      <c r="I92">
        <v>11997</v>
      </c>
      <c r="J92">
        <v>3019</v>
      </c>
      <c r="K92">
        <v>8978</v>
      </c>
      <c r="L92">
        <v>500</v>
      </c>
      <c r="M92">
        <v>499</v>
      </c>
      <c r="N92">
        <v>1</v>
      </c>
      <c r="O92">
        <v>33088.018867001199</v>
      </c>
      <c r="P92">
        <v>0</v>
      </c>
    </row>
    <row r="93" spans="1:16" x14ac:dyDescent="0.2">
      <c r="A93" s="3" t="s">
        <v>49</v>
      </c>
      <c r="B93" s="3" t="s">
        <v>52</v>
      </c>
      <c r="C93">
        <v>39</v>
      </c>
      <c r="D93">
        <v>18000</v>
      </c>
      <c r="E93">
        <v>499</v>
      </c>
      <c r="F93">
        <v>1</v>
      </c>
      <c r="G93">
        <v>75479.649376234796</v>
      </c>
      <c r="H93">
        <v>1.0461419999999999E-3</v>
      </c>
      <c r="I93">
        <v>11948</v>
      </c>
      <c r="J93">
        <v>2933</v>
      </c>
      <c r="K93">
        <v>9015</v>
      </c>
      <c r="L93">
        <v>500</v>
      </c>
      <c r="M93">
        <v>499</v>
      </c>
      <c r="N93">
        <v>1</v>
      </c>
      <c r="O93">
        <v>25664.682010362401</v>
      </c>
      <c r="P93">
        <v>0</v>
      </c>
    </row>
    <row r="94" spans="1:16" x14ac:dyDescent="0.2">
      <c r="A94" s="3" t="s">
        <v>49</v>
      </c>
      <c r="B94" s="3" t="s">
        <v>52</v>
      </c>
      <c r="C94">
        <v>23</v>
      </c>
      <c r="D94">
        <v>19000</v>
      </c>
      <c r="E94">
        <v>499</v>
      </c>
      <c r="F94">
        <v>1</v>
      </c>
      <c r="G94">
        <v>19000</v>
      </c>
      <c r="H94">
        <v>1.0459410000000001E-3</v>
      </c>
      <c r="I94">
        <v>12040</v>
      </c>
      <c r="J94">
        <v>2978</v>
      </c>
      <c r="K94">
        <v>9062</v>
      </c>
      <c r="L94">
        <v>500</v>
      </c>
      <c r="M94">
        <v>499</v>
      </c>
      <c r="N94">
        <v>1</v>
      </c>
      <c r="O94">
        <v>6960</v>
      </c>
      <c r="P94">
        <v>1</v>
      </c>
    </row>
    <row r="95" spans="1:16" x14ac:dyDescent="0.2">
      <c r="A95" s="3" t="s">
        <v>49</v>
      </c>
      <c r="B95" s="3" t="s">
        <v>52</v>
      </c>
      <c r="C95">
        <v>32</v>
      </c>
      <c r="D95">
        <v>20000</v>
      </c>
      <c r="E95">
        <v>499</v>
      </c>
      <c r="F95">
        <v>1</v>
      </c>
      <c r="G95">
        <v>20000</v>
      </c>
      <c r="H95">
        <v>1.0453909999999999E-3</v>
      </c>
      <c r="I95">
        <v>11966</v>
      </c>
      <c r="J95">
        <v>2957</v>
      </c>
      <c r="K95">
        <v>9009</v>
      </c>
      <c r="L95">
        <v>500</v>
      </c>
      <c r="M95">
        <v>499</v>
      </c>
      <c r="N95">
        <v>1</v>
      </c>
      <c r="O95">
        <v>8034</v>
      </c>
      <c r="P95">
        <v>1</v>
      </c>
    </row>
    <row r="96" spans="1:16" x14ac:dyDescent="0.2">
      <c r="A96" s="3" t="s">
        <v>49</v>
      </c>
      <c r="B96" s="3" t="s">
        <v>52</v>
      </c>
      <c r="C96">
        <v>12</v>
      </c>
      <c r="D96">
        <v>13000</v>
      </c>
      <c r="E96">
        <v>499</v>
      </c>
      <c r="F96">
        <v>1</v>
      </c>
      <c r="G96">
        <v>13000</v>
      </c>
      <c r="H96">
        <v>1.043906E-3</v>
      </c>
      <c r="I96">
        <v>11811</v>
      </c>
      <c r="J96">
        <v>2791</v>
      </c>
      <c r="K96">
        <v>9020</v>
      </c>
      <c r="L96">
        <v>500</v>
      </c>
      <c r="M96">
        <v>499</v>
      </c>
      <c r="N96">
        <v>1</v>
      </c>
      <c r="O96">
        <v>1189</v>
      </c>
      <c r="P96">
        <v>1</v>
      </c>
    </row>
    <row r="97" spans="1:16" x14ac:dyDescent="0.2">
      <c r="A97" s="3" t="s">
        <v>49</v>
      </c>
      <c r="B97" s="3" t="s">
        <v>52</v>
      </c>
      <c r="C97">
        <v>34</v>
      </c>
      <c r="D97">
        <v>10000</v>
      </c>
      <c r="E97">
        <v>499</v>
      </c>
      <c r="F97">
        <v>1</v>
      </c>
      <c r="G97">
        <v>10000</v>
      </c>
      <c r="H97">
        <v>1.043109E-3</v>
      </c>
      <c r="I97">
        <v>10000</v>
      </c>
      <c r="J97">
        <v>2700</v>
      </c>
      <c r="K97">
        <v>7300</v>
      </c>
      <c r="L97">
        <v>500</v>
      </c>
      <c r="M97">
        <v>499</v>
      </c>
      <c r="N97">
        <v>1</v>
      </c>
      <c r="O97">
        <v>0</v>
      </c>
      <c r="P97">
        <v>1</v>
      </c>
    </row>
    <row r="98" spans="1:16" x14ac:dyDescent="0.2">
      <c r="A98" s="3" t="s">
        <v>49</v>
      </c>
      <c r="B98" s="3" t="s">
        <v>52</v>
      </c>
      <c r="C98">
        <v>15</v>
      </c>
      <c r="D98">
        <v>19000</v>
      </c>
      <c r="E98">
        <v>499</v>
      </c>
      <c r="F98">
        <v>1</v>
      </c>
      <c r="G98">
        <v>84218.384375429901</v>
      </c>
      <c r="H98">
        <v>1.039634E-3</v>
      </c>
      <c r="I98">
        <v>12018</v>
      </c>
      <c r="J98">
        <v>2960</v>
      </c>
      <c r="K98">
        <v>9058</v>
      </c>
      <c r="L98">
        <v>500</v>
      </c>
      <c r="M98">
        <v>499</v>
      </c>
      <c r="N98">
        <v>1</v>
      </c>
      <c r="O98">
        <v>31252.167549729202</v>
      </c>
      <c r="P98">
        <v>0</v>
      </c>
    </row>
    <row r="99" spans="1:16" x14ac:dyDescent="0.2">
      <c r="A99" s="3" t="s">
        <v>49</v>
      </c>
      <c r="B99" s="3" t="s">
        <v>52</v>
      </c>
      <c r="C99">
        <v>5</v>
      </c>
      <c r="D99">
        <v>20000</v>
      </c>
      <c r="E99">
        <v>499</v>
      </c>
      <c r="F99">
        <v>1</v>
      </c>
      <c r="G99">
        <v>20000</v>
      </c>
      <c r="H99">
        <v>1.0393500000000001E-3</v>
      </c>
      <c r="I99">
        <v>11976</v>
      </c>
      <c r="J99">
        <v>2980</v>
      </c>
      <c r="K99">
        <v>8996</v>
      </c>
      <c r="L99">
        <v>500</v>
      </c>
      <c r="M99">
        <v>499</v>
      </c>
      <c r="N99">
        <v>1</v>
      </c>
      <c r="O99">
        <v>8024</v>
      </c>
      <c r="P99">
        <v>1</v>
      </c>
    </row>
    <row r="100" spans="1:16" x14ac:dyDescent="0.2">
      <c r="A100" s="3" t="s">
        <v>49</v>
      </c>
      <c r="B100" s="3" t="s">
        <v>52</v>
      </c>
      <c r="C100">
        <v>18</v>
      </c>
      <c r="D100">
        <v>20000</v>
      </c>
      <c r="E100">
        <v>499</v>
      </c>
      <c r="F100">
        <v>1</v>
      </c>
      <c r="G100">
        <v>20000</v>
      </c>
      <c r="H100">
        <v>1.039285E-3</v>
      </c>
      <c r="I100">
        <v>11955</v>
      </c>
      <c r="J100">
        <v>2938</v>
      </c>
      <c r="K100">
        <v>9017</v>
      </c>
      <c r="L100">
        <v>500</v>
      </c>
      <c r="M100">
        <v>499</v>
      </c>
      <c r="N100">
        <v>1</v>
      </c>
      <c r="O100">
        <v>8045</v>
      </c>
      <c r="P100">
        <v>1</v>
      </c>
    </row>
    <row r="101" spans="1:16" x14ac:dyDescent="0.2">
      <c r="A101" s="3" t="s">
        <v>49</v>
      </c>
      <c r="B101" s="3" t="s">
        <v>52</v>
      </c>
      <c r="C101">
        <v>43</v>
      </c>
      <c r="D101">
        <v>19000</v>
      </c>
      <c r="E101">
        <v>499</v>
      </c>
      <c r="F101">
        <v>1</v>
      </c>
      <c r="G101">
        <v>84218.384375429901</v>
      </c>
      <c r="H101">
        <v>1.0385800000000001E-3</v>
      </c>
      <c r="I101">
        <v>12015</v>
      </c>
      <c r="J101">
        <v>2945</v>
      </c>
      <c r="K101">
        <v>9070</v>
      </c>
      <c r="L101">
        <v>500</v>
      </c>
      <c r="M101">
        <v>499</v>
      </c>
      <c r="N101">
        <v>1</v>
      </c>
      <c r="O101">
        <v>31276.8886881697</v>
      </c>
      <c r="P101">
        <v>0</v>
      </c>
    </row>
    <row r="102" spans="1:16" x14ac:dyDescent="0.2">
      <c r="A102" s="3" t="s">
        <v>49</v>
      </c>
      <c r="B102" s="3" t="s">
        <v>52</v>
      </c>
      <c r="C102">
        <v>28</v>
      </c>
      <c r="D102">
        <v>18000</v>
      </c>
      <c r="E102">
        <v>499</v>
      </c>
      <c r="F102">
        <v>1</v>
      </c>
      <c r="G102">
        <v>75479.649376234796</v>
      </c>
      <c r="H102">
        <v>1.0370760000000001E-3</v>
      </c>
      <c r="I102">
        <v>11926</v>
      </c>
      <c r="J102">
        <v>2928</v>
      </c>
      <c r="K102">
        <v>8998</v>
      </c>
      <c r="L102">
        <v>500</v>
      </c>
      <c r="M102">
        <v>499</v>
      </c>
      <c r="N102">
        <v>1</v>
      </c>
      <c r="O102">
        <v>25768.0397862223</v>
      </c>
      <c r="P102">
        <v>0</v>
      </c>
    </row>
    <row r="103" spans="1:16" x14ac:dyDescent="0.2">
      <c r="A103" s="3" t="s">
        <v>49</v>
      </c>
      <c r="B103" s="3" t="s">
        <v>52</v>
      </c>
      <c r="C103">
        <v>44</v>
      </c>
      <c r="D103">
        <v>20000</v>
      </c>
      <c r="E103">
        <v>499</v>
      </c>
      <c r="F103">
        <v>1</v>
      </c>
      <c r="G103">
        <v>20000</v>
      </c>
      <c r="H103">
        <v>1.0367639999999999E-3</v>
      </c>
      <c r="I103">
        <v>11954</v>
      </c>
      <c r="J103">
        <v>2947</v>
      </c>
      <c r="K103">
        <v>9007</v>
      </c>
      <c r="L103">
        <v>500</v>
      </c>
      <c r="M103">
        <v>499</v>
      </c>
      <c r="N103">
        <v>1</v>
      </c>
      <c r="O103">
        <v>8046</v>
      </c>
      <c r="P103">
        <v>1</v>
      </c>
    </row>
    <row r="104" spans="1:16" x14ac:dyDescent="0.2">
      <c r="A104" s="3" t="s">
        <v>49</v>
      </c>
      <c r="B104" s="3" t="s">
        <v>52</v>
      </c>
      <c r="C104">
        <v>20</v>
      </c>
      <c r="D104">
        <v>20000</v>
      </c>
      <c r="E104">
        <v>499</v>
      </c>
      <c r="F104">
        <v>1</v>
      </c>
      <c r="G104">
        <v>82302.7524576211</v>
      </c>
      <c r="H104">
        <v>1.03549E-3</v>
      </c>
      <c r="I104">
        <v>11968</v>
      </c>
      <c r="J104">
        <v>2948</v>
      </c>
      <c r="K104">
        <v>9020</v>
      </c>
      <c r="L104">
        <v>500</v>
      </c>
      <c r="M104">
        <v>499</v>
      </c>
      <c r="N104">
        <v>1</v>
      </c>
      <c r="O104">
        <v>33203.949005155497</v>
      </c>
      <c r="P104">
        <v>0</v>
      </c>
    </row>
    <row r="105" spans="1:16" x14ac:dyDescent="0.2">
      <c r="A105" s="3" t="s">
        <v>49</v>
      </c>
      <c r="B105" s="3" t="s">
        <v>52</v>
      </c>
      <c r="C105">
        <v>15</v>
      </c>
      <c r="D105">
        <v>20000</v>
      </c>
      <c r="E105">
        <v>499</v>
      </c>
      <c r="F105">
        <v>1</v>
      </c>
      <c r="G105">
        <v>82302.7524576211</v>
      </c>
      <c r="H105">
        <v>1.0353350000000001E-3</v>
      </c>
      <c r="I105">
        <v>11949</v>
      </c>
      <c r="J105">
        <v>2963</v>
      </c>
      <c r="K105">
        <v>8986</v>
      </c>
      <c r="L105">
        <v>500</v>
      </c>
      <c r="M105">
        <v>499</v>
      </c>
      <c r="N105">
        <v>1</v>
      </c>
      <c r="O105">
        <v>33271.966712538699</v>
      </c>
      <c r="P105">
        <v>0</v>
      </c>
    </row>
    <row r="106" spans="1:16" x14ac:dyDescent="0.2">
      <c r="A106" s="3" t="s">
        <v>49</v>
      </c>
      <c r="B106" s="3" t="s">
        <v>52</v>
      </c>
      <c r="C106">
        <v>30</v>
      </c>
      <c r="D106">
        <v>19000</v>
      </c>
      <c r="E106">
        <v>499</v>
      </c>
      <c r="F106">
        <v>1</v>
      </c>
      <c r="G106">
        <v>19000</v>
      </c>
      <c r="H106">
        <v>1.0345549999999999E-3</v>
      </c>
      <c r="I106">
        <v>12010</v>
      </c>
      <c r="J106">
        <v>2963</v>
      </c>
      <c r="K106">
        <v>9047</v>
      </c>
      <c r="L106">
        <v>500</v>
      </c>
      <c r="M106">
        <v>499</v>
      </c>
      <c r="N106">
        <v>1</v>
      </c>
      <c r="O106">
        <v>6990</v>
      </c>
      <c r="P106">
        <v>1</v>
      </c>
    </row>
    <row r="107" spans="1:16" x14ac:dyDescent="0.2">
      <c r="A107" s="3" t="s">
        <v>49</v>
      </c>
      <c r="B107" s="3" t="s">
        <v>52</v>
      </c>
      <c r="C107">
        <v>42</v>
      </c>
      <c r="D107">
        <v>19000</v>
      </c>
      <c r="E107">
        <v>499</v>
      </c>
      <c r="F107">
        <v>1</v>
      </c>
      <c r="G107">
        <v>84218.384375429901</v>
      </c>
      <c r="H107">
        <v>1.0344550000000001E-3</v>
      </c>
      <c r="I107">
        <v>11997</v>
      </c>
      <c r="J107">
        <v>2933</v>
      </c>
      <c r="K107">
        <v>9064</v>
      </c>
      <c r="L107">
        <v>500</v>
      </c>
      <c r="M107">
        <v>499</v>
      </c>
      <c r="N107">
        <v>1</v>
      </c>
      <c r="O107">
        <v>31374.656818984698</v>
      </c>
      <c r="P107">
        <v>0</v>
      </c>
    </row>
    <row r="108" spans="1:16" x14ac:dyDescent="0.2">
      <c r="A108" s="3" t="s">
        <v>49</v>
      </c>
      <c r="B108" s="3" t="s">
        <v>52</v>
      </c>
      <c r="C108">
        <v>37</v>
      </c>
      <c r="D108">
        <v>16000</v>
      </c>
      <c r="E108">
        <v>499</v>
      </c>
      <c r="F108">
        <v>1</v>
      </c>
      <c r="G108">
        <v>16000</v>
      </c>
      <c r="H108">
        <v>1.0342439999999999E-3</v>
      </c>
      <c r="I108">
        <v>11997</v>
      </c>
      <c r="J108">
        <v>2911</v>
      </c>
      <c r="K108">
        <v>9086</v>
      </c>
      <c r="L108">
        <v>500</v>
      </c>
      <c r="M108">
        <v>499</v>
      </c>
      <c r="N108">
        <v>1</v>
      </c>
      <c r="O108">
        <v>4003</v>
      </c>
      <c r="P108">
        <v>1</v>
      </c>
    </row>
    <row r="109" spans="1:16" x14ac:dyDescent="0.2">
      <c r="A109" s="3" t="s">
        <v>49</v>
      </c>
      <c r="B109" s="3" t="s">
        <v>52</v>
      </c>
      <c r="C109">
        <v>46</v>
      </c>
      <c r="D109">
        <v>19000</v>
      </c>
      <c r="E109">
        <v>499</v>
      </c>
      <c r="F109">
        <v>1</v>
      </c>
      <c r="G109">
        <v>84218.384375429901</v>
      </c>
      <c r="H109">
        <v>1.0339240000000001E-3</v>
      </c>
      <c r="I109">
        <v>12004</v>
      </c>
      <c r="J109">
        <v>2950</v>
      </c>
      <c r="K109">
        <v>9054</v>
      </c>
      <c r="L109">
        <v>500</v>
      </c>
      <c r="M109">
        <v>499</v>
      </c>
      <c r="N109">
        <v>1</v>
      </c>
      <c r="O109">
        <v>31275.563296936201</v>
      </c>
      <c r="P109">
        <v>0</v>
      </c>
    </row>
    <row r="110" spans="1:16" x14ac:dyDescent="0.2">
      <c r="A110" s="3" t="s">
        <v>49</v>
      </c>
      <c r="B110" s="3" t="s">
        <v>52</v>
      </c>
      <c r="C110">
        <v>14</v>
      </c>
      <c r="D110">
        <v>20000</v>
      </c>
      <c r="E110">
        <v>499</v>
      </c>
      <c r="F110">
        <v>1</v>
      </c>
      <c r="G110">
        <v>82302.7524576211</v>
      </c>
      <c r="H110">
        <v>1.03374E-3</v>
      </c>
      <c r="I110">
        <v>11923</v>
      </c>
      <c r="J110">
        <v>2934</v>
      </c>
      <c r="K110">
        <v>8989</v>
      </c>
      <c r="L110">
        <v>500</v>
      </c>
      <c r="M110">
        <v>499</v>
      </c>
      <c r="N110">
        <v>1</v>
      </c>
      <c r="O110">
        <v>33351.767490055703</v>
      </c>
      <c r="P110">
        <v>0</v>
      </c>
    </row>
    <row r="111" spans="1:16" x14ac:dyDescent="0.2">
      <c r="A111" s="3" t="s">
        <v>49</v>
      </c>
      <c r="B111" s="3" t="s">
        <v>52</v>
      </c>
      <c r="C111">
        <v>34</v>
      </c>
      <c r="D111">
        <v>18000</v>
      </c>
      <c r="E111">
        <v>499</v>
      </c>
      <c r="F111">
        <v>1</v>
      </c>
      <c r="G111">
        <v>18000</v>
      </c>
      <c r="H111">
        <v>1.033153E-3</v>
      </c>
      <c r="I111">
        <v>11929</v>
      </c>
      <c r="J111">
        <v>2943</v>
      </c>
      <c r="K111">
        <v>8986</v>
      </c>
      <c r="L111">
        <v>500</v>
      </c>
      <c r="M111">
        <v>499</v>
      </c>
      <c r="N111">
        <v>1</v>
      </c>
      <c r="O111">
        <v>6071</v>
      </c>
      <c r="P111">
        <v>1</v>
      </c>
    </row>
    <row r="112" spans="1:16" x14ac:dyDescent="0.2">
      <c r="A112" s="3" t="s">
        <v>49</v>
      </c>
      <c r="B112" s="3" t="s">
        <v>52</v>
      </c>
      <c r="C112">
        <v>34</v>
      </c>
      <c r="D112">
        <v>19000</v>
      </c>
      <c r="E112">
        <v>499</v>
      </c>
      <c r="F112">
        <v>1</v>
      </c>
      <c r="G112">
        <v>19000</v>
      </c>
      <c r="H112">
        <v>1.0328049999999999E-3</v>
      </c>
      <c r="I112">
        <v>12039</v>
      </c>
      <c r="J112">
        <v>2964</v>
      </c>
      <c r="K112">
        <v>9075</v>
      </c>
      <c r="L112">
        <v>500</v>
      </c>
      <c r="M112">
        <v>499</v>
      </c>
      <c r="N112">
        <v>1</v>
      </c>
      <c r="O112">
        <v>6961</v>
      </c>
      <c r="P112">
        <v>1</v>
      </c>
    </row>
    <row r="113" spans="1:16" x14ac:dyDescent="0.2">
      <c r="A113" s="3" t="s">
        <v>49</v>
      </c>
      <c r="B113" s="3" t="s">
        <v>52</v>
      </c>
      <c r="C113">
        <v>40</v>
      </c>
      <c r="D113">
        <v>19000</v>
      </c>
      <c r="E113">
        <v>499</v>
      </c>
      <c r="F113">
        <v>1</v>
      </c>
      <c r="G113">
        <v>84218.384375429901</v>
      </c>
      <c r="H113">
        <v>1.032109E-3</v>
      </c>
      <c r="I113">
        <v>12031</v>
      </c>
      <c r="J113">
        <v>2974</v>
      </c>
      <c r="K113">
        <v>9057</v>
      </c>
      <c r="L113">
        <v>500</v>
      </c>
      <c r="M113">
        <v>499</v>
      </c>
      <c r="N113">
        <v>1</v>
      </c>
      <c r="O113">
        <v>31216.076048332001</v>
      </c>
      <c r="P113">
        <v>0</v>
      </c>
    </row>
    <row r="114" spans="1:16" x14ac:dyDescent="0.2">
      <c r="A114" s="3" t="s">
        <v>49</v>
      </c>
      <c r="B114" s="3" t="s">
        <v>52</v>
      </c>
      <c r="C114">
        <v>10</v>
      </c>
      <c r="D114">
        <v>19000</v>
      </c>
      <c r="E114">
        <v>499</v>
      </c>
      <c r="F114">
        <v>1</v>
      </c>
      <c r="G114">
        <v>84218.384375429901</v>
      </c>
      <c r="H114">
        <v>1.0303389999999999E-3</v>
      </c>
      <c r="I114">
        <v>12020</v>
      </c>
      <c r="J114">
        <v>2950</v>
      </c>
      <c r="K114">
        <v>9070</v>
      </c>
      <c r="L114">
        <v>500</v>
      </c>
      <c r="M114">
        <v>499</v>
      </c>
      <c r="N114">
        <v>1</v>
      </c>
      <c r="O114">
        <v>31268.652485839</v>
      </c>
      <c r="P114">
        <v>0</v>
      </c>
    </row>
    <row r="115" spans="1:16" x14ac:dyDescent="0.2">
      <c r="A115" s="3" t="s">
        <v>49</v>
      </c>
      <c r="B115" s="3" t="s">
        <v>52</v>
      </c>
      <c r="C115">
        <v>10</v>
      </c>
      <c r="D115">
        <v>18000</v>
      </c>
      <c r="E115">
        <v>499</v>
      </c>
      <c r="F115">
        <v>1</v>
      </c>
      <c r="G115">
        <v>18000</v>
      </c>
      <c r="H115">
        <v>1.030284E-3</v>
      </c>
      <c r="I115">
        <v>11960</v>
      </c>
      <c r="J115">
        <v>2905</v>
      </c>
      <c r="K115">
        <v>9055</v>
      </c>
      <c r="L115">
        <v>500</v>
      </c>
      <c r="M115">
        <v>499</v>
      </c>
      <c r="N115">
        <v>1</v>
      </c>
      <c r="O115">
        <v>6040</v>
      </c>
      <c r="P115">
        <v>1</v>
      </c>
    </row>
    <row r="116" spans="1:16" x14ac:dyDescent="0.2">
      <c r="A116" s="3" t="s">
        <v>49</v>
      </c>
      <c r="B116" s="3" t="s">
        <v>52</v>
      </c>
      <c r="C116">
        <v>3</v>
      </c>
      <c r="D116">
        <v>20000</v>
      </c>
      <c r="E116">
        <v>499</v>
      </c>
      <c r="F116">
        <v>1</v>
      </c>
      <c r="G116">
        <v>20000</v>
      </c>
      <c r="H116">
        <v>1.0287619999999999E-3</v>
      </c>
      <c r="I116">
        <v>11901</v>
      </c>
      <c r="J116">
        <v>2943</v>
      </c>
      <c r="K116">
        <v>8958</v>
      </c>
      <c r="L116">
        <v>500</v>
      </c>
      <c r="M116">
        <v>499</v>
      </c>
      <c r="N116">
        <v>1</v>
      </c>
      <c r="O116">
        <v>8099</v>
      </c>
      <c r="P116">
        <v>1</v>
      </c>
    </row>
    <row r="117" spans="1:16" x14ac:dyDescent="0.2">
      <c r="A117" s="3" t="s">
        <v>49</v>
      </c>
      <c r="B117" s="3" t="s">
        <v>52</v>
      </c>
      <c r="C117">
        <v>9</v>
      </c>
      <c r="D117">
        <v>19000</v>
      </c>
      <c r="E117">
        <v>499</v>
      </c>
      <c r="F117">
        <v>1</v>
      </c>
      <c r="G117">
        <v>84218.384375429901</v>
      </c>
      <c r="H117">
        <v>1.028295E-3</v>
      </c>
      <c r="I117">
        <v>12022</v>
      </c>
      <c r="J117">
        <v>2943</v>
      </c>
      <c r="K117">
        <v>9079</v>
      </c>
      <c r="L117">
        <v>500</v>
      </c>
      <c r="M117">
        <v>499</v>
      </c>
      <c r="N117">
        <v>1</v>
      </c>
      <c r="O117">
        <v>31220.941860494298</v>
      </c>
      <c r="P117">
        <v>0</v>
      </c>
    </row>
    <row r="118" spans="1:16" x14ac:dyDescent="0.2">
      <c r="A118" s="3" t="s">
        <v>49</v>
      </c>
      <c r="B118" s="3" t="s">
        <v>52</v>
      </c>
      <c r="C118">
        <v>50</v>
      </c>
      <c r="D118">
        <v>12000</v>
      </c>
      <c r="E118">
        <v>499</v>
      </c>
      <c r="F118">
        <v>1</v>
      </c>
      <c r="G118">
        <v>12000</v>
      </c>
      <c r="H118">
        <v>1.0276980000000001E-3</v>
      </c>
      <c r="I118">
        <v>11895</v>
      </c>
      <c r="J118">
        <v>2734</v>
      </c>
      <c r="K118">
        <v>9161</v>
      </c>
      <c r="L118">
        <v>500</v>
      </c>
      <c r="M118">
        <v>499</v>
      </c>
      <c r="N118">
        <v>1</v>
      </c>
      <c r="O118">
        <v>105</v>
      </c>
      <c r="P118">
        <v>1</v>
      </c>
    </row>
    <row r="119" spans="1:16" x14ac:dyDescent="0.2">
      <c r="A119" s="3" t="s">
        <v>49</v>
      </c>
      <c r="B119" s="3" t="s">
        <v>52</v>
      </c>
      <c r="C119">
        <v>1</v>
      </c>
      <c r="D119">
        <v>20000</v>
      </c>
      <c r="E119">
        <v>499</v>
      </c>
      <c r="F119">
        <v>1</v>
      </c>
      <c r="G119">
        <v>82302.7524576211</v>
      </c>
      <c r="H119">
        <v>1.027341E-3</v>
      </c>
      <c r="I119">
        <v>11955</v>
      </c>
      <c r="J119">
        <v>2984</v>
      </c>
      <c r="K119">
        <v>8971</v>
      </c>
      <c r="L119">
        <v>500</v>
      </c>
      <c r="M119">
        <v>499</v>
      </c>
      <c r="N119">
        <v>1</v>
      </c>
      <c r="O119">
        <v>33254.256132934301</v>
      </c>
      <c r="P119">
        <v>0</v>
      </c>
    </row>
    <row r="120" spans="1:16" x14ac:dyDescent="0.2">
      <c r="A120" s="3" t="s">
        <v>49</v>
      </c>
      <c r="B120" s="3" t="s">
        <v>52</v>
      </c>
      <c r="C120">
        <v>44</v>
      </c>
      <c r="D120">
        <v>19000</v>
      </c>
      <c r="E120">
        <v>499</v>
      </c>
      <c r="F120">
        <v>1</v>
      </c>
      <c r="G120">
        <v>19000</v>
      </c>
      <c r="H120">
        <v>1.0246280000000001E-3</v>
      </c>
      <c r="I120">
        <v>12017</v>
      </c>
      <c r="J120">
        <v>2940</v>
      </c>
      <c r="K120">
        <v>9077</v>
      </c>
      <c r="L120">
        <v>500</v>
      </c>
      <c r="M120">
        <v>499</v>
      </c>
      <c r="N120">
        <v>1</v>
      </c>
      <c r="O120">
        <v>6983</v>
      </c>
      <c r="P120">
        <v>1</v>
      </c>
    </row>
    <row r="121" spans="1:16" x14ac:dyDescent="0.2">
      <c r="A121" s="3" t="s">
        <v>49</v>
      </c>
      <c r="B121" s="3" t="s">
        <v>52</v>
      </c>
      <c r="C121">
        <v>20</v>
      </c>
      <c r="D121">
        <v>18000</v>
      </c>
      <c r="E121">
        <v>499</v>
      </c>
      <c r="F121">
        <v>1</v>
      </c>
      <c r="G121">
        <v>18000</v>
      </c>
      <c r="H121">
        <v>1.02395E-3</v>
      </c>
      <c r="I121">
        <v>11959</v>
      </c>
      <c r="J121">
        <v>2942</v>
      </c>
      <c r="K121">
        <v>9017</v>
      </c>
      <c r="L121">
        <v>500</v>
      </c>
      <c r="M121">
        <v>499</v>
      </c>
      <c r="N121">
        <v>1</v>
      </c>
      <c r="O121">
        <v>6041</v>
      </c>
      <c r="P121">
        <v>1</v>
      </c>
    </row>
    <row r="122" spans="1:16" x14ac:dyDescent="0.2">
      <c r="A122" s="3" t="s">
        <v>49</v>
      </c>
      <c r="B122" s="3" t="s">
        <v>52</v>
      </c>
      <c r="C122">
        <v>31</v>
      </c>
      <c r="D122">
        <v>19000</v>
      </c>
      <c r="E122">
        <v>499</v>
      </c>
      <c r="F122">
        <v>1</v>
      </c>
      <c r="G122">
        <v>84218.384375429901</v>
      </c>
      <c r="H122">
        <v>1.0234459999999999E-3</v>
      </c>
      <c r="I122">
        <v>12040</v>
      </c>
      <c r="J122">
        <v>2923</v>
      </c>
      <c r="K122">
        <v>9117</v>
      </c>
      <c r="L122">
        <v>500</v>
      </c>
      <c r="M122">
        <v>499</v>
      </c>
      <c r="N122">
        <v>1</v>
      </c>
      <c r="O122">
        <v>31180.693974494199</v>
      </c>
      <c r="P122">
        <v>0</v>
      </c>
    </row>
    <row r="123" spans="1:16" x14ac:dyDescent="0.2">
      <c r="A123" s="3" t="s">
        <v>49</v>
      </c>
      <c r="B123" s="3" t="s">
        <v>52</v>
      </c>
      <c r="C123">
        <v>32</v>
      </c>
      <c r="D123">
        <v>17000</v>
      </c>
      <c r="E123">
        <v>499</v>
      </c>
      <c r="F123">
        <v>1</v>
      </c>
      <c r="G123">
        <v>17000</v>
      </c>
      <c r="H123">
        <v>1.023263E-3</v>
      </c>
      <c r="I123">
        <v>11957</v>
      </c>
      <c r="J123">
        <v>2889</v>
      </c>
      <c r="K123">
        <v>9068</v>
      </c>
      <c r="L123">
        <v>500</v>
      </c>
      <c r="M123">
        <v>499</v>
      </c>
      <c r="N123">
        <v>1</v>
      </c>
      <c r="O123">
        <v>5043</v>
      </c>
      <c r="P123">
        <v>1</v>
      </c>
    </row>
    <row r="124" spans="1:16" x14ac:dyDescent="0.2">
      <c r="A124" s="3" t="s">
        <v>49</v>
      </c>
      <c r="B124" s="3" t="s">
        <v>52</v>
      </c>
      <c r="C124">
        <v>10</v>
      </c>
      <c r="D124">
        <v>19000</v>
      </c>
      <c r="E124">
        <v>499</v>
      </c>
      <c r="F124">
        <v>1</v>
      </c>
      <c r="G124">
        <v>19000</v>
      </c>
      <c r="H124">
        <v>1.022437E-3</v>
      </c>
      <c r="I124">
        <v>12033</v>
      </c>
      <c r="J124">
        <v>2958</v>
      </c>
      <c r="K124">
        <v>9075</v>
      </c>
      <c r="L124">
        <v>500</v>
      </c>
      <c r="M124">
        <v>499</v>
      </c>
      <c r="N124">
        <v>1</v>
      </c>
      <c r="O124">
        <v>6967</v>
      </c>
      <c r="P124">
        <v>1</v>
      </c>
    </row>
    <row r="125" spans="1:16" x14ac:dyDescent="0.2">
      <c r="A125" s="3" t="s">
        <v>49</v>
      </c>
      <c r="B125" s="3" t="s">
        <v>52</v>
      </c>
      <c r="C125">
        <v>47</v>
      </c>
      <c r="D125">
        <v>18000</v>
      </c>
      <c r="E125">
        <v>499</v>
      </c>
      <c r="F125">
        <v>1</v>
      </c>
      <c r="G125">
        <v>18000</v>
      </c>
      <c r="H125">
        <v>1.0222639999999999E-3</v>
      </c>
      <c r="I125">
        <v>11958</v>
      </c>
      <c r="J125">
        <v>2909</v>
      </c>
      <c r="K125">
        <v>9049</v>
      </c>
      <c r="L125">
        <v>500</v>
      </c>
      <c r="M125">
        <v>499</v>
      </c>
      <c r="N125">
        <v>1</v>
      </c>
      <c r="O125">
        <v>6042</v>
      </c>
      <c r="P125">
        <v>1</v>
      </c>
    </row>
    <row r="126" spans="1:16" x14ac:dyDescent="0.2">
      <c r="A126" s="3" t="s">
        <v>49</v>
      </c>
      <c r="B126" s="3" t="s">
        <v>52</v>
      </c>
      <c r="C126">
        <v>50</v>
      </c>
      <c r="D126">
        <v>17000</v>
      </c>
      <c r="E126">
        <v>499</v>
      </c>
      <c r="F126">
        <v>1</v>
      </c>
      <c r="G126">
        <v>65872.258119671897</v>
      </c>
      <c r="H126">
        <v>1.022163E-3</v>
      </c>
      <c r="I126">
        <v>11963</v>
      </c>
      <c r="J126">
        <v>2929</v>
      </c>
      <c r="K126">
        <v>9034</v>
      </c>
      <c r="L126">
        <v>500</v>
      </c>
      <c r="M126">
        <v>499</v>
      </c>
      <c r="N126">
        <v>1</v>
      </c>
      <c r="O126">
        <v>19652.424955643801</v>
      </c>
      <c r="P126">
        <v>0</v>
      </c>
    </row>
    <row r="127" spans="1:16" x14ac:dyDescent="0.2">
      <c r="A127" s="3" t="s">
        <v>49</v>
      </c>
      <c r="B127" s="3" t="s">
        <v>52</v>
      </c>
      <c r="C127">
        <v>7</v>
      </c>
      <c r="D127">
        <v>16000</v>
      </c>
      <c r="E127">
        <v>499</v>
      </c>
      <c r="F127">
        <v>1</v>
      </c>
      <c r="G127">
        <v>16000</v>
      </c>
      <c r="H127">
        <v>1.021805E-3</v>
      </c>
      <c r="I127">
        <v>12009</v>
      </c>
      <c r="J127">
        <v>2925</v>
      </c>
      <c r="K127">
        <v>9084</v>
      </c>
      <c r="L127">
        <v>500</v>
      </c>
      <c r="M127">
        <v>499</v>
      </c>
      <c r="N127">
        <v>1</v>
      </c>
      <c r="O127">
        <v>3991</v>
      </c>
      <c r="P127">
        <v>1</v>
      </c>
    </row>
    <row r="128" spans="1:16" x14ac:dyDescent="0.2">
      <c r="A128" s="3" t="s">
        <v>49</v>
      </c>
      <c r="B128" s="3" t="s">
        <v>52</v>
      </c>
      <c r="C128">
        <v>24</v>
      </c>
      <c r="D128">
        <v>19000</v>
      </c>
      <c r="E128">
        <v>499</v>
      </c>
      <c r="F128">
        <v>1</v>
      </c>
      <c r="G128">
        <v>84218.384375429901</v>
      </c>
      <c r="H128">
        <v>1.020586E-3</v>
      </c>
      <c r="I128">
        <v>12020</v>
      </c>
      <c r="J128">
        <v>2982</v>
      </c>
      <c r="K128">
        <v>9038</v>
      </c>
      <c r="L128">
        <v>500</v>
      </c>
      <c r="M128">
        <v>499</v>
      </c>
      <c r="N128">
        <v>1</v>
      </c>
      <c r="O128">
        <v>31237.767975843199</v>
      </c>
      <c r="P128">
        <v>0</v>
      </c>
    </row>
    <row r="129" spans="1:16" x14ac:dyDescent="0.2">
      <c r="A129" s="3" t="s">
        <v>49</v>
      </c>
      <c r="B129" s="3" t="s">
        <v>52</v>
      </c>
      <c r="C129">
        <v>46</v>
      </c>
      <c r="D129">
        <v>15000</v>
      </c>
      <c r="E129">
        <v>499</v>
      </c>
      <c r="F129">
        <v>1</v>
      </c>
      <c r="G129">
        <v>15000</v>
      </c>
      <c r="H129">
        <v>1.02042E-3</v>
      </c>
      <c r="I129">
        <v>11859</v>
      </c>
      <c r="J129">
        <v>2879</v>
      </c>
      <c r="K129">
        <v>8980</v>
      </c>
      <c r="L129">
        <v>500</v>
      </c>
      <c r="M129">
        <v>499</v>
      </c>
      <c r="N129">
        <v>1</v>
      </c>
      <c r="O129">
        <v>3141</v>
      </c>
      <c r="P129">
        <v>1</v>
      </c>
    </row>
    <row r="130" spans="1:16" x14ac:dyDescent="0.2">
      <c r="A130" s="3" t="s">
        <v>49</v>
      </c>
      <c r="B130" s="3" t="s">
        <v>52</v>
      </c>
      <c r="C130">
        <v>46</v>
      </c>
      <c r="D130">
        <v>19000</v>
      </c>
      <c r="E130">
        <v>499</v>
      </c>
      <c r="F130">
        <v>1</v>
      </c>
      <c r="G130">
        <v>19000</v>
      </c>
      <c r="H130">
        <v>1.0198430000000001E-3</v>
      </c>
      <c r="I130">
        <v>12007</v>
      </c>
      <c r="J130">
        <v>2927</v>
      </c>
      <c r="K130">
        <v>9080</v>
      </c>
      <c r="L130">
        <v>500</v>
      </c>
      <c r="M130">
        <v>499</v>
      </c>
      <c r="N130">
        <v>1</v>
      </c>
      <c r="O130">
        <v>6993</v>
      </c>
      <c r="P130">
        <v>1</v>
      </c>
    </row>
    <row r="131" spans="1:16" x14ac:dyDescent="0.2">
      <c r="A131" s="3" t="s">
        <v>49</v>
      </c>
      <c r="B131" s="3" t="s">
        <v>52</v>
      </c>
      <c r="C131">
        <v>8</v>
      </c>
      <c r="D131">
        <v>20000</v>
      </c>
      <c r="E131">
        <v>499</v>
      </c>
      <c r="F131">
        <v>1</v>
      </c>
      <c r="G131">
        <v>20000</v>
      </c>
      <c r="H131">
        <v>1.0195320000000001E-3</v>
      </c>
      <c r="I131">
        <v>11937</v>
      </c>
      <c r="J131">
        <v>2987</v>
      </c>
      <c r="K131">
        <v>8950</v>
      </c>
      <c r="L131">
        <v>500</v>
      </c>
      <c r="M131">
        <v>499</v>
      </c>
      <c r="N131">
        <v>1</v>
      </c>
      <c r="O131">
        <v>8063</v>
      </c>
      <c r="P131">
        <v>1</v>
      </c>
    </row>
    <row r="132" spans="1:16" x14ac:dyDescent="0.2">
      <c r="A132" s="3" t="s">
        <v>49</v>
      </c>
      <c r="B132" s="3" t="s">
        <v>52</v>
      </c>
      <c r="C132">
        <v>26</v>
      </c>
      <c r="D132">
        <v>17000</v>
      </c>
      <c r="E132">
        <v>499</v>
      </c>
      <c r="F132">
        <v>1</v>
      </c>
      <c r="G132">
        <v>17000</v>
      </c>
      <c r="H132">
        <v>1.0190830000000001E-3</v>
      </c>
      <c r="I132">
        <v>11976</v>
      </c>
      <c r="J132">
        <v>2903</v>
      </c>
      <c r="K132">
        <v>9073</v>
      </c>
      <c r="L132">
        <v>500</v>
      </c>
      <c r="M132">
        <v>499</v>
      </c>
      <c r="N132">
        <v>1</v>
      </c>
      <c r="O132">
        <v>5024</v>
      </c>
      <c r="P132">
        <v>1</v>
      </c>
    </row>
    <row r="133" spans="1:16" x14ac:dyDescent="0.2">
      <c r="A133" s="3" t="s">
        <v>49</v>
      </c>
      <c r="B133" s="3" t="s">
        <v>52</v>
      </c>
      <c r="C133">
        <v>49</v>
      </c>
      <c r="D133">
        <v>20000</v>
      </c>
      <c r="E133">
        <v>499</v>
      </c>
      <c r="F133">
        <v>1</v>
      </c>
      <c r="G133">
        <v>82302.7524576211</v>
      </c>
      <c r="H133">
        <v>1.0189999999999999E-3</v>
      </c>
      <c r="I133">
        <v>11936</v>
      </c>
      <c r="J133">
        <v>3009</v>
      </c>
      <c r="K133">
        <v>8927</v>
      </c>
      <c r="L133">
        <v>500</v>
      </c>
      <c r="M133">
        <v>499</v>
      </c>
      <c r="N133">
        <v>1</v>
      </c>
      <c r="O133">
        <v>33299.153913354101</v>
      </c>
      <c r="P133">
        <v>0</v>
      </c>
    </row>
    <row r="134" spans="1:16" x14ac:dyDescent="0.2">
      <c r="A134" s="3" t="s">
        <v>49</v>
      </c>
      <c r="B134" s="3" t="s">
        <v>52</v>
      </c>
      <c r="C134">
        <v>21</v>
      </c>
      <c r="D134">
        <v>19000</v>
      </c>
      <c r="E134">
        <v>499</v>
      </c>
      <c r="F134">
        <v>1</v>
      </c>
      <c r="G134">
        <v>19000</v>
      </c>
      <c r="H134">
        <v>1.018918E-3</v>
      </c>
      <c r="I134">
        <v>12059</v>
      </c>
      <c r="J134">
        <v>2979</v>
      </c>
      <c r="K134">
        <v>9080</v>
      </c>
      <c r="L134">
        <v>500</v>
      </c>
      <c r="M134">
        <v>499</v>
      </c>
      <c r="N134">
        <v>1</v>
      </c>
      <c r="O134">
        <v>6941</v>
      </c>
      <c r="P134">
        <v>1</v>
      </c>
    </row>
    <row r="135" spans="1:16" x14ac:dyDescent="0.2">
      <c r="A135" s="3" t="s">
        <v>49</v>
      </c>
      <c r="B135" s="3" t="s">
        <v>52</v>
      </c>
      <c r="C135">
        <v>46</v>
      </c>
      <c r="D135">
        <v>20000</v>
      </c>
      <c r="E135">
        <v>499</v>
      </c>
      <c r="F135">
        <v>1</v>
      </c>
      <c r="G135">
        <v>82302.7524576211</v>
      </c>
      <c r="H135">
        <v>1.0183220000000001E-3</v>
      </c>
      <c r="I135">
        <v>11945</v>
      </c>
      <c r="J135">
        <v>2978</v>
      </c>
      <c r="K135">
        <v>8967</v>
      </c>
      <c r="L135">
        <v>500</v>
      </c>
      <c r="M135">
        <v>499</v>
      </c>
      <c r="N135">
        <v>1</v>
      </c>
      <c r="O135">
        <v>33251.681836366297</v>
      </c>
      <c r="P135">
        <v>0</v>
      </c>
    </row>
    <row r="136" spans="1:16" x14ac:dyDescent="0.2">
      <c r="A136" s="3" t="s">
        <v>49</v>
      </c>
      <c r="B136" s="3" t="s">
        <v>52</v>
      </c>
      <c r="C136">
        <v>11</v>
      </c>
      <c r="D136">
        <v>20000</v>
      </c>
      <c r="E136">
        <v>499</v>
      </c>
      <c r="F136">
        <v>1</v>
      </c>
      <c r="G136">
        <v>20000</v>
      </c>
      <c r="H136">
        <v>1.016891E-3</v>
      </c>
      <c r="I136">
        <v>11972</v>
      </c>
      <c r="J136">
        <v>3014</v>
      </c>
      <c r="K136">
        <v>8958</v>
      </c>
      <c r="L136">
        <v>500</v>
      </c>
      <c r="M136">
        <v>499</v>
      </c>
      <c r="N136">
        <v>1</v>
      </c>
      <c r="O136">
        <v>8028</v>
      </c>
      <c r="P136">
        <v>1</v>
      </c>
    </row>
    <row r="137" spans="1:16" x14ac:dyDescent="0.2">
      <c r="A137" s="3" t="s">
        <v>49</v>
      </c>
      <c r="B137" s="3" t="s">
        <v>52</v>
      </c>
      <c r="C137">
        <v>32</v>
      </c>
      <c r="D137">
        <v>18000</v>
      </c>
      <c r="E137">
        <v>499</v>
      </c>
      <c r="F137">
        <v>1</v>
      </c>
      <c r="G137">
        <v>18000</v>
      </c>
      <c r="H137">
        <v>1.016791E-3</v>
      </c>
      <c r="I137">
        <v>11934</v>
      </c>
      <c r="J137">
        <v>2870</v>
      </c>
      <c r="K137">
        <v>9064</v>
      </c>
      <c r="L137">
        <v>500</v>
      </c>
      <c r="M137">
        <v>499</v>
      </c>
      <c r="N137">
        <v>1</v>
      </c>
      <c r="O137">
        <v>6066</v>
      </c>
      <c r="P137">
        <v>1</v>
      </c>
    </row>
    <row r="138" spans="1:16" x14ac:dyDescent="0.2">
      <c r="A138" s="3" t="s">
        <v>49</v>
      </c>
      <c r="B138" s="3" t="s">
        <v>52</v>
      </c>
      <c r="C138">
        <v>13</v>
      </c>
      <c r="D138">
        <v>20000</v>
      </c>
      <c r="E138">
        <v>499</v>
      </c>
      <c r="F138">
        <v>1</v>
      </c>
      <c r="G138">
        <v>82302.7524576211</v>
      </c>
      <c r="H138">
        <v>1.0166629999999999E-3</v>
      </c>
      <c r="I138">
        <v>11929</v>
      </c>
      <c r="J138">
        <v>2970</v>
      </c>
      <c r="K138">
        <v>8959</v>
      </c>
      <c r="L138">
        <v>500</v>
      </c>
      <c r="M138">
        <v>499</v>
      </c>
      <c r="N138">
        <v>1</v>
      </c>
      <c r="O138">
        <v>33353.643467643</v>
      </c>
      <c r="P138">
        <v>0</v>
      </c>
    </row>
    <row r="139" spans="1:16" x14ac:dyDescent="0.2">
      <c r="A139" s="3" t="s">
        <v>49</v>
      </c>
      <c r="B139" s="3" t="s">
        <v>52</v>
      </c>
      <c r="C139">
        <v>1</v>
      </c>
      <c r="D139">
        <v>14000</v>
      </c>
      <c r="E139">
        <v>499</v>
      </c>
      <c r="F139">
        <v>1</v>
      </c>
      <c r="G139">
        <v>58565.0323707059</v>
      </c>
      <c r="H139">
        <v>1.01658E-3</v>
      </c>
      <c r="I139">
        <v>11914</v>
      </c>
      <c r="J139">
        <v>2795</v>
      </c>
      <c r="K139">
        <v>9119</v>
      </c>
      <c r="L139">
        <v>500</v>
      </c>
      <c r="M139">
        <v>499</v>
      </c>
      <c r="N139">
        <v>1</v>
      </c>
      <c r="O139">
        <v>8780.4231283164008</v>
      </c>
      <c r="P139">
        <v>0</v>
      </c>
    </row>
    <row r="140" spans="1:16" x14ac:dyDescent="0.2">
      <c r="A140" s="3" t="s">
        <v>49</v>
      </c>
      <c r="B140" s="3" t="s">
        <v>52</v>
      </c>
      <c r="C140">
        <v>17</v>
      </c>
      <c r="D140">
        <v>19000</v>
      </c>
      <c r="E140">
        <v>499</v>
      </c>
      <c r="F140">
        <v>1</v>
      </c>
      <c r="G140">
        <v>84218.384375429901</v>
      </c>
      <c r="H140">
        <v>1.0160029999999999E-3</v>
      </c>
      <c r="I140">
        <v>12068</v>
      </c>
      <c r="J140">
        <v>2971</v>
      </c>
      <c r="K140">
        <v>9097</v>
      </c>
      <c r="L140">
        <v>500</v>
      </c>
      <c r="M140">
        <v>499</v>
      </c>
      <c r="N140">
        <v>1</v>
      </c>
      <c r="O140">
        <v>31091.801216723699</v>
      </c>
      <c r="P140">
        <v>0</v>
      </c>
    </row>
    <row r="141" spans="1:16" x14ac:dyDescent="0.2">
      <c r="A141" s="3" t="s">
        <v>49</v>
      </c>
      <c r="B141" s="3" t="s">
        <v>52</v>
      </c>
      <c r="C141">
        <v>48</v>
      </c>
      <c r="D141">
        <v>19000</v>
      </c>
      <c r="E141">
        <v>499</v>
      </c>
      <c r="F141">
        <v>1</v>
      </c>
      <c r="G141">
        <v>84218.384375429901</v>
      </c>
      <c r="H141">
        <v>1.0155170000000001E-3</v>
      </c>
      <c r="I141">
        <v>11994</v>
      </c>
      <c r="J141">
        <v>2934</v>
      </c>
      <c r="K141">
        <v>9060</v>
      </c>
      <c r="L141">
        <v>500</v>
      </c>
      <c r="M141">
        <v>499</v>
      </c>
      <c r="N141">
        <v>1</v>
      </c>
      <c r="O141">
        <v>31290.4436720784</v>
      </c>
      <c r="P141">
        <v>0</v>
      </c>
    </row>
    <row r="142" spans="1:16" x14ac:dyDescent="0.2">
      <c r="A142" s="3" t="s">
        <v>49</v>
      </c>
      <c r="B142" s="3" t="s">
        <v>52</v>
      </c>
      <c r="C142">
        <v>1</v>
      </c>
      <c r="D142">
        <v>18000</v>
      </c>
      <c r="E142">
        <v>499</v>
      </c>
      <c r="F142">
        <v>1</v>
      </c>
      <c r="G142">
        <v>75479.649376234796</v>
      </c>
      <c r="H142">
        <v>1.015232E-3</v>
      </c>
      <c r="I142">
        <v>11982</v>
      </c>
      <c r="J142">
        <v>2912</v>
      </c>
      <c r="K142">
        <v>9070</v>
      </c>
      <c r="L142">
        <v>500</v>
      </c>
      <c r="M142">
        <v>499</v>
      </c>
      <c r="N142">
        <v>1</v>
      </c>
      <c r="O142">
        <v>25579.143920415801</v>
      </c>
      <c r="P142">
        <v>0</v>
      </c>
    </row>
    <row r="143" spans="1:16" x14ac:dyDescent="0.2">
      <c r="A143" s="3" t="s">
        <v>49</v>
      </c>
      <c r="B143" s="3" t="s">
        <v>52</v>
      </c>
      <c r="C143">
        <v>37</v>
      </c>
      <c r="D143">
        <v>17000</v>
      </c>
      <c r="E143">
        <v>499</v>
      </c>
      <c r="F143">
        <v>1</v>
      </c>
      <c r="G143">
        <v>17000</v>
      </c>
      <c r="H143">
        <v>1.014921E-3</v>
      </c>
      <c r="I143">
        <v>11935</v>
      </c>
      <c r="J143">
        <v>2857</v>
      </c>
      <c r="K143">
        <v>9078</v>
      </c>
      <c r="L143">
        <v>500</v>
      </c>
      <c r="M143">
        <v>499</v>
      </c>
      <c r="N143">
        <v>1</v>
      </c>
      <c r="O143">
        <v>5065</v>
      </c>
      <c r="P143">
        <v>1</v>
      </c>
    </row>
    <row r="144" spans="1:16" x14ac:dyDescent="0.2">
      <c r="A144" s="3" t="s">
        <v>49</v>
      </c>
      <c r="B144" s="3" t="s">
        <v>52</v>
      </c>
      <c r="C144">
        <v>25</v>
      </c>
      <c r="D144">
        <v>18000</v>
      </c>
      <c r="E144">
        <v>499</v>
      </c>
      <c r="F144">
        <v>1</v>
      </c>
      <c r="G144">
        <v>18000</v>
      </c>
      <c r="H144">
        <v>1.014802E-3</v>
      </c>
      <c r="I144">
        <v>12007</v>
      </c>
      <c r="J144">
        <v>2941</v>
      </c>
      <c r="K144">
        <v>9066</v>
      </c>
      <c r="L144">
        <v>500</v>
      </c>
      <c r="M144">
        <v>499</v>
      </c>
      <c r="N144">
        <v>1</v>
      </c>
      <c r="O144">
        <v>5993</v>
      </c>
      <c r="P144">
        <v>1</v>
      </c>
    </row>
    <row r="145" spans="1:16" x14ac:dyDescent="0.2">
      <c r="A145" s="3" t="s">
        <v>49</v>
      </c>
      <c r="B145" s="3" t="s">
        <v>52</v>
      </c>
      <c r="C145">
        <v>12</v>
      </c>
      <c r="D145">
        <v>17000</v>
      </c>
      <c r="E145">
        <v>499</v>
      </c>
      <c r="F145">
        <v>1</v>
      </c>
      <c r="G145">
        <v>17000</v>
      </c>
      <c r="H145">
        <v>1.0141869999999999E-3</v>
      </c>
      <c r="I145">
        <v>11920</v>
      </c>
      <c r="J145">
        <v>2901</v>
      </c>
      <c r="K145">
        <v>9019</v>
      </c>
      <c r="L145">
        <v>500</v>
      </c>
      <c r="M145">
        <v>499</v>
      </c>
      <c r="N145">
        <v>1</v>
      </c>
      <c r="O145">
        <v>5080</v>
      </c>
      <c r="P145">
        <v>1</v>
      </c>
    </row>
    <row r="146" spans="1:16" x14ac:dyDescent="0.2">
      <c r="A146" s="3" t="s">
        <v>49</v>
      </c>
      <c r="B146" s="3" t="s">
        <v>52</v>
      </c>
      <c r="C146">
        <v>7</v>
      </c>
      <c r="D146">
        <v>20000</v>
      </c>
      <c r="E146">
        <v>499</v>
      </c>
      <c r="F146">
        <v>1</v>
      </c>
      <c r="G146">
        <v>20000</v>
      </c>
      <c r="H146">
        <v>1.014179E-3</v>
      </c>
      <c r="I146">
        <v>11957</v>
      </c>
      <c r="J146">
        <v>2981</v>
      </c>
      <c r="K146">
        <v>8976</v>
      </c>
      <c r="L146">
        <v>500</v>
      </c>
      <c r="M146">
        <v>499</v>
      </c>
      <c r="N146">
        <v>1</v>
      </c>
      <c r="O146">
        <v>8043</v>
      </c>
      <c r="P146">
        <v>1</v>
      </c>
    </row>
    <row r="147" spans="1:16" x14ac:dyDescent="0.2">
      <c r="A147" s="3" t="s">
        <v>49</v>
      </c>
      <c r="B147" s="3" t="s">
        <v>52</v>
      </c>
      <c r="C147">
        <v>29</v>
      </c>
      <c r="D147">
        <v>18000</v>
      </c>
      <c r="E147">
        <v>499</v>
      </c>
      <c r="F147">
        <v>1</v>
      </c>
      <c r="G147">
        <v>75479.649376234796</v>
      </c>
      <c r="H147">
        <v>1.0136839999999999E-3</v>
      </c>
      <c r="I147">
        <v>11986</v>
      </c>
      <c r="J147">
        <v>2935</v>
      </c>
      <c r="K147">
        <v>9051</v>
      </c>
      <c r="L147">
        <v>500</v>
      </c>
      <c r="M147">
        <v>499</v>
      </c>
      <c r="N147">
        <v>1</v>
      </c>
      <c r="O147">
        <v>25563.039629911</v>
      </c>
      <c r="P147">
        <v>0</v>
      </c>
    </row>
    <row r="148" spans="1:16" x14ac:dyDescent="0.2">
      <c r="A148" s="3" t="s">
        <v>49</v>
      </c>
      <c r="B148" s="3" t="s">
        <v>52</v>
      </c>
      <c r="C148">
        <v>10</v>
      </c>
      <c r="D148">
        <v>10000</v>
      </c>
      <c r="E148">
        <v>499</v>
      </c>
      <c r="F148">
        <v>1</v>
      </c>
      <c r="G148">
        <v>10000</v>
      </c>
      <c r="H148">
        <v>1.0136190000000001E-3</v>
      </c>
      <c r="I148">
        <v>10000</v>
      </c>
      <c r="J148">
        <v>2715</v>
      </c>
      <c r="K148">
        <v>7285</v>
      </c>
      <c r="L148">
        <v>500</v>
      </c>
      <c r="M148">
        <v>499</v>
      </c>
      <c r="N148">
        <v>1</v>
      </c>
      <c r="O148">
        <v>0</v>
      </c>
      <c r="P148">
        <v>1</v>
      </c>
    </row>
    <row r="149" spans="1:16" x14ac:dyDescent="0.2">
      <c r="A149" s="3" t="s">
        <v>49</v>
      </c>
      <c r="B149" s="3" t="s">
        <v>52</v>
      </c>
      <c r="C149">
        <v>38</v>
      </c>
      <c r="D149">
        <v>19000</v>
      </c>
      <c r="E149">
        <v>499</v>
      </c>
      <c r="F149">
        <v>1</v>
      </c>
      <c r="G149">
        <v>84218.384375429901</v>
      </c>
      <c r="H149">
        <v>1.0135820000000001E-3</v>
      </c>
      <c r="I149">
        <v>12036</v>
      </c>
      <c r="J149">
        <v>2977</v>
      </c>
      <c r="K149">
        <v>9059</v>
      </c>
      <c r="L149">
        <v>500</v>
      </c>
      <c r="M149">
        <v>499</v>
      </c>
      <c r="N149">
        <v>1</v>
      </c>
      <c r="O149">
        <v>31189.570417178202</v>
      </c>
      <c r="P149">
        <v>0</v>
      </c>
    </row>
    <row r="150" spans="1:16" x14ac:dyDescent="0.2">
      <c r="A150" s="3" t="s">
        <v>49</v>
      </c>
      <c r="B150" s="3" t="s">
        <v>52</v>
      </c>
      <c r="C150">
        <v>17</v>
      </c>
      <c r="D150">
        <v>20000</v>
      </c>
      <c r="E150">
        <v>499</v>
      </c>
      <c r="F150">
        <v>1</v>
      </c>
      <c r="G150">
        <v>20000</v>
      </c>
      <c r="H150">
        <v>1.013087E-3</v>
      </c>
      <c r="I150">
        <v>11921</v>
      </c>
      <c r="J150">
        <v>2976</v>
      </c>
      <c r="K150">
        <v>8945</v>
      </c>
      <c r="L150">
        <v>500</v>
      </c>
      <c r="M150">
        <v>499</v>
      </c>
      <c r="N150">
        <v>1</v>
      </c>
      <c r="O150">
        <v>8079</v>
      </c>
      <c r="P150">
        <v>1</v>
      </c>
    </row>
    <row r="151" spans="1:16" x14ac:dyDescent="0.2">
      <c r="A151" s="3" t="s">
        <v>49</v>
      </c>
      <c r="B151" s="3" t="s">
        <v>52</v>
      </c>
      <c r="C151">
        <v>12</v>
      </c>
      <c r="D151">
        <v>12000</v>
      </c>
      <c r="E151">
        <v>499</v>
      </c>
      <c r="F151">
        <v>1</v>
      </c>
      <c r="G151">
        <v>12000</v>
      </c>
      <c r="H151">
        <v>1.013023E-3</v>
      </c>
      <c r="I151">
        <v>11890</v>
      </c>
      <c r="J151">
        <v>2779</v>
      </c>
      <c r="K151">
        <v>9111</v>
      </c>
      <c r="L151">
        <v>500</v>
      </c>
      <c r="M151">
        <v>499</v>
      </c>
      <c r="N151">
        <v>1</v>
      </c>
      <c r="O151">
        <v>110</v>
      </c>
      <c r="P151">
        <v>1</v>
      </c>
    </row>
    <row r="152" spans="1:16" x14ac:dyDescent="0.2">
      <c r="A152" s="3" t="s">
        <v>49</v>
      </c>
      <c r="B152" s="3" t="s">
        <v>52</v>
      </c>
      <c r="C152">
        <v>29</v>
      </c>
      <c r="D152">
        <v>13000</v>
      </c>
      <c r="E152">
        <v>499</v>
      </c>
      <c r="F152">
        <v>1</v>
      </c>
      <c r="G152">
        <v>13000</v>
      </c>
      <c r="H152">
        <v>1.0128400000000001E-3</v>
      </c>
      <c r="I152">
        <v>11816</v>
      </c>
      <c r="J152">
        <v>2814</v>
      </c>
      <c r="K152">
        <v>9002</v>
      </c>
      <c r="L152">
        <v>500</v>
      </c>
      <c r="M152">
        <v>499</v>
      </c>
      <c r="N152">
        <v>1</v>
      </c>
      <c r="O152">
        <v>1184</v>
      </c>
      <c r="P152">
        <v>1</v>
      </c>
    </row>
    <row r="153" spans="1:16" x14ac:dyDescent="0.2">
      <c r="A153" s="3" t="s">
        <v>49</v>
      </c>
      <c r="B153" s="3" t="s">
        <v>52</v>
      </c>
      <c r="C153">
        <v>16</v>
      </c>
      <c r="D153">
        <v>20000</v>
      </c>
      <c r="E153">
        <v>499</v>
      </c>
      <c r="F153">
        <v>1</v>
      </c>
      <c r="G153">
        <v>82302.7524576211</v>
      </c>
      <c r="H153">
        <v>1.012785E-3</v>
      </c>
      <c r="I153">
        <v>11957</v>
      </c>
      <c r="J153">
        <v>3031</v>
      </c>
      <c r="K153">
        <v>8926</v>
      </c>
      <c r="L153">
        <v>500</v>
      </c>
      <c r="M153">
        <v>499</v>
      </c>
      <c r="N153">
        <v>1</v>
      </c>
      <c r="O153">
        <v>33204.401572670104</v>
      </c>
      <c r="P153">
        <v>0</v>
      </c>
    </row>
    <row r="154" spans="1:16" x14ac:dyDescent="0.2">
      <c r="A154" s="3" t="s">
        <v>49</v>
      </c>
      <c r="B154" s="3" t="s">
        <v>52</v>
      </c>
      <c r="C154">
        <v>29</v>
      </c>
      <c r="D154">
        <v>19000</v>
      </c>
      <c r="E154">
        <v>499</v>
      </c>
      <c r="F154">
        <v>1</v>
      </c>
      <c r="G154">
        <v>19000</v>
      </c>
      <c r="H154">
        <v>1.0127669999999999E-3</v>
      </c>
      <c r="I154">
        <v>12014</v>
      </c>
      <c r="J154">
        <v>2954</v>
      </c>
      <c r="K154">
        <v>9060</v>
      </c>
      <c r="L154">
        <v>500</v>
      </c>
      <c r="M154">
        <v>499</v>
      </c>
      <c r="N154">
        <v>1</v>
      </c>
      <c r="O154">
        <v>6986</v>
      </c>
      <c r="P154">
        <v>1</v>
      </c>
    </row>
    <row r="155" spans="1:16" x14ac:dyDescent="0.2">
      <c r="A155" s="3" t="s">
        <v>49</v>
      </c>
      <c r="B155" s="3" t="s">
        <v>52</v>
      </c>
      <c r="C155">
        <v>10</v>
      </c>
      <c r="D155">
        <v>20000</v>
      </c>
      <c r="E155">
        <v>499</v>
      </c>
      <c r="F155">
        <v>1</v>
      </c>
      <c r="G155">
        <v>20000</v>
      </c>
      <c r="H155">
        <v>1.012418E-3</v>
      </c>
      <c r="I155">
        <v>11978</v>
      </c>
      <c r="J155">
        <v>2982</v>
      </c>
      <c r="K155">
        <v>8996</v>
      </c>
      <c r="L155">
        <v>500</v>
      </c>
      <c r="M155">
        <v>499</v>
      </c>
      <c r="N155">
        <v>1</v>
      </c>
      <c r="O155">
        <v>8022</v>
      </c>
      <c r="P155">
        <v>1</v>
      </c>
    </row>
    <row r="156" spans="1:16" x14ac:dyDescent="0.2">
      <c r="A156" s="3" t="s">
        <v>49</v>
      </c>
      <c r="B156" s="3" t="s">
        <v>52</v>
      </c>
      <c r="C156">
        <v>13</v>
      </c>
      <c r="D156">
        <v>19000</v>
      </c>
      <c r="E156">
        <v>499</v>
      </c>
      <c r="F156">
        <v>1</v>
      </c>
      <c r="G156">
        <v>19000</v>
      </c>
      <c r="H156">
        <v>1.0118410000000001E-3</v>
      </c>
      <c r="I156">
        <v>12056</v>
      </c>
      <c r="J156">
        <v>2971</v>
      </c>
      <c r="K156">
        <v>9085</v>
      </c>
      <c r="L156">
        <v>500</v>
      </c>
      <c r="M156">
        <v>499</v>
      </c>
      <c r="N156">
        <v>1</v>
      </c>
      <c r="O156">
        <v>6944</v>
      </c>
      <c r="P156">
        <v>1</v>
      </c>
    </row>
    <row r="157" spans="1:16" x14ac:dyDescent="0.2">
      <c r="A157" s="3" t="s">
        <v>49</v>
      </c>
      <c r="B157" s="3" t="s">
        <v>52</v>
      </c>
      <c r="C157">
        <v>31</v>
      </c>
      <c r="D157">
        <v>19000</v>
      </c>
      <c r="E157">
        <v>499</v>
      </c>
      <c r="F157">
        <v>1</v>
      </c>
      <c r="G157">
        <v>19000</v>
      </c>
      <c r="H157">
        <v>1.011695E-3</v>
      </c>
      <c r="I157">
        <v>12013</v>
      </c>
      <c r="J157">
        <v>2961</v>
      </c>
      <c r="K157">
        <v>9052</v>
      </c>
      <c r="L157">
        <v>500</v>
      </c>
      <c r="M157">
        <v>499</v>
      </c>
      <c r="N157">
        <v>1</v>
      </c>
      <c r="O157">
        <v>6987</v>
      </c>
      <c r="P157">
        <v>1</v>
      </c>
    </row>
    <row r="158" spans="1:16" x14ac:dyDescent="0.2">
      <c r="A158" s="3" t="s">
        <v>49</v>
      </c>
      <c r="B158" s="3" t="s">
        <v>52</v>
      </c>
      <c r="C158">
        <v>14</v>
      </c>
      <c r="D158">
        <v>17000</v>
      </c>
      <c r="E158">
        <v>499</v>
      </c>
      <c r="F158">
        <v>1</v>
      </c>
      <c r="G158">
        <v>65872.258119671897</v>
      </c>
      <c r="H158">
        <v>1.011519E-3</v>
      </c>
      <c r="I158">
        <v>11941</v>
      </c>
      <c r="J158">
        <v>2945</v>
      </c>
      <c r="K158">
        <v>8996</v>
      </c>
      <c r="L158">
        <v>500</v>
      </c>
      <c r="M158">
        <v>499</v>
      </c>
      <c r="N158">
        <v>1</v>
      </c>
      <c r="O158">
        <v>19730.274905018701</v>
      </c>
      <c r="P158">
        <v>0</v>
      </c>
    </row>
    <row r="159" spans="1:16" x14ac:dyDescent="0.2">
      <c r="A159" s="3" t="s">
        <v>49</v>
      </c>
      <c r="B159" s="3" t="s">
        <v>52</v>
      </c>
      <c r="C159">
        <v>8</v>
      </c>
      <c r="D159">
        <v>18000</v>
      </c>
      <c r="E159">
        <v>499</v>
      </c>
      <c r="F159">
        <v>1</v>
      </c>
      <c r="G159">
        <v>75479.649376234796</v>
      </c>
      <c r="H159">
        <v>1.011437E-3</v>
      </c>
      <c r="I159">
        <v>11990</v>
      </c>
      <c r="J159">
        <v>2952</v>
      </c>
      <c r="K159">
        <v>9038</v>
      </c>
      <c r="L159">
        <v>500</v>
      </c>
      <c r="M159">
        <v>499</v>
      </c>
      <c r="N159">
        <v>1</v>
      </c>
      <c r="O159">
        <v>25518.985589732602</v>
      </c>
      <c r="P159">
        <v>0</v>
      </c>
    </row>
    <row r="160" spans="1:16" x14ac:dyDescent="0.2">
      <c r="A160" s="3" t="s">
        <v>49</v>
      </c>
      <c r="B160" s="3" t="s">
        <v>52</v>
      </c>
      <c r="C160">
        <v>18</v>
      </c>
      <c r="D160">
        <v>20000</v>
      </c>
      <c r="E160">
        <v>499</v>
      </c>
      <c r="F160">
        <v>1</v>
      </c>
      <c r="G160">
        <v>82302.7524576211</v>
      </c>
      <c r="H160">
        <v>1.0112910000000001E-3</v>
      </c>
      <c r="I160">
        <v>11893</v>
      </c>
      <c r="J160">
        <v>2914</v>
      </c>
      <c r="K160">
        <v>8979</v>
      </c>
      <c r="L160">
        <v>500</v>
      </c>
      <c r="M160">
        <v>499</v>
      </c>
      <c r="N160">
        <v>1</v>
      </c>
      <c r="O160">
        <v>33465.142481013601</v>
      </c>
      <c r="P160">
        <v>0</v>
      </c>
    </row>
    <row r="161" spans="1:16" x14ac:dyDescent="0.2">
      <c r="A161" s="3" t="s">
        <v>49</v>
      </c>
      <c r="B161" s="3" t="s">
        <v>52</v>
      </c>
      <c r="C161">
        <v>45</v>
      </c>
      <c r="D161">
        <v>18000</v>
      </c>
      <c r="E161">
        <v>499</v>
      </c>
      <c r="F161">
        <v>1</v>
      </c>
      <c r="G161">
        <v>18000</v>
      </c>
      <c r="H161">
        <v>1.0107320000000001E-3</v>
      </c>
      <c r="I161">
        <v>11967</v>
      </c>
      <c r="J161">
        <v>2922</v>
      </c>
      <c r="K161">
        <v>9045</v>
      </c>
      <c r="L161">
        <v>500</v>
      </c>
      <c r="M161">
        <v>499</v>
      </c>
      <c r="N161">
        <v>1</v>
      </c>
      <c r="O161">
        <v>6033</v>
      </c>
      <c r="P161">
        <v>1</v>
      </c>
    </row>
    <row r="162" spans="1:16" x14ac:dyDescent="0.2">
      <c r="A162" s="3" t="s">
        <v>49</v>
      </c>
      <c r="B162" s="3" t="s">
        <v>52</v>
      </c>
      <c r="C162">
        <v>33</v>
      </c>
      <c r="D162">
        <v>20000</v>
      </c>
      <c r="E162">
        <v>499</v>
      </c>
      <c r="F162">
        <v>1</v>
      </c>
      <c r="G162">
        <v>20000</v>
      </c>
      <c r="H162">
        <v>1.010723E-3</v>
      </c>
      <c r="I162">
        <v>11935</v>
      </c>
      <c r="J162">
        <v>2946</v>
      </c>
      <c r="K162">
        <v>8989</v>
      </c>
      <c r="L162">
        <v>500</v>
      </c>
      <c r="M162">
        <v>499</v>
      </c>
      <c r="N162">
        <v>1</v>
      </c>
      <c r="O162">
        <v>8065</v>
      </c>
      <c r="P162">
        <v>1</v>
      </c>
    </row>
    <row r="163" spans="1:16" x14ac:dyDescent="0.2">
      <c r="A163" s="3" t="s">
        <v>49</v>
      </c>
      <c r="B163" s="3" t="s">
        <v>52</v>
      </c>
      <c r="C163">
        <v>28</v>
      </c>
      <c r="D163">
        <v>20000</v>
      </c>
      <c r="E163">
        <v>499</v>
      </c>
      <c r="F163">
        <v>1</v>
      </c>
      <c r="G163">
        <v>82302.7524576211</v>
      </c>
      <c r="H163">
        <v>1.010319E-3</v>
      </c>
      <c r="I163">
        <v>11919</v>
      </c>
      <c r="J163">
        <v>2930</v>
      </c>
      <c r="K163">
        <v>8989</v>
      </c>
      <c r="L163">
        <v>500</v>
      </c>
      <c r="M163">
        <v>499</v>
      </c>
      <c r="N163">
        <v>1</v>
      </c>
      <c r="O163">
        <v>33375.150192609501</v>
      </c>
      <c r="P163">
        <v>0</v>
      </c>
    </row>
    <row r="164" spans="1:16" x14ac:dyDescent="0.2">
      <c r="A164" s="3" t="s">
        <v>49</v>
      </c>
      <c r="B164" s="3" t="s">
        <v>52</v>
      </c>
      <c r="C164">
        <v>4</v>
      </c>
      <c r="D164">
        <v>19000</v>
      </c>
      <c r="E164">
        <v>499</v>
      </c>
      <c r="F164">
        <v>1</v>
      </c>
      <c r="G164">
        <v>19000</v>
      </c>
      <c r="H164">
        <v>1.010117E-3</v>
      </c>
      <c r="I164">
        <v>12037</v>
      </c>
      <c r="J164">
        <v>2929</v>
      </c>
      <c r="K164">
        <v>9108</v>
      </c>
      <c r="L164">
        <v>500</v>
      </c>
      <c r="M164">
        <v>499</v>
      </c>
      <c r="N164">
        <v>1</v>
      </c>
      <c r="O164">
        <v>6963</v>
      </c>
      <c r="P164">
        <v>1</v>
      </c>
    </row>
    <row r="165" spans="1:16" x14ac:dyDescent="0.2">
      <c r="A165" s="3" t="s">
        <v>49</v>
      </c>
      <c r="B165" s="3" t="s">
        <v>52</v>
      </c>
      <c r="C165">
        <v>21</v>
      </c>
      <c r="D165">
        <v>20000</v>
      </c>
      <c r="E165">
        <v>499</v>
      </c>
      <c r="F165">
        <v>1</v>
      </c>
      <c r="G165">
        <v>82302.7524576211</v>
      </c>
      <c r="H165">
        <v>1.00954E-3</v>
      </c>
      <c r="I165">
        <v>11977</v>
      </c>
      <c r="J165">
        <v>3023</v>
      </c>
      <c r="K165">
        <v>8954</v>
      </c>
      <c r="L165">
        <v>500</v>
      </c>
      <c r="M165">
        <v>499</v>
      </c>
      <c r="N165">
        <v>1</v>
      </c>
      <c r="O165">
        <v>33174.149190057797</v>
      </c>
      <c r="P165">
        <v>0</v>
      </c>
    </row>
    <row r="166" spans="1:16" x14ac:dyDescent="0.2">
      <c r="A166" s="3" t="s">
        <v>49</v>
      </c>
      <c r="B166" s="3" t="s">
        <v>52</v>
      </c>
      <c r="C166">
        <v>39</v>
      </c>
      <c r="D166">
        <v>13000</v>
      </c>
      <c r="E166">
        <v>499</v>
      </c>
      <c r="F166">
        <v>1</v>
      </c>
      <c r="G166">
        <v>13000</v>
      </c>
      <c r="H166">
        <v>1.009247E-3</v>
      </c>
      <c r="I166">
        <v>11865</v>
      </c>
      <c r="J166">
        <v>2835</v>
      </c>
      <c r="K166">
        <v>9030</v>
      </c>
      <c r="L166">
        <v>500</v>
      </c>
      <c r="M166">
        <v>499</v>
      </c>
      <c r="N166">
        <v>1</v>
      </c>
      <c r="O166">
        <v>1135</v>
      </c>
      <c r="P166">
        <v>1</v>
      </c>
    </row>
    <row r="167" spans="1:16" x14ac:dyDescent="0.2">
      <c r="A167" s="3" t="s">
        <v>49</v>
      </c>
      <c r="B167" s="3" t="s">
        <v>52</v>
      </c>
      <c r="C167">
        <v>22</v>
      </c>
      <c r="D167">
        <v>19000</v>
      </c>
      <c r="E167">
        <v>499</v>
      </c>
      <c r="F167">
        <v>1</v>
      </c>
      <c r="G167">
        <v>84218.384375429901</v>
      </c>
      <c r="H167">
        <v>1.0091639999999999E-3</v>
      </c>
      <c r="I167">
        <v>11967</v>
      </c>
      <c r="J167">
        <v>2896</v>
      </c>
      <c r="K167">
        <v>9071</v>
      </c>
      <c r="L167">
        <v>500</v>
      </c>
      <c r="M167">
        <v>499</v>
      </c>
      <c r="N167">
        <v>1</v>
      </c>
      <c r="O167">
        <v>31445.998396748299</v>
      </c>
      <c r="P167">
        <v>0</v>
      </c>
    </row>
    <row r="168" spans="1:16" x14ac:dyDescent="0.2">
      <c r="A168" s="3" t="s">
        <v>49</v>
      </c>
      <c r="B168" s="3" t="s">
        <v>52</v>
      </c>
      <c r="C168">
        <v>45</v>
      </c>
      <c r="D168">
        <v>20000</v>
      </c>
      <c r="E168">
        <v>499</v>
      </c>
      <c r="F168">
        <v>1</v>
      </c>
      <c r="G168">
        <v>82302.7524576211</v>
      </c>
      <c r="H168">
        <v>1.008742E-3</v>
      </c>
      <c r="I168">
        <v>11947</v>
      </c>
      <c r="J168">
        <v>2978</v>
      </c>
      <c r="K168">
        <v>8969</v>
      </c>
      <c r="L168">
        <v>500</v>
      </c>
      <c r="M168">
        <v>499</v>
      </c>
      <c r="N168">
        <v>1</v>
      </c>
      <c r="O168">
        <v>33277.687779836997</v>
      </c>
      <c r="P168">
        <v>0</v>
      </c>
    </row>
    <row r="169" spans="1:16" x14ac:dyDescent="0.2">
      <c r="A169" s="3" t="s">
        <v>49</v>
      </c>
      <c r="B169" s="3" t="s">
        <v>52</v>
      </c>
      <c r="C169">
        <v>35</v>
      </c>
      <c r="D169">
        <v>17000</v>
      </c>
      <c r="E169">
        <v>499</v>
      </c>
      <c r="F169">
        <v>1</v>
      </c>
      <c r="G169">
        <v>17000</v>
      </c>
      <c r="H169">
        <v>1.00843E-3</v>
      </c>
      <c r="I169">
        <v>11977</v>
      </c>
      <c r="J169">
        <v>2902</v>
      </c>
      <c r="K169">
        <v>9075</v>
      </c>
      <c r="L169">
        <v>500</v>
      </c>
      <c r="M169">
        <v>499</v>
      </c>
      <c r="N169">
        <v>1</v>
      </c>
      <c r="O169">
        <v>5023</v>
      </c>
      <c r="P169">
        <v>1</v>
      </c>
    </row>
    <row r="170" spans="1:16" x14ac:dyDescent="0.2">
      <c r="A170" s="3" t="s">
        <v>49</v>
      </c>
      <c r="B170" s="3" t="s">
        <v>52</v>
      </c>
      <c r="C170">
        <v>41</v>
      </c>
      <c r="D170">
        <v>19000</v>
      </c>
      <c r="E170">
        <v>499</v>
      </c>
      <c r="F170">
        <v>1</v>
      </c>
      <c r="G170">
        <v>84218.384375429901</v>
      </c>
      <c r="H170">
        <v>1.0070190000000001E-3</v>
      </c>
      <c r="I170">
        <v>12050</v>
      </c>
      <c r="J170">
        <v>2988</v>
      </c>
      <c r="K170">
        <v>9062</v>
      </c>
      <c r="L170">
        <v>500</v>
      </c>
      <c r="M170">
        <v>499</v>
      </c>
      <c r="N170">
        <v>1</v>
      </c>
      <c r="O170">
        <v>31133.156191227801</v>
      </c>
      <c r="P170">
        <v>0</v>
      </c>
    </row>
    <row r="171" spans="1:16" x14ac:dyDescent="0.2">
      <c r="A171" s="3" t="s">
        <v>49</v>
      </c>
      <c r="B171" s="3" t="s">
        <v>52</v>
      </c>
      <c r="C171">
        <v>33</v>
      </c>
      <c r="D171">
        <v>19000</v>
      </c>
      <c r="E171">
        <v>499</v>
      </c>
      <c r="F171">
        <v>1</v>
      </c>
      <c r="G171">
        <v>84218.384375429901</v>
      </c>
      <c r="H171">
        <v>1.006945E-3</v>
      </c>
      <c r="I171">
        <v>12010</v>
      </c>
      <c r="J171">
        <v>2902</v>
      </c>
      <c r="K171">
        <v>9108</v>
      </c>
      <c r="L171">
        <v>500</v>
      </c>
      <c r="M171">
        <v>499</v>
      </c>
      <c r="N171">
        <v>1</v>
      </c>
      <c r="O171">
        <v>31268.852358022501</v>
      </c>
      <c r="P171">
        <v>0</v>
      </c>
    </row>
    <row r="172" spans="1:16" x14ac:dyDescent="0.2">
      <c r="A172" s="3" t="s">
        <v>49</v>
      </c>
      <c r="B172" s="3" t="s">
        <v>52</v>
      </c>
      <c r="C172">
        <v>36</v>
      </c>
      <c r="D172">
        <v>20000</v>
      </c>
      <c r="E172">
        <v>499</v>
      </c>
      <c r="F172">
        <v>1</v>
      </c>
      <c r="G172">
        <v>82302.7524576211</v>
      </c>
      <c r="H172">
        <v>1.0065059999999999E-3</v>
      </c>
      <c r="I172">
        <v>11954</v>
      </c>
      <c r="J172">
        <v>2959</v>
      </c>
      <c r="K172">
        <v>8995</v>
      </c>
      <c r="L172">
        <v>500</v>
      </c>
      <c r="M172">
        <v>499</v>
      </c>
      <c r="N172">
        <v>1</v>
      </c>
      <c r="O172">
        <v>33260.202949586601</v>
      </c>
      <c r="P172">
        <v>0</v>
      </c>
    </row>
    <row r="173" spans="1:16" x14ac:dyDescent="0.2">
      <c r="A173" s="3" t="s">
        <v>49</v>
      </c>
      <c r="B173" s="3" t="s">
        <v>52</v>
      </c>
      <c r="C173">
        <v>3</v>
      </c>
      <c r="D173">
        <v>17000</v>
      </c>
      <c r="E173">
        <v>499</v>
      </c>
      <c r="F173">
        <v>1</v>
      </c>
      <c r="G173">
        <v>65872.258119671897</v>
      </c>
      <c r="H173">
        <v>1.006332E-3</v>
      </c>
      <c r="I173">
        <v>11955</v>
      </c>
      <c r="J173">
        <v>2887</v>
      </c>
      <c r="K173">
        <v>9068</v>
      </c>
      <c r="L173">
        <v>500</v>
      </c>
      <c r="M173">
        <v>499</v>
      </c>
      <c r="N173">
        <v>1</v>
      </c>
      <c r="O173">
        <v>19693.870089688899</v>
      </c>
      <c r="P173">
        <v>0</v>
      </c>
    </row>
    <row r="174" spans="1:16" x14ac:dyDescent="0.2">
      <c r="A174" s="3" t="s">
        <v>49</v>
      </c>
      <c r="B174" s="3" t="s">
        <v>52</v>
      </c>
      <c r="C174">
        <v>31</v>
      </c>
      <c r="D174">
        <v>15000</v>
      </c>
      <c r="E174">
        <v>499</v>
      </c>
      <c r="F174">
        <v>1</v>
      </c>
      <c r="G174">
        <v>15000</v>
      </c>
      <c r="H174">
        <v>1.006194E-3</v>
      </c>
      <c r="I174">
        <v>11842</v>
      </c>
      <c r="J174">
        <v>2858</v>
      </c>
      <c r="K174">
        <v>8984</v>
      </c>
      <c r="L174">
        <v>500</v>
      </c>
      <c r="M174">
        <v>499</v>
      </c>
      <c r="N174">
        <v>1</v>
      </c>
      <c r="O174">
        <v>3158</v>
      </c>
      <c r="P174">
        <v>1</v>
      </c>
    </row>
    <row r="175" spans="1:16" x14ac:dyDescent="0.2">
      <c r="A175" s="3" t="s">
        <v>49</v>
      </c>
      <c r="B175" s="3" t="s">
        <v>52</v>
      </c>
      <c r="C175">
        <v>50</v>
      </c>
      <c r="D175">
        <v>19000</v>
      </c>
      <c r="E175">
        <v>499</v>
      </c>
      <c r="F175">
        <v>1</v>
      </c>
      <c r="G175">
        <v>19000</v>
      </c>
      <c r="H175">
        <v>1.005003E-3</v>
      </c>
      <c r="I175">
        <v>12000</v>
      </c>
      <c r="J175">
        <v>2902</v>
      </c>
      <c r="K175">
        <v>9098</v>
      </c>
      <c r="L175">
        <v>500</v>
      </c>
      <c r="M175">
        <v>499</v>
      </c>
      <c r="N175">
        <v>1</v>
      </c>
      <c r="O175">
        <v>7000</v>
      </c>
      <c r="P175">
        <v>1</v>
      </c>
    </row>
    <row r="176" spans="1:16" x14ac:dyDescent="0.2">
      <c r="A176" s="3" t="s">
        <v>49</v>
      </c>
      <c r="B176" s="3" t="s">
        <v>52</v>
      </c>
      <c r="C176">
        <v>30</v>
      </c>
      <c r="D176">
        <v>20000</v>
      </c>
      <c r="E176">
        <v>499</v>
      </c>
      <c r="F176">
        <v>1</v>
      </c>
      <c r="G176">
        <v>82302.7524576211</v>
      </c>
      <c r="H176">
        <v>1.004984E-3</v>
      </c>
      <c r="I176">
        <v>11963</v>
      </c>
      <c r="J176">
        <v>2960</v>
      </c>
      <c r="K176">
        <v>9003</v>
      </c>
      <c r="L176">
        <v>500</v>
      </c>
      <c r="M176">
        <v>499</v>
      </c>
      <c r="N176">
        <v>1</v>
      </c>
      <c r="O176">
        <v>33243.000370939197</v>
      </c>
      <c r="P176">
        <v>0</v>
      </c>
    </row>
    <row r="177" spans="1:16" x14ac:dyDescent="0.2">
      <c r="A177" s="3" t="s">
        <v>49</v>
      </c>
      <c r="B177" s="3" t="s">
        <v>52</v>
      </c>
      <c r="C177">
        <v>40</v>
      </c>
      <c r="D177">
        <v>19000</v>
      </c>
      <c r="E177">
        <v>499</v>
      </c>
      <c r="F177">
        <v>1</v>
      </c>
      <c r="G177">
        <v>19000</v>
      </c>
      <c r="H177">
        <v>1.0047459999999999E-3</v>
      </c>
      <c r="I177">
        <v>12025</v>
      </c>
      <c r="J177">
        <v>2993</v>
      </c>
      <c r="K177">
        <v>9032</v>
      </c>
      <c r="L177">
        <v>500</v>
      </c>
      <c r="M177">
        <v>499</v>
      </c>
      <c r="N177">
        <v>1</v>
      </c>
      <c r="O177">
        <v>6975</v>
      </c>
      <c r="P177">
        <v>1</v>
      </c>
    </row>
    <row r="178" spans="1:16" x14ac:dyDescent="0.2">
      <c r="A178" s="3" t="s">
        <v>49</v>
      </c>
      <c r="B178" s="3" t="s">
        <v>52</v>
      </c>
      <c r="C178">
        <v>47</v>
      </c>
      <c r="D178">
        <v>20000</v>
      </c>
      <c r="E178">
        <v>499</v>
      </c>
      <c r="F178">
        <v>1</v>
      </c>
      <c r="G178">
        <v>20000</v>
      </c>
      <c r="H178">
        <v>1.004406E-3</v>
      </c>
      <c r="I178">
        <v>11950</v>
      </c>
      <c r="J178">
        <v>2977</v>
      </c>
      <c r="K178">
        <v>8973</v>
      </c>
      <c r="L178">
        <v>500</v>
      </c>
      <c r="M178">
        <v>499</v>
      </c>
      <c r="N178">
        <v>1</v>
      </c>
      <c r="O178">
        <v>8050</v>
      </c>
      <c r="P178">
        <v>1</v>
      </c>
    </row>
    <row r="179" spans="1:16" x14ac:dyDescent="0.2">
      <c r="A179" s="3" t="s">
        <v>49</v>
      </c>
      <c r="B179" s="3" t="s">
        <v>52</v>
      </c>
      <c r="C179">
        <v>37</v>
      </c>
      <c r="D179">
        <v>19000</v>
      </c>
      <c r="E179">
        <v>499</v>
      </c>
      <c r="F179">
        <v>1</v>
      </c>
      <c r="G179">
        <v>19000</v>
      </c>
      <c r="H179">
        <v>1.004333E-3</v>
      </c>
      <c r="I179">
        <v>12003</v>
      </c>
      <c r="J179">
        <v>2940</v>
      </c>
      <c r="K179">
        <v>9063</v>
      </c>
      <c r="L179">
        <v>500</v>
      </c>
      <c r="M179">
        <v>499</v>
      </c>
      <c r="N179">
        <v>1</v>
      </c>
      <c r="O179">
        <v>6997</v>
      </c>
      <c r="P179">
        <v>1</v>
      </c>
    </row>
    <row r="180" spans="1:16" x14ac:dyDescent="0.2">
      <c r="A180" s="3" t="s">
        <v>49</v>
      </c>
      <c r="B180" s="3" t="s">
        <v>52</v>
      </c>
      <c r="C180">
        <v>46</v>
      </c>
      <c r="D180">
        <v>20000</v>
      </c>
      <c r="E180">
        <v>499</v>
      </c>
      <c r="F180">
        <v>1</v>
      </c>
      <c r="G180">
        <v>20000</v>
      </c>
      <c r="H180">
        <v>1.0042969999999999E-3</v>
      </c>
      <c r="I180">
        <v>11968</v>
      </c>
      <c r="J180">
        <v>3004</v>
      </c>
      <c r="K180">
        <v>8964</v>
      </c>
      <c r="L180">
        <v>500</v>
      </c>
      <c r="M180">
        <v>499</v>
      </c>
      <c r="N180">
        <v>1</v>
      </c>
      <c r="O180">
        <v>8032</v>
      </c>
      <c r="P180">
        <v>1</v>
      </c>
    </row>
    <row r="181" spans="1:16" x14ac:dyDescent="0.2">
      <c r="A181" s="3" t="s">
        <v>49</v>
      </c>
      <c r="B181" s="3" t="s">
        <v>52</v>
      </c>
      <c r="C181">
        <v>31</v>
      </c>
      <c r="D181">
        <v>18000</v>
      </c>
      <c r="E181">
        <v>499</v>
      </c>
      <c r="F181">
        <v>1</v>
      </c>
      <c r="G181">
        <v>75479.649376234796</v>
      </c>
      <c r="H181">
        <v>1.004186E-3</v>
      </c>
      <c r="I181">
        <v>11988</v>
      </c>
      <c r="J181">
        <v>2929</v>
      </c>
      <c r="K181">
        <v>9059</v>
      </c>
      <c r="L181">
        <v>500</v>
      </c>
      <c r="M181">
        <v>499</v>
      </c>
      <c r="N181">
        <v>1</v>
      </c>
      <c r="O181">
        <v>25528.2279268932</v>
      </c>
      <c r="P181">
        <v>0</v>
      </c>
    </row>
    <row r="182" spans="1:16" x14ac:dyDescent="0.2">
      <c r="A182" s="3" t="s">
        <v>49</v>
      </c>
      <c r="B182" s="3" t="s">
        <v>52</v>
      </c>
      <c r="C182">
        <v>11</v>
      </c>
      <c r="D182">
        <v>12000</v>
      </c>
      <c r="E182">
        <v>499</v>
      </c>
      <c r="F182">
        <v>1</v>
      </c>
      <c r="G182">
        <v>12000</v>
      </c>
      <c r="H182">
        <v>1.0036190000000001E-3</v>
      </c>
      <c r="I182">
        <v>11876</v>
      </c>
      <c r="J182">
        <v>2757</v>
      </c>
      <c r="K182">
        <v>9119</v>
      </c>
      <c r="L182">
        <v>500</v>
      </c>
      <c r="M182">
        <v>499</v>
      </c>
      <c r="N182">
        <v>1</v>
      </c>
      <c r="O182">
        <v>124</v>
      </c>
      <c r="P182">
        <v>1</v>
      </c>
    </row>
    <row r="183" spans="1:16" x14ac:dyDescent="0.2">
      <c r="A183" s="3" t="s">
        <v>49</v>
      </c>
      <c r="B183" s="3" t="s">
        <v>52</v>
      </c>
      <c r="C183">
        <v>34</v>
      </c>
      <c r="D183">
        <v>18000</v>
      </c>
      <c r="E183">
        <v>499</v>
      </c>
      <c r="F183">
        <v>1</v>
      </c>
      <c r="G183">
        <v>75479.649376234796</v>
      </c>
      <c r="H183">
        <v>1.0032979999999999E-3</v>
      </c>
      <c r="I183">
        <v>11966</v>
      </c>
      <c r="J183">
        <v>2919</v>
      </c>
      <c r="K183">
        <v>9047</v>
      </c>
      <c r="L183">
        <v>500</v>
      </c>
      <c r="M183">
        <v>499</v>
      </c>
      <c r="N183">
        <v>1</v>
      </c>
      <c r="O183">
        <v>25645.746469155401</v>
      </c>
      <c r="P183">
        <v>0</v>
      </c>
    </row>
    <row r="184" spans="1:16" x14ac:dyDescent="0.2">
      <c r="A184" s="3" t="s">
        <v>49</v>
      </c>
      <c r="B184" s="3" t="s">
        <v>52</v>
      </c>
      <c r="C184">
        <v>6</v>
      </c>
      <c r="D184">
        <v>20000</v>
      </c>
      <c r="E184">
        <v>499</v>
      </c>
      <c r="F184">
        <v>1</v>
      </c>
      <c r="G184">
        <v>20000</v>
      </c>
      <c r="H184">
        <v>1.003252E-3</v>
      </c>
      <c r="I184">
        <v>11922</v>
      </c>
      <c r="J184">
        <v>2960</v>
      </c>
      <c r="K184">
        <v>8962</v>
      </c>
      <c r="L184">
        <v>500</v>
      </c>
      <c r="M184">
        <v>499</v>
      </c>
      <c r="N184">
        <v>1</v>
      </c>
      <c r="O184">
        <v>8078</v>
      </c>
      <c r="P184">
        <v>1</v>
      </c>
    </row>
    <row r="185" spans="1:16" x14ac:dyDescent="0.2">
      <c r="A185" s="3" t="s">
        <v>49</v>
      </c>
      <c r="B185" s="3" t="s">
        <v>52</v>
      </c>
      <c r="C185">
        <v>5</v>
      </c>
      <c r="D185">
        <v>20000</v>
      </c>
      <c r="E185">
        <v>499</v>
      </c>
      <c r="F185">
        <v>1</v>
      </c>
      <c r="G185">
        <v>82302.7524576211</v>
      </c>
      <c r="H185">
        <v>1.0031510000000001E-3</v>
      </c>
      <c r="I185">
        <v>11962</v>
      </c>
      <c r="J185">
        <v>2978</v>
      </c>
      <c r="K185">
        <v>8984</v>
      </c>
      <c r="L185">
        <v>500</v>
      </c>
      <c r="M185">
        <v>499</v>
      </c>
      <c r="N185">
        <v>1</v>
      </c>
      <c r="O185">
        <v>33240.234771547199</v>
      </c>
      <c r="P185">
        <v>0</v>
      </c>
    </row>
    <row r="186" spans="1:16" x14ac:dyDescent="0.2">
      <c r="A186" s="3" t="s">
        <v>49</v>
      </c>
      <c r="B186" s="3" t="s">
        <v>52</v>
      </c>
      <c r="C186">
        <v>4</v>
      </c>
      <c r="D186">
        <v>20000</v>
      </c>
      <c r="E186">
        <v>499</v>
      </c>
      <c r="F186">
        <v>1</v>
      </c>
      <c r="G186">
        <v>82302.7524576211</v>
      </c>
      <c r="H186">
        <v>1.003133E-3</v>
      </c>
      <c r="I186">
        <v>11924</v>
      </c>
      <c r="J186">
        <v>2931</v>
      </c>
      <c r="K186">
        <v>8993</v>
      </c>
      <c r="L186">
        <v>500</v>
      </c>
      <c r="M186">
        <v>499</v>
      </c>
      <c r="N186">
        <v>1</v>
      </c>
      <c r="O186">
        <v>33350.0297088058</v>
      </c>
      <c r="P186">
        <v>0</v>
      </c>
    </row>
    <row r="187" spans="1:16" x14ac:dyDescent="0.2">
      <c r="A187" s="3" t="s">
        <v>49</v>
      </c>
      <c r="B187" s="3" t="s">
        <v>52</v>
      </c>
      <c r="C187">
        <v>28</v>
      </c>
      <c r="D187">
        <v>20000</v>
      </c>
      <c r="E187">
        <v>499</v>
      </c>
      <c r="F187">
        <v>1</v>
      </c>
      <c r="G187">
        <v>20000</v>
      </c>
      <c r="H187">
        <v>1.002637E-3</v>
      </c>
      <c r="I187">
        <v>11928</v>
      </c>
      <c r="J187">
        <v>2971</v>
      </c>
      <c r="K187">
        <v>8957</v>
      </c>
      <c r="L187">
        <v>500</v>
      </c>
      <c r="M187">
        <v>499</v>
      </c>
      <c r="N187">
        <v>1</v>
      </c>
      <c r="O187">
        <v>8072</v>
      </c>
      <c r="P187">
        <v>1</v>
      </c>
    </row>
    <row r="188" spans="1:16" x14ac:dyDescent="0.2">
      <c r="A188" s="3" t="s">
        <v>49</v>
      </c>
      <c r="B188" s="3" t="s">
        <v>52</v>
      </c>
      <c r="C188">
        <v>6</v>
      </c>
      <c r="D188">
        <v>19000</v>
      </c>
      <c r="E188">
        <v>499</v>
      </c>
      <c r="F188">
        <v>1</v>
      </c>
      <c r="G188">
        <v>84218.384375429901</v>
      </c>
      <c r="H188">
        <v>1.0025730000000001E-3</v>
      </c>
      <c r="I188">
        <v>12008</v>
      </c>
      <c r="J188">
        <v>2932</v>
      </c>
      <c r="K188">
        <v>9076</v>
      </c>
      <c r="L188">
        <v>500</v>
      </c>
      <c r="M188">
        <v>499</v>
      </c>
      <c r="N188">
        <v>1</v>
      </c>
      <c r="O188">
        <v>31307.522898222898</v>
      </c>
      <c r="P188">
        <v>0</v>
      </c>
    </row>
    <row r="189" spans="1:16" x14ac:dyDescent="0.2">
      <c r="A189" s="3" t="s">
        <v>49</v>
      </c>
      <c r="B189" s="3" t="s">
        <v>52</v>
      </c>
      <c r="C189">
        <v>18</v>
      </c>
      <c r="D189">
        <v>17000</v>
      </c>
      <c r="E189">
        <v>499</v>
      </c>
      <c r="F189">
        <v>1</v>
      </c>
      <c r="G189">
        <v>17000</v>
      </c>
      <c r="H189">
        <v>1.0024999999999999E-3</v>
      </c>
      <c r="I189">
        <v>11940</v>
      </c>
      <c r="J189">
        <v>2942</v>
      </c>
      <c r="K189">
        <v>8998</v>
      </c>
      <c r="L189">
        <v>500</v>
      </c>
      <c r="M189">
        <v>499</v>
      </c>
      <c r="N189">
        <v>1</v>
      </c>
      <c r="O189">
        <v>5060</v>
      </c>
      <c r="P189">
        <v>1</v>
      </c>
    </row>
    <row r="190" spans="1:16" x14ac:dyDescent="0.2">
      <c r="A190" s="3" t="s">
        <v>49</v>
      </c>
      <c r="B190" s="3" t="s">
        <v>52</v>
      </c>
      <c r="C190">
        <v>48</v>
      </c>
      <c r="D190">
        <v>19000</v>
      </c>
      <c r="E190">
        <v>499</v>
      </c>
      <c r="F190">
        <v>1</v>
      </c>
      <c r="G190">
        <v>19000</v>
      </c>
      <c r="H190">
        <v>1.002399E-3</v>
      </c>
      <c r="I190">
        <v>12032</v>
      </c>
      <c r="J190">
        <v>3025</v>
      </c>
      <c r="K190">
        <v>9007</v>
      </c>
      <c r="L190">
        <v>500</v>
      </c>
      <c r="M190">
        <v>499</v>
      </c>
      <c r="N190">
        <v>1</v>
      </c>
      <c r="O190">
        <v>6968</v>
      </c>
      <c r="P190">
        <v>1</v>
      </c>
    </row>
    <row r="191" spans="1:16" x14ac:dyDescent="0.2">
      <c r="A191" s="3" t="s">
        <v>49</v>
      </c>
      <c r="B191" s="3" t="s">
        <v>52</v>
      </c>
      <c r="C191">
        <v>48</v>
      </c>
      <c r="D191">
        <v>20000</v>
      </c>
      <c r="E191">
        <v>499</v>
      </c>
      <c r="F191">
        <v>1</v>
      </c>
      <c r="G191">
        <v>82302.7524576211</v>
      </c>
      <c r="H191">
        <v>1.0022989999999999E-3</v>
      </c>
      <c r="I191">
        <v>11953</v>
      </c>
      <c r="J191">
        <v>2981</v>
      </c>
      <c r="K191">
        <v>8972</v>
      </c>
      <c r="L191">
        <v>500</v>
      </c>
      <c r="M191">
        <v>499</v>
      </c>
      <c r="N191">
        <v>1</v>
      </c>
      <c r="O191">
        <v>33238.923371527999</v>
      </c>
      <c r="P191">
        <v>0</v>
      </c>
    </row>
    <row r="192" spans="1:16" x14ac:dyDescent="0.2">
      <c r="A192" s="3" t="s">
        <v>49</v>
      </c>
      <c r="B192" s="3" t="s">
        <v>52</v>
      </c>
      <c r="C192">
        <v>15</v>
      </c>
      <c r="D192">
        <v>16000</v>
      </c>
      <c r="E192">
        <v>499</v>
      </c>
      <c r="F192">
        <v>1</v>
      </c>
      <c r="G192">
        <v>16000</v>
      </c>
      <c r="H192">
        <v>1.002033E-3</v>
      </c>
      <c r="I192">
        <v>12019</v>
      </c>
      <c r="J192">
        <v>2934</v>
      </c>
      <c r="K192">
        <v>9085</v>
      </c>
      <c r="L192">
        <v>500</v>
      </c>
      <c r="M192">
        <v>499</v>
      </c>
      <c r="N192">
        <v>1</v>
      </c>
      <c r="O192">
        <v>3981</v>
      </c>
      <c r="P192">
        <v>1</v>
      </c>
    </row>
    <row r="193" spans="1:16" x14ac:dyDescent="0.2">
      <c r="A193" s="3" t="s">
        <v>49</v>
      </c>
      <c r="B193" s="3" t="s">
        <v>52</v>
      </c>
      <c r="C193">
        <v>30</v>
      </c>
      <c r="D193">
        <v>19000</v>
      </c>
      <c r="E193">
        <v>499</v>
      </c>
      <c r="F193">
        <v>1</v>
      </c>
      <c r="G193">
        <v>84218.384375429901</v>
      </c>
      <c r="H193">
        <v>1.001647E-3</v>
      </c>
      <c r="I193">
        <v>12003</v>
      </c>
      <c r="J193">
        <v>2886</v>
      </c>
      <c r="K193">
        <v>9117</v>
      </c>
      <c r="L193">
        <v>500</v>
      </c>
      <c r="M193">
        <v>499</v>
      </c>
      <c r="N193">
        <v>1</v>
      </c>
      <c r="O193">
        <v>31303.2240109501</v>
      </c>
      <c r="P193">
        <v>0</v>
      </c>
    </row>
    <row r="194" spans="1:16" x14ac:dyDescent="0.2">
      <c r="A194" s="3" t="s">
        <v>49</v>
      </c>
      <c r="B194" s="3" t="s">
        <v>52</v>
      </c>
      <c r="C194">
        <v>48</v>
      </c>
      <c r="D194">
        <v>18000</v>
      </c>
      <c r="E194">
        <v>499</v>
      </c>
      <c r="F194">
        <v>1</v>
      </c>
      <c r="G194">
        <v>75479.649376234796</v>
      </c>
      <c r="H194">
        <v>1.001519E-3</v>
      </c>
      <c r="I194">
        <v>11955</v>
      </c>
      <c r="J194">
        <v>2905</v>
      </c>
      <c r="K194">
        <v>9050</v>
      </c>
      <c r="L194">
        <v>500</v>
      </c>
      <c r="M194">
        <v>499</v>
      </c>
      <c r="N194">
        <v>1</v>
      </c>
      <c r="O194">
        <v>25705.801173316198</v>
      </c>
      <c r="P194">
        <v>0</v>
      </c>
    </row>
    <row r="195" spans="1:16" x14ac:dyDescent="0.2">
      <c r="A195" s="3" t="s">
        <v>49</v>
      </c>
      <c r="B195" s="3" t="s">
        <v>52</v>
      </c>
      <c r="C195">
        <v>30</v>
      </c>
      <c r="D195">
        <v>20000</v>
      </c>
      <c r="E195">
        <v>499</v>
      </c>
      <c r="F195">
        <v>1</v>
      </c>
      <c r="G195">
        <v>20000</v>
      </c>
      <c r="H195">
        <v>1.0014550000000001E-3</v>
      </c>
      <c r="I195">
        <v>11941</v>
      </c>
      <c r="J195">
        <v>2980</v>
      </c>
      <c r="K195">
        <v>8961</v>
      </c>
      <c r="L195">
        <v>500</v>
      </c>
      <c r="M195">
        <v>499</v>
      </c>
      <c r="N195">
        <v>1</v>
      </c>
      <c r="O195">
        <v>8059</v>
      </c>
      <c r="P195">
        <v>1</v>
      </c>
    </row>
    <row r="196" spans="1:16" x14ac:dyDescent="0.2">
      <c r="A196" s="3" t="s">
        <v>49</v>
      </c>
      <c r="B196" s="3" t="s">
        <v>52</v>
      </c>
      <c r="C196">
        <v>48</v>
      </c>
      <c r="D196">
        <v>10000</v>
      </c>
      <c r="E196">
        <v>499</v>
      </c>
      <c r="F196">
        <v>1</v>
      </c>
      <c r="G196">
        <v>39482.677260513999</v>
      </c>
      <c r="H196">
        <v>1.001198E-3</v>
      </c>
      <c r="I196">
        <v>10000</v>
      </c>
      <c r="J196">
        <v>2693</v>
      </c>
      <c r="K196">
        <v>7307</v>
      </c>
      <c r="L196">
        <v>500</v>
      </c>
      <c r="M196">
        <v>499</v>
      </c>
      <c r="N196">
        <v>1</v>
      </c>
      <c r="O196">
        <v>0</v>
      </c>
      <c r="P196">
        <v>0</v>
      </c>
    </row>
    <row r="197" spans="1:16" x14ac:dyDescent="0.2">
      <c r="A197" s="3" t="s">
        <v>49</v>
      </c>
      <c r="B197" s="3" t="s">
        <v>52</v>
      </c>
      <c r="C197">
        <v>17</v>
      </c>
      <c r="D197">
        <v>12000</v>
      </c>
      <c r="E197">
        <v>499</v>
      </c>
      <c r="F197">
        <v>1</v>
      </c>
      <c r="G197">
        <v>50533.323552418398</v>
      </c>
      <c r="H197">
        <v>1.0011250000000001E-3</v>
      </c>
      <c r="I197">
        <v>11880</v>
      </c>
      <c r="J197">
        <v>2784</v>
      </c>
      <c r="K197">
        <v>9096</v>
      </c>
      <c r="L197">
        <v>500</v>
      </c>
      <c r="M197">
        <v>499</v>
      </c>
      <c r="N197">
        <v>1</v>
      </c>
      <c r="O197">
        <v>543.37687076489999</v>
      </c>
      <c r="P197">
        <v>0</v>
      </c>
    </row>
    <row r="198" spans="1:16" x14ac:dyDescent="0.2">
      <c r="A198" s="3" t="s">
        <v>49</v>
      </c>
      <c r="B198" s="3" t="s">
        <v>52</v>
      </c>
      <c r="C198">
        <v>27</v>
      </c>
      <c r="D198">
        <v>20000</v>
      </c>
      <c r="E198">
        <v>499</v>
      </c>
      <c r="F198">
        <v>1</v>
      </c>
      <c r="G198">
        <v>20000</v>
      </c>
      <c r="H198">
        <v>1.00096E-3</v>
      </c>
      <c r="I198">
        <v>11967</v>
      </c>
      <c r="J198">
        <v>2978</v>
      </c>
      <c r="K198">
        <v>8989</v>
      </c>
      <c r="L198">
        <v>500</v>
      </c>
      <c r="M198">
        <v>499</v>
      </c>
      <c r="N198">
        <v>1</v>
      </c>
      <c r="O198">
        <v>8033</v>
      </c>
      <c r="P198">
        <v>1</v>
      </c>
    </row>
    <row r="199" spans="1:16" x14ac:dyDescent="0.2">
      <c r="A199" s="3" t="s">
        <v>49</v>
      </c>
      <c r="B199" s="3" t="s">
        <v>52</v>
      </c>
      <c r="C199">
        <v>49</v>
      </c>
      <c r="D199">
        <v>15000</v>
      </c>
      <c r="E199">
        <v>499</v>
      </c>
      <c r="F199">
        <v>1</v>
      </c>
      <c r="G199">
        <v>15000</v>
      </c>
      <c r="H199">
        <v>1.000758E-3</v>
      </c>
      <c r="I199">
        <v>11829</v>
      </c>
      <c r="J199">
        <v>2884</v>
      </c>
      <c r="K199">
        <v>8945</v>
      </c>
      <c r="L199">
        <v>500</v>
      </c>
      <c r="M199">
        <v>499</v>
      </c>
      <c r="N199">
        <v>1</v>
      </c>
      <c r="O199">
        <v>3171</v>
      </c>
      <c r="P199">
        <v>1</v>
      </c>
    </row>
    <row r="200" spans="1:16" x14ac:dyDescent="0.2">
      <c r="A200" s="3" t="s">
        <v>49</v>
      </c>
      <c r="B200" s="3" t="s">
        <v>52</v>
      </c>
      <c r="C200">
        <v>11</v>
      </c>
      <c r="D200">
        <v>18000</v>
      </c>
      <c r="E200">
        <v>499</v>
      </c>
      <c r="F200">
        <v>1</v>
      </c>
      <c r="G200">
        <v>18000</v>
      </c>
      <c r="H200">
        <v>1.0005839999999999E-3</v>
      </c>
      <c r="I200">
        <v>11966</v>
      </c>
      <c r="J200">
        <v>2933</v>
      </c>
      <c r="K200">
        <v>9033</v>
      </c>
      <c r="L200">
        <v>500</v>
      </c>
      <c r="M200">
        <v>499</v>
      </c>
      <c r="N200">
        <v>1</v>
      </c>
      <c r="O200">
        <v>6034</v>
      </c>
      <c r="P200">
        <v>1</v>
      </c>
    </row>
    <row r="201" spans="1:16" x14ac:dyDescent="0.2">
      <c r="A201" s="3" t="s">
        <v>49</v>
      </c>
      <c r="B201" s="3" t="s">
        <v>52</v>
      </c>
      <c r="C201">
        <v>48</v>
      </c>
      <c r="D201">
        <v>20000</v>
      </c>
      <c r="E201">
        <v>499</v>
      </c>
      <c r="F201">
        <v>1</v>
      </c>
      <c r="G201">
        <v>20000</v>
      </c>
      <c r="H201">
        <v>1.0005470000000001E-3</v>
      </c>
      <c r="I201">
        <v>11925</v>
      </c>
      <c r="J201">
        <v>2958</v>
      </c>
      <c r="K201">
        <v>8967</v>
      </c>
      <c r="L201">
        <v>500</v>
      </c>
      <c r="M201">
        <v>499</v>
      </c>
      <c r="N201">
        <v>1</v>
      </c>
      <c r="O201">
        <v>8075</v>
      </c>
      <c r="P201">
        <v>1</v>
      </c>
    </row>
    <row r="202" spans="1:16" x14ac:dyDescent="0.2">
      <c r="A202" s="3" t="s">
        <v>49</v>
      </c>
      <c r="B202" s="3" t="s">
        <v>52</v>
      </c>
      <c r="C202">
        <v>1</v>
      </c>
      <c r="D202">
        <v>19000</v>
      </c>
      <c r="E202">
        <v>499</v>
      </c>
      <c r="F202">
        <v>1</v>
      </c>
      <c r="G202">
        <v>84218.384375429901</v>
      </c>
      <c r="H202">
        <v>1.00052E-3</v>
      </c>
      <c r="I202">
        <v>12040</v>
      </c>
      <c r="J202">
        <v>3011</v>
      </c>
      <c r="K202">
        <v>9029</v>
      </c>
      <c r="L202">
        <v>500</v>
      </c>
      <c r="M202">
        <v>499</v>
      </c>
      <c r="N202">
        <v>1</v>
      </c>
      <c r="O202">
        <v>31154.063389540901</v>
      </c>
      <c r="P202">
        <v>0</v>
      </c>
    </row>
    <row r="203" spans="1:16" x14ac:dyDescent="0.2">
      <c r="A203" s="3" t="s">
        <v>49</v>
      </c>
      <c r="B203" s="3" t="s">
        <v>52</v>
      </c>
      <c r="C203">
        <v>39</v>
      </c>
      <c r="D203">
        <v>20000</v>
      </c>
      <c r="E203">
        <v>499</v>
      </c>
      <c r="F203">
        <v>1</v>
      </c>
      <c r="G203">
        <v>20000</v>
      </c>
      <c r="H203">
        <v>1.00052E-3</v>
      </c>
      <c r="I203">
        <v>11957</v>
      </c>
      <c r="J203">
        <v>2953</v>
      </c>
      <c r="K203">
        <v>9004</v>
      </c>
      <c r="L203">
        <v>500</v>
      </c>
      <c r="M203">
        <v>499</v>
      </c>
      <c r="N203">
        <v>1</v>
      </c>
      <c r="O203">
        <v>8043</v>
      </c>
      <c r="P203">
        <v>1</v>
      </c>
    </row>
    <row r="204" spans="1:16" x14ac:dyDescent="0.2">
      <c r="A204" s="3" t="s">
        <v>49</v>
      </c>
      <c r="B204" s="3" t="s">
        <v>52</v>
      </c>
      <c r="C204">
        <v>50</v>
      </c>
      <c r="D204">
        <v>18000</v>
      </c>
      <c r="E204">
        <v>499</v>
      </c>
      <c r="F204">
        <v>1</v>
      </c>
      <c r="G204">
        <v>18000</v>
      </c>
      <c r="H204">
        <v>9.9995100000000001E-4</v>
      </c>
      <c r="I204">
        <v>11978</v>
      </c>
      <c r="J204">
        <v>2940</v>
      </c>
      <c r="K204">
        <v>9038</v>
      </c>
      <c r="L204">
        <v>500</v>
      </c>
      <c r="M204">
        <v>499</v>
      </c>
      <c r="N204">
        <v>1</v>
      </c>
      <c r="O204">
        <v>6022</v>
      </c>
      <c r="P204">
        <v>1</v>
      </c>
    </row>
    <row r="205" spans="1:16" x14ac:dyDescent="0.2">
      <c r="A205" s="3" t="s">
        <v>49</v>
      </c>
      <c r="B205" s="3" t="s">
        <v>52</v>
      </c>
      <c r="C205">
        <v>27</v>
      </c>
      <c r="D205">
        <v>20000</v>
      </c>
      <c r="E205">
        <v>499</v>
      </c>
      <c r="F205">
        <v>1</v>
      </c>
      <c r="G205">
        <v>82302.7524576211</v>
      </c>
      <c r="H205">
        <v>9.9959399999999992E-4</v>
      </c>
      <c r="I205">
        <v>11950</v>
      </c>
      <c r="J205">
        <v>2980</v>
      </c>
      <c r="K205">
        <v>8970</v>
      </c>
      <c r="L205">
        <v>500</v>
      </c>
      <c r="M205">
        <v>499</v>
      </c>
      <c r="N205">
        <v>1</v>
      </c>
      <c r="O205">
        <v>33283.777187847401</v>
      </c>
      <c r="P205">
        <v>0</v>
      </c>
    </row>
    <row r="206" spans="1:16" x14ac:dyDescent="0.2">
      <c r="A206" s="3" t="s">
        <v>49</v>
      </c>
      <c r="B206" s="3" t="s">
        <v>52</v>
      </c>
      <c r="C206">
        <v>40</v>
      </c>
      <c r="D206">
        <v>18000</v>
      </c>
      <c r="E206">
        <v>499</v>
      </c>
      <c r="F206">
        <v>1</v>
      </c>
      <c r="G206">
        <v>18000</v>
      </c>
      <c r="H206">
        <v>9.9923700000000004E-4</v>
      </c>
      <c r="I206">
        <v>11954</v>
      </c>
      <c r="J206">
        <v>2894</v>
      </c>
      <c r="K206">
        <v>9060</v>
      </c>
      <c r="L206">
        <v>500</v>
      </c>
      <c r="M206">
        <v>499</v>
      </c>
      <c r="N206">
        <v>1</v>
      </c>
      <c r="O206">
        <v>6046</v>
      </c>
      <c r="P206">
        <v>1</v>
      </c>
    </row>
    <row r="207" spans="1:16" x14ac:dyDescent="0.2">
      <c r="A207" s="3" t="s">
        <v>49</v>
      </c>
      <c r="B207" s="3" t="s">
        <v>52</v>
      </c>
      <c r="C207">
        <v>22</v>
      </c>
      <c r="D207">
        <v>20000</v>
      </c>
      <c r="E207">
        <v>499</v>
      </c>
      <c r="F207">
        <v>1</v>
      </c>
      <c r="G207">
        <v>82302.7524576211</v>
      </c>
      <c r="H207">
        <v>9.9919099999999997E-4</v>
      </c>
      <c r="I207">
        <v>11925</v>
      </c>
      <c r="J207">
        <v>2944</v>
      </c>
      <c r="K207">
        <v>8981</v>
      </c>
      <c r="L207">
        <v>500</v>
      </c>
      <c r="M207">
        <v>499</v>
      </c>
      <c r="N207">
        <v>1</v>
      </c>
      <c r="O207">
        <v>33351.171778241704</v>
      </c>
      <c r="P207">
        <v>0</v>
      </c>
    </row>
    <row r="208" spans="1:16" x14ac:dyDescent="0.2">
      <c r="A208" s="3" t="s">
        <v>49</v>
      </c>
      <c r="B208" s="3" t="s">
        <v>52</v>
      </c>
      <c r="C208">
        <v>2</v>
      </c>
      <c r="D208">
        <v>19000</v>
      </c>
      <c r="E208">
        <v>499</v>
      </c>
      <c r="F208">
        <v>1</v>
      </c>
      <c r="G208">
        <v>84218.384375429901</v>
      </c>
      <c r="H208">
        <v>9.9890599999999993E-4</v>
      </c>
      <c r="I208">
        <v>12031</v>
      </c>
      <c r="J208">
        <v>2907</v>
      </c>
      <c r="K208">
        <v>9124</v>
      </c>
      <c r="L208">
        <v>500</v>
      </c>
      <c r="M208">
        <v>499</v>
      </c>
      <c r="N208">
        <v>1</v>
      </c>
      <c r="O208">
        <v>31228.215149257499</v>
      </c>
      <c r="P208">
        <v>0</v>
      </c>
    </row>
    <row r="209" spans="1:16" x14ac:dyDescent="0.2">
      <c r="A209" s="3" t="s">
        <v>49</v>
      </c>
      <c r="B209" s="3" t="s">
        <v>52</v>
      </c>
      <c r="C209">
        <v>15</v>
      </c>
      <c r="D209">
        <v>20000</v>
      </c>
      <c r="E209">
        <v>499</v>
      </c>
      <c r="F209">
        <v>1</v>
      </c>
      <c r="G209">
        <v>20000</v>
      </c>
      <c r="H209">
        <v>9.9879599999999993E-4</v>
      </c>
      <c r="I209">
        <v>11937</v>
      </c>
      <c r="J209">
        <v>2972</v>
      </c>
      <c r="K209">
        <v>8965</v>
      </c>
      <c r="L209">
        <v>500</v>
      </c>
      <c r="M209">
        <v>499</v>
      </c>
      <c r="N209">
        <v>1</v>
      </c>
      <c r="O209">
        <v>8063</v>
      </c>
      <c r="P209">
        <v>1</v>
      </c>
    </row>
    <row r="210" spans="1:16" x14ac:dyDescent="0.2">
      <c r="A210" s="3" t="s">
        <v>49</v>
      </c>
      <c r="B210" s="3" t="s">
        <v>52</v>
      </c>
      <c r="C210">
        <v>38</v>
      </c>
      <c r="D210">
        <v>16000</v>
      </c>
      <c r="E210">
        <v>499</v>
      </c>
      <c r="F210">
        <v>1</v>
      </c>
      <c r="G210">
        <v>16000</v>
      </c>
      <c r="H210">
        <v>9.9837499999999991E-4</v>
      </c>
      <c r="I210">
        <v>11972</v>
      </c>
      <c r="J210">
        <v>2893</v>
      </c>
      <c r="K210">
        <v>9079</v>
      </c>
      <c r="L210">
        <v>500</v>
      </c>
      <c r="M210">
        <v>499</v>
      </c>
      <c r="N210">
        <v>1</v>
      </c>
      <c r="O210">
        <v>4028</v>
      </c>
      <c r="P210">
        <v>1</v>
      </c>
    </row>
    <row r="211" spans="1:16" x14ac:dyDescent="0.2">
      <c r="A211" s="3" t="s">
        <v>49</v>
      </c>
      <c r="B211" s="3" t="s">
        <v>52</v>
      </c>
      <c r="C211">
        <v>33</v>
      </c>
      <c r="D211">
        <v>20000</v>
      </c>
      <c r="E211">
        <v>499</v>
      </c>
      <c r="F211">
        <v>1</v>
      </c>
      <c r="G211">
        <v>82302.7524576211</v>
      </c>
      <c r="H211">
        <v>9.9818299999999993E-4</v>
      </c>
      <c r="I211">
        <v>11954</v>
      </c>
      <c r="J211">
        <v>2940</v>
      </c>
      <c r="K211">
        <v>9014</v>
      </c>
      <c r="L211">
        <v>500</v>
      </c>
      <c r="M211">
        <v>499</v>
      </c>
      <c r="N211">
        <v>1</v>
      </c>
      <c r="O211">
        <v>33257.297444383097</v>
      </c>
      <c r="P211">
        <v>0</v>
      </c>
    </row>
    <row r="212" spans="1:16" x14ac:dyDescent="0.2">
      <c r="A212" s="3" t="s">
        <v>49</v>
      </c>
      <c r="B212" s="3" t="s">
        <v>52</v>
      </c>
      <c r="C212">
        <v>23</v>
      </c>
      <c r="D212">
        <v>20000</v>
      </c>
      <c r="E212">
        <v>499</v>
      </c>
      <c r="F212">
        <v>1</v>
      </c>
      <c r="G212">
        <v>82302.7524576211</v>
      </c>
      <c r="H212">
        <v>9.9805399999999996E-4</v>
      </c>
      <c r="I212">
        <v>11944</v>
      </c>
      <c r="J212">
        <v>3024</v>
      </c>
      <c r="K212">
        <v>8920</v>
      </c>
      <c r="L212">
        <v>500</v>
      </c>
      <c r="M212">
        <v>499</v>
      </c>
      <c r="N212">
        <v>1</v>
      </c>
      <c r="O212">
        <v>33284.749907136102</v>
      </c>
      <c r="P212">
        <v>0</v>
      </c>
    </row>
    <row r="213" spans="1:16" x14ac:dyDescent="0.2">
      <c r="A213" s="3" t="s">
        <v>49</v>
      </c>
      <c r="B213" s="3" t="s">
        <v>52</v>
      </c>
      <c r="C213">
        <v>39</v>
      </c>
      <c r="D213">
        <v>16000</v>
      </c>
      <c r="E213">
        <v>499</v>
      </c>
      <c r="F213">
        <v>1</v>
      </c>
      <c r="G213">
        <v>16000</v>
      </c>
      <c r="H213">
        <v>9.9804499999999992E-4</v>
      </c>
      <c r="I213">
        <v>12019</v>
      </c>
      <c r="J213">
        <v>2934</v>
      </c>
      <c r="K213">
        <v>9085</v>
      </c>
      <c r="L213">
        <v>500</v>
      </c>
      <c r="M213">
        <v>499</v>
      </c>
      <c r="N213">
        <v>1</v>
      </c>
      <c r="O213">
        <v>3981</v>
      </c>
      <c r="P213">
        <v>1</v>
      </c>
    </row>
    <row r="214" spans="1:16" x14ac:dyDescent="0.2">
      <c r="A214" s="3" t="s">
        <v>49</v>
      </c>
      <c r="B214" s="3" t="s">
        <v>52</v>
      </c>
      <c r="C214">
        <v>45</v>
      </c>
      <c r="D214">
        <v>20000</v>
      </c>
      <c r="E214">
        <v>499</v>
      </c>
      <c r="F214">
        <v>1</v>
      </c>
      <c r="G214">
        <v>20000</v>
      </c>
      <c r="H214">
        <v>9.9800900000000001E-4</v>
      </c>
      <c r="I214">
        <v>11937</v>
      </c>
      <c r="J214">
        <v>2952</v>
      </c>
      <c r="K214">
        <v>8985</v>
      </c>
      <c r="L214">
        <v>500</v>
      </c>
      <c r="M214">
        <v>499</v>
      </c>
      <c r="N214">
        <v>1</v>
      </c>
      <c r="O214">
        <v>8063</v>
      </c>
      <c r="P214">
        <v>1</v>
      </c>
    </row>
    <row r="215" spans="1:16" x14ac:dyDescent="0.2">
      <c r="A215" s="3" t="s">
        <v>49</v>
      </c>
      <c r="B215" s="3" t="s">
        <v>52</v>
      </c>
      <c r="C215">
        <v>35</v>
      </c>
      <c r="D215">
        <v>19000</v>
      </c>
      <c r="E215">
        <v>499</v>
      </c>
      <c r="F215">
        <v>1</v>
      </c>
      <c r="G215">
        <v>84218.384375429901</v>
      </c>
      <c r="H215">
        <v>9.9799000000000003E-4</v>
      </c>
      <c r="I215">
        <v>12021</v>
      </c>
      <c r="J215">
        <v>2964</v>
      </c>
      <c r="K215">
        <v>9057</v>
      </c>
      <c r="L215">
        <v>500</v>
      </c>
      <c r="M215">
        <v>499</v>
      </c>
      <c r="N215">
        <v>1</v>
      </c>
      <c r="O215">
        <v>31227.2454797549</v>
      </c>
      <c r="P215">
        <v>0</v>
      </c>
    </row>
    <row r="216" spans="1:16" x14ac:dyDescent="0.2">
      <c r="A216" s="3" t="s">
        <v>49</v>
      </c>
      <c r="B216" s="3" t="s">
        <v>52</v>
      </c>
      <c r="C216">
        <v>45</v>
      </c>
      <c r="D216">
        <v>19000</v>
      </c>
      <c r="E216">
        <v>499</v>
      </c>
      <c r="F216">
        <v>1</v>
      </c>
      <c r="G216">
        <v>84218.384375429901</v>
      </c>
      <c r="H216">
        <v>9.9786100000000006E-4</v>
      </c>
      <c r="I216">
        <v>12031</v>
      </c>
      <c r="J216">
        <v>2954</v>
      </c>
      <c r="K216">
        <v>9077</v>
      </c>
      <c r="L216">
        <v>500</v>
      </c>
      <c r="M216">
        <v>499</v>
      </c>
      <c r="N216">
        <v>1</v>
      </c>
      <c r="O216">
        <v>31188.699423027701</v>
      </c>
      <c r="P216">
        <v>0</v>
      </c>
    </row>
    <row r="217" spans="1:16" x14ac:dyDescent="0.2">
      <c r="A217" s="3" t="s">
        <v>49</v>
      </c>
      <c r="B217" s="3" t="s">
        <v>52</v>
      </c>
      <c r="C217">
        <v>8</v>
      </c>
      <c r="D217">
        <v>12000</v>
      </c>
      <c r="E217">
        <v>499</v>
      </c>
      <c r="F217">
        <v>1</v>
      </c>
      <c r="G217">
        <v>12000</v>
      </c>
      <c r="H217">
        <v>9.96762E-4</v>
      </c>
      <c r="I217">
        <v>11854</v>
      </c>
      <c r="J217">
        <v>2746</v>
      </c>
      <c r="K217">
        <v>9108</v>
      </c>
      <c r="L217">
        <v>500</v>
      </c>
      <c r="M217">
        <v>499</v>
      </c>
      <c r="N217">
        <v>1</v>
      </c>
      <c r="O217">
        <v>146</v>
      </c>
      <c r="P217">
        <v>1</v>
      </c>
    </row>
    <row r="218" spans="1:16" x14ac:dyDescent="0.2">
      <c r="A218" s="3" t="s">
        <v>49</v>
      </c>
      <c r="B218" s="3" t="s">
        <v>52</v>
      </c>
      <c r="C218">
        <v>34</v>
      </c>
      <c r="D218">
        <v>20000</v>
      </c>
      <c r="E218">
        <v>499</v>
      </c>
      <c r="F218">
        <v>1</v>
      </c>
      <c r="G218">
        <v>82302.7524576211</v>
      </c>
      <c r="H218">
        <v>9.9646900000000004E-4</v>
      </c>
      <c r="I218">
        <v>11957</v>
      </c>
      <c r="J218">
        <v>2947</v>
      </c>
      <c r="K218">
        <v>9010</v>
      </c>
      <c r="L218">
        <v>500</v>
      </c>
      <c r="M218">
        <v>499</v>
      </c>
      <c r="N218">
        <v>1</v>
      </c>
      <c r="O218">
        <v>33238.356744064797</v>
      </c>
      <c r="P218">
        <v>0</v>
      </c>
    </row>
    <row r="219" spans="1:16" x14ac:dyDescent="0.2">
      <c r="A219" s="3" t="s">
        <v>49</v>
      </c>
      <c r="B219" s="3" t="s">
        <v>52</v>
      </c>
      <c r="C219">
        <v>3</v>
      </c>
      <c r="D219">
        <v>15000</v>
      </c>
      <c r="E219">
        <v>499</v>
      </c>
      <c r="F219">
        <v>1</v>
      </c>
      <c r="G219">
        <v>15000</v>
      </c>
      <c r="H219">
        <v>9.9642200000000006E-4</v>
      </c>
      <c r="I219">
        <v>11884</v>
      </c>
      <c r="J219">
        <v>2933</v>
      </c>
      <c r="K219">
        <v>8951</v>
      </c>
      <c r="L219">
        <v>500</v>
      </c>
      <c r="M219">
        <v>499</v>
      </c>
      <c r="N219">
        <v>1</v>
      </c>
      <c r="O219">
        <v>3116</v>
      </c>
      <c r="P219">
        <v>1</v>
      </c>
    </row>
    <row r="220" spans="1:16" x14ac:dyDescent="0.2">
      <c r="A220" s="3" t="s">
        <v>49</v>
      </c>
      <c r="B220" s="3" t="s">
        <v>52</v>
      </c>
      <c r="C220">
        <v>32</v>
      </c>
      <c r="D220">
        <v>19000</v>
      </c>
      <c r="E220">
        <v>499</v>
      </c>
      <c r="F220">
        <v>1</v>
      </c>
      <c r="G220">
        <v>19000</v>
      </c>
      <c r="H220">
        <v>9.9620200000000007E-4</v>
      </c>
      <c r="I220">
        <v>12007</v>
      </c>
      <c r="J220">
        <v>2960</v>
      </c>
      <c r="K220">
        <v>9047</v>
      </c>
      <c r="L220">
        <v>500</v>
      </c>
      <c r="M220">
        <v>499</v>
      </c>
      <c r="N220">
        <v>1</v>
      </c>
      <c r="O220">
        <v>6993</v>
      </c>
      <c r="P220">
        <v>1</v>
      </c>
    </row>
    <row r="221" spans="1:16" x14ac:dyDescent="0.2">
      <c r="A221" s="3" t="s">
        <v>49</v>
      </c>
      <c r="B221" s="3" t="s">
        <v>52</v>
      </c>
      <c r="C221">
        <v>6</v>
      </c>
      <c r="D221">
        <v>16000</v>
      </c>
      <c r="E221">
        <v>499</v>
      </c>
      <c r="F221">
        <v>1</v>
      </c>
      <c r="G221">
        <v>64781.839036288002</v>
      </c>
      <c r="H221">
        <v>9.960469999999999E-4</v>
      </c>
      <c r="I221">
        <v>12014</v>
      </c>
      <c r="J221">
        <v>2939</v>
      </c>
      <c r="K221">
        <v>9075</v>
      </c>
      <c r="L221">
        <v>500</v>
      </c>
      <c r="M221">
        <v>499</v>
      </c>
      <c r="N221">
        <v>1</v>
      </c>
      <c r="O221">
        <v>16218.872522453799</v>
      </c>
      <c r="P221">
        <v>0</v>
      </c>
    </row>
    <row r="222" spans="1:16" x14ac:dyDescent="0.2">
      <c r="A222" s="3" t="s">
        <v>49</v>
      </c>
      <c r="B222" s="3" t="s">
        <v>52</v>
      </c>
      <c r="C222">
        <v>1</v>
      </c>
      <c r="D222">
        <v>17000</v>
      </c>
      <c r="E222">
        <v>499</v>
      </c>
      <c r="F222">
        <v>1</v>
      </c>
      <c r="G222">
        <v>17000</v>
      </c>
      <c r="H222">
        <v>9.9567100000000006E-4</v>
      </c>
      <c r="I222">
        <v>11965</v>
      </c>
      <c r="J222">
        <v>2914</v>
      </c>
      <c r="K222">
        <v>9051</v>
      </c>
      <c r="L222">
        <v>500</v>
      </c>
      <c r="M222">
        <v>499</v>
      </c>
      <c r="N222">
        <v>1</v>
      </c>
      <c r="O222">
        <v>5035</v>
      </c>
      <c r="P222">
        <v>1</v>
      </c>
    </row>
    <row r="223" spans="1:16" x14ac:dyDescent="0.2">
      <c r="A223" s="3" t="s">
        <v>49</v>
      </c>
      <c r="B223" s="3" t="s">
        <v>52</v>
      </c>
      <c r="C223">
        <v>16</v>
      </c>
      <c r="D223">
        <v>19000</v>
      </c>
      <c r="E223">
        <v>499</v>
      </c>
      <c r="F223">
        <v>1</v>
      </c>
      <c r="G223">
        <v>84218.384375429901</v>
      </c>
      <c r="H223">
        <v>9.9566200000000002E-4</v>
      </c>
      <c r="I223">
        <v>12030</v>
      </c>
      <c r="J223">
        <v>2957</v>
      </c>
      <c r="K223">
        <v>9073</v>
      </c>
      <c r="L223">
        <v>500</v>
      </c>
      <c r="M223">
        <v>499</v>
      </c>
      <c r="N223">
        <v>1</v>
      </c>
      <c r="O223">
        <v>31214.1091691121</v>
      </c>
      <c r="P223">
        <v>0</v>
      </c>
    </row>
    <row r="224" spans="1:16" x14ac:dyDescent="0.2">
      <c r="A224" s="3" t="s">
        <v>49</v>
      </c>
      <c r="B224" s="3" t="s">
        <v>52</v>
      </c>
      <c r="C224">
        <v>41</v>
      </c>
      <c r="D224">
        <v>16000</v>
      </c>
      <c r="E224">
        <v>499</v>
      </c>
      <c r="F224">
        <v>1</v>
      </c>
      <c r="G224">
        <v>16000</v>
      </c>
      <c r="H224">
        <v>9.9561500000000004E-4</v>
      </c>
      <c r="I224">
        <v>12013</v>
      </c>
      <c r="J224">
        <v>2919</v>
      </c>
      <c r="K224">
        <v>9094</v>
      </c>
      <c r="L224">
        <v>500</v>
      </c>
      <c r="M224">
        <v>499</v>
      </c>
      <c r="N224">
        <v>1</v>
      </c>
      <c r="O224">
        <v>3987</v>
      </c>
      <c r="P224">
        <v>1</v>
      </c>
    </row>
    <row r="225" spans="1:16" x14ac:dyDescent="0.2">
      <c r="A225" s="3" t="s">
        <v>49</v>
      </c>
      <c r="B225" s="3" t="s">
        <v>52</v>
      </c>
      <c r="C225">
        <v>19</v>
      </c>
      <c r="D225">
        <v>19000</v>
      </c>
      <c r="E225">
        <v>499</v>
      </c>
      <c r="F225">
        <v>1</v>
      </c>
      <c r="G225">
        <v>84218.384375429901</v>
      </c>
      <c r="H225">
        <v>9.9558799999999994E-4</v>
      </c>
      <c r="I225">
        <v>12025</v>
      </c>
      <c r="J225">
        <v>2949</v>
      </c>
      <c r="K225">
        <v>9076</v>
      </c>
      <c r="L225">
        <v>500</v>
      </c>
      <c r="M225">
        <v>499</v>
      </c>
      <c r="N225">
        <v>1</v>
      </c>
      <c r="O225">
        <v>31213.0353615532</v>
      </c>
      <c r="P225">
        <v>0</v>
      </c>
    </row>
    <row r="226" spans="1:16" x14ac:dyDescent="0.2">
      <c r="A226" s="3" t="s">
        <v>49</v>
      </c>
      <c r="B226" s="3" t="s">
        <v>52</v>
      </c>
      <c r="C226">
        <v>7</v>
      </c>
      <c r="D226">
        <v>19000</v>
      </c>
      <c r="E226">
        <v>499</v>
      </c>
      <c r="F226">
        <v>1</v>
      </c>
      <c r="G226">
        <v>19000</v>
      </c>
      <c r="H226">
        <v>9.9549600000000001E-4</v>
      </c>
      <c r="I226">
        <v>12001</v>
      </c>
      <c r="J226">
        <v>2926</v>
      </c>
      <c r="K226">
        <v>9075</v>
      </c>
      <c r="L226">
        <v>500</v>
      </c>
      <c r="M226">
        <v>499</v>
      </c>
      <c r="N226">
        <v>1</v>
      </c>
      <c r="O226">
        <v>6999</v>
      </c>
      <c r="P226">
        <v>1</v>
      </c>
    </row>
    <row r="227" spans="1:16" x14ac:dyDescent="0.2">
      <c r="A227" s="3" t="s">
        <v>49</v>
      </c>
      <c r="B227" s="3" t="s">
        <v>52</v>
      </c>
      <c r="C227">
        <v>42</v>
      </c>
      <c r="D227">
        <v>20000</v>
      </c>
      <c r="E227">
        <v>499</v>
      </c>
      <c r="F227">
        <v>1</v>
      </c>
      <c r="G227">
        <v>82302.7524576211</v>
      </c>
      <c r="H227">
        <v>9.9465300000000007E-4</v>
      </c>
      <c r="I227">
        <v>11978</v>
      </c>
      <c r="J227">
        <v>2952</v>
      </c>
      <c r="K227">
        <v>9026</v>
      </c>
      <c r="L227">
        <v>500</v>
      </c>
      <c r="M227">
        <v>499</v>
      </c>
      <c r="N227">
        <v>1</v>
      </c>
      <c r="O227">
        <v>33180.8001321099</v>
      </c>
      <c r="P227">
        <v>0</v>
      </c>
    </row>
    <row r="228" spans="1:16" x14ac:dyDescent="0.2">
      <c r="A228" s="3" t="s">
        <v>49</v>
      </c>
      <c r="B228" s="3" t="s">
        <v>52</v>
      </c>
      <c r="C228">
        <v>49</v>
      </c>
      <c r="D228">
        <v>17000</v>
      </c>
      <c r="E228">
        <v>499</v>
      </c>
      <c r="F228">
        <v>1</v>
      </c>
      <c r="G228">
        <v>17000</v>
      </c>
      <c r="H228">
        <v>9.9435100000000009E-4</v>
      </c>
      <c r="I228">
        <v>11919</v>
      </c>
      <c r="J228">
        <v>2918</v>
      </c>
      <c r="K228">
        <v>9001</v>
      </c>
      <c r="L228">
        <v>500</v>
      </c>
      <c r="M228">
        <v>499</v>
      </c>
      <c r="N228">
        <v>1</v>
      </c>
      <c r="O228">
        <v>5081</v>
      </c>
      <c r="P228">
        <v>1</v>
      </c>
    </row>
    <row r="229" spans="1:16" x14ac:dyDescent="0.2">
      <c r="A229" s="3" t="s">
        <v>49</v>
      </c>
      <c r="B229" s="3" t="s">
        <v>52</v>
      </c>
      <c r="C229">
        <v>11</v>
      </c>
      <c r="D229">
        <v>20000</v>
      </c>
      <c r="E229">
        <v>499</v>
      </c>
      <c r="F229">
        <v>1</v>
      </c>
      <c r="G229">
        <v>82302.7524576211</v>
      </c>
      <c r="H229">
        <v>9.9404799999999998E-4</v>
      </c>
      <c r="I229">
        <v>11936</v>
      </c>
      <c r="J229">
        <v>2950</v>
      </c>
      <c r="K229">
        <v>8986</v>
      </c>
      <c r="L229">
        <v>500</v>
      </c>
      <c r="M229">
        <v>499</v>
      </c>
      <c r="N229">
        <v>1</v>
      </c>
      <c r="O229">
        <v>33306.294721140599</v>
      </c>
      <c r="P229">
        <v>0</v>
      </c>
    </row>
    <row r="230" spans="1:16" x14ac:dyDescent="0.2">
      <c r="A230" s="3" t="s">
        <v>49</v>
      </c>
      <c r="B230" s="3" t="s">
        <v>52</v>
      </c>
      <c r="C230">
        <v>27</v>
      </c>
      <c r="D230">
        <v>19000</v>
      </c>
      <c r="E230">
        <v>499</v>
      </c>
      <c r="F230">
        <v>1</v>
      </c>
      <c r="G230">
        <v>19000</v>
      </c>
      <c r="H230">
        <v>9.9384699999999996E-4</v>
      </c>
      <c r="I230">
        <v>12019</v>
      </c>
      <c r="J230">
        <v>2921</v>
      </c>
      <c r="K230">
        <v>9098</v>
      </c>
      <c r="L230">
        <v>500</v>
      </c>
      <c r="M230">
        <v>499</v>
      </c>
      <c r="N230">
        <v>1</v>
      </c>
      <c r="O230">
        <v>6981</v>
      </c>
      <c r="P230">
        <v>1</v>
      </c>
    </row>
    <row r="231" spans="1:16" x14ac:dyDescent="0.2">
      <c r="A231" s="3" t="s">
        <v>49</v>
      </c>
      <c r="B231" s="3" t="s">
        <v>52</v>
      </c>
      <c r="C231">
        <v>8</v>
      </c>
      <c r="D231">
        <v>19000</v>
      </c>
      <c r="E231">
        <v>499</v>
      </c>
      <c r="F231">
        <v>1</v>
      </c>
      <c r="G231">
        <v>84218.384375429901</v>
      </c>
      <c r="H231">
        <v>9.935530000000001E-4</v>
      </c>
      <c r="I231">
        <v>12013</v>
      </c>
      <c r="J231">
        <v>2912</v>
      </c>
      <c r="K231">
        <v>9101</v>
      </c>
      <c r="L231">
        <v>500</v>
      </c>
      <c r="M231">
        <v>499</v>
      </c>
      <c r="N231">
        <v>1</v>
      </c>
      <c r="O231">
        <v>31284.394185829398</v>
      </c>
      <c r="P231">
        <v>0</v>
      </c>
    </row>
    <row r="232" spans="1:16" x14ac:dyDescent="0.2">
      <c r="A232" s="3" t="s">
        <v>49</v>
      </c>
      <c r="B232" s="3" t="s">
        <v>52</v>
      </c>
      <c r="C232">
        <v>29</v>
      </c>
      <c r="D232">
        <v>20000</v>
      </c>
      <c r="E232">
        <v>499</v>
      </c>
      <c r="F232">
        <v>1</v>
      </c>
      <c r="G232">
        <v>82302.7524576211</v>
      </c>
      <c r="H232">
        <v>9.93388E-4</v>
      </c>
      <c r="I232">
        <v>11973</v>
      </c>
      <c r="J232">
        <v>3012</v>
      </c>
      <c r="K232">
        <v>8961</v>
      </c>
      <c r="L232">
        <v>500</v>
      </c>
      <c r="M232">
        <v>499</v>
      </c>
      <c r="N232">
        <v>1</v>
      </c>
      <c r="O232">
        <v>33190.978429743198</v>
      </c>
      <c r="P232">
        <v>0</v>
      </c>
    </row>
    <row r="233" spans="1:16" x14ac:dyDescent="0.2">
      <c r="A233" s="3" t="s">
        <v>49</v>
      </c>
      <c r="B233" s="3" t="s">
        <v>52</v>
      </c>
      <c r="C233">
        <v>22</v>
      </c>
      <c r="D233">
        <v>19000</v>
      </c>
      <c r="E233">
        <v>499</v>
      </c>
      <c r="F233">
        <v>1</v>
      </c>
      <c r="G233">
        <v>19000</v>
      </c>
      <c r="H233">
        <v>9.9332400000000007E-4</v>
      </c>
      <c r="I233">
        <v>12039</v>
      </c>
      <c r="J233">
        <v>2970</v>
      </c>
      <c r="K233">
        <v>9069</v>
      </c>
      <c r="L233">
        <v>500</v>
      </c>
      <c r="M233">
        <v>499</v>
      </c>
      <c r="N233">
        <v>1</v>
      </c>
      <c r="O233">
        <v>6961</v>
      </c>
      <c r="P233">
        <v>1</v>
      </c>
    </row>
    <row r="234" spans="1:16" x14ac:dyDescent="0.2">
      <c r="A234" s="3" t="s">
        <v>49</v>
      </c>
      <c r="B234" s="3" t="s">
        <v>52</v>
      </c>
      <c r="C234">
        <v>24</v>
      </c>
      <c r="D234">
        <v>19000</v>
      </c>
      <c r="E234">
        <v>499</v>
      </c>
      <c r="F234">
        <v>1</v>
      </c>
      <c r="G234">
        <v>19000</v>
      </c>
      <c r="H234">
        <v>9.9309500000000005E-4</v>
      </c>
      <c r="I234">
        <v>12007</v>
      </c>
      <c r="J234">
        <v>2930</v>
      </c>
      <c r="K234">
        <v>9077</v>
      </c>
      <c r="L234">
        <v>500</v>
      </c>
      <c r="M234">
        <v>499</v>
      </c>
      <c r="N234">
        <v>1</v>
      </c>
      <c r="O234">
        <v>6993</v>
      </c>
      <c r="P234">
        <v>1</v>
      </c>
    </row>
    <row r="235" spans="1:16" x14ac:dyDescent="0.2">
      <c r="A235" s="3" t="s">
        <v>49</v>
      </c>
      <c r="B235" s="3" t="s">
        <v>52</v>
      </c>
      <c r="C235">
        <v>28</v>
      </c>
      <c r="D235">
        <v>19000</v>
      </c>
      <c r="E235">
        <v>499</v>
      </c>
      <c r="F235">
        <v>1</v>
      </c>
      <c r="G235">
        <v>19000</v>
      </c>
      <c r="H235">
        <v>9.9309500000000005E-4</v>
      </c>
      <c r="I235">
        <v>12054</v>
      </c>
      <c r="J235">
        <v>2969</v>
      </c>
      <c r="K235">
        <v>9085</v>
      </c>
      <c r="L235">
        <v>500</v>
      </c>
      <c r="M235">
        <v>499</v>
      </c>
      <c r="N235">
        <v>1</v>
      </c>
      <c r="O235">
        <v>6946</v>
      </c>
      <c r="P235">
        <v>1</v>
      </c>
    </row>
    <row r="236" spans="1:16" x14ac:dyDescent="0.2">
      <c r="A236" s="3" t="s">
        <v>49</v>
      </c>
      <c r="B236" s="3" t="s">
        <v>52</v>
      </c>
      <c r="C236">
        <v>44</v>
      </c>
      <c r="D236">
        <v>19000</v>
      </c>
      <c r="E236">
        <v>499</v>
      </c>
      <c r="F236">
        <v>1</v>
      </c>
      <c r="G236">
        <v>84218.384375429901</v>
      </c>
      <c r="H236">
        <v>9.9303999999999994E-4</v>
      </c>
      <c r="I236">
        <v>12040</v>
      </c>
      <c r="J236">
        <v>2958</v>
      </c>
      <c r="K236">
        <v>9082</v>
      </c>
      <c r="L236">
        <v>500</v>
      </c>
      <c r="M236">
        <v>499</v>
      </c>
      <c r="N236">
        <v>1</v>
      </c>
      <c r="O236">
        <v>31225.197623665801</v>
      </c>
      <c r="P236">
        <v>0</v>
      </c>
    </row>
    <row r="237" spans="1:16" x14ac:dyDescent="0.2">
      <c r="A237" s="3" t="s">
        <v>49</v>
      </c>
      <c r="B237" s="3" t="s">
        <v>52</v>
      </c>
      <c r="C237">
        <v>49</v>
      </c>
      <c r="D237">
        <v>20000</v>
      </c>
      <c r="E237">
        <v>499</v>
      </c>
      <c r="F237">
        <v>1</v>
      </c>
      <c r="G237">
        <v>20000</v>
      </c>
      <c r="H237">
        <v>9.9303099999999991E-4</v>
      </c>
      <c r="I237">
        <v>11985</v>
      </c>
      <c r="J237">
        <v>2972</v>
      </c>
      <c r="K237">
        <v>9013</v>
      </c>
      <c r="L237">
        <v>500</v>
      </c>
      <c r="M237">
        <v>499</v>
      </c>
      <c r="N237">
        <v>1</v>
      </c>
      <c r="O237">
        <v>8015</v>
      </c>
      <c r="P237">
        <v>1</v>
      </c>
    </row>
    <row r="238" spans="1:16" x14ac:dyDescent="0.2">
      <c r="A238" s="3" t="s">
        <v>49</v>
      </c>
      <c r="B238" s="3" t="s">
        <v>52</v>
      </c>
      <c r="C238">
        <v>47</v>
      </c>
      <c r="D238">
        <v>19000</v>
      </c>
      <c r="E238">
        <v>499</v>
      </c>
      <c r="F238">
        <v>1</v>
      </c>
      <c r="G238">
        <v>19000</v>
      </c>
      <c r="H238">
        <v>9.9281999999999994E-4</v>
      </c>
      <c r="I238">
        <v>12031</v>
      </c>
      <c r="J238">
        <v>2947</v>
      </c>
      <c r="K238">
        <v>9084</v>
      </c>
      <c r="L238">
        <v>500</v>
      </c>
      <c r="M238">
        <v>499</v>
      </c>
      <c r="N238">
        <v>1</v>
      </c>
      <c r="O238">
        <v>6969</v>
      </c>
      <c r="P238">
        <v>1</v>
      </c>
    </row>
    <row r="239" spans="1:16" x14ac:dyDescent="0.2">
      <c r="A239" s="3" t="s">
        <v>49</v>
      </c>
      <c r="B239" s="3" t="s">
        <v>52</v>
      </c>
      <c r="C239">
        <v>31</v>
      </c>
      <c r="D239">
        <v>20000</v>
      </c>
      <c r="E239">
        <v>499</v>
      </c>
      <c r="F239">
        <v>1</v>
      </c>
      <c r="G239">
        <v>82302.7524576211</v>
      </c>
      <c r="H239">
        <v>9.9274699999999999E-4</v>
      </c>
      <c r="I239">
        <v>11972</v>
      </c>
      <c r="J239">
        <v>2979</v>
      </c>
      <c r="K239">
        <v>8993</v>
      </c>
      <c r="L239">
        <v>500</v>
      </c>
      <c r="M239">
        <v>499</v>
      </c>
      <c r="N239">
        <v>1</v>
      </c>
      <c r="O239">
        <v>33182.599539467898</v>
      </c>
      <c r="P239">
        <v>0</v>
      </c>
    </row>
    <row r="240" spans="1:16" x14ac:dyDescent="0.2">
      <c r="A240" s="3" t="s">
        <v>49</v>
      </c>
      <c r="B240" s="3" t="s">
        <v>52</v>
      </c>
      <c r="C240">
        <v>48</v>
      </c>
      <c r="D240">
        <v>18000</v>
      </c>
      <c r="E240">
        <v>499</v>
      </c>
      <c r="F240">
        <v>1</v>
      </c>
      <c r="G240">
        <v>18000</v>
      </c>
      <c r="H240">
        <v>9.9249899999999999E-4</v>
      </c>
      <c r="I240">
        <v>11946</v>
      </c>
      <c r="J240">
        <v>2934</v>
      </c>
      <c r="K240">
        <v>9012</v>
      </c>
      <c r="L240">
        <v>500</v>
      </c>
      <c r="M240">
        <v>499</v>
      </c>
      <c r="N240">
        <v>1</v>
      </c>
      <c r="O240">
        <v>6054</v>
      </c>
      <c r="P240">
        <v>1</v>
      </c>
    </row>
    <row r="241" spans="1:16" x14ac:dyDescent="0.2">
      <c r="A241" s="3" t="s">
        <v>49</v>
      </c>
      <c r="B241" s="3" t="s">
        <v>52</v>
      </c>
      <c r="C241">
        <v>12</v>
      </c>
      <c r="D241">
        <v>19000</v>
      </c>
      <c r="E241">
        <v>499</v>
      </c>
      <c r="F241">
        <v>1</v>
      </c>
      <c r="G241">
        <v>19000</v>
      </c>
      <c r="H241">
        <v>9.9242600000000003E-4</v>
      </c>
      <c r="I241">
        <v>12022</v>
      </c>
      <c r="J241">
        <v>2940</v>
      </c>
      <c r="K241">
        <v>9082</v>
      </c>
      <c r="L241">
        <v>500</v>
      </c>
      <c r="M241">
        <v>499</v>
      </c>
      <c r="N241">
        <v>1</v>
      </c>
      <c r="O241">
        <v>6978</v>
      </c>
      <c r="P241">
        <v>1</v>
      </c>
    </row>
    <row r="242" spans="1:16" x14ac:dyDescent="0.2">
      <c r="A242" s="3" t="s">
        <v>49</v>
      </c>
      <c r="B242" s="3" t="s">
        <v>52</v>
      </c>
      <c r="C242">
        <v>25</v>
      </c>
      <c r="D242">
        <v>19000</v>
      </c>
      <c r="E242">
        <v>499</v>
      </c>
      <c r="F242">
        <v>1</v>
      </c>
      <c r="G242">
        <v>84218.384375429901</v>
      </c>
      <c r="H242">
        <v>9.9210500000000007E-4</v>
      </c>
      <c r="I242">
        <v>12041</v>
      </c>
      <c r="J242">
        <v>2994</v>
      </c>
      <c r="K242">
        <v>9047</v>
      </c>
      <c r="L242">
        <v>500</v>
      </c>
      <c r="M242">
        <v>499</v>
      </c>
      <c r="N242">
        <v>1</v>
      </c>
      <c r="O242">
        <v>31139.848665805101</v>
      </c>
      <c r="P242">
        <v>0</v>
      </c>
    </row>
    <row r="243" spans="1:16" x14ac:dyDescent="0.2">
      <c r="A243" s="3" t="s">
        <v>49</v>
      </c>
      <c r="B243" s="3" t="s">
        <v>52</v>
      </c>
      <c r="C243">
        <v>40</v>
      </c>
      <c r="D243">
        <v>20000</v>
      </c>
      <c r="E243">
        <v>499</v>
      </c>
      <c r="F243">
        <v>1</v>
      </c>
      <c r="G243">
        <v>20000</v>
      </c>
      <c r="H243">
        <v>9.9171099999999994E-4</v>
      </c>
      <c r="I243">
        <v>11913</v>
      </c>
      <c r="J243">
        <v>2955</v>
      </c>
      <c r="K243">
        <v>8958</v>
      </c>
      <c r="L243">
        <v>500</v>
      </c>
      <c r="M243">
        <v>499</v>
      </c>
      <c r="N243">
        <v>1</v>
      </c>
      <c r="O243">
        <v>8087</v>
      </c>
      <c r="P243">
        <v>1</v>
      </c>
    </row>
    <row r="244" spans="1:16" x14ac:dyDescent="0.2">
      <c r="A244" s="3" t="s">
        <v>49</v>
      </c>
      <c r="B244" s="3" t="s">
        <v>52</v>
      </c>
      <c r="C244">
        <v>39</v>
      </c>
      <c r="D244">
        <v>20000</v>
      </c>
      <c r="E244">
        <v>499</v>
      </c>
      <c r="F244">
        <v>1</v>
      </c>
      <c r="G244">
        <v>82302.7524576211</v>
      </c>
      <c r="H244">
        <v>9.9140899999999995E-4</v>
      </c>
      <c r="I244">
        <v>11956</v>
      </c>
      <c r="J244">
        <v>2960</v>
      </c>
      <c r="K244">
        <v>8996</v>
      </c>
      <c r="L244">
        <v>500</v>
      </c>
      <c r="M244">
        <v>499</v>
      </c>
      <c r="N244">
        <v>1</v>
      </c>
      <c r="O244">
        <v>33221.337076321499</v>
      </c>
      <c r="P244">
        <v>0</v>
      </c>
    </row>
    <row r="245" spans="1:16" x14ac:dyDescent="0.2">
      <c r="A245" s="3" t="s">
        <v>49</v>
      </c>
      <c r="B245" s="3" t="s">
        <v>52</v>
      </c>
      <c r="C245">
        <v>41</v>
      </c>
      <c r="D245">
        <v>19000</v>
      </c>
      <c r="E245">
        <v>499</v>
      </c>
      <c r="F245">
        <v>1</v>
      </c>
      <c r="G245">
        <v>19000</v>
      </c>
      <c r="H245">
        <v>9.9139900000000001E-4</v>
      </c>
      <c r="I245">
        <v>11993</v>
      </c>
      <c r="J245">
        <v>2885</v>
      </c>
      <c r="K245">
        <v>9108</v>
      </c>
      <c r="L245">
        <v>500</v>
      </c>
      <c r="M245">
        <v>499</v>
      </c>
      <c r="N245">
        <v>1</v>
      </c>
      <c r="O245">
        <v>7007</v>
      </c>
      <c r="P245">
        <v>1</v>
      </c>
    </row>
    <row r="246" spans="1:16" x14ac:dyDescent="0.2">
      <c r="A246" s="3" t="s">
        <v>49</v>
      </c>
      <c r="B246" s="3" t="s">
        <v>52</v>
      </c>
      <c r="C246">
        <v>21</v>
      </c>
      <c r="D246">
        <v>20000</v>
      </c>
      <c r="E246">
        <v>499</v>
      </c>
      <c r="F246">
        <v>1</v>
      </c>
      <c r="G246">
        <v>20000</v>
      </c>
      <c r="H246">
        <v>9.9118800000000005E-4</v>
      </c>
      <c r="I246">
        <v>11945</v>
      </c>
      <c r="J246">
        <v>2981</v>
      </c>
      <c r="K246">
        <v>8964</v>
      </c>
      <c r="L246">
        <v>500</v>
      </c>
      <c r="M246">
        <v>499</v>
      </c>
      <c r="N246">
        <v>1</v>
      </c>
      <c r="O246">
        <v>8055</v>
      </c>
      <c r="P246">
        <v>1</v>
      </c>
    </row>
    <row r="247" spans="1:16" x14ac:dyDescent="0.2">
      <c r="A247" s="3" t="s">
        <v>49</v>
      </c>
      <c r="B247" s="3" t="s">
        <v>52</v>
      </c>
      <c r="C247">
        <v>11</v>
      </c>
      <c r="D247">
        <v>13000</v>
      </c>
      <c r="E247">
        <v>499</v>
      </c>
      <c r="F247">
        <v>1</v>
      </c>
      <c r="G247">
        <v>13000</v>
      </c>
      <c r="H247">
        <v>9.9073E-4</v>
      </c>
      <c r="I247">
        <v>11806</v>
      </c>
      <c r="J247">
        <v>2775</v>
      </c>
      <c r="K247">
        <v>9031</v>
      </c>
      <c r="L247">
        <v>500</v>
      </c>
      <c r="M247">
        <v>499</v>
      </c>
      <c r="N247">
        <v>1</v>
      </c>
      <c r="O247">
        <v>1194</v>
      </c>
      <c r="P247">
        <v>1</v>
      </c>
    </row>
    <row r="248" spans="1:16" x14ac:dyDescent="0.2">
      <c r="A248" s="3" t="s">
        <v>49</v>
      </c>
      <c r="B248" s="3" t="s">
        <v>52</v>
      </c>
      <c r="C248">
        <v>20</v>
      </c>
      <c r="D248">
        <v>19000</v>
      </c>
      <c r="E248">
        <v>499</v>
      </c>
      <c r="F248">
        <v>1</v>
      </c>
      <c r="G248">
        <v>84218.384375429901</v>
      </c>
      <c r="H248">
        <v>9.9067500000000011E-4</v>
      </c>
      <c r="I248">
        <v>11985</v>
      </c>
      <c r="J248">
        <v>2927</v>
      </c>
      <c r="K248">
        <v>9058</v>
      </c>
      <c r="L248">
        <v>500</v>
      </c>
      <c r="M248">
        <v>499</v>
      </c>
      <c r="N248">
        <v>1</v>
      </c>
      <c r="O248">
        <v>31381.6388880786</v>
      </c>
      <c r="P248">
        <v>0</v>
      </c>
    </row>
    <row r="249" spans="1:16" x14ac:dyDescent="0.2">
      <c r="A249" s="3" t="s">
        <v>49</v>
      </c>
      <c r="B249" s="3" t="s">
        <v>52</v>
      </c>
      <c r="C249">
        <v>1</v>
      </c>
      <c r="D249">
        <v>19000</v>
      </c>
      <c r="E249">
        <v>499</v>
      </c>
      <c r="F249">
        <v>1</v>
      </c>
      <c r="G249">
        <v>19000</v>
      </c>
      <c r="H249">
        <v>9.9051099999999991E-4</v>
      </c>
      <c r="I249">
        <v>12021</v>
      </c>
      <c r="J249">
        <v>2927</v>
      </c>
      <c r="K249">
        <v>9094</v>
      </c>
      <c r="L249">
        <v>500</v>
      </c>
      <c r="M249">
        <v>499</v>
      </c>
      <c r="N249">
        <v>1</v>
      </c>
      <c r="O249">
        <v>6979</v>
      </c>
      <c r="P249">
        <v>1</v>
      </c>
    </row>
    <row r="250" spans="1:16" x14ac:dyDescent="0.2">
      <c r="A250" s="3" t="s">
        <v>49</v>
      </c>
      <c r="B250" s="3" t="s">
        <v>52</v>
      </c>
      <c r="C250">
        <v>36</v>
      </c>
      <c r="D250">
        <v>19000</v>
      </c>
      <c r="E250">
        <v>499</v>
      </c>
      <c r="F250">
        <v>1</v>
      </c>
      <c r="G250">
        <v>84218.384375429901</v>
      </c>
      <c r="H250">
        <v>9.904E-4</v>
      </c>
      <c r="I250">
        <v>12012</v>
      </c>
      <c r="J250">
        <v>3002</v>
      </c>
      <c r="K250">
        <v>9010</v>
      </c>
      <c r="L250">
        <v>500</v>
      </c>
      <c r="M250">
        <v>499</v>
      </c>
      <c r="N250">
        <v>1</v>
      </c>
      <c r="O250">
        <v>31258.653232132201</v>
      </c>
      <c r="P250">
        <v>0</v>
      </c>
    </row>
    <row r="251" spans="1:16" x14ac:dyDescent="0.2">
      <c r="A251" s="3" t="s">
        <v>49</v>
      </c>
      <c r="B251" s="3" t="s">
        <v>52</v>
      </c>
      <c r="C251">
        <v>48</v>
      </c>
      <c r="D251">
        <v>16000</v>
      </c>
      <c r="E251">
        <v>499</v>
      </c>
      <c r="F251">
        <v>1</v>
      </c>
      <c r="G251">
        <v>16000</v>
      </c>
      <c r="H251">
        <v>9.8993200000000001E-4</v>
      </c>
      <c r="I251">
        <v>11999</v>
      </c>
      <c r="J251">
        <v>2897</v>
      </c>
      <c r="K251">
        <v>9102</v>
      </c>
      <c r="L251">
        <v>500</v>
      </c>
      <c r="M251">
        <v>499</v>
      </c>
      <c r="N251">
        <v>1</v>
      </c>
      <c r="O251">
        <v>4001</v>
      </c>
      <c r="P251">
        <v>1</v>
      </c>
    </row>
    <row r="252" spans="1:16" x14ac:dyDescent="0.2">
      <c r="A252" s="3" t="s">
        <v>49</v>
      </c>
      <c r="B252" s="3" t="s">
        <v>52</v>
      </c>
      <c r="C252">
        <v>38</v>
      </c>
      <c r="D252">
        <v>14000</v>
      </c>
      <c r="E252">
        <v>499</v>
      </c>
      <c r="F252">
        <v>1</v>
      </c>
      <c r="G252">
        <v>14000</v>
      </c>
      <c r="H252">
        <v>9.8978600000000009E-4</v>
      </c>
      <c r="I252">
        <v>11899</v>
      </c>
      <c r="J252">
        <v>2854</v>
      </c>
      <c r="K252">
        <v>9045</v>
      </c>
      <c r="L252">
        <v>500</v>
      </c>
      <c r="M252">
        <v>499</v>
      </c>
      <c r="N252">
        <v>1</v>
      </c>
      <c r="O252">
        <v>2101</v>
      </c>
      <c r="P252">
        <v>1</v>
      </c>
    </row>
    <row r="253" spans="1:16" x14ac:dyDescent="0.2">
      <c r="A253" s="3" t="s">
        <v>49</v>
      </c>
      <c r="B253" s="3" t="s">
        <v>52</v>
      </c>
      <c r="C253">
        <v>43</v>
      </c>
      <c r="D253">
        <v>20000</v>
      </c>
      <c r="E253">
        <v>499</v>
      </c>
      <c r="F253">
        <v>1</v>
      </c>
      <c r="G253">
        <v>20000</v>
      </c>
      <c r="H253">
        <v>9.8969399999999995E-4</v>
      </c>
      <c r="I253">
        <v>11934</v>
      </c>
      <c r="J253">
        <v>2990</v>
      </c>
      <c r="K253">
        <v>8944</v>
      </c>
      <c r="L253">
        <v>500</v>
      </c>
      <c r="M253">
        <v>499</v>
      </c>
      <c r="N253">
        <v>1</v>
      </c>
      <c r="O253">
        <v>8066</v>
      </c>
      <c r="P253">
        <v>1</v>
      </c>
    </row>
    <row r="254" spans="1:16" x14ac:dyDescent="0.2">
      <c r="A254" s="3" t="s">
        <v>49</v>
      </c>
      <c r="B254" s="3" t="s">
        <v>52</v>
      </c>
      <c r="C254">
        <v>7</v>
      </c>
      <c r="D254">
        <v>19000</v>
      </c>
      <c r="E254">
        <v>499</v>
      </c>
      <c r="F254">
        <v>1</v>
      </c>
      <c r="G254">
        <v>84218.384375429901</v>
      </c>
      <c r="H254">
        <v>9.8951099999999999E-4</v>
      </c>
      <c r="I254">
        <v>11987</v>
      </c>
      <c r="J254">
        <v>2961</v>
      </c>
      <c r="K254">
        <v>9026</v>
      </c>
      <c r="L254">
        <v>500</v>
      </c>
      <c r="M254">
        <v>499</v>
      </c>
      <c r="N254">
        <v>1</v>
      </c>
      <c r="O254">
        <v>31404.871791345198</v>
      </c>
      <c r="P254">
        <v>0</v>
      </c>
    </row>
    <row r="255" spans="1:16" x14ac:dyDescent="0.2">
      <c r="A255" s="3" t="s">
        <v>49</v>
      </c>
      <c r="B255" s="3" t="s">
        <v>52</v>
      </c>
      <c r="C255">
        <v>9</v>
      </c>
      <c r="D255">
        <v>20000</v>
      </c>
      <c r="E255">
        <v>499</v>
      </c>
      <c r="F255">
        <v>1</v>
      </c>
      <c r="G255">
        <v>82302.7524576211</v>
      </c>
      <c r="H255">
        <v>9.88823E-4</v>
      </c>
      <c r="I255">
        <v>11896</v>
      </c>
      <c r="J255">
        <v>2904</v>
      </c>
      <c r="K255">
        <v>8992</v>
      </c>
      <c r="L255">
        <v>500</v>
      </c>
      <c r="M255">
        <v>499</v>
      </c>
      <c r="N255">
        <v>1</v>
      </c>
      <c r="O255">
        <v>33443.7556610826</v>
      </c>
      <c r="P255">
        <v>0</v>
      </c>
    </row>
    <row r="256" spans="1:16" x14ac:dyDescent="0.2">
      <c r="A256" s="3" t="s">
        <v>49</v>
      </c>
      <c r="B256" s="3" t="s">
        <v>52</v>
      </c>
      <c r="C256">
        <v>15</v>
      </c>
      <c r="D256">
        <v>18000</v>
      </c>
      <c r="E256">
        <v>499</v>
      </c>
      <c r="F256">
        <v>1</v>
      </c>
      <c r="G256">
        <v>18000</v>
      </c>
      <c r="H256">
        <v>9.8844699999999994E-4</v>
      </c>
      <c r="I256">
        <v>11940</v>
      </c>
      <c r="J256">
        <v>2884</v>
      </c>
      <c r="K256">
        <v>9056</v>
      </c>
      <c r="L256">
        <v>500</v>
      </c>
      <c r="M256">
        <v>499</v>
      </c>
      <c r="N256">
        <v>1</v>
      </c>
      <c r="O256">
        <v>6060</v>
      </c>
      <c r="P256">
        <v>1</v>
      </c>
    </row>
    <row r="257" spans="1:16" x14ac:dyDescent="0.2">
      <c r="A257" s="3" t="s">
        <v>49</v>
      </c>
      <c r="B257" s="3" t="s">
        <v>52</v>
      </c>
      <c r="C257">
        <v>24</v>
      </c>
      <c r="D257">
        <v>20000</v>
      </c>
      <c r="E257">
        <v>499</v>
      </c>
      <c r="F257">
        <v>1</v>
      </c>
      <c r="G257">
        <v>20000</v>
      </c>
      <c r="H257">
        <v>9.8821799999999991E-4</v>
      </c>
      <c r="I257">
        <v>11952</v>
      </c>
      <c r="J257">
        <v>2993</v>
      </c>
      <c r="K257">
        <v>8959</v>
      </c>
      <c r="L257">
        <v>500</v>
      </c>
      <c r="M257">
        <v>499</v>
      </c>
      <c r="N257">
        <v>1</v>
      </c>
      <c r="O257">
        <v>8048</v>
      </c>
      <c r="P257">
        <v>1</v>
      </c>
    </row>
    <row r="258" spans="1:16" x14ac:dyDescent="0.2">
      <c r="A258" s="3" t="s">
        <v>49</v>
      </c>
      <c r="B258" s="3" t="s">
        <v>52</v>
      </c>
      <c r="C258">
        <v>31</v>
      </c>
      <c r="D258">
        <v>18000</v>
      </c>
      <c r="E258">
        <v>499</v>
      </c>
      <c r="F258">
        <v>1</v>
      </c>
      <c r="G258">
        <v>18000</v>
      </c>
      <c r="H258">
        <v>9.879349999999999E-4</v>
      </c>
      <c r="I258">
        <v>11988</v>
      </c>
      <c r="J258">
        <v>2925</v>
      </c>
      <c r="K258">
        <v>9063</v>
      </c>
      <c r="L258">
        <v>500</v>
      </c>
      <c r="M258">
        <v>499</v>
      </c>
      <c r="N258">
        <v>1</v>
      </c>
      <c r="O258">
        <v>6012</v>
      </c>
      <c r="P258">
        <v>1</v>
      </c>
    </row>
    <row r="259" spans="1:16" x14ac:dyDescent="0.2">
      <c r="A259" s="3" t="s">
        <v>49</v>
      </c>
      <c r="B259" s="3" t="s">
        <v>52</v>
      </c>
      <c r="C259">
        <v>35</v>
      </c>
      <c r="D259">
        <v>20000</v>
      </c>
      <c r="E259">
        <v>499</v>
      </c>
      <c r="F259">
        <v>1</v>
      </c>
      <c r="G259">
        <v>82302.7524576211</v>
      </c>
      <c r="H259">
        <v>9.8789800000000007E-4</v>
      </c>
      <c r="I259">
        <v>11911</v>
      </c>
      <c r="J259">
        <v>2981</v>
      </c>
      <c r="K259">
        <v>8930</v>
      </c>
      <c r="L259">
        <v>500</v>
      </c>
      <c r="M259">
        <v>499</v>
      </c>
      <c r="N259">
        <v>1</v>
      </c>
      <c r="O259">
        <v>33389.552020343901</v>
      </c>
      <c r="P259">
        <v>0</v>
      </c>
    </row>
    <row r="260" spans="1:16" x14ac:dyDescent="0.2">
      <c r="A260" s="3" t="s">
        <v>49</v>
      </c>
      <c r="B260" s="3" t="s">
        <v>52</v>
      </c>
      <c r="C260">
        <v>47</v>
      </c>
      <c r="D260">
        <v>19000</v>
      </c>
      <c r="E260">
        <v>499</v>
      </c>
      <c r="F260">
        <v>1</v>
      </c>
      <c r="G260">
        <v>84218.384375429901</v>
      </c>
      <c r="H260">
        <v>9.8769599999999993E-4</v>
      </c>
      <c r="I260">
        <v>12007</v>
      </c>
      <c r="J260">
        <v>2945</v>
      </c>
      <c r="K260">
        <v>9062</v>
      </c>
      <c r="L260">
        <v>500</v>
      </c>
      <c r="M260">
        <v>499</v>
      </c>
      <c r="N260">
        <v>1</v>
      </c>
      <c r="O260">
        <v>31271.918542962801</v>
      </c>
      <c r="P260">
        <v>0</v>
      </c>
    </row>
    <row r="261" spans="1:16" x14ac:dyDescent="0.2">
      <c r="A261" s="3" t="s">
        <v>49</v>
      </c>
      <c r="B261" s="3" t="s">
        <v>52</v>
      </c>
      <c r="C261">
        <v>32</v>
      </c>
      <c r="D261">
        <v>18000</v>
      </c>
      <c r="E261">
        <v>499</v>
      </c>
      <c r="F261">
        <v>1</v>
      </c>
      <c r="G261">
        <v>75479.649376234796</v>
      </c>
      <c r="H261">
        <v>9.8760499999999991E-4</v>
      </c>
      <c r="I261">
        <v>11951</v>
      </c>
      <c r="J261">
        <v>2923</v>
      </c>
      <c r="K261">
        <v>9028</v>
      </c>
      <c r="L261">
        <v>500</v>
      </c>
      <c r="M261">
        <v>499</v>
      </c>
      <c r="N261">
        <v>1</v>
      </c>
      <c r="O261">
        <v>25687.8837452714</v>
      </c>
      <c r="P261">
        <v>0</v>
      </c>
    </row>
    <row r="262" spans="1:16" x14ac:dyDescent="0.2">
      <c r="A262" s="3" t="s">
        <v>49</v>
      </c>
      <c r="B262" s="3" t="s">
        <v>52</v>
      </c>
      <c r="C262">
        <v>40</v>
      </c>
      <c r="D262">
        <v>17000</v>
      </c>
      <c r="E262">
        <v>499</v>
      </c>
      <c r="F262">
        <v>1</v>
      </c>
      <c r="G262">
        <v>65872.258119671897</v>
      </c>
      <c r="H262">
        <v>9.8728399999999995E-4</v>
      </c>
      <c r="I262">
        <v>11956</v>
      </c>
      <c r="J262">
        <v>2895</v>
      </c>
      <c r="K262">
        <v>9061</v>
      </c>
      <c r="L262">
        <v>500</v>
      </c>
      <c r="M262">
        <v>499</v>
      </c>
      <c r="N262">
        <v>1</v>
      </c>
      <c r="O262">
        <v>19695.026443463499</v>
      </c>
      <c r="P262">
        <v>0</v>
      </c>
    </row>
    <row r="263" spans="1:16" x14ac:dyDescent="0.2">
      <c r="A263" s="3" t="s">
        <v>49</v>
      </c>
      <c r="B263" s="3" t="s">
        <v>52</v>
      </c>
      <c r="C263">
        <v>25</v>
      </c>
      <c r="D263">
        <v>19000</v>
      </c>
      <c r="E263">
        <v>499</v>
      </c>
      <c r="F263">
        <v>1</v>
      </c>
      <c r="G263">
        <v>19000</v>
      </c>
      <c r="H263">
        <v>9.8705400000000001E-4</v>
      </c>
      <c r="I263">
        <v>11986</v>
      </c>
      <c r="J263">
        <v>2893</v>
      </c>
      <c r="K263">
        <v>9093</v>
      </c>
      <c r="L263">
        <v>500</v>
      </c>
      <c r="M263">
        <v>499</v>
      </c>
      <c r="N263">
        <v>1</v>
      </c>
      <c r="O263">
        <v>7014</v>
      </c>
      <c r="P263">
        <v>1</v>
      </c>
    </row>
    <row r="264" spans="1:16" x14ac:dyDescent="0.2">
      <c r="A264" s="3" t="s">
        <v>49</v>
      </c>
      <c r="B264" s="3" t="s">
        <v>52</v>
      </c>
      <c r="C264">
        <v>13</v>
      </c>
      <c r="D264">
        <v>17000</v>
      </c>
      <c r="E264">
        <v>499</v>
      </c>
      <c r="F264">
        <v>1</v>
      </c>
      <c r="G264">
        <v>65872.258119671897</v>
      </c>
      <c r="H264">
        <v>9.8696299999999999E-4</v>
      </c>
      <c r="I264">
        <v>11955</v>
      </c>
      <c r="J264">
        <v>2939</v>
      </c>
      <c r="K264">
        <v>9016</v>
      </c>
      <c r="L264">
        <v>500</v>
      </c>
      <c r="M264">
        <v>499</v>
      </c>
      <c r="N264">
        <v>1</v>
      </c>
      <c r="O264">
        <v>19737.6842493146</v>
      </c>
      <c r="P264">
        <v>0</v>
      </c>
    </row>
    <row r="265" spans="1:16" x14ac:dyDescent="0.2">
      <c r="A265" s="3" t="s">
        <v>49</v>
      </c>
      <c r="B265" s="3" t="s">
        <v>52</v>
      </c>
      <c r="C265">
        <v>19</v>
      </c>
      <c r="D265">
        <v>19000</v>
      </c>
      <c r="E265">
        <v>499</v>
      </c>
      <c r="F265">
        <v>1</v>
      </c>
      <c r="G265">
        <v>19000</v>
      </c>
      <c r="H265">
        <v>9.8691600000000001E-4</v>
      </c>
      <c r="I265">
        <v>11995</v>
      </c>
      <c r="J265">
        <v>2896</v>
      </c>
      <c r="K265">
        <v>9099</v>
      </c>
      <c r="L265">
        <v>500</v>
      </c>
      <c r="M265">
        <v>499</v>
      </c>
      <c r="N265">
        <v>1</v>
      </c>
      <c r="O265">
        <v>7005</v>
      </c>
      <c r="P265">
        <v>1</v>
      </c>
    </row>
    <row r="266" spans="1:16" x14ac:dyDescent="0.2">
      <c r="A266" s="3" t="s">
        <v>49</v>
      </c>
      <c r="B266" s="3" t="s">
        <v>52</v>
      </c>
      <c r="C266">
        <v>29</v>
      </c>
      <c r="D266">
        <v>19000</v>
      </c>
      <c r="E266">
        <v>499</v>
      </c>
      <c r="F266">
        <v>1</v>
      </c>
      <c r="G266">
        <v>84218.384375429901</v>
      </c>
      <c r="H266">
        <v>9.8678000000000004E-4</v>
      </c>
      <c r="I266">
        <v>11993</v>
      </c>
      <c r="J266">
        <v>2966</v>
      </c>
      <c r="K266">
        <v>9027</v>
      </c>
      <c r="L266">
        <v>500</v>
      </c>
      <c r="M266">
        <v>499</v>
      </c>
      <c r="N266">
        <v>1</v>
      </c>
      <c r="O266">
        <v>31348.0589633608</v>
      </c>
      <c r="P266">
        <v>0</v>
      </c>
    </row>
    <row r="267" spans="1:16" x14ac:dyDescent="0.2">
      <c r="A267" s="3" t="s">
        <v>49</v>
      </c>
      <c r="B267" s="3" t="s">
        <v>52</v>
      </c>
      <c r="C267">
        <v>43</v>
      </c>
      <c r="D267">
        <v>18000</v>
      </c>
      <c r="E267">
        <v>499</v>
      </c>
      <c r="F267">
        <v>1</v>
      </c>
      <c r="G267">
        <v>18000</v>
      </c>
      <c r="H267">
        <v>9.8667900000000007E-4</v>
      </c>
      <c r="I267">
        <v>11959</v>
      </c>
      <c r="J267">
        <v>2922</v>
      </c>
      <c r="K267">
        <v>9037</v>
      </c>
      <c r="L267">
        <v>500</v>
      </c>
      <c r="M267">
        <v>499</v>
      </c>
      <c r="N267">
        <v>1</v>
      </c>
      <c r="O267">
        <v>6041</v>
      </c>
      <c r="P267">
        <v>1</v>
      </c>
    </row>
    <row r="268" spans="1:16" x14ac:dyDescent="0.2">
      <c r="A268" s="3" t="s">
        <v>49</v>
      </c>
      <c r="B268" s="3" t="s">
        <v>52</v>
      </c>
      <c r="C268">
        <v>3</v>
      </c>
      <c r="D268">
        <v>19000</v>
      </c>
      <c r="E268">
        <v>499</v>
      </c>
      <c r="F268">
        <v>1</v>
      </c>
      <c r="G268">
        <v>19000</v>
      </c>
      <c r="H268">
        <v>9.866600000000001E-4</v>
      </c>
      <c r="I268">
        <v>12034</v>
      </c>
      <c r="J268">
        <v>2990</v>
      </c>
      <c r="K268">
        <v>9044</v>
      </c>
      <c r="L268">
        <v>500</v>
      </c>
      <c r="M268">
        <v>499</v>
      </c>
      <c r="N268">
        <v>1</v>
      </c>
      <c r="O268">
        <v>6966</v>
      </c>
      <c r="P268">
        <v>1</v>
      </c>
    </row>
    <row r="269" spans="1:16" x14ac:dyDescent="0.2">
      <c r="A269" s="3" t="s">
        <v>49</v>
      </c>
      <c r="B269" s="3" t="s">
        <v>52</v>
      </c>
      <c r="C269">
        <v>1</v>
      </c>
      <c r="D269">
        <v>20000</v>
      </c>
      <c r="E269">
        <v>499</v>
      </c>
      <c r="F269">
        <v>1</v>
      </c>
      <c r="G269">
        <v>20000</v>
      </c>
      <c r="H269">
        <v>9.865500000000001E-4</v>
      </c>
      <c r="I269">
        <v>11962</v>
      </c>
      <c r="J269">
        <v>2971</v>
      </c>
      <c r="K269">
        <v>8991</v>
      </c>
      <c r="L269">
        <v>500</v>
      </c>
      <c r="M269">
        <v>499</v>
      </c>
      <c r="N269">
        <v>1</v>
      </c>
      <c r="O269">
        <v>8038</v>
      </c>
      <c r="P269">
        <v>1</v>
      </c>
    </row>
    <row r="270" spans="1:16" x14ac:dyDescent="0.2">
      <c r="A270" s="3" t="s">
        <v>49</v>
      </c>
      <c r="B270" s="3" t="s">
        <v>52</v>
      </c>
      <c r="C270">
        <v>44</v>
      </c>
      <c r="D270">
        <v>17000</v>
      </c>
      <c r="E270">
        <v>499</v>
      </c>
      <c r="F270">
        <v>1</v>
      </c>
      <c r="G270">
        <v>17000</v>
      </c>
      <c r="H270">
        <v>9.8623000000000005E-4</v>
      </c>
      <c r="I270">
        <v>11966</v>
      </c>
      <c r="J270">
        <v>2903</v>
      </c>
      <c r="K270">
        <v>9063</v>
      </c>
      <c r="L270">
        <v>500</v>
      </c>
      <c r="M270">
        <v>499</v>
      </c>
      <c r="N270">
        <v>1</v>
      </c>
      <c r="O270">
        <v>5034</v>
      </c>
      <c r="P270">
        <v>1</v>
      </c>
    </row>
    <row r="271" spans="1:16" x14ac:dyDescent="0.2">
      <c r="A271" s="3" t="s">
        <v>49</v>
      </c>
      <c r="B271" s="3" t="s">
        <v>52</v>
      </c>
      <c r="C271">
        <v>38</v>
      </c>
      <c r="D271">
        <v>18000</v>
      </c>
      <c r="E271">
        <v>499</v>
      </c>
      <c r="F271">
        <v>1</v>
      </c>
      <c r="G271">
        <v>75479.649376234796</v>
      </c>
      <c r="H271">
        <v>9.8618300000000007E-4</v>
      </c>
      <c r="I271">
        <v>11954</v>
      </c>
      <c r="J271">
        <v>2908</v>
      </c>
      <c r="K271">
        <v>9046</v>
      </c>
      <c r="L271">
        <v>500</v>
      </c>
      <c r="M271">
        <v>499</v>
      </c>
      <c r="N271">
        <v>1</v>
      </c>
      <c r="O271">
        <v>25646.590760478299</v>
      </c>
      <c r="P271">
        <v>0</v>
      </c>
    </row>
    <row r="272" spans="1:16" x14ac:dyDescent="0.2">
      <c r="A272" s="3" t="s">
        <v>49</v>
      </c>
      <c r="B272" s="3" t="s">
        <v>52</v>
      </c>
      <c r="C272">
        <v>46</v>
      </c>
      <c r="D272">
        <v>17000</v>
      </c>
      <c r="E272">
        <v>499</v>
      </c>
      <c r="F272">
        <v>1</v>
      </c>
      <c r="G272">
        <v>17000</v>
      </c>
      <c r="H272">
        <v>9.8593599999999997E-4</v>
      </c>
      <c r="I272">
        <v>11950</v>
      </c>
      <c r="J272">
        <v>2891</v>
      </c>
      <c r="K272">
        <v>9059</v>
      </c>
      <c r="L272">
        <v>500</v>
      </c>
      <c r="M272">
        <v>499</v>
      </c>
      <c r="N272">
        <v>1</v>
      </c>
      <c r="O272">
        <v>5050</v>
      </c>
      <c r="P272">
        <v>1</v>
      </c>
    </row>
    <row r="273" spans="1:16" x14ac:dyDescent="0.2">
      <c r="A273" s="3" t="s">
        <v>49</v>
      </c>
      <c r="B273" s="3" t="s">
        <v>52</v>
      </c>
      <c r="C273">
        <v>14</v>
      </c>
      <c r="D273">
        <v>19000</v>
      </c>
      <c r="E273">
        <v>499</v>
      </c>
      <c r="F273">
        <v>1</v>
      </c>
      <c r="G273">
        <v>84218.384375429901</v>
      </c>
      <c r="H273">
        <v>9.8587099999999993E-4</v>
      </c>
      <c r="I273">
        <v>11973</v>
      </c>
      <c r="J273">
        <v>2927</v>
      </c>
      <c r="K273">
        <v>9046</v>
      </c>
      <c r="L273">
        <v>500</v>
      </c>
      <c r="M273">
        <v>499</v>
      </c>
      <c r="N273">
        <v>1</v>
      </c>
      <c r="O273">
        <v>31423.896099912501</v>
      </c>
      <c r="P273">
        <v>0</v>
      </c>
    </row>
    <row r="274" spans="1:16" x14ac:dyDescent="0.2">
      <c r="A274" s="3" t="s">
        <v>49</v>
      </c>
      <c r="B274" s="3" t="s">
        <v>52</v>
      </c>
      <c r="C274">
        <v>19</v>
      </c>
      <c r="D274">
        <v>20000</v>
      </c>
      <c r="E274">
        <v>499</v>
      </c>
      <c r="F274">
        <v>1</v>
      </c>
      <c r="G274">
        <v>82302.7524576211</v>
      </c>
      <c r="H274">
        <v>9.8571599999999998E-4</v>
      </c>
      <c r="I274">
        <v>11954</v>
      </c>
      <c r="J274">
        <v>2983</v>
      </c>
      <c r="K274">
        <v>8971</v>
      </c>
      <c r="L274">
        <v>500</v>
      </c>
      <c r="M274">
        <v>499</v>
      </c>
      <c r="N274">
        <v>1</v>
      </c>
      <c r="O274">
        <v>33223.449788970203</v>
      </c>
      <c r="P274">
        <v>0</v>
      </c>
    </row>
    <row r="275" spans="1:16" x14ac:dyDescent="0.2">
      <c r="A275" s="3" t="s">
        <v>49</v>
      </c>
      <c r="B275" s="3" t="s">
        <v>52</v>
      </c>
      <c r="C275">
        <v>5</v>
      </c>
      <c r="D275">
        <v>12000</v>
      </c>
      <c r="E275">
        <v>499</v>
      </c>
      <c r="F275">
        <v>1</v>
      </c>
      <c r="G275">
        <v>12000</v>
      </c>
      <c r="H275">
        <v>9.8561500000000002E-4</v>
      </c>
      <c r="I275">
        <v>11903</v>
      </c>
      <c r="J275">
        <v>2752</v>
      </c>
      <c r="K275">
        <v>9151</v>
      </c>
      <c r="L275">
        <v>500</v>
      </c>
      <c r="M275">
        <v>499</v>
      </c>
      <c r="N275">
        <v>1</v>
      </c>
      <c r="O275">
        <v>97</v>
      </c>
      <c r="P275">
        <v>1</v>
      </c>
    </row>
    <row r="276" spans="1:16" x14ac:dyDescent="0.2">
      <c r="A276" s="3" t="s">
        <v>49</v>
      </c>
      <c r="B276" s="3" t="s">
        <v>52</v>
      </c>
      <c r="C276">
        <v>37</v>
      </c>
      <c r="D276">
        <v>20000</v>
      </c>
      <c r="E276">
        <v>499</v>
      </c>
      <c r="F276">
        <v>1</v>
      </c>
      <c r="G276">
        <v>20000</v>
      </c>
      <c r="H276">
        <v>9.8488200000000008E-4</v>
      </c>
      <c r="I276">
        <v>11931</v>
      </c>
      <c r="J276">
        <v>2941</v>
      </c>
      <c r="K276">
        <v>8990</v>
      </c>
      <c r="L276">
        <v>500</v>
      </c>
      <c r="M276">
        <v>499</v>
      </c>
      <c r="N276">
        <v>1</v>
      </c>
      <c r="O276">
        <v>8069</v>
      </c>
      <c r="P276">
        <v>1</v>
      </c>
    </row>
    <row r="277" spans="1:16" x14ac:dyDescent="0.2">
      <c r="A277" s="3" t="s">
        <v>49</v>
      </c>
      <c r="B277" s="3" t="s">
        <v>52</v>
      </c>
      <c r="C277">
        <v>50</v>
      </c>
      <c r="D277">
        <v>19000</v>
      </c>
      <c r="E277">
        <v>499</v>
      </c>
      <c r="F277">
        <v>1</v>
      </c>
      <c r="G277">
        <v>84218.384375429901</v>
      </c>
      <c r="H277">
        <v>9.8466200000000008E-4</v>
      </c>
      <c r="I277">
        <v>12042</v>
      </c>
      <c r="J277">
        <v>2947</v>
      </c>
      <c r="K277">
        <v>9095</v>
      </c>
      <c r="L277">
        <v>500</v>
      </c>
      <c r="M277">
        <v>499</v>
      </c>
      <c r="N277">
        <v>1</v>
      </c>
      <c r="O277">
        <v>31173.710120444299</v>
      </c>
      <c r="P277">
        <v>0</v>
      </c>
    </row>
    <row r="278" spans="1:16" x14ac:dyDescent="0.2">
      <c r="A278" s="3" t="s">
        <v>49</v>
      </c>
      <c r="B278" s="3" t="s">
        <v>52</v>
      </c>
      <c r="C278">
        <v>4</v>
      </c>
      <c r="D278">
        <v>16000</v>
      </c>
      <c r="E278">
        <v>499</v>
      </c>
      <c r="F278">
        <v>1</v>
      </c>
      <c r="G278">
        <v>16000</v>
      </c>
      <c r="H278">
        <v>9.84588E-4</v>
      </c>
      <c r="I278">
        <v>12025</v>
      </c>
      <c r="J278">
        <v>2959</v>
      </c>
      <c r="K278">
        <v>9066</v>
      </c>
      <c r="L278">
        <v>500</v>
      </c>
      <c r="M278">
        <v>499</v>
      </c>
      <c r="N278">
        <v>1</v>
      </c>
      <c r="O278">
        <v>3975</v>
      </c>
      <c r="P278">
        <v>1</v>
      </c>
    </row>
    <row r="279" spans="1:16" x14ac:dyDescent="0.2">
      <c r="A279" s="3" t="s">
        <v>49</v>
      </c>
      <c r="B279" s="3" t="s">
        <v>52</v>
      </c>
      <c r="C279">
        <v>49</v>
      </c>
      <c r="D279">
        <v>18000</v>
      </c>
      <c r="E279">
        <v>499</v>
      </c>
      <c r="F279">
        <v>1</v>
      </c>
      <c r="G279">
        <v>75479.649376234796</v>
      </c>
      <c r="H279">
        <v>9.8454300000000005E-4</v>
      </c>
      <c r="I279">
        <v>11977</v>
      </c>
      <c r="J279">
        <v>2909</v>
      </c>
      <c r="K279">
        <v>9068</v>
      </c>
      <c r="L279">
        <v>500</v>
      </c>
      <c r="M279">
        <v>499</v>
      </c>
      <c r="N279">
        <v>1</v>
      </c>
      <c r="O279">
        <v>25554.124493350599</v>
      </c>
      <c r="P279">
        <v>0</v>
      </c>
    </row>
    <row r="280" spans="1:16" x14ac:dyDescent="0.2">
      <c r="A280" s="3" t="s">
        <v>49</v>
      </c>
      <c r="B280" s="3" t="s">
        <v>52</v>
      </c>
      <c r="C280">
        <v>27</v>
      </c>
      <c r="D280">
        <v>19000</v>
      </c>
      <c r="E280">
        <v>499</v>
      </c>
      <c r="F280">
        <v>1</v>
      </c>
      <c r="G280">
        <v>84218.384375429901</v>
      </c>
      <c r="H280">
        <v>9.8445200000000003E-4</v>
      </c>
      <c r="I280">
        <v>12026</v>
      </c>
      <c r="J280">
        <v>2917</v>
      </c>
      <c r="K280">
        <v>9109</v>
      </c>
      <c r="L280">
        <v>500</v>
      </c>
      <c r="M280">
        <v>499</v>
      </c>
      <c r="N280">
        <v>1</v>
      </c>
      <c r="O280">
        <v>31214.944188115998</v>
      </c>
      <c r="P280">
        <v>0</v>
      </c>
    </row>
    <row r="281" spans="1:16" x14ac:dyDescent="0.2">
      <c r="A281" s="3" t="s">
        <v>49</v>
      </c>
      <c r="B281" s="3" t="s">
        <v>52</v>
      </c>
      <c r="C281">
        <v>47</v>
      </c>
      <c r="D281">
        <v>20000</v>
      </c>
      <c r="E281">
        <v>499</v>
      </c>
      <c r="F281">
        <v>1</v>
      </c>
      <c r="G281">
        <v>82302.7524576211</v>
      </c>
      <c r="H281">
        <v>9.8432199999999993E-4</v>
      </c>
      <c r="I281">
        <v>11901</v>
      </c>
      <c r="J281">
        <v>2918</v>
      </c>
      <c r="K281">
        <v>8983</v>
      </c>
      <c r="L281">
        <v>500</v>
      </c>
      <c r="M281">
        <v>499</v>
      </c>
      <c r="N281">
        <v>1</v>
      </c>
      <c r="O281">
        <v>33434.286498365902</v>
      </c>
      <c r="P281">
        <v>0</v>
      </c>
    </row>
    <row r="282" spans="1:16" x14ac:dyDescent="0.2">
      <c r="A282" s="3" t="s">
        <v>49</v>
      </c>
      <c r="B282" s="3" t="s">
        <v>52</v>
      </c>
      <c r="C282">
        <v>27</v>
      </c>
      <c r="D282">
        <v>16000</v>
      </c>
      <c r="E282">
        <v>499</v>
      </c>
      <c r="F282">
        <v>1</v>
      </c>
      <c r="G282">
        <v>16000</v>
      </c>
      <c r="H282">
        <v>9.8427600000000007E-4</v>
      </c>
      <c r="I282">
        <v>11998</v>
      </c>
      <c r="J282">
        <v>2893</v>
      </c>
      <c r="K282">
        <v>9105</v>
      </c>
      <c r="L282">
        <v>500</v>
      </c>
      <c r="M282">
        <v>499</v>
      </c>
      <c r="N282">
        <v>1</v>
      </c>
      <c r="O282">
        <v>4002</v>
      </c>
      <c r="P282">
        <v>1</v>
      </c>
    </row>
    <row r="283" spans="1:16" x14ac:dyDescent="0.2">
      <c r="A283" s="3" t="s">
        <v>49</v>
      </c>
      <c r="B283" s="3" t="s">
        <v>52</v>
      </c>
      <c r="C283">
        <v>26</v>
      </c>
      <c r="D283">
        <v>18000</v>
      </c>
      <c r="E283">
        <v>499</v>
      </c>
      <c r="F283">
        <v>1</v>
      </c>
      <c r="G283">
        <v>75479.649376234796</v>
      </c>
      <c r="H283">
        <v>9.842029999999999E-4</v>
      </c>
      <c r="I283">
        <v>11982</v>
      </c>
      <c r="J283">
        <v>2941</v>
      </c>
      <c r="K283">
        <v>9041</v>
      </c>
      <c r="L283">
        <v>500</v>
      </c>
      <c r="M283">
        <v>499</v>
      </c>
      <c r="N283">
        <v>1</v>
      </c>
      <c r="O283">
        <v>25581.423236143801</v>
      </c>
      <c r="P283">
        <v>0</v>
      </c>
    </row>
    <row r="284" spans="1:16" x14ac:dyDescent="0.2">
      <c r="A284" s="3" t="s">
        <v>49</v>
      </c>
      <c r="B284" s="3" t="s">
        <v>52</v>
      </c>
      <c r="C284">
        <v>33</v>
      </c>
      <c r="D284">
        <v>19000</v>
      </c>
      <c r="E284">
        <v>499</v>
      </c>
      <c r="F284">
        <v>1</v>
      </c>
      <c r="G284">
        <v>19000</v>
      </c>
      <c r="H284">
        <v>9.841400000000001E-4</v>
      </c>
      <c r="I284">
        <v>12010</v>
      </c>
      <c r="J284">
        <v>2913</v>
      </c>
      <c r="K284">
        <v>9097</v>
      </c>
      <c r="L284">
        <v>500</v>
      </c>
      <c r="M284">
        <v>499</v>
      </c>
      <c r="N284">
        <v>1</v>
      </c>
      <c r="O284">
        <v>6990</v>
      </c>
      <c r="P284">
        <v>1</v>
      </c>
    </row>
    <row r="285" spans="1:16" x14ac:dyDescent="0.2">
      <c r="A285" s="3" t="s">
        <v>49</v>
      </c>
      <c r="B285" s="3" t="s">
        <v>52</v>
      </c>
      <c r="C285">
        <v>4</v>
      </c>
      <c r="D285">
        <v>20000</v>
      </c>
      <c r="E285">
        <v>499</v>
      </c>
      <c r="F285">
        <v>1</v>
      </c>
      <c r="G285">
        <v>20000</v>
      </c>
      <c r="H285">
        <v>9.835340000000001E-4</v>
      </c>
      <c r="I285">
        <v>11962</v>
      </c>
      <c r="J285">
        <v>2901</v>
      </c>
      <c r="K285">
        <v>9061</v>
      </c>
      <c r="L285">
        <v>500</v>
      </c>
      <c r="M285">
        <v>499</v>
      </c>
      <c r="N285">
        <v>1</v>
      </c>
      <c r="O285">
        <v>8038</v>
      </c>
      <c r="P285">
        <v>1</v>
      </c>
    </row>
    <row r="286" spans="1:16" x14ac:dyDescent="0.2">
      <c r="A286" s="3" t="s">
        <v>49</v>
      </c>
      <c r="B286" s="3" t="s">
        <v>52</v>
      </c>
      <c r="C286">
        <v>25</v>
      </c>
      <c r="D286">
        <v>20000</v>
      </c>
      <c r="E286">
        <v>499</v>
      </c>
      <c r="F286">
        <v>1</v>
      </c>
      <c r="G286">
        <v>20000</v>
      </c>
      <c r="H286">
        <v>9.8326899999999994E-4</v>
      </c>
      <c r="I286">
        <v>11946</v>
      </c>
      <c r="J286">
        <v>2960</v>
      </c>
      <c r="K286">
        <v>8986</v>
      </c>
      <c r="L286">
        <v>500</v>
      </c>
      <c r="M286">
        <v>499</v>
      </c>
      <c r="N286">
        <v>1</v>
      </c>
      <c r="O286">
        <v>8054</v>
      </c>
      <c r="P286">
        <v>1</v>
      </c>
    </row>
    <row r="287" spans="1:16" x14ac:dyDescent="0.2">
      <c r="A287" s="3" t="s">
        <v>49</v>
      </c>
      <c r="B287" s="3" t="s">
        <v>52</v>
      </c>
      <c r="C287">
        <v>23</v>
      </c>
      <c r="D287">
        <v>20000</v>
      </c>
      <c r="E287">
        <v>499</v>
      </c>
      <c r="F287">
        <v>1</v>
      </c>
      <c r="G287">
        <v>20000</v>
      </c>
      <c r="H287">
        <v>9.8316799999999998E-4</v>
      </c>
      <c r="I287">
        <v>11914</v>
      </c>
      <c r="J287">
        <v>2965</v>
      </c>
      <c r="K287">
        <v>8949</v>
      </c>
      <c r="L287">
        <v>500</v>
      </c>
      <c r="M287">
        <v>499</v>
      </c>
      <c r="N287">
        <v>1</v>
      </c>
      <c r="O287">
        <v>8086</v>
      </c>
      <c r="P287">
        <v>1</v>
      </c>
    </row>
    <row r="288" spans="1:16" x14ac:dyDescent="0.2">
      <c r="A288" s="3" t="s">
        <v>49</v>
      </c>
      <c r="B288" s="3" t="s">
        <v>52</v>
      </c>
      <c r="C288">
        <v>45</v>
      </c>
      <c r="D288">
        <v>17000</v>
      </c>
      <c r="E288">
        <v>499</v>
      </c>
      <c r="F288">
        <v>1</v>
      </c>
      <c r="G288">
        <v>65872.258119671897</v>
      </c>
      <c r="H288">
        <v>9.8304800000000004E-4</v>
      </c>
      <c r="I288">
        <v>11944</v>
      </c>
      <c r="J288">
        <v>2872</v>
      </c>
      <c r="K288">
        <v>9072</v>
      </c>
      <c r="L288">
        <v>500</v>
      </c>
      <c r="M288">
        <v>499</v>
      </c>
      <c r="N288">
        <v>1</v>
      </c>
      <c r="O288">
        <v>19746.937337752901</v>
      </c>
      <c r="P288">
        <v>0</v>
      </c>
    </row>
    <row r="289" spans="1:16" x14ac:dyDescent="0.2">
      <c r="A289" s="3" t="s">
        <v>49</v>
      </c>
      <c r="B289" s="3" t="s">
        <v>52</v>
      </c>
      <c r="C289">
        <v>47</v>
      </c>
      <c r="D289">
        <v>18000</v>
      </c>
      <c r="E289">
        <v>499</v>
      </c>
      <c r="F289">
        <v>1</v>
      </c>
      <c r="G289">
        <v>75479.649376234796</v>
      </c>
      <c r="H289">
        <v>9.8298500000000002E-4</v>
      </c>
      <c r="I289">
        <v>11945</v>
      </c>
      <c r="J289">
        <v>2902</v>
      </c>
      <c r="K289">
        <v>9043</v>
      </c>
      <c r="L289">
        <v>500</v>
      </c>
      <c r="M289">
        <v>499</v>
      </c>
      <c r="N289">
        <v>1</v>
      </c>
      <c r="O289">
        <v>25666.743484328901</v>
      </c>
      <c r="P289">
        <v>0</v>
      </c>
    </row>
    <row r="290" spans="1:16" x14ac:dyDescent="0.2">
      <c r="A290" s="3" t="s">
        <v>49</v>
      </c>
      <c r="B290" s="3" t="s">
        <v>52</v>
      </c>
      <c r="C290">
        <v>9</v>
      </c>
      <c r="D290">
        <v>20000</v>
      </c>
      <c r="E290">
        <v>499</v>
      </c>
      <c r="F290">
        <v>1</v>
      </c>
      <c r="G290">
        <v>20000</v>
      </c>
      <c r="H290">
        <v>9.8295700000000001E-4</v>
      </c>
      <c r="I290">
        <v>11931</v>
      </c>
      <c r="J290">
        <v>2951</v>
      </c>
      <c r="K290">
        <v>8980</v>
      </c>
      <c r="L290">
        <v>500</v>
      </c>
      <c r="M290">
        <v>499</v>
      </c>
      <c r="N290">
        <v>1</v>
      </c>
      <c r="O290">
        <v>8069</v>
      </c>
      <c r="P290">
        <v>1</v>
      </c>
    </row>
    <row r="291" spans="1:16" x14ac:dyDescent="0.2">
      <c r="A291" s="3" t="s">
        <v>49</v>
      </c>
      <c r="B291" s="3" t="s">
        <v>52</v>
      </c>
      <c r="C291">
        <v>16</v>
      </c>
      <c r="D291">
        <v>20000</v>
      </c>
      <c r="E291">
        <v>499</v>
      </c>
      <c r="F291">
        <v>1</v>
      </c>
      <c r="G291">
        <v>20000</v>
      </c>
      <c r="H291">
        <v>9.8284599999999989E-4</v>
      </c>
      <c r="I291">
        <v>11968</v>
      </c>
      <c r="J291">
        <v>2951</v>
      </c>
      <c r="K291">
        <v>9017</v>
      </c>
      <c r="L291">
        <v>500</v>
      </c>
      <c r="M291">
        <v>499</v>
      </c>
      <c r="N291">
        <v>1</v>
      </c>
      <c r="O291">
        <v>8032</v>
      </c>
      <c r="P291">
        <v>1</v>
      </c>
    </row>
    <row r="292" spans="1:16" x14ac:dyDescent="0.2">
      <c r="A292" s="3" t="s">
        <v>49</v>
      </c>
      <c r="B292" s="3" t="s">
        <v>52</v>
      </c>
      <c r="C292">
        <v>30</v>
      </c>
      <c r="D292">
        <v>18000</v>
      </c>
      <c r="E292">
        <v>499</v>
      </c>
      <c r="F292">
        <v>1</v>
      </c>
      <c r="G292">
        <v>18000</v>
      </c>
      <c r="H292">
        <v>9.8283799999999998E-4</v>
      </c>
      <c r="I292">
        <v>11969</v>
      </c>
      <c r="J292">
        <v>2920</v>
      </c>
      <c r="K292">
        <v>9049</v>
      </c>
      <c r="L292">
        <v>500</v>
      </c>
      <c r="M292">
        <v>499</v>
      </c>
      <c r="N292">
        <v>1</v>
      </c>
      <c r="O292">
        <v>6031</v>
      </c>
      <c r="P292">
        <v>1</v>
      </c>
    </row>
    <row r="293" spans="1:16" x14ac:dyDescent="0.2">
      <c r="A293" s="3" t="s">
        <v>49</v>
      </c>
      <c r="B293" s="3" t="s">
        <v>52</v>
      </c>
      <c r="C293">
        <v>19</v>
      </c>
      <c r="D293">
        <v>18000</v>
      </c>
      <c r="E293">
        <v>499</v>
      </c>
      <c r="F293">
        <v>1</v>
      </c>
      <c r="G293">
        <v>18000</v>
      </c>
      <c r="H293">
        <v>9.8277400000000006E-4</v>
      </c>
      <c r="I293">
        <v>11939</v>
      </c>
      <c r="J293">
        <v>2878</v>
      </c>
      <c r="K293">
        <v>9061</v>
      </c>
      <c r="L293">
        <v>500</v>
      </c>
      <c r="M293">
        <v>499</v>
      </c>
      <c r="N293">
        <v>1</v>
      </c>
      <c r="O293">
        <v>6061</v>
      </c>
      <c r="P293">
        <v>1</v>
      </c>
    </row>
    <row r="294" spans="1:16" x14ac:dyDescent="0.2">
      <c r="A294" s="3" t="s">
        <v>49</v>
      </c>
      <c r="B294" s="3" t="s">
        <v>52</v>
      </c>
      <c r="C294">
        <v>41</v>
      </c>
      <c r="D294">
        <v>16000</v>
      </c>
      <c r="E294">
        <v>499</v>
      </c>
      <c r="F294">
        <v>1</v>
      </c>
      <c r="G294">
        <v>64781.839036288002</v>
      </c>
      <c r="H294">
        <v>9.8243500000000004E-4</v>
      </c>
      <c r="I294">
        <v>12003</v>
      </c>
      <c r="J294">
        <v>2890</v>
      </c>
      <c r="K294">
        <v>9113</v>
      </c>
      <c r="L294">
        <v>500</v>
      </c>
      <c r="M294">
        <v>499</v>
      </c>
      <c r="N294">
        <v>1</v>
      </c>
      <c r="O294">
        <v>16281.011892513799</v>
      </c>
      <c r="P294">
        <v>0</v>
      </c>
    </row>
    <row r="295" spans="1:16" x14ac:dyDescent="0.2">
      <c r="A295" s="3" t="s">
        <v>49</v>
      </c>
      <c r="B295" s="3" t="s">
        <v>52</v>
      </c>
      <c r="C295">
        <v>8</v>
      </c>
      <c r="D295">
        <v>19000</v>
      </c>
      <c r="E295">
        <v>499</v>
      </c>
      <c r="F295">
        <v>1</v>
      </c>
      <c r="G295">
        <v>19000</v>
      </c>
      <c r="H295">
        <v>9.822050000000001E-4</v>
      </c>
      <c r="I295">
        <v>12016</v>
      </c>
      <c r="J295">
        <v>2983</v>
      </c>
      <c r="K295">
        <v>9033</v>
      </c>
      <c r="L295">
        <v>500</v>
      </c>
      <c r="M295">
        <v>499</v>
      </c>
      <c r="N295">
        <v>1</v>
      </c>
      <c r="O295">
        <v>6984</v>
      </c>
      <c r="P295">
        <v>1</v>
      </c>
    </row>
    <row r="296" spans="1:16" x14ac:dyDescent="0.2">
      <c r="A296" s="3" t="s">
        <v>49</v>
      </c>
      <c r="B296" s="3" t="s">
        <v>52</v>
      </c>
      <c r="C296">
        <v>42</v>
      </c>
      <c r="D296">
        <v>17000</v>
      </c>
      <c r="E296">
        <v>499</v>
      </c>
      <c r="F296">
        <v>1</v>
      </c>
      <c r="G296">
        <v>17000</v>
      </c>
      <c r="H296">
        <v>9.8213100000000002E-4</v>
      </c>
      <c r="I296">
        <v>11980</v>
      </c>
      <c r="J296">
        <v>2910</v>
      </c>
      <c r="K296">
        <v>9070</v>
      </c>
      <c r="L296">
        <v>500</v>
      </c>
      <c r="M296">
        <v>499</v>
      </c>
      <c r="N296">
        <v>1</v>
      </c>
      <c r="O296">
        <v>5020</v>
      </c>
      <c r="P296">
        <v>1</v>
      </c>
    </row>
    <row r="297" spans="1:16" x14ac:dyDescent="0.2">
      <c r="A297" s="3" t="s">
        <v>49</v>
      </c>
      <c r="B297" s="3" t="s">
        <v>52</v>
      </c>
      <c r="C297">
        <v>39</v>
      </c>
      <c r="D297">
        <v>19000</v>
      </c>
      <c r="E297">
        <v>499</v>
      </c>
      <c r="F297">
        <v>1</v>
      </c>
      <c r="G297">
        <v>84218.384375429901</v>
      </c>
      <c r="H297">
        <v>9.8211299999999995E-4</v>
      </c>
      <c r="I297">
        <v>12000</v>
      </c>
      <c r="J297">
        <v>2933</v>
      </c>
      <c r="K297">
        <v>9067</v>
      </c>
      <c r="L297">
        <v>500</v>
      </c>
      <c r="M297">
        <v>499</v>
      </c>
      <c r="N297">
        <v>1</v>
      </c>
      <c r="O297">
        <v>31316.789246420201</v>
      </c>
      <c r="P297">
        <v>0</v>
      </c>
    </row>
    <row r="298" spans="1:16" x14ac:dyDescent="0.2">
      <c r="A298" s="3" t="s">
        <v>49</v>
      </c>
      <c r="B298" s="3" t="s">
        <v>52</v>
      </c>
      <c r="C298">
        <v>18</v>
      </c>
      <c r="D298">
        <v>19000</v>
      </c>
      <c r="E298">
        <v>499</v>
      </c>
      <c r="F298">
        <v>1</v>
      </c>
      <c r="G298">
        <v>19000</v>
      </c>
      <c r="H298">
        <v>9.8184800000000001E-4</v>
      </c>
      <c r="I298">
        <v>12017</v>
      </c>
      <c r="J298">
        <v>2970</v>
      </c>
      <c r="K298">
        <v>9047</v>
      </c>
      <c r="L298">
        <v>500</v>
      </c>
      <c r="M298">
        <v>499</v>
      </c>
      <c r="N298">
        <v>1</v>
      </c>
      <c r="O298">
        <v>6983</v>
      </c>
      <c r="P298">
        <v>1</v>
      </c>
    </row>
    <row r="299" spans="1:16" x14ac:dyDescent="0.2">
      <c r="A299" s="3" t="s">
        <v>49</v>
      </c>
      <c r="B299" s="3" t="s">
        <v>52</v>
      </c>
      <c r="C299">
        <v>17</v>
      </c>
      <c r="D299">
        <v>18000</v>
      </c>
      <c r="E299">
        <v>499</v>
      </c>
      <c r="F299">
        <v>1</v>
      </c>
      <c r="G299">
        <v>18000</v>
      </c>
      <c r="H299">
        <v>9.8182E-4</v>
      </c>
      <c r="I299">
        <v>11942</v>
      </c>
      <c r="J299">
        <v>2959</v>
      </c>
      <c r="K299">
        <v>8983</v>
      </c>
      <c r="L299">
        <v>500</v>
      </c>
      <c r="M299">
        <v>499</v>
      </c>
      <c r="N299">
        <v>1</v>
      </c>
      <c r="O299">
        <v>6058</v>
      </c>
      <c r="P299">
        <v>1</v>
      </c>
    </row>
    <row r="300" spans="1:16" x14ac:dyDescent="0.2">
      <c r="A300" s="3" t="s">
        <v>49</v>
      </c>
      <c r="B300" s="3" t="s">
        <v>52</v>
      </c>
      <c r="C300">
        <v>4</v>
      </c>
      <c r="D300">
        <v>10000</v>
      </c>
      <c r="E300">
        <v>499</v>
      </c>
      <c r="F300">
        <v>1</v>
      </c>
      <c r="G300">
        <v>39482.677260513999</v>
      </c>
      <c r="H300">
        <v>9.817929999999999E-4</v>
      </c>
      <c r="I300">
        <v>10000</v>
      </c>
      <c r="J300">
        <v>2696</v>
      </c>
      <c r="K300">
        <v>7304</v>
      </c>
      <c r="L300">
        <v>500</v>
      </c>
      <c r="M300">
        <v>499</v>
      </c>
      <c r="N300">
        <v>1</v>
      </c>
      <c r="O300">
        <v>0</v>
      </c>
      <c r="P300">
        <v>0</v>
      </c>
    </row>
    <row r="301" spans="1:16" x14ac:dyDescent="0.2">
      <c r="A301" s="3" t="s">
        <v>49</v>
      </c>
      <c r="B301" s="3" t="s">
        <v>52</v>
      </c>
      <c r="C301">
        <v>26</v>
      </c>
      <c r="D301">
        <v>19000</v>
      </c>
      <c r="E301">
        <v>499</v>
      </c>
      <c r="F301">
        <v>1</v>
      </c>
      <c r="G301">
        <v>84218.384375429901</v>
      </c>
      <c r="H301">
        <v>9.8152599999999993E-4</v>
      </c>
      <c r="I301">
        <v>12015</v>
      </c>
      <c r="J301">
        <v>2957</v>
      </c>
      <c r="K301">
        <v>9058</v>
      </c>
      <c r="L301">
        <v>500</v>
      </c>
      <c r="M301">
        <v>499</v>
      </c>
      <c r="N301">
        <v>1</v>
      </c>
      <c r="O301">
        <v>31243.4938278913</v>
      </c>
      <c r="P301">
        <v>0</v>
      </c>
    </row>
    <row r="302" spans="1:16" x14ac:dyDescent="0.2">
      <c r="A302" s="3" t="s">
        <v>49</v>
      </c>
      <c r="B302" s="3" t="s">
        <v>52</v>
      </c>
      <c r="C302">
        <v>38</v>
      </c>
      <c r="D302">
        <v>20000</v>
      </c>
      <c r="E302">
        <v>499</v>
      </c>
      <c r="F302">
        <v>1</v>
      </c>
      <c r="G302">
        <v>20000</v>
      </c>
      <c r="H302">
        <v>9.8138900000000005E-4</v>
      </c>
      <c r="I302">
        <v>11955</v>
      </c>
      <c r="J302">
        <v>2943</v>
      </c>
      <c r="K302">
        <v>9012</v>
      </c>
      <c r="L302">
        <v>500</v>
      </c>
      <c r="M302">
        <v>499</v>
      </c>
      <c r="N302">
        <v>1</v>
      </c>
      <c r="O302">
        <v>8045</v>
      </c>
      <c r="P302">
        <v>1</v>
      </c>
    </row>
    <row r="303" spans="1:16" x14ac:dyDescent="0.2">
      <c r="A303" s="3" t="s">
        <v>49</v>
      </c>
      <c r="B303" s="3" t="s">
        <v>52</v>
      </c>
      <c r="C303">
        <v>35</v>
      </c>
      <c r="D303">
        <v>20000</v>
      </c>
      <c r="E303">
        <v>499</v>
      </c>
      <c r="F303">
        <v>1</v>
      </c>
      <c r="G303">
        <v>20000</v>
      </c>
      <c r="H303">
        <v>9.810769999999999E-4</v>
      </c>
      <c r="I303">
        <v>11949</v>
      </c>
      <c r="J303">
        <v>2965</v>
      </c>
      <c r="K303">
        <v>8984</v>
      </c>
      <c r="L303">
        <v>500</v>
      </c>
      <c r="M303">
        <v>499</v>
      </c>
      <c r="N303">
        <v>1</v>
      </c>
      <c r="O303">
        <v>8051</v>
      </c>
      <c r="P303">
        <v>1</v>
      </c>
    </row>
    <row r="304" spans="1:16" x14ac:dyDescent="0.2">
      <c r="A304" s="3" t="s">
        <v>49</v>
      </c>
      <c r="B304" s="3" t="s">
        <v>52</v>
      </c>
      <c r="C304">
        <v>26</v>
      </c>
      <c r="D304">
        <v>19000</v>
      </c>
      <c r="E304">
        <v>499</v>
      </c>
      <c r="F304">
        <v>1</v>
      </c>
      <c r="G304">
        <v>19000</v>
      </c>
      <c r="H304">
        <v>9.8102299999999992E-4</v>
      </c>
      <c r="I304">
        <v>12021</v>
      </c>
      <c r="J304">
        <v>2951</v>
      </c>
      <c r="K304">
        <v>9070</v>
      </c>
      <c r="L304">
        <v>500</v>
      </c>
      <c r="M304">
        <v>499</v>
      </c>
      <c r="N304">
        <v>1</v>
      </c>
      <c r="O304">
        <v>6979</v>
      </c>
      <c r="P304">
        <v>1</v>
      </c>
    </row>
    <row r="305" spans="1:16" x14ac:dyDescent="0.2">
      <c r="A305" s="3" t="s">
        <v>49</v>
      </c>
      <c r="B305" s="3" t="s">
        <v>52</v>
      </c>
      <c r="C305">
        <v>2</v>
      </c>
      <c r="D305">
        <v>20000</v>
      </c>
      <c r="E305">
        <v>499</v>
      </c>
      <c r="F305">
        <v>1</v>
      </c>
      <c r="G305">
        <v>20000</v>
      </c>
      <c r="H305">
        <v>9.8097700000000006E-4</v>
      </c>
      <c r="I305">
        <v>11963</v>
      </c>
      <c r="J305">
        <v>3020</v>
      </c>
      <c r="K305">
        <v>8943</v>
      </c>
      <c r="L305">
        <v>500</v>
      </c>
      <c r="M305">
        <v>499</v>
      </c>
      <c r="N305">
        <v>1</v>
      </c>
      <c r="O305">
        <v>8037</v>
      </c>
      <c r="P305">
        <v>1</v>
      </c>
    </row>
    <row r="306" spans="1:16" x14ac:dyDescent="0.2">
      <c r="A306" s="3" t="s">
        <v>49</v>
      </c>
      <c r="B306" s="3" t="s">
        <v>52</v>
      </c>
      <c r="C306">
        <v>7</v>
      </c>
      <c r="D306">
        <v>20000</v>
      </c>
      <c r="E306">
        <v>499</v>
      </c>
      <c r="F306">
        <v>1</v>
      </c>
      <c r="G306">
        <v>82302.7524576211</v>
      </c>
      <c r="H306">
        <v>9.8092100000000005E-4</v>
      </c>
      <c r="I306">
        <v>11943</v>
      </c>
      <c r="J306">
        <v>2976</v>
      </c>
      <c r="K306">
        <v>8967</v>
      </c>
      <c r="L306">
        <v>500</v>
      </c>
      <c r="M306">
        <v>499</v>
      </c>
      <c r="N306">
        <v>1</v>
      </c>
      <c r="O306">
        <v>33290.740467396798</v>
      </c>
      <c r="P306">
        <v>0</v>
      </c>
    </row>
    <row r="307" spans="1:16" x14ac:dyDescent="0.2">
      <c r="A307" s="3" t="s">
        <v>49</v>
      </c>
      <c r="B307" s="3" t="s">
        <v>52</v>
      </c>
      <c r="C307">
        <v>22</v>
      </c>
      <c r="D307">
        <v>17000</v>
      </c>
      <c r="E307">
        <v>499</v>
      </c>
      <c r="F307">
        <v>1</v>
      </c>
      <c r="G307">
        <v>65872.258119671897</v>
      </c>
      <c r="H307">
        <v>9.8083000000000003E-4</v>
      </c>
      <c r="I307">
        <v>11985</v>
      </c>
      <c r="J307">
        <v>2913</v>
      </c>
      <c r="K307">
        <v>9072</v>
      </c>
      <c r="L307">
        <v>500</v>
      </c>
      <c r="M307">
        <v>499</v>
      </c>
      <c r="N307">
        <v>1</v>
      </c>
      <c r="O307">
        <v>19596.645335955302</v>
      </c>
      <c r="P307">
        <v>0</v>
      </c>
    </row>
    <row r="308" spans="1:16" x14ac:dyDescent="0.2">
      <c r="A308" s="3" t="s">
        <v>49</v>
      </c>
      <c r="B308" s="3" t="s">
        <v>52</v>
      </c>
      <c r="C308">
        <v>36</v>
      </c>
      <c r="D308">
        <v>17000</v>
      </c>
      <c r="E308">
        <v>499</v>
      </c>
      <c r="F308">
        <v>1</v>
      </c>
      <c r="G308">
        <v>17000</v>
      </c>
      <c r="H308">
        <v>9.8050000000000003E-4</v>
      </c>
      <c r="I308">
        <v>12002</v>
      </c>
      <c r="J308">
        <v>2967</v>
      </c>
      <c r="K308">
        <v>9035</v>
      </c>
      <c r="L308">
        <v>500</v>
      </c>
      <c r="M308">
        <v>499</v>
      </c>
      <c r="N308">
        <v>1</v>
      </c>
      <c r="O308">
        <v>4998</v>
      </c>
      <c r="P308">
        <v>1</v>
      </c>
    </row>
    <row r="309" spans="1:16" x14ac:dyDescent="0.2">
      <c r="A309" s="3" t="s">
        <v>49</v>
      </c>
      <c r="B309" s="3" t="s">
        <v>52</v>
      </c>
      <c r="C309">
        <v>39</v>
      </c>
      <c r="D309">
        <v>19000</v>
      </c>
      <c r="E309">
        <v>499</v>
      </c>
      <c r="F309">
        <v>1</v>
      </c>
      <c r="G309">
        <v>19000</v>
      </c>
      <c r="H309">
        <v>9.8005100000000001E-4</v>
      </c>
      <c r="I309">
        <v>11967</v>
      </c>
      <c r="J309">
        <v>2928</v>
      </c>
      <c r="K309">
        <v>9039</v>
      </c>
      <c r="L309">
        <v>500</v>
      </c>
      <c r="M309">
        <v>499</v>
      </c>
      <c r="N309">
        <v>1</v>
      </c>
      <c r="O309">
        <v>7033</v>
      </c>
      <c r="P309">
        <v>1</v>
      </c>
    </row>
    <row r="310" spans="1:16" x14ac:dyDescent="0.2">
      <c r="A310" s="3" t="s">
        <v>49</v>
      </c>
      <c r="B310" s="3" t="s">
        <v>52</v>
      </c>
      <c r="C310">
        <v>18</v>
      </c>
      <c r="D310">
        <v>15000</v>
      </c>
      <c r="E310">
        <v>499</v>
      </c>
      <c r="F310">
        <v>1</v>
      </c>
      <c r="G310">
        <v>60572.237308582698</v>
      </c>
      <c r="H310">
        <v>9.79775E-4</v>
      </c>
      <c r="I310">
        <v>11828</v>
      </c>
      <c r="J310">
        <v>2858</v>
      </c>
      <c r="K310">
        <v>8970</v>
      </c>
      <c r="L310">
        <v>500</v>
      </c>
      <c r="M310">
        <v>499</v>
      </c>
      <c r="N310">
        <v>1</v>
      </c>
      <c r="O310">
        <v>12840.9694225401</v>
      </c>
      <c r="P310">
        <v>0</v>
      </c>
    </row>
    <row r="311" spans="1:16" x14ac:dyDescent="0.2">
      <c r="A311" s="3" t="s">
        <v>49</v>
      </c>
      <c r="B311" s="3" t="s">
        <v>52</v>
      </c>
      <c r="C311">
        <v>40</v>
      </c>
      <c r="D311">
        <v>16000</v>
      </c>
      <c r="E311">
        <v>499</v>
      </c>
      <c r="F311">
        <v>1</v>
      </c>
      <c r="G311">
        <v>16000</v>
      </c>
      <c r="H311">
        <v>9.7962000000000006E-4</v>
      </c>
      <c r="I311">
        <v>12026</v>
      </c>
      <c r="J311">
        <v>2933</v>
      </c>
      <c r="K311">
        <v>9093</v>
      </c>
      <c r="L311">
        <v>500</v>
      </c>
      <c r="M311">
        <v>499</v>
      </c>
      <c r="N311">
        <v>1</v>
      </c>
      <c r="O311">
        <v>3974</v>
      </c>
      <c r="P311">
        <v>1</v>
      </c>
    </row>
    <row r="312" spans="1:16" x14ac:dyDescent="0.2">
      <c r="A312" s="3" t="s">
        <v>49</v>
      </c>
      <c r="B312" s="3" t="s">
        <v>52</v>
      </c>
      <c r="C312">
        <v>6</v>
      </c>
      <c r="D312">
        <v>20000</v>
      </c>
      <c r="E312">
        <v>499</v>
      </c>
      <c r="F312">
        <v>1</v>
      </c>
      <c r="G312">
        <v>82302.7524576211</v>
      </c>
      <c r="H312">
        <v>9.7931800000000007E-4</v>
      </c>
      <c r="I312">
        <v>11916</v>
      </c>
      <c r="J312">
        <v>2936</v>
      </c>
      <c r="K312">
        <v>8980</v>
      </c>
      <c r="L312">
        <v>500</v>
      </c>
      <c r="M312">
        <v>499</v>
      </c>
      <c r="N312">
        <v>1</v>
      </c>
      <c r="O312">
        <v>33378.9297670831</v>
      </c>
      <c r="P312">
        <v>0</v>
      </c>
    </row>
    <row r="313" spans="1:16" x14ac:dyDescent="0.2">
      <c r="A313" s="3" t="s">
        <v>49</v>
      </c>
      <c r="B313" s="3" t="s">
        <v>52</v>
      </c>
      <c r="C313">
        <v>17</v>
      </c>
      <c r="D313">
        <v>17000</v>
      </c>
      <c r="E313">
        <v>499</v>
      </c>
      <c r="F313">
        <v>1</v>
      </c>
      <c r="G313">
        <v>65872.258119671897</v>
      </c>
      <c r="H313">
        <v>9.7914300000000003E-4</v>
      </c>
      <c r="I313">
        <v>11915</v>
      </c>
      <c r="J313">
        <v>2886</v>
      </c>
      <c r="K313">
        <v>9029</v>
      </c>
      <c r="L313">
        <v>500</v>
      </c>
      <c r="M313">
        <v>499</v>
      </c>
      <c r="N313">
        <v>1</v>
      </c>
      <c r="O313">
        <v>19880.201228735601</v>
      </c>
      <c r="P313">
        <v>0</v>
      </c>
    </row>
    <row r="314" spans="1:16" x14ac:dyDescent="0.2">
      <c r="A314" s="3" t="s">
        <v>49</v>
      </c>
      <c r="B314" s="3" t="s">
        <v>52</v>
      </c>
      <c r="C314">
        <v>19</v>
      </c>
      <c r="D314">
        <v>12000</v>
      </c>
      <c r="E314">
        <v>499</v>
      </c>
      <c r="F314">
        <v>1</v>
      </c>
      <c r="G314">
        <v>12000</v>
      </c>
      <c r="H314">
        <v>9.7868499999999997E-4</v>
      </c>
      <c r="I314">
        <v>11906</v>
      </c>
      <c r="J314">
        <v>2778</v>
      </c>
      <c r="K314">
        <v>9128</v>
      </c>
      <c r="L314">
        <v>500</v>
      </c>
      <c r="M314">
        <v>499</v>
      </c>
      <c r="N314">
        <v>1</v>
      </c>
      <c r="O314">
        <v>94</v>
      </c>
      <c r="P314">
        <v>1</v>
      </c>
    </row>
    <row r="315" spans="1:16" x14ac:dyDescent="0.2">
      <c r="A315" s="3" t="s">
        <v>49</v>
      </c>
      <c r="B315" s="3" t="s">
        <v>52</v>
      </c>
      <c r="C315">
        <v>20</v>
      </c>
      <c r="D315">
        <v>20000</v>
      </c>
      <c r="E315">
        <v>499</v>
      </c>
      <c r="F315">
        <v>1</v>
      </c>
      <c r="G315">
        <v>20000</v>
      </c>
      <c r="H315">
        <v>9.7843699999999997E-4</v>
      </c>
      <c r="I315">
        <v>11961</v>
      </c>
      <c r="J315">
        <v>2959</v>
      </c>
      <c r="K315">
        <v>9002</v>
      </c>
      <c r="L315">
        <v>500</v>
      </c>
      <c r="M315">
        <v>499</v>
      </c>
      <c r="N315">
        <v>1</v>
      </c>
      <c r="O315">
        <v>8039</v>
      </c>
      <c r="P315">
        <v>1</v>
      </c>
    </row>
    <row r="316" spans="1:16" x14ac:dyDescent="0.2">
      <c r="A316" s="3" t="s">
        <v>49</v>
      </c>
      <c r="B316" s="3" t="s">
        <v>52</v>
      </c>
      <c r="C316">
        <v>16</v>
      </c>
      <c r="D316">
        <v>18000</v>
      </c>
      <c r="E316">
        <v>499</v>
      </c>
      <c r="F316">
        <v>1</v>
      </c>
      <c r="G316">
        <v>18000</v>
      </c>
      <c r="H316">
        <v>9.783280000000001E-4</v>
      </c>
      <c r="I316">
        <v>11959</v>
      </c>
      <c r="J316">
        <v>2945</v>
      </c>
      <c r="K316">
        <v>9014</v>
      </c>
      <c r="L316">
        <v>500</v>
      </c>
      <c r="M316">
        <v>499</v>
      </c>
      <c r="N316">
        <v>1</v>
      </c>
      <c r="O316">
        <v>6041</v>
      </c>
      <c r="P316">
        <v>1</v>
      </c>
    </row>
    <row r="317" spans="1:16" x14ac:dyDescent="0.2">
      <c r="A317" s="3" t="s">
        <v>49</v>
      </c>
      <c r="B317" s="3" t="s">
        <v>52</v>
      </c>
      <c r="C317">
        <v>35</v>
      </c>
      <c r="D317">
        <v>18000</v>
      </c>
      <c r="E317">
        <v>499</v>
      </c>
      <c r="F317">
        <v>1</v>
      </c>
      <c r="G317">
        <v>18000</v>
      </c>
      <c r="H317">
        <v>9.7825400000000002E-4</v>
      </c>
      <c r="I317">
        <v>11955</v>
      </c>
      <c r="J317">
        <v>2938</v>
      </c>
      <c r="K317">
        <v>9017</v>
      </c>
      <c r="L317">
        <v>500</v>
      </c>
      <c r="M317">
        <v>499</v>
      </c>
      <c r="N317">
        <v>1</v>
      </c>
      <c r="O317">
        <v>6045</v>
      </c>
      <c r="P317">
        <v>1</v>
      </c>
    </row>
    <row r="318" spans="1:16" x14ac:dyDescent="0.2">
      <c r="A318" s="3" t="s">
        <v>49</v>
      </c>
      <c r="B318" s="3" t="s">
        <v>52</v>
      </c>
      <c r="C318">
        <v>21</v>
      </c>
      <c r="D318">
        <v>19000</v>
      </c>
      <c r="E318">
        <v>499</v>
      </c>
      <c r="F318">
        <v>1</v>
      </c>
      <c r="G318">
        <v>84218.384375429901</v>
      </c>
      <c r="H318">
        <v>9.778600000000001E-4</v>
      </c>
      <c r="I318">
        <v>12043</v>
      </c>
      <c r="J318">
        <v>2992</v>
      </c>
      <c r="K318">
        <v>9051</v>
      </c>
      <c r="L318">
        <v>500</v>
      </c>
      <c r="M318">
        <v>499</v>
      </c>
      <c r="N318">
        <v>1</v>
      </c>
      <c r="O318">
        <v>31150.392992938101</v>
      </c>
      <c r="P318">
        <v>0</v>
      </c>
    </row>
    <row r="319" spans="1:16" x14ac:dyDescent="0.2">
      <c r="A319" s="3" t="s">
        <v>49</v>
      </c>
      <c r="B319" s="3" t="s">
        <v>52</v>
      </c>
      <c r="C319">
        <v>47</v>
      </c>
      <c r="D319">
        <v>16000</v>
      </c>
      <c r="E319">
        <v>499</v>
      </c>
      <c r="F319">
        <v>1</v>
      </c>
      <c r="G319">
        <v>16000</v>
      </c>
      <c r="H319">
        <v>9.7779599999999996E-4</v>
      </c>
      <c r="I319">
        <v>12003</v>
      </c>
      <c r="J319">
        <v>2884</v>
      </c>
      <c r="K319">
        <v>9119</v>
      </c>
      <c r="L319">
        <v>500</v>
      </c>
      <c r="M319">
        <v>499</v>
      </c>
      <c r="N319">
        <v>1</v>
      </c>
      <c r="O319">
        <v>3997</v>
      </c>
      <c r="P319">
        <v>1</v>
      </c>
    </row>
    <row r="320" spans="1:16" x14ac:dyDescent="0.2">
      <c r="A320" s="3" t="s">
        <v>49</v>
      </c>
      <c r="B320" s="3" t="s">
        <v>52</v>
      </c>
      <c r="C320">
        <v>11</v>
      </c>
      <c r="D320">
        <v>17000</v>
      </c>
      <c r="E320">
        <v>499</v>
      </c>
      <c r="F320">
        <v>1</v>
      </c>
      <c r="G320">
        <v>65872.258119671897</v>
      </c>
      <c r="H320">
        <v>9.7756600000000003E-4</v>
      </c>
      <c r="I320">
        <v>11954</v>
      </c>
      <c r="J320">
        <v>2938</v>
      </c>
      <c r="K320">
        <v>9016</v>
      </c>
      <c r="L320">
        <v>500</v>
      </c>
      <c r="M320">
        <v>499</v>
      </c>
      <c r="N320">
        <v>1</v>
      </c>
      <c r="O320">
        <v>19696.376036843201</v>
      </c>
      <c r="P320">
        <v>0</v>
      </c>
    </row>
    <row r="321" spans="1:16" x14ac:dyDescent="0.2">
      <c r="A321" s="3" t="s">
        <v>49</v>
      </c>
      <c r="B321" s="3" t="s">
        <v>52</v>
      </c>
      <c r="C321">
        <v>42</v>
      </c>
      <c r="D321">
        <v>20000</v>
      </c>
      <c r="E321">
        <v>499</v>
      </c>
      <c r="F321">
        <v>1</v>
      </c>
      <c r="G321">
        <v>20000</v>
      </c>
      <c r="H321">
        <v>9.7754900000000008E-4</v>
      </c>
      <c r="I321">
        <v>11994</v>
      </c>
      <c r="J321">
        <v>3017</v>
      </c>
      <c r="K321">
        <v>8977</v>
      </c>
      <c r="L321">
        <v>500</v>
      </c>
      <c r="M321">
        <v>499</v>
      </c>
      <c r="N321">
        <v>1</v>
      </c>
      <c r="O321">
        <v>8006</v>
      </c>
      <c r="P321">
        <v>1</v>
      </c>
    </row>
    <row r="322" spans="1:16" x14ac:dyDescent="0.2">
      <c r="A322" s="3" t="s">
        <v>49</v>
      </c>
      <c r="B322" s="3" t="s">
        <v>52</v>
      </c>
      <c r="C322">
        <v>5</v>
      </c>
      <c r="D322">
        <v>19000</v>
      </c>
      <c r="E322">
        <v>499</v>
      </c>
      <c r="F322">
        <v>1</v>
      </c>
      <c r="G322">
        <v>19000</v>
      </c>
      <c r="H322">
        <v>9.775020000000001E-4</v>
      </c>
      <c r="I322">
        <v>12025</v>
      </c>
      <c r="J322">
        <v>2931</v>
      </c>
      <c r="K322">
        <v>9094</v>
      </c>
      <c r="L322">
        <v>500</v>
      </c>
      <c r="M322">
        <v>499</v>
      </c>
      <c r="N322">
        <v>1</v>
      </c>
      <c r="O322">
        <v>6975</v>
      </c>
      <c r="P322">
        <v>1</v>
      </c>
    </row>
    <row r="323" spans="1:16" x14ac:dyDescent="0.2">
      <c r="A323" s="3" t="s">
        <v>49</v>
      </c>
      <c r="B323" s="3" t="s">
        <v>52</v>
      </c>
      <c r="C323">
        <v>32</v>
      </c>
      <c r="D323">
        <v>16000</v>
      </c>
      <c r="E323">
        <v>499</v>
      </c>
      <c r="F323">
        <v>1</v>
      </c>
      <c r="G323">
        <v>16000</v>
      </c>
      <c r="H323">
        <v>9.7703500000000001E-4</v>
      </c>
      <c r="I323">
        <v>12008</v>
      </c>
      <c r="J323">
        <v>2883</v>
      </c>
      <c r="K323">
        <v>9125</v>
      </c>
      <c r="L323">
        <v>500</v>
      </c>
      <c r="M323">
        <v>499</v>
      </c>
      <c r="N323">
        <v>1</v>
      </c>
      <c r="O323">
        <v>3992</v>
      </c>
      <c r="P323">
        <v>1</v>
      </c>
    </row>
    <row r="324" spans="1:16" x14ac:dyDescent="0.2">
      <c r="A324" s="3" t="s">
        <v>49</v>
      </c>
      <c r="B324" s="3" t="s">
        <v>52</v>
      </c>
      <c r="C324">
        <v>45</v>
      </c>
      <c r="D324">
        <v>19000</v>
      </c>
      <c r="E324">
        <v>499</v>
      </c>
      <c r="F324">
        <v>1</v>
      </c>
      <c r="G324">
        <v>19000</v>
      </c>
      <c r="H324">
        <v>9.7657699999999996E-4</v>
      </c>
      <c r="I324">
        <v>12022</v>
      </c>
      <c r="J324">
        <v>2969</v>
      </c>
      <c r="K324">
        <v>9053</v>
      </c>
      <c r="L324">
        <v>500</v>
      </c>
      <c r="M324">
        <v>499</v>
      </c>
      <c r="N324">
        <v>1</v>
      </c>
      <c r="O324">
        <v>6978</v>
      </c>
      <c r="P324">
        <v>1</v>
      </c>
    </row>
    <row r="325" spans="1:16" x14ac:dyDescent="0.2">
      <c r="A325" s="3" t="s">
        <v>49</v>
      </c>
      <c r="B325" s="3" t="s">
        <v>52</v>
      </c>
      <c r="C325">
        <v>11</v>
      </c>
      <c r="D325">
        <v>19000</v>
      </c>
      <c r="E325">
        <v>499</v>
      </c>
      <c r="F325">
        <v>1</v>
      </c>
      <c r="G325">
        <v>84218.384375429901</v>
      </c>
      <c r="H325">
        <v>9.7642099999999999E-4</v>
      </c>
      <c r="I325">
        <v>11994</v>
      </c>
      <c r="J325">
        <v>2938</v>
      </c>
      <c r="K325">
        <v>9056</v>
      </c>
      <c r="L325">
        <v>500</v>
      </c>
      <c r="M325">
        <v>499</v>
      </c>
      <c r="N325">
        <v>1</v>
      </c>
      <c r="O325">
        <v>31357.570723959801</v>
      </c>
      <c r="P325">
        <v>0</v>
      </c>
    </row>
    <row r="326" spans="1:16" x14ac:dyDescent="0.2">
      <c r="A326" s="3" t="s">
        <v>49</v>
      </c>
      <c r="B326" s="3" t="s">
        <v>52</v>
      </c>
      <c r="C326">
        <v>14</v>
      </c>
      <c r="D326">
        <v>17000</v>
      </c>
      <c r="E326">
        <v>499</v>
      </c>
      <c r="F326">
        <v>1</v>
      </c>
      <c r="G326">
        <v>17000</v>
      </c>
      <c r="H326">
        <v>9.7640200000000002E-4</v>
      </c>
      <c r="I326">
        <v>11952</v>
      </c>
      <c r="J326">
        <v>2904</v>
      </c>
      <c r="K326">
        <v>9048</v>
      </c>
      <c r="L326">
        <v>500</v>
      </c>
      <c r="M326">
        <v>499</v>
      </c>
      <c r="N326">
        <v>1</v>
      </c>
      <c r="O326">
        <v>5048</v>
      </c>
      <c r="P326">
        <v>1</v>
      </c>
    </row>
    <row r="327" spans="1:16" x14ac:dyDescent="0.2">
      <c r="A327" s="3" t="s">
        <v>49</v>
      </c>
      <c r="B327" s="3" t="s">
        <v>52</v>
      </c>
      <c r="C327">
        <v>49</v>
      </c>
      <c r="D327">
        <v>18000</v>
      </c>
      <c r="E327">
        <v>499</v>
      </c>
      <c r="F327">
        <v>1</v>
      </c>
      <c r="G327">
        <v>18000</v>
      </c>
      <c r="H327">
        <v>9.7592600000000001E-4</v>
      </c>
      <c r="I327">
        <v>11974</v>
      </c>
      <c r="J327">
        <v>2953</v>
      </c>
      <c r="K327">
        <v>9021</v>
      </c>
      <c r="L327">
        <v>500</v>
      </c>
      <c r="M327">
        <v>499</v>
      </c>
      <c r="N327">
        <v>1</v>
      </c>
      <c r="O327">
        <v>6026</v>
      </c>
      <c r="P327">
        <v>1</v>
      </c>
    </row>
    <row r="328" spans="1:16" x14ac:dyDescent="0.2">
      <c r="A328" s="3" t="s">
        <v>49</v>
      </c>
      <c r="B328" s="3" t="s">
        <v>52</v>
      </c>
      <c r="C328">
        <v>7</v>
      </c>
      <c r="D328">
        <v>17000</v>
      </c>
      <c r="E328">
        <v>499</v>
      </c>
      <c r="F328">
        <v>1</v>
      </c>
      <c r="G328">
        <v>65872.258119671897</v>
      </c>
      <c r="H328">
        <v>9.7588999999999998E-4</v>
      </c>
      <c r="I328">
        <v>11941</v>
      </c>
      <c r="J328">
        <v>2903</v>
      </c>
      <c r="K328">
        <v>9038</v>
      </c>
      <c r="L328">
        <v>500</v>
      </c>
      <c r="M328">
        <v>499</v>
      </c>
      <c r="N328">
        <v>1</v>
      </c>
      <c r="O328">
        <v>19758.488594260401</v>
      </c>
      <c r="P328">
        <v>0</v>
      </c>
    </row>
    <row r="329" spans="1:16" x14ac:dyDescent="0.2">
      <c r="A329" s="3" t="s">
        <v>49</v>
      </c>
      <c r="B329" s="3" t="s">
        <v>52</v>
      </c>
      <c r="C329">
        <v>32</v>
      </c>
      <c r="D329">
        <v>19000</v>
      </c>
      <c r="E329">
        <v>499</v>
      </c>
      <c r="F329">
        <v>1</v>
      </c>
      <c r="G329">
        <v>84218.384375429901</v>
      </c>
      <c r="H329">
        <v>9.7556900000000002E-4</v>
      </c>
      <c r="I329">
        <v>12032</v>
      </c>
      <c r="J329">
        <v>2979</v>
      </c>
      <c r="K329">
        <v>9053</v>
      </c>
      <c r="L329">
        <v>500</v>
      </c>
      <c r="M329">
        <v>499</v>
      </c>
      <c r="N329">
        <v>1</v>
      </c>
      <c r="O329">
        <v>31201.492399125698</v>
      </c>
      <c r="P329">
        <v>0</v>
      </c>
    </row>
    <row r="330" spans="1:16" x14ac:dyDescent="0.2">
      <c r="A330" s="3" t="s">
        <v>49</v>
      </c>
      <c r="B330" s="3" t="s">
        <v>52</v>
      </c>
      <c r="C330">
        <v>28</v>
      </c>
      <c r="D330">
        <v>16000</v>
      </c>
      <c r="E330">
        <v>499</v>
      </c>
      <c r="F330">
        <v>1</v>
      </c>
      <c r="G330">
        <v>16000</v>
      </c>
      <c r="H330">
        <v>9.7534900000000003E-4</v>
      </c>
      <c r="I330">
        <v>12041</v>
      </c>
      <c r="J330">
        <v>2920</v>
      </c>
      <c r="K330">
        <v>9121</v>
      </c>
      <c r="L330">
        <v>500</v>
      </c>
      <c r="M330">
        <v>499</v>
      </c>
      <c r="N330">
        <v>1</v>
      </c>
      <c r="O330">
        <v>3959</v>
      </c>
      <c r="P330">
        <v>1</v>
      </c>
    </row>
    <row r="331" spans="1:16" x14ac:dyDescent="0.2">
      <c r="A331" s="3" t="s">
        <v>49</v>
      </c>
      <c r="B331" s="3" t="s">
        <v>52</v>
      </c>
      <c r="C331">
        <v>23</v>
      </c>
      <c r="D331">
        <v>18000</v>
      </c>
      <c r="E331">
        <v>499</v>
      </c>
      <c r="F331">
        <v>1</v>
      </c>
      <c r="G331">
        <v>18000</v>
      </c>
      <c r="H331">
        <v>9.7533899999999998E-4</v>
      </c>
      <c r="I331">
        <v>11976</v>
      </c>
      <c r="J331">
        <v>2953</v>
      </c>
      <c r="K331">
        <v>9023</v>
      </c>
      <c r="L331">
        <v>500</v>
      </c>
      <c r="M331">
        <v>499</v>
      </c>
      <c r="N331">
        <v>1</v>
      </c>
      <c r="O331">
        <v>6024</v>
      </c>
      <c r="P331">
        <v>1</v>
      </c>
    </row>
    <row r="332" spans="1:16" x14ac:dyDescent="0.2">
      <c r="A332" s="3" t="s">
        <v>49</v>
      </c>
      <c r="B332" s="3" t="s">
        <v>52</v>
      </c>
      <c r="C332">
        <v>42</v>
      </c>
      <c r="D332">
        <v>15000</v>
      </c>
      <c r="E332">
        <v>499</v>
      </c>
      <c r="F332">
        <v>1</v>
      </c>
      <c r="G332">
        <v>15000</v>
      </c>
      <c r="H332">
        <v>9.7521999999999995E-4</v>
      </c>
      <c r="I332">
        <v>11843</v>
      </c>
      <c r="J332">
        <v>2879</v>
      </c>
      <c r="K332">
        <v>8964</v>
      </c>
      <c r="L332">
        <v>500</v>
      </c>
      <c r="M332">
        <v>499</v>
      </c>
      <c r="N332">
        <v>1</v>
      </c>
      <c r="O332">
        <v>3157</v>
      </c>
      <c r="P332">
        <v>1</v>
      </c>
    </row>
    <row r="333" spans="1:16" x14ac:dyDescent="0.2">
      <c r="A333" s="3" t="s">
        <v>49</v>
      </c>
      <c r="B333" s="3" t="s">
        <v>52</v>
      </c>
      <c r="C333">
        <v>3</v>
      </c>
      <c r="D333">
        <v>18000</v>
      </c>
      <c r="E333">
        <v>499</v>
      </c>
      <c r="F333">
        <v>1</v>
      </c>
      <c r="G333">
        <v>18000</v>
      </c>
      <c r="H333">
        <v>9.7518400000000003E-4</v>
      </c>
      <c r="I333">
        <v>11980</v>
      </c>
      <c r="J333">
        <v>2943</v>
      </c>
      <c r="K333">
        <v>9037</v>
      </c>
      <c r="L333">
        <v>500</v>
      </c>
      <c r="M333">
        <v>499</v>
      </c>
      <c r="N333">
        <v>1</v>
      </c>
      <c r="O333">
        <v>6020</v>
      </c>
      <c r="P333">
        <v>1</v>
      </c>
    </row>
    <row r="334" spans="1:16" x14ac:dyDescent="0.2">
      <c r="A334" s="3" t="s">
        <v>49</v>
      </c>
      <c r="B334" s="3" t="s">
        <v>52</v>
      </c>
      <c r="C334">
        <v>49</v>
      </c>
      <c r="D334">
        <v>19000</v>
      </c>
      <c r="E334">
        <v>499</v>
      </c>
      <c r="F334">
        <v>1</v>
      </c>
      <c r="G334">
        <v>84218.384375429901</v>
      </c>
      <c r="H334">
        <v>9.7464199999999996E-4</v>
      </c>
      <c r="I334">
        <v>12002</v>
      </c>
      <c r="J334">
        <v>2934</v>
      </c>
      <c r="K334">
        <v>9068</v>
      </c>
      <c r="L334">
        <v>500</v>
      </c>
      <c r="M334">
        <v>499</v>
      </c>
      <c r="N334">
        <v>1</v>
      </c>
      <c r="O334">
        <v>31264.484664359301</v>
      </c>
      <c r="P334">
        <v>0</v>
      </c>
    </row>
    <row r="335" spans="1:16" x14ac:dyDescent="0.2">
      <c r="A335" s="3" t="s">
        <v>49</v>
      </c>
      <c r="B335" s="3" t="s">
        <v>52</v>
      </c>
      <c r="C335">
        <v>13</v>
      </c>
      <c r="D335">
        <v>17000</v>
      </c>
      <c r="E335">
        <v>499</v>
      </c>
      <c r="F335">
        <v>1</v>
      </c>
      <c r="G335">
        <v>17000</v>
      </c>
      <c r="H335">
        <v>9.7435000000000002E-4</v>
      </c>
      <c r="I335">
        <v>11938</v>
      </c>
      <c r="J335">
        <v>2877</v>
      </c>
      <c r="K335">
        <v>9061</v>
      </c>
      <c r="L335">
        <v>500</v>
      </c>
      <c r="M335">
        <v>499</v>
      </c>
      <c r="N335">
        <v>1</v>
      </c>
      <c r="O335">
        <v>5062</v>
      </c>
      <c r="P335">
        <v>1</v>
      </c>
    </row>
    <row r="336" spans="1:16" x14ac:dyDescent="0.2">
      <c r="A336" s="3" t="s">
        <v>49</v>
      </c>
      <c r="B336" s="3" t="s">
        <v>52</v>
      </c>
      <c r="C336">
        <v>37</v>
      </c>
      <c r="D336">
        <v>19000</v>
      </c>
      <c r="E336">
        <v>499</v>
      </c>
      <c r="F336">
        <v>1</v>
      </c>
      <c r="G336">
        <v>84218.384375429901</v>
      </c>
      <c r="H336">
        <v>9.7421200000000002E-4</v>
      </c>
      <c r="I336">
        <v>12038</v>
      </c>
      <c r="J336">
        <v>2997</v>
      </c>
      <c r="K336">
        <v>9041</v>
      </c>
      <c r="L336">
        <v>500</v>
      </c>
      <c r="M336">
        <v>499</v>
      </c>
      <c r="N336">
        <v>1</v>
      </c>
      <c r="O336">
        <v>31204.460742994001</v>
      </c>
      <c r="P336">
        <v>0</v>
      </c>
    </row>
    <row r="337" spans="1:16" x14ac:dyDescent="0.2">
      <c r="A337" s="3" t="s">
        <v>49</v>
      </c>
      <c r="B337" s="3" t="s">
        <v>52</v>
      </c>
      <c r="C337">
        <v>41</v>
      </c>
      <c r="D337">
        <v>18000</v>
      </c>
      <c r="E337">
        <v>499</v>
      </c>
      <c r="F337">
        <v>1</v>
      </c>
      <c r="G337">
        <v>75479.649376234796</v>
      </c>
      <c r="H337">
        <v>9.7408300000000005E-4</v>
      </c>
      <c r="I337">
        <v>11938</v>
      </c>
      <c r="J337">
        <v>2904</v>
      </c>
      <c r="K337">
        <v>9034</v>
      </c>
      <c r="L337">
        <v>500</v>
      </c>
      <c r="M337">
        <v>499</v>
      </c>
      <c r="N337">
        <v>1</v>
      </c>
      <c r="O337">
        <v>25700.0265413259</v>
      </c>
      <c r="P337">
        <v>0</v>
      </c>
    </row>
    <row r="338" spans="1:16" x14ac:dyDescent="0.2">
      <c r="A338" s="3" t="s">
        <v>49</v>
      </c>
      <c r="B338" s="3" t="s">
        <v>52</v>
      </c>
      <c r="C338">
        <v>6</v>
      </c>
      <c r="D338">
        <v>18000</v>
      </c>
      <c r="E338">
        <v>499</v>
      </c>
      <c r="F338">
        <v>1</v>
      </c>
      <c r="G338">
        <v>18000</v>
      </c>
      <c r="H338">
        <v>9.7397300000000005E-4</v>
      </c>
      <c r="I338">
        <v>11947</v>
      </c>
      <c r="J338">
        <v>2897</v>
      </c>
      <c r="K338">
        <v>9050</v>
      </c>
      <c r="L338">
        <v>500</v>
      </c>
      <c r="M338">
        <v>499</v>
      </c>
      <c r="N338">
        <v>1</v>
      </c>
      <c r="O338">
        <v>6053</v>
      </c>
      <c r="P338">
        <v>1</v>
      </c>
    </row>
    <row r="339" spans="1:16" x14ac:dyDescent="0.2">
      <c r="A339" s="3" t="s">
        <v>49</v>
      </c>
      <c r="B339" s="3" t="s">
        <v>52</v>
      </c>
      <c r="C339">
        <v>6</v>
      </c>
      <c r="D339">
        <v>12000</v>
      </c>
      <c r="E339">
        <v>499</v>
      </c>
      <c r="F339">
        <v>1</v>
      </c>
      <c r="G339">
        <v>12000</v>
      </c>
      <c r="H339">
        <v>9.7378999999999999E-4</v>
      </c>
      <c r="I339">
        <v>11870</v>
      </c>
      <c r="J339">
        <v>2743</v>
      </c>
      <c r="K339">
        <v>9127</v>
      </c>
      <c r="L339">
        <v>500</v>
      </c>
      <c r="M339">
        <v>499</v>
      </c>
      <c r="N339">
        <v>1</v>
      </c>
      <c r="O339">
        <v>130</v>
      </c>
      <c r="P339">
        <v>1</v>
      </c>
    </row>
    <row r="340" spans="1:16" x14ac:dyDescent="0.2">
      <c r="A340" s="3" t="s">
        <v>49</v>
      </c>
      <c r="B340" s="3" t="s">
        <v>52</v>
      </c>
      <c r="C340">
        <v>2</v>
      </c>
      <c r="D340">
        <v>16000</v>
      </c>
      <c r="E340">
        <v>499</v>
      </c>
      <c r="F340">
        <v>1</v>
      </c>
      <c r="G340">
        <v>64781.839036288002</v>
      </c>
      <c r="H340">
        <v>9.7377200000000003E-4</v>
      </c>
      <c r="I340">
        <v>12006</v>
      </c>
      <c r="J340">
        <v>2923</v>
      </c>
      <c r="K340">
        <v>9083</v>
      </c>
      <c r="L340">
        <v>500</v>
      </c>
      <c r="M340">
        <v>499</v>
      </c>
      <c r="N340">
        <v>1</v>
      </c>
      <c r="O340">
        <v>16269.267467035001</v>
      </c>
      <c r="P340">
        <v>0</v>
      </c>
    </row>
    <row r="341" spans="1:16" x14ac:dyDescent="0.2">
      <c r="A341" s="3" t="s">
        <v>49</v>
      </c>
      <c r="B341" s="3" t="s">
        <v>52</v>
      </c>
      <c r="C341">
        <v>3</v>
      </c>
      <c r="D341">
        <v>17000</v>
      </c>
      <c r="E341">
        <v>499</v>
      </c>
      <c r="F341">
        <v>1</v>
      </c>
      <c r="G341">
        <v>17000</v>
      </c>
      <c r="H341">
        <v>9.7349700000000003E-4</v>
      </c>
      <c r="I341">
        <v>12001</v>
      </c>
      <c r="J341">
        <v>2934</v>
      </c>
      <c r="K341">
        <v>9067</v>
      </c>
      <c r="L341">
        <v>500</v>
      </c>
      <c r="M341">
        <v>499</v>
      </c>
      <c r="N341">
        <v>1</v>
      </c>
      <c r="O341">
        <v>4999</v>
      </c>
      <c r="P341">
        <v>1</v>
      </c>
    </row>
    <row r="342" spans="1:16" x14ac:dyDescent="0.2">
      <c r="A342" s="3" t="s">
        <v>49</v>
      </c>
      <c r="B342" s="3" t="s">
        <v>52</v>
      </c>
      <c r="C342">
        <v>15</v>
      </c>
      <c r="D342">
        <v>18000</v>
      </c>
      <c r="E342">
        <v>499</v>
      </c>
      <c r="F342">
        <v>1</v>
      </c>
      <c r="G342">
        <v>75479.649376234796</v>
      </c>
      <c r="H342">
        <v>9.7345899999999998E-4</v>
      </c>
      <c r="I342">
        <v>11956</v>
      </c>
      <c r="J342">
        <v>2916</v>
      </c>
      <c r="K342">
        <v>9040</v>
      </c>
      <c r="L342">
        <v>500</v>
      </c>
      <c r="M342">
        <v>499</v>
      </c>
      <c r="N342">
        <v>1</v>
      </c>
      <c r="O342">
        <v>25651.134898062199</v>
      </c>
      <c r="P342">
        <v>0</v>
      </c>
    </row>
    <row r="343" spans="1:16" x14ac:dyDescent="0.2">
      <c r="A343" s="3" t="s">
        <v>49</v>
      </c>
      <c r="B343" s="3" t="s">
        <v>52</v>
      </c>
      <c r="C343">
        <v>28</v>
      </c>
      <c r="D343">
        <v>12000</v>
      </c>
      <c r="E343">
        <v>499</v>
      </c>
      <c r="F343">
        <v>1</v>
      </c>
      <c r="G343">
        <v>12000</v>
      </c>
      <c r="H343">
        <v>9.7310199999999999E-4</v>
      </c>
      <c r="I343">
        <v>11900</v>
      </c>
      <c r="J343">
        <v>2761</v>
      </c>
      <c r="K343">
        <v>9139</v>
      </c>
      <c r="L343">
        <v>500</v>
      </c>
      <c r="M343">
        <v>499</v>
      </c>
      <c r="N343">
        <v>1</v>
      </c>
      <c r="O343">
        <v>100</v>
      </c>
      <c r="P343">
        <v>1</v>
      </c>
    </row>
    <row r="344" spans="1:16" x14ac:dyDescent="0.2">
      <c r="A344" s="3" t="s">
        <v>49</v>
      </c>
      <c r="B344" s="3" t="s">
        <v>52</v>
      </c>
      <c r="C344">
        <v>44</v>
      </c>
      <c r="D344">
        <v>16000</v>
      </c>
      <c r="E344">
        <v>499</v>
      </c>
      <c r="F344">
        <v>1</v>
      </c>
      <c r="G344">
        <v>64781.839036288002</v>
      </c>
      <c r="H344">
        <v>9.7309299999999996E-4</v>
      </c>
      <c r="I344">
        <v>11975</v>
      </c>
      <c r="J344">
        <v>2912</v>
      </c>
      <c r="K344">
        <v>9063</v>
      </c>
      <c r="L344">
        <v>500</v>
      </c>
      <c r="M344">
        <v>499</v>
      </c>
      <c r="N344">
        <v>1</v>
      </c>
      <c r="O344">
        <v>16353.080059338799</v>
      </c>
      <c r="P344">
        <v>0</v>
      </c>
    </row>
    <row r="345" spans="1:16" x14ac:dyDescent="0.2">
      <c r="A345" s="3" t="s">
        <v>49</v>
      </c>
      <c r="B345" s="3" t="s">
        <v>52</v>
      </c>
      <c r="C345">
        <v>28</v>
      </c>
      <c r="D345">
        <v>19000</v>
      </c>
      <c r="E345">
        <v>499</v>
      </c>
      <c r="F345">
        <v>1</v>
      </c>
      <c r="G345">
        <v>84218.384375429901</v>
      </c>
      <c r="H345">
        <v>9.72772E-4</v>
      </c>
      <c r="I345">
        <v>12036</v>
      </c>
      <c r="J345">
        <v>2965</v>
      </c>
      <c r="K345">
        <v>9071</v>
      </c>
      <c r="L345">
        <v>500</v>
      </c>
      <c r="M345">
        <v>499</v>
      </c>
      <c r="N345">
        <v>1</v>
      </c>
      <c r="O345">
        <v>31226.806760350999</v>
      </c>
      <c r="P345">
        <v>0</v>
      </c>
    </row>
    <row r="346" spans="1:16" x14ac:dyDescent="0.2">
      <c r="A346" s="3" t="s">
        <v>49</v>
      </c>
      <c r="B346" s="3" t="s">
        <v>52</v>
      </c>
      <c r="C346">
        <v>45</v>
      </c>
      <c r="D346">
        <v>16000</v>
      </c>
      <c r="E346">
        <v>499</v>
      </c>
      <c r="F346">
        <v>1</v>
      </c>
      <c r="G346">
        <v>16000</v>
      </c>
      <c r="H346">
        <v>9.7262599999999998E-4</v>
      </c>
      <c r="I346">
        <v>11996</v>
      </c>
      <c r="J346">
        <v>2932</v>
      </c>
      <c r="K346">
        <v>9064</v>
      </c>
      <c r="L346">
        <v>500</v>
      </c>
      <c r="M346">
        <v>499</v>
      </c>
      <c r="N346">
        <v>1</v>
      </c>
      <c r="O346">
        <v>4004</v>
      </c>
      <c r="P346">
        <v>1</v>
      </c>
    </row>
    <row r="347" spans="1:16" x14ac:dyDescent="0.2">
      <c r="A347" s="3" t="s">
        <v>49</v>
      </c>
      <c r="B347" s="3" t="s">
        <v>52</v>
      </c>
      <c r="C347">
        <v>35</v>
      </c>
      <c r="D347">
        <v>19000</v>
      </c>
      <c r="E347">
        <v>499</v>
      </c>
      <c r="F347">
        <v>1</v>
      </c>
      <c r="G347">
        <v>19000</v>
      </c>
      <c r="H347">
        <v>9.7257099999999998E-4</v>
      </c>
      <c r="I347">
        <v>12003</v>
      </c>
      <c r="J347">
        <v>2923</v>
      </c>
      <c r="K347">
        <v>9080</v>
      </c>
      <c r="L347">
        <v>500</v>
      </c>
      <c r="M347">
        <v>499</v>
      </c>
      <c r="N347">
        <v>1</v>
      </c>
      <c r="O347">
        <v>6997</v>
      </c>
      <c r="P347">
        <v>1</v>
      </c>
    </row>
    <row r="348" spans="1:16" x14ac:dyDescent="0.2">
      <c r="A348" s="3" t="s">
        <v>49</v>
      </c>
      <c r="B348" s="3" t="s">
        <v>52</v>
      </c>
      <c r="C348">
        <v>15</v>
      </c>
      <c r="D348">
        <v>19000</v>
      </c>
      <c r="E348">
        <v>499</v>
      </c>
      <c r="F348">
        <v>1</v>
      </c>
      <c r="G348">
        <v>19000</v>
      </c>
      <c r="H348">
        <v>9.7253400000000005E-4</v>
      </c>
      <c r="I348">
        <v>12008</v>
      </c>
      <c r="J348">
        <v>2912</v>
      </c>
      <c r="K348">
        <v>9096</v>
      </c>
      <c r="L348">
        <v>500</v>
      </c>
      <c r="M348">
        <v>499</v>
      </c>
      <c r="N348">
        <v>1</v>
      </c>
      <c r="O348">
        <v>6992</v>
      </c>
      <c r="P348">
        <v>1</v>
      </c>
    </row>
    <row r="349" spans="1:16" x14ac:dyDescent="0.2">
      <c r="A349" s="3" t="s">
        <v>49</v>
      </c>
      <c r="B349" s="3" t="s">
        <v>52</v>
      </c>
      <c r="C349">
        <v>48</v>
      </c>
      <c r="D349">
        <v>17000</v>
      </c>
      <c r="E349">
        <v>499</v>
      </c>
      <c r="F349">
        <v>1</v>
      </c>
      <c r="G349">
        <v>65872.258119671897</v>
      </c>
      <c r="H349">
        <v>9.7230500000000002E-4</v>
      </c>
      <c r="I349">
        <v>11952</v>
      </c>
      <c r="J349">
        <v>2944</v>
      </c>
      <c r="K349">
        <v>9008</v>
      </c>
      <c r="L349">
        <v>500</v>
      </c>
      <c r="M349">
        <v>499</v>
      </c>
      <c r="N349">
        <v>1</v>
      </c>
      <c r="O349">
        <v>19730.518423454501</v>
      </c>
      <c r="P349">
        <v>0</v>
      </c>
    </row>
    <row r="350" spans="1:16" x14ac:dyDescent="0.2">
      <c r="A350" s="3" t="s">
        <v>49</v>
      </c>
      <c r="B350" s="3" t="s">
        <v>52</v>
      </c>
      <c r="C350">
        <v>1</v>
      </c>
      <c r="D350">
        <v>10000</v>
      </c>
      <c r="E350">
        <v>499</v>
      </c>
      <c r="F350">
        <v>1</v>
      </c>
      <c r="G350">
        <v>10000</v>
      </c>
      <c r="H350">
        <v>9.7194800000000004E-4</v>
      </c>
      <c r="I350">
        <v>10000</v>
      </c>
      <c r="J350">
        <v>2663</v>
      </c>
      <c r="K350">
        <v>7337</v>
      </c>
      <c r="L350">
        <v>500</v>
      </c>
      <c r="M350">
        <v>499</v>
      </c>
      <c r="N350">
        <v>1</v>
      </c>
      <c r="O350">
        <v>0</v>
      </c>
      <c r="P350">
        <v>1</v>
      </c>
    </row>
    <row r="351" spans="1:16" x14ac:dyDescent="0.2">
      <c r="A351" s="3" t="s">
        <v>49</v>
      </c>
      <c r="B351" s="3" t="s">
        <v>52</v>
      </c>
      <c r="C351">
        <v>45</v>
      </c>
      <c r="D351">
        <v>18000</v>
      </c>
      <c r="E351">
        <v>499</v>
      </c>
      <c r="F351">
        <v>1</v>
      </c>
      <c r="G351">
        <v>75479.649376234796</v>
      </c>
      <c r="H351">
        <v>9.7181000000000003E-4</v>
      </c>
      <c r="I351">
        <v>11904</v>
      </c>
      <c r="J351">
        <v>2872</v>
      </c>
      <c r="K351">
        <v>9032</v>
      </c>
      <c r="L351">
        <v>500</v>
      </c>
      <c r="M351">
        <v>499</v>
      </c>
      <c r="N351">
        <v>1</v>
      </c>
      <c r="O351">
        <v>25852.573398177301</v>
      </c>
      <c r="P351">
        <v>0</v>
      </c>
    </row>
    <row r="352" spans="1:16" x14ac:dyDescent="0.2">
      <c r="A352" s="3" t="s">
        <v>49</v>
      </c>
      <c r="B352" s="3" t="s">
        <v>52</v>
      </c>
      <c r="C352">
        <v>34</v>
      </c>
      <c r="D352">
        <v>19000</v>
      </c>
      <c r="E352">
        <v>499</v>
      </c>
      <c r="F352">
        <v>1</v>
      </c>
      <c r="G352">
        <v>84218.384375429901</v>
      </c>
      <c r="H352">
        <v>9.7178300000000004E-4</v>
      </c>
      <c r="I352">
        <v>12027</v>
      </c>
      <c r="J352">
        <v>2968</v>
      </c>
      <c r="K352">
        <v>9059</v>
      </c>
      <c r="L352">
        <v>500</v>
      </c>
      <c r="M352">
        <v>499</v>
      </c>
      <c r="N352">
        <v>1</v>
      </c>
      <c r="O352">
        <v>31228.6141574301</v>
      </c>
      <c r="P352">
        <v>0</v>
      </c>
    </row>
    <row r="353" spans="1:16" x14ac:dyDescent="0.2">
      <c r="A353" s="3" t="s">
        <v>49</v>
      </c>
      <c r="B353" s="3" t="s">
        <v>52</v>
      </c>
      <c r="C353">
        <v>37</v>
      </c>
      <c r="D353">
        <v>18000</v>
      </c>
      <c r="E353">
        <v>499</v>
      </c>
      <c r="F353">
        <v>1</v>
      </c>
      <c r="G353">
        <v>18000</v>
      </c>
      <c r="H353">
        <v>9.7175500000000004E-4</v>
      </c>
      <c r="I353">
        <v>11937</v>
      </c>
      <c r="J353">
        <v>2929</v>
      </c>
      <c r="K353">
        <v>9008</v>
      </c>
      <c r="L353">
        <v>500</v>
      </c>
      <c r="M353">
        <v>499</v>
      </c>
      <c r="N353">
        <v>1</v>
      </c>
      <c r="O353">
        <v>6063</v>
      </c>
      <c r="P353">
        <v>1</v>
      </c>
    </row>
    <row r="354" spans="1:16" x14ac:dyDescent="0.2">
      <c r="A354" s="3" t="s">
        <v>49</v>
      </c>
      <c r="B354" s="3" t="s">
        <v>52</v>
      </c>
      <c r="C354">
        <v>38</v>
      </c>
      <c r="D354">
        <v>19000</v>
      </c>
      <c r="E354">
        <v>499</v>
      </c>
      <c r="F354">
        <v>1</v>
      </c>
      <c r="G354">
        <v>19000</v>
      </c>
      <c r="H354">
        <v>9.7165399999999996E-4</v>
      </c>
      <c r="I354">
        <v>11995</v>
      </c>
      <c r="J354">
        <v>2942</v>
      </c>
      <c r="K354">
        <v>9053</v>
      </c>
      <c r="L354">
        <v>500</v>
      </c>
      <c r="M354">
        <v>499</v>
      </c>
      <c r="N354">
        <v>1</v>
      </c>
      <c r="O354">
        <v>7005</v>
      </c>
      <c r="P354">
        <v>1</v>
      </c>
    </row>
    <row r="355" spans="1:16" x14ac:dyDescent="0.2">
      <c r="A355" s="3" t="s">
        <v>49</v>
      </c>
      <c r="B355" s="3" t="s">
        <v>52</v>
      </c>
      <c r="C355">
        <v>7</v>
      </c>
      <c r="D355">
        <v>17000</v>
      </c>
      <c r="E355">
        <v>499</v>
      </c>
      <c r="F355">
        <v>1</v>
      </c>
      <c r="G355">
        <v>17000</v>
      </c>
      <c r="H355">
        <v>9.7164500000000004E-4</v>
      </c>
      <c r="I355">
        <v>11965</v>
      </c>
      <c r="J355">
        <v>2949</v>
      </c>
      <c r="K355">
        <v>9016</v>
      </c>
      <c r="L355">
        <v>500</v>
      </c>
      <c r="M355">
        <v>499</v>
      </c>
      <c r="N355">
        <v>1</v>
      </c>
      <c r="O355">
        <v>5035</v>
      </c>
      <c r="P355">
        <v>1</v>
      </c>
    </row>
    <row r="356" spans="1:16" x14ac:dyDescent="0.2">
      <c r="A356" s="3" t="s">
        <v>49</v>
      </c>
      <c r="B356" s="3" t="s">
        <v>52</v>
      </c>
      <c r="C356">
        <v>23</v>
      </c>
      <c r="D356">
        <v>18000</v>
      </c>
      <c r="E356">
        <v>499</v>
      </c>
      <c r="F356">
        <v>1</v>
      </c>
      <c r="G356">
        <v>75479.649376234796</v>
      </c>
      <c r="H356">
        <v>9.7147100000000001E-4</v>
      </c>
      <c r="I356">
        <v>11930</v>
      </c>
      <c r="J356">
        <v>2919</v>
      </c>
      <c r="K356">
        <v>9011</v>
      </c>
      <c r="L356">
        <v>500</v>
      </c>
      <c r="M356">
        <v>499</v>
      </c>
      <c r="N356">
        <v>1</v>
      </c>
      <c r="O356">
        <v>25749.463400833502</v>
      </c>
      <c r="P356">
        <v>0</v>
      </c>
    </row>
    <row r="357" spans="1:16" x14ac:dyDescent="0.2">
      <c r="A357" s="3" t="s">
        <v>49</v>
      </c>
      <c r="B357" s="3" t="s">
        <v>52</v>
      </c>
      <c r="C357">
        <v>5</v>
      </c>
      <c r="D357">
        <v>18000</v>
      </c>
      <c r="E357">
        <v>499</v>
      </c>
      <c r="F357">
        <v>1</v>
      </c>
      <c r="G357">
        <v>18000</v>
      </c>
      <c r="H357">
        <v>9.7145300000000005E-4</v>
      </c>
      <c r="I357">
        <v>11938</v>
      </c>
      <c r="J357">
        <v>2944</v>
      </c>
      <c r="K357">
        <v>8994</v>
      </c>
      <c r="L357">
        <v>500</v>
      </c>
      <c r="M357">
        <v>499</v>
      </c>
      <c r="N357">
        <v>1</v>
      </c>
      <c r="O357">
        <v>6062</v>
      </c>
      <c r="P357">
        <v>1</v>
      </c>
    </row>
    <row r="358" spans="1:16" x14ac:dyDescent="0.2">
      <c r="A358" s="3" t="s">
        <v>49</v>
      </c>
      <c r="B358" s="3" t="s">
        <v>52</v>
      </c>
      <c r="C358">
        <v>22</v>
      </c>
      <c r="D358">
        <v>18000</v>
      </c>
      <c r="E358">
        <v>499</v>
      </c>
      <c r="F358">
        <v>1</v>
      </c>
      <c r="G358">
        <v>18000</v>
      </c>
      <c r="H358">
        <v>9.7120500000000005E-4</v>
      </c>
      <c r="I358">
        <v>11932</v>
      </c>
      <c r="J358">
        <v>2926</v>
      </c>
      <c r="K358">
        <v>9006</v>
      </c>
      <c r="L358">
        <v>500</v>
      </c>
      <c r="M358">
        <v>499</v>
      </c>
      <c r="N358">
        <v>1</v>
      </c>
      <c r="O358">
        <v>6068</v>
      </c>
      <c r="P358">
        <v>1</v>
      </c>
    </row>
    <row r="359" spans="1:16" x14ac:dyDescent="0.2">
      <c r="A359" s="3" t="s">
        <v>49</v>
      </c>
      <c r="B359" s="3" t="s">
        <v>52</v>
      </c>
      <c r="C359">
        <v>29</v>
      </c>
      <c r="D359">
        <v>20000</v>
      </c>
      <c r="E359">
        <v>499</v>
      </c>
      <c r="F359">
        <v>1</v>
      </c>
      <c r="G359">
        <v>20000</v>
      </c>
      <c r="H359">
        <v>9.7075600000000003E-4</v>
      </c>
      <c r="I359">
        <v>11964</v>
      </c>
      <c r="J359">
        <v>2961</v>
      </c>
      <c r="K359">
        <v>9003</v>
      </c>
      <c r="L359">
        <v>500</v>
      </c>
      <c r="M359">
        <v>499</v>
      </c>
      <c r="N359">
        <v>1</v>
      </c>
      <c r="O359">
        <v>8036</v>
      </c>
      <c r="P359">
        <v>1</v>
      </c>
    </row>
    <row r="360" spans="1:16" x14ac:dyDescent="0.2">
      <c r="A360" s="3" t="s">
        <v>49</v>
      </c>
      <c r="B360" s="3" t="s">
        <v>52</v>
      </c>
      <c r="C360">
        <v>45</v>
      </c>
      <c r="D360">
        <v>17000</v>
      </c>
      <c r="E360">
        <v>499</v>
      </c>
      <c r="F360">
        <v>1</v>
      </c>
      <c r="G360">
        <v>17000</v>
      </c>
      <c r="H360">
        <v>9.7050900000000004E-4</v>
      </c>
      <c r="I360">
        <v>11940</v>
      </c>
      <c r="J360">
        <v>2898</v>
      </c>
      <c r="K360">
        <v>9042</v>
      </c>
      <c r="L360">
        <v>500</v>
      </c>
      <c r="M360">
        <v>499</v>
      </c>
      <c r="N360">
        <v>1</v>
      </c>
      <c r="O360">
        <v>5060</v>
      </c>
      <c r="P360">
        <v>1</v>
      </c>
    </row>
    <row r="361" spans="1:16" x14ac:dyDescent="0.2">
      <c r="A361" s="3" t="s">
        <v>49</v>
      </c>
      <c r="B361" s="3" t="s">
        <v>52</v>
      </c>
      <c r="C361">
        <v>6</v>
      </c>
      <c r="D361">
        <v>18000</v>
      </c>
      <c r="E361">
        <v>499</v>
      </c>
      <c r="F361">
        <v>1</v>
      </c>
      <c r="G361">
        <v>75479.649376234796</v>
      </c>
      <c r="H361">
        <v>9.7032499999999996E-4</v>
      </c>
      <c r="I361">
        <v>11931</v>
      </c>
      <c r="J361">
        <v>2864</v>
      </c>
      <c r="K361">
        <v>9067</v>
      </c>
      <c r="L361">
        <v>500</v>
      </c>
      <c r="M361">
        <v>499</v>
      </c>
      <c r="N361">
        <v>1</v>
      </c>
      <c r="O361">
        <v>25770.528420781098</v>
      </c>
      <c r="P361">
        <v>0</v>
      </c>
    </row>
    <row r="362" spans="1:16" x14ac:dyDescent="0.2">
      <c r="A362" s="3" t="s">
        <v>49</v>
      </c>
      <c r="B362" s="3" t="s">
        <v>52</v>
      </c>
      <c r="C362">
        <v>2</v>
      </c>
      <c r="D362">
        <v>16000</v>
      </c>
      <c r="E362">
        <v>499</v>
      </c>
      <c r="F362">
        <v>1</v>
      </c>
      <c r="G362">
        <v>16000</v>
      </c>
      <c r="H362">
        <v>9.7023300000000003E-4</v>
      </c>
      <c r="I362">
        <v>12019</v>
      </c>
      <c r="J362">
        <v>2950</v>
      </c>
      <c r="K362">
        <v>9069</v>
      </c>
      <c r="L362">
        <v>500</v>
      </c>
      <c r="M362">
        <v>499</v>
      </c>
      <c r="N362">
        <v>1</v>
      </c>
      <c r="O362">
        <v>3981</v>
      </c>
      <c r="P362">
        <v>1</v>
      </c>
    </row>
    <row r="363" spans="1:16" x14ac:dyDescent="0.2">
      <c r="A363" s="3" t="s">
        <v>49</v>
      </c>
      <c r="B363" s="3" t="s">
        <v>52</v>
      </c>
      <c r="C363">
        <v>21</v>
      </c>
      <c r="D363">
        <v>17000</v>
      </c>
      <c r="E363">
        <v>499</v>
      </c>
      <c r="F363">
        <v>1</v>
      </c>
      <c r="G363">
        <v>17000</v>
      </c>
      <c r="H363">
        <v>9.6968399999999995E-4</v>
      </c>
      <c r="I363">
        <v>11939</v>
      </c>
      <c r="J363">
        <v>2889</v>
      </c>
      <c r="K363">
        <v>9050</v>
      </c>
      <c r="L363">
        <v>500</v>
      </c>
      <c r="M363">
        <v>499</v>
      </c>
      <c r="N363">
        <v>1</v>
      </c>
      <c r="O363">
        <v>5061</v>
      </c>
      <c r="P363">
        <v>1</v>
      </c>
    </row>
    <row r="364" spans="1:16" x14ac:dyDescent="0.2">
      <c r="A364" s="3" t="s">
        <v>49</v>
      </c>
      <c r="B364" s="3" t="s">
        <v>52</v>
      </c>
      <c r="C364">
        <v>13</v>
      </c>
      <c r="D364">
        <v>18000</v>
      </c>
      <c r="E364">
        <v>499</v>
      </c>
      <c r="F364">
        <v>1</v>
      </c>
      <c r="G364">
        <v>18000</v>
      </c>
      <c r="H364">
        <v>9.6961900000000001E-4</v>
      </c>
      <c r="I364">
        <v>11964</v>
      </c>
      <c r="J364">
        <v>2863</v>
      </c>
      <c r="K364">
        <v>9101</v>
      </c>
      <c r="L364">
        <v>500</v>
      </c>
      <c r="M364">
        <v>499</v>
      </c>
      <c r="N364">
        <v>1</v>
      </c>
      <c r="O364">
        <v>6036</v>
      </c>
      <c r="P364">
        <v>1</v>
      </c>
    </row>
    <row r="365" spans="1:16" x14ac:dyDescent="0.2">
      <c r="A365" s="3" t="s">
        <v>49</v>
      </c>
      <c r="B365" s="3" t="s">
        <v>52</v>
      </c>
      <c r="C365">
        <v>43</v>
      </c>
      <c r="D365">
        <v>13000</v>
      </c>
      <c r="E365">
        <v>499</v>
      </c>
      <c r="F365">
        <v>1</v>
      </c>
      <c r="G365">
        <v>13000</v>
      </c>
      <c r="H365">
        <v>9.6929799999999995E-4</v>
      </c>
      <c r="I365">
        <v>11832</v>
      </c>
      <c r="J365">
        <v>2813</v>
      </c>
      <c r="K365">
        <v>9019</v>
      </c>
      <c r="L365">
        <v>500</v>
      </c>
      <c r="M365">
        <v>499</v>
      </c>
      <c r="N365">
        <v>1</v>
      </c>
      <c r="O365">
        <v>1168</v>
      </c>
      <c r="P365">
        <v>1</v>
      </c>
    </row>
    <row r="366" spans="1:16" x14ac:dyDescent="0.2">
      <c r="A366" s="3" t="s">
        <v>49</v>
      </c>
      <c r="B366" s="3" t="s">
        <v>52</v>
      </c>
      <c r="C366">
        <v>29</v>
      </c>
      <c r="D366">
        <v>17000</v>
      </c>
      <c r="E366">
        <v>499</v>
      </c>
      <c r="F366">
        <v>1</v>
      </c>
      <c r="G366">
        <v>17000</v>
      </c>
      <c r="H366">
        <v>9.6911499999999999E-4</v>
      </c>
      <c r="I366">
        <v>11969</v>
      </c>
      <c r="J366">
        <v>2910</v>
      </c>
      <c r="K366">
        <v>9059</v>
      </c>
      <c r="L366">
        <v>500</v>
      </c>
      <c r="M366">
        <v>499</v>
      </c>
      <c r="N366">
        <v>1</v>
      </c>
      <c r="O366">
        <v>5031</v>
      </c>
      <c r="P366">
        <v>1</v>
      </c>
    </row>
    <row r="367" spans="1:16" x14ac:dyDescent="0.2">
      <c r="A367" s="3" t="s">
        <v>49</v>
      </c>
      <c r="B367" s="3" t="s">
        <v>52</v>
      </c>
      <c r="C367">
        <v>42</v>
      </c>
      <c r="D367">
        <v>18000</v>
      </c>
      <c r="E367">
        <v>499</v>
      </c>
      <c r="F367">
        <v>1</v>
      </c>
      <c r="G367">
        <v>18000</v>
      </c>
      <c r="H367">
        <v>9.6901400000000003E-4</v>
      </c>
      <c r="I367">
        <v>11980</v>
      </c>
      <c r="J367">
        <v>2956</v>
      </c>
      <c r="K367">
        <v>9024</v>
      </c>
      <c r="L367">
        <v>500</v>
      </c>
      <c r="M367">
        <v>499</v>
      </c>
      <c r="N367">
        <v>1</v>
      </c>
      <c r="O367">
        <v>6020</v>
      </c>
      <c r="P367">
        <v>1</v>
      </c>
    </row>
    <row r="368" spans="1:16" x14ac:dyDescent="0.2">
      <c r="A368" s="3" t="s">
        <v>49</v>
      </c>
      <c r="B368" s="3" t="s">
        <v>52</v>
      </c>
      <c r="C368">
        <v>4</v>
      </c>
      <c r="D368">
        <v>17000</v>
      </c>
      <c r="E368">
        <v>499</v>
      </c>
      <c r="F368">
        <v>1</v>
      </c>
      <c r="G368">
        <v>17000</v>
      </c>
      <c r="H368">
        <v>9.6873E-4</v>
      </c>
      <c r="I368">
        <v>11968</v>
      </c>
      <c r="J368">
        <v>2926</v>
      </c>
      <c r="K368">
        <v>9042</v>
      </c>
      <c r="L368">
        <v>500</v>
      </c>
      <c r="M368">
        <v>499</v>
      </c>
      <c r="N368">
        <v>1</v>
      </c>
      <c r="O368">
        <v>5032</v>
      </c>
      <c r="P368">
        <v>1</v>
      </c>
    </row>
    <row r="369" spans="1:16" x14ac:dyDescent="0.2">
      <c r="A369" s="3" t="s">
        <v>49</v>
      </c>
      <c r="B369" s="3" t="s">
        <v>52</v>
      </c>
      <c r="C369">
        <v>14</v>
      </c>
      <c r="D369">
        <v>18000</v>
      </c>
      <c r="E369">
        <v>499</v>
      </c>
      <c r="F369">
        <v>1</v>
      </c>
      <c r="G369">
        <v>18000</v>
      </c>
      <c r="H369">
        <v>9.6851000000000001E-4</v>
      </c>
      <c r="I369">
        <v>11939</v>
      </c>
      <c r="J369">
        <v>2934</v>
      </c>
      <c r="K369">
        <v>9005</v>
      </c>
      <c r="L369">
        <v>500</v>
      </c>
      <c r="M369">
        <v>499</v>
      </c>
      <c r="N369">
        <v>1</v>
      </c>
      <c r="O369">
        <v>6061</v>
      </c>
      <c r="P369">
        <v>1</v>
      </c>
    </row>
    <row r="370" spans="1:16" x14ac:dyDescent="0.2">
      <c r="A370" s="3" t="s">
        <v>49</v>
      </c>
      <c r="B370" s="3" t="s">
        <v>52</v>
      </c>
      <c r="C370">
        <v>20</v>
      </c>
      <c r="D370">
        <v>19000</v>
      </c>
      <c r="E370">
        <v>499</v>
      </c>
      <c r="F370">
        <v>1</v>
      </c>
      <c r="G370">
        <v>19000</v>
      </c>
      <c r="H370">
        <v>9.6833599999999998E-4</v>
      </c>
      <c r="I370">
        <v>12030</v>
      </c>
      <c r="J370">
        <v>2964</v>
      </c>
      <c r="K370">
        <v>9066</v>
      </c>
      <c r="L370">
        <v>500</v>
      </c>
      <c r="M370">
        <v>499</v>
      </c>
      <c r="N370">
        <v>1</v>
      </c>
      <c r="O370">
        <v>6970</v>
      </c>
      <c r="P370">
        <v>1</v>
      </c>
    </row>
    <row r="371" spans="1:16" x14ac:dyDescent="0.2">
      <c r="A371" s="3" t="s">
        <v>49</v>
      </c>
      <c r="B371" s="3" t="s">
        <v>52</v>
      </c>
      <c r="C371">
        <v>15</v>
      </c>
      <c r="D371">
        <v>17000</v>
      </c>
      <c r="E371">
        <v>499</v>
      </c>
      <c r="F371">
        <v>1</v>
      </c>
      <c r="G371">
        <v>17000</v>
      </c>
      <c r="H371">
        <v>9.6752000000000003E-4</v>
      </c>
      <c r="I371">
        <v>12002</v>
      </c>
      <c r="J371">
        <v>2941</v>
      </c>
      <c r="K371">
        <v>9061</v>
      </c>
      <c r="L371">
        <v>500</v>
      </c>
      <c r="M371">
        <v>499</v>
      </c>
      <c r="N371">
        <v>1</v>
      </c>
      <c r="O371">
        <v>4998</v>
      </c>
      <c r="P371">
        <v>1</v>
      </c>
    </row>
    <row r="372" spans="1:16" x14ac:dyDescent="0.2">
      <c r="A372" s="3" t="s">
        <v>49</v>
      </c>
      <c r="B372" s="3" t="s">
        <v>52</v>
      </c>
      <c r="C372">
        <v>40</v>
      </c>
      <c r="D372">
        <v>16000</v>
      </c>
      <c r="E372">
        <v>499</v>
      </c>
      <c r="F372">
        <v>1</v>
      </c>
      <c r="G372">
        <v>64781.839036288002</v>
      </c>
      <c r="H372">
        <v>9.6741999999999998E-4</v>
      </c>
      <c r="I372">
        <v>12008</v>
      </c>
      <c r="J372">
        <v>2920</v>
      </c>
      <c r="K372">
        <v>9088</v>
      </c>
      <c r="L372">
        <v>500</v>
      </c>
      <c r="M372">
        <v>499</v>
      </c>
      <c r="N372">
        <v>1</v>
      </c>
      <c r="O372">
        <v>16236.2497440305</v>
      </c>
      <c r="P372">
        <v>0</v>
      </c>
    </row>
    <row r="373" spans="1:16" x14ac:dyDescent="0.2">
      <c r="A373" s="3" t="s">
        <v>49</v>
      </c>
      <c r="B373" s="3" t="s">
        <v>52</v>
      </c>
      <c r="C373">
        <v>24</v>
      </c>
      <c r="D373">
        <v>18000</v>
      </c>
      <c r="E373">
        <v>499</v>
      </c>
      <c r="F373">
        <v>1</v>
      </c>
      <c r="G373">
        <v>75479.649376234796</v>
      </c>
      <c r="H373">
        <v>9.6675000000000005E-4</v>
      </c>
      <c r="I373">
        <v>12016</v>
      </c>
      <c r="J373">
        <v>2974</v>
      </c>
      <c r="K373">
        <v>9042</v>
      </c>
      <c r="L373">
        <v>500</v>
      </c>
      <c r="M373">
        <v>499</v>
      </c>
      <c r="N373">
        <v>1</v>
      </c>
      <c r="O373">
        <v>25394.949759275802</v>
      </c>
      <c r="P373">
        <v>0</v>
      </c>
    </row>
    <row r="374" spans="1:16" x14ac:dyDescent="0.2">
      <c r="A374" s="3" t="s">
        <v>49</v>
      </c>
      <c r="B374" s="3" t="s">
        <v>52</v>
      </c>
      <c r="C374">
        <v>34</v>
      </c>
      <c r="D374">
        <v>17000</v>
      </c>
      <c r="E374">
        <v>499</v>
      </c>
      <c r="F374">
        <v>1</v>
      </c>
      <c r="G374">
        <v>65872.258119671897</v>
      </c>
      <c r="H374">
        <v>9.6670499999999999E-4</v>
      </c>
      <c r="I374">
        <v>11984</v>
      </c>
      <c r="J374">
        <v>2930</v>
      </c>
      <c r="K374">
        <v>9054</v>
      </c>
      <c r="L374">
        <v>500</v>
      </c>
      <c r="M374">
        <v>499</v>
      </c>
      <c r="N374">
        <v>1</v>
      </c>
      <c r="O374">
        <v>19593.9528954292</v>
      </c>
      <c r="P374">
        <v>0</v>
      </c>
    </row>
    <row r="375" spans="1:16" x14ac:dyDescent="0.2">
      <c r="A375" s="3" t="s">
        <v>49</v>
      </c>
      <c r="B375" s="3" t="s">
        <v>52</v>
      </c>
      <c r="C375">
        <v>16</v>
      </c>
      <c r="D375">
        <v>16000</v>
      </c>
      <c r="E375">
        <v>499</v>
      </c>
      <c r="F375">
        <v>1</v>
      </c>
      <c r="G375">
        <v>16000</v>
      </c>
      <c r="H375">
        <v>9.6655700000000005E-4</v>
      </c>
      <c r="I375">
        <v>12008</v>
      </c>
      <c r="J375">
        <v>2904</v>
      </c>
      <c r="K375">
        <v>9104</v>
      </c>
      <c r="L375">
        <v>500</v>
      </c>
      <c r="M375">
        <v>499</v>
      </c>
      <c r="N375">
        <v>1</v>
      </c>
      <c r="O375">
        <v>3992</v>
      </c>
      <c r="P375">
        <v>1</v>
      </c>
    </row>
    <row r="376" spans="1:16" x14ac:dyDescent="0.2">
      <c r="A376" s="3" t="s">
        <v>49</v>
      </c>
      <c r="B376" s="3" t="s">
        <v>52</v>
      </c>
      <c r="C376">
        <v>6</v>
      </c>
      <c r="D376">
        <v>17000</v>
      </c>
      <c r="E376">
        <v>499</v>
      </c>
      <c r="F376">
        <v>1</v>
      </c>
      <c r="G376">
        <v>17000</v>
      </c>
      <c r="H376">
        <v>9.6641100000000003E-4</v>
      </c>
      <c r="I376">
        <v>11971</v>
      </c>
      <c r="J376">
        <v>2933</v>
      </c>
      <c r="K376">
        <v>9038</v>
      </c>
      <c r="L376">
        <v>500</v>
      </c>
      <c r="M376">
        <v>499</v>
      </c>
      <c r="N376">
        <v>1</v>
      </c>
      <c r="O376">
        <v>5029</v>
      </c>
      <c r="P376">
        <v>1</v>
      </c>
    </row>
    <row r="377" spans="1:16" x14ac:dyDescent="0.2">
      <c r="A377" s="3" t="s">
        <v>49</v>
      </c>
      <c r="B377" s="3" t="s">
        <v>52</v>
      </c>
      <c r="C377">
        <v>15</v>
      </c>
      <c r="D377">
        <v>16000</v>
      </c>
      <c r="E377">
        <v>499</v>
      </c>
      <c r="F377">
        <v>1</v>
      </c>
      <c r="G377">
        <v>64781.839036288002</v>
      </c>
      <c r="H377">
        <v>9.66182E-4</v>
      </c>
      <c r="I377">
        <v>11994</v>
      </c>
      <c r="J377">
        <v>2892</v>
      </c>
      <c r="K377">
        <v>9102</v>
      </c>
      <c r="L377">
        <v>500</v>
      </c>
      <c r="M377">
        <v>499</v>
      </c>
      <c r="N377">
        <v>1</v>
      </c>
      <c r="O377">
        <v>16313.5391708153</v>
      </c>
      <c r="P377">
        <v>0</v>
      </c>
    </row>
    <row r="378" spans="1:16" x14ac:dyDescent="0.2">
      <c r="A378" s="3" t="s">
        <v>49</v>
      </c>
      <c r="B378" s="3" t="s">
        <v>52</v>
      </c>
      <c r="C378">
        <v>5</v>
      </c>
      <c r="D378">
        <v>17000</v>
      </c>
      <c r="E378">
        <v>499</v>
      </c>
      <c r="F378">
        <v>1</v>
      </c>
      <c r="G378">
        <v>17000</v>
      </c>
      <c r="H378">
        <v>9.6609099999999998E-4</v>
      </c>
      <c r="I378">
        <v>11957</v>
      </c>
      <c r="J378">
        <v>2904</v>
      </c>
      <c r="K378">
        <v>9053</v>
      </c>
      <c r="L378">
        <v>500</v>
      </c>
      <c r="M378">
        <v>499</v>
      </c>
      <c r="N378">
        <v>1</v>
      </c>
      <c r="O378">
        <v>5043</v>
      </c>
      <c r="P378">
        <v>1</v>
      </c>
    </row>
    <row r="379" spans="1:16" x14ac:dyDescent="0.2">
      <c r="A379" s="3" t="s">
        <v>49</v>
      </c>
      <c r="B379" s="3" t="s">
        <v>52</v>
      </c>
      <c r="C379">
        <v>18</v>
      </c>
      <c r="D379">
        <v>18000</v>
      </c>
      <c r="E379">
        <v>499</v>
      </c>
      <c r="F379">
        <v>1</v>
      </c>
      <c r="G379">
        <v>18000</v>
      </c>
      <c r="H379">
        <v>9.6608100000000004E-4</v>
      </c>
      <c r="I379">
        <v>11966</v>
      </c>
      <c r="J379">
        <v>2927</v>
      </c>
      <c r="K379">
        <v>9039</v>
      </c>
      <c r="L379">
        <v>500</v>
      </c>
      <c r="M379">
        <v>499</v>
      </c>
      <c r="N379">
        <v>1</v>
      </c>
      <c r="O379">
        <v>6034</v>
      </c>
      <c r="P379">
        <v>1</v>
      </c>
    </row>
    <row r="380" spans="1:16" x14ac:dyDescent="0.2">
      <c r="A380" s="3" t="s">
        <v>49</v>
      </c>
      <c r="B380" s="3" t="s">
        <v>52</v>
      </c>
      <c r="C380">
        <v>41</v>
      </c>
      <c r="D380">
        <v>17000</v>
      </c>
      <c r="E380">
        <v>499</v>
      </c>
      <c r="F380">
        <v>1</v>
      </c>
      <c r="G380">
        <v>17000</v>
      </c>
      <c r="H380">
        <v>9.65934E-4</v>
      </c>
      <c r="I380">
        <v>11954</v>
      </c>
      <c r="J380">
        <v>2911</v>
      </c>
      <c r="K380">
        <v>9043</v>
      </c>
      <c r="L380">
        <v>500</v>
      </c>
      <c r="M380">
        <v>499</v>
      </c>
      <c r="N380">
        <v>1</v>
      </c>
      <c r="O380">
        <v>5046</v>
      </c>
      <c r="P380">
        <v>1</v>
      </c>
    </row>
    <row r="381" spans="1:16" x14ac:dyDescent="0.2">
      <c r="A381" s="3" t="s">
        <v>49</v>
      </c>
      <c r="B381" s="3" t="s">
        <v>52</v>
      </c>
      <c r="C381">
        <v>18</v>
      </c>
      <c r="D381">
        <v>13000</v>
      </c>
      <c r="E381">
        <v>499</v>
      </c>
      <c r="F381">
        <v>1</v>
      </c>
      <c r="G381">
        <v>13000</v>
      </c>
      <c r="H381">
        <v>9.65769E-4</v>
      </c>
      <c r="I381">
        <v>11828</v>
      </c>
      <c r="J381">
        <v>2786</v>
      </c>
      <c r="K381">
        <v>9042</v>
      </c>
      <c r="L381">
        <v>500</v>
      </c>
      <c r="M381">
        <v>499</v>
      </c>
      <c r="N381">
        <v>1</v>
      </c>
      <c r="O381">
        <v>1172</v>
      </c>
      <c r="P381">
        <v>1</v>
      </c>
    </row>
    <row r="382" spans="1:16" x14ac:dyDescent="0.2">
      <c r="A382" s="3" t="s">
        <v>49</v>
      </c>
      <c r="B382" s="3" t="s">
        <v>52</v>
      </c>
      <c r="C382">
        <v>47</v>
      </c>
      <c r="D382">
        <v>14000</v>
      </c>
      <c r="E382">
        <v>499</v>
      </c>
      <c r="F382">
        <v>1</v>
      </c>
      <c r="G382">
        <v>58565.0323707059</v>
      </c>
      <c r="H382">
        <v>9.6537499999999998E-4</v>
      </c>
      <c r="I382">
        <v>11934</v>
      </c>
      <c r="J382">
        <v>2868</v>
      </c>
      <c r="K382">
        <v>9066</v>
      </c>
      <c r="L382">
        <v>500</v>
      </c>
      <c r="M382">
        <v>499</v>
      </c>
      <c r="N382">
        <v>1</v>
      </c>
      <c r="O382">
        <v>8685.3065166108008</v>
      </c>
      <c r="P382">
        <v>0</v>
      </c>
    </row>
    <row r="383" spans="1:16" x14ac:dyDescent="0.2">
      <c r="A383" s="3" t="s">
        <v>49</v>
      </c>
      <c r="B383" s="3" t="s">
        <v>52</v>
      </c>
      <c r="C383">
        <v>30</v>
      </c>
      <c r="D383">
        <v>18000</v>
      </c>
      <c r="E383">
        <v>499</v>
      </c>
      <c r="F383">
        <v>1</v>
      </c>
      <c r="G383">
        <v>75479.649376234796</v>
      </c>
      <c r="H383">
        <v>9.6536600000000005E-4</v>
      </c>
      <c r="I383">
        <v>11939</v>
      </c>
      <c r="J383">
        <v>2908</v>
      </c>
      <c r="K383">
        <v>9031</v>
      </c>
      <c r="L383">
        <v>500</v>
      </c>
      <c r="M383">
        <v>499</v>
      </c>
      <c r="N383">
        <v>1</v>
      </c>
      <c r="O383">
        <v>25682.889607304802</v>
      </c>
      <c r="P383">
        <v>0</v>
      </c>
    </row>
    <row r="384" spans="1:16" x14ac:dyDescent="0.2">
      <c r="A384" s="3" t="s">
        <v>49</v>
      </c>
      <c r="B384" s="3" t="s">
        <v>52</v>
      </c>
      <c r="C384">
        <v>3</v>
      </c>
      <c r="D384">
        <v>19000</v>
      </c>
      <c r="E384">
        <v>499</v>
      </c>
      <c r="F384">
        <v>1</v>
      </c>
      <c r="G384">
        <v>84218.384375429901</v>
      </c>
      <c r="H384">
        <v>9.6507299999999999E-4</v>
      </c>
      <c r="I384">
        <v>12002</v>
      </c>
      <c r="J384">
        <v>2932</v>
      </c>
      <c r="K384">
        <v>9070</v>
      </c>
      <c r="L384">
        <v>500</v>
      </c>
      <c r="M384">
        <v>499</v>
      </c>
      <c r="N384">
        <v>1</v>
      </c>
      <c r="O384">
        <v>31391.158076653399</v>
      </c>
      <c r="P384">
        <v>0</v>
      </c>
    </row>
    <row r="385" spans="1:16" x14ac:dyDescent="0.2">
      <c r="A385" s="3" t="s">
        <v>49</v>
      </c>
      <c r="B385" s="3" t="s">
        <v>52</v>
      </c>
      <c r="C385">
        <v>4</v>
      </c>
      <c r="D385">
        <v>17000</v>
      </c>
      <c r="E385">
        <v>499</v>
      </c>
      <c r="F385">
        <v>1</v>
      </c>
      <c r="G385">
        <v>65872.258119671897</v>
      </c>
      <c r="H385">
        <v>9.6466E-4</v>
      </c>
      <c r="I385">
        <v>12002</v>
      </c>
      <c r="J385">
        <v>2935</v>
      </c>
      <c r="K385">
        <v>9067</v>
      </c>
      <c r="L385">
        <v>500</v>
      </c>
      <c r="M385">
        <v>499</v>
      </c>
      <c r="N385">
        <v>1</v>
      </c>
      <c r="O385">
        <v>19519.354881294599</v>
      </c>
      <c r="P385">
        <v>0</v>
      </c>
    </row>
    <row r="386" spans="1:16" x14ac:dyDescent="0.2">
      <c r="A386" s="3" t="s">
        <v>49</v>
      </c>
      <c r="B386" s="3" t="s">
        <v>52</v>
      </c>
      <c r="C386">
        <v>16</v>
      </c>
      <c r="D386">
        <v>17000</v>
      </c>
      <c r="E386">
        <v>499</v>
      </c>
      <c r="F386">
        <v>1</v>
      </c>
      <c r="G386">
        <v>17000</v>
      </c>
      <c r="H386">
        <v>9.6456000000000005E-4</v>
      </c>
      <c r="I386">
        <v>11976</v>
      </c>
      <c r="J386">
        <v>2930</v>
      </c>
      <c r="K386">
        <v>9046</v>
      </c>
      <c r="L386">
        <v>500</v>
      </c>
      <c r="M386">
        <v>499</v>
      </c>
      <c r="N386">
        <v>1</v>
      </c>
      <c r="O386">
        <v>5024</v>
      </c>
      <c r="P386">
        <v>1</v>
      </c>
    </row>
    <row r="387" spans="1:16" x14ac:dyDescent="0.2">
      <c r="A387" s="3" t="s">
        <v>49</v>
      </c>
      <c r="B387" s="3" t="s">
        <v>52</v>
      </c>
      <c r="C387">
        <v>33</v>
      </c>
      <c r="D387">
        <v>17000</v>
      </c>
      <c r="E387">
        <v>499</v>
      </c>
      <c r="F387">
        <v>1</v>
      </c>
      <c r="G387">
        <v>17000</v>
      </c>
      <c r="H387">
        <v>9.6453200000000004E-4</v>
      </c>
      <c r="I387">
        <v>11967</v>
      </c>
      <c r="J387">
        <v>2944</v>
      </c>
      <c r="K387">
        <v>9023</v>
      </c>
      <c r="L387">
        <v>500</v>
      </c>
      <c r="M387">
        <v>499</v>
      </c>
      <c r="N387">
        <v>1</v>
      </c>
      <c r="O387">
        <v>5033</v>
      </c>
      <c r="P387">
        <v>1</v>
      </c>
    </row>
    <row r="388" spans="1:16" x14ac:dyDescent="0.2">
      <c r="A388" s="3" t="s">
        <v>49</v>
      </c>
      <c r="B388" s="3" t="s">
        <v>52</v>
      </c>
      <c r="C388">
        <v>9</v>
      </c>
      <c r="D388">
        <v>19000</v>
      </c>
      <c r="E388">
        <v>499</v>
      </c>
      <c r="F388">
        <v>1</v>
      </c>
      <c r="G388">
        <v>19000</v>
      </c>
      <c r="H388">
        <v>9.6416500000000001E-4</v>
      </c>
      <c r="I388">
        <v>11999</v>
      </c>
      <c r="J388">
        <v>2905</v>
      </c>
      <c r="K388">
        <v>9094</v>
      </c>
      <c r="L388">
        <v>500</v>
      </c>
      <c r="M388">
        <v>499</v>
      </c>
      <c r="N388">
        <v>1</v>
      </c>
      <c r="O388">
        <v>7001</v>
      </c>
      <c r="P388">
        <v>1</v>
      </c>
    </row>
    <row r="389" spans="1:16" x14ac:dyDescent="0.2">
      <c r="A389" s="3" t="s">
        <v>49</v>
      </c>
      <c r="B389" s="3" t="s">
        <v>52</v>
      </c>
      <c r="C389">
        <v>44</v>
      </c>
      <c r="D389">
        <v>17000</v>
      </c>
      <c r="E389">
        <v>499</v>
      </c>
      <c r="F389">
        <v>1</v>
      </c>
      <c r="G389">
        <v>65872.258119671897</v>
      </c>
      <c r="H389">
        <v>9.6395400000000005E-4</v>
      </c>
      <c r="I389">
        <v>11931</v>
      </c>
      <c r="J389">
        <v>2912</v>
      </c>
      <c r="K389">
        <v>9019</v>
      </c>
      <c r="L389">
        <v>500</v>
      </c>
      <c r="M389">
        <v>499</v>
      </c>
      <c r="N389">
        <v>1</v>
      </c>
      <c r="O389">
        <v>19824.746253651301</v>
      </c>
      <c r="P389">
        <v>0</v>
      </c>
    </row>
    <row r="390" spans="1:16" x14ac:dyDescent="0.2">
      <c r="A390" s="3" t="s">
        <v>49</v>
      </c>
      <c r="B390" s="3" t="s">
        <v>52</v>
      </c>
      <c r="C390">
        <v>31</v>
      </c>
      <c r="D390">
        <v>14000</v>
      </c>
      <c r="E390">
        <v>499</v>
      </c>
      <c r="F390">
        <v>1</v>
      </c>
      <c r="G390">
        <v>58565.0323707059</v>
      </c>
      <c r="H390">
        <v>9.6371599999999999E-4</v>
      </c>
      <c r="I390">
        <v>11922</v>
      </c>
      <c r="J390">
        <v>2827</v>
      </c>
      <c r="K390">
        <v>9095</v>
      </c>
      <c r="L390">
        <v>500</v>
      </c>
      <c r="M390">
        <v>499</v>
      </c>
      <c r="N390">
        <v>1</v>
      </c>
      <c r="O390">
        <v>8760.7659562680001</v>
      </c>
      <c r="P390">
        <v>0</v>
      </c>
    </row>
    <row r="391" spans="1:16" x14ac:dyDescent="0.2">
      <c r="A391" s="3" t="s">
        <v>49</v>
      </c>
      <c r="B391" s="3" t="s">
        <v>52</v>
      </c>
      <c r="C391">
        <v>5</v>
      </c>
      <c r="D391">
        <v>19000</v>
      </c>
      <c r="E391">
        <v>499</v>
      </c>
      <c r="F391">
        <v>1</v>
      </c>
      <c r="G391">
        <v>84218.384375429901</v>
      </c>
      <c r="H391">
        <v>9.6360700000000001E-4</v>
      </c>
      <c r="I391">
        <v>11992</v>
      </c>
      <c r="J391">
        <v>2935</v>
      </c>
      <c r="K391">
        <v>9057</v>
      </c>
      <c r="L391">
        <v>500</v>
      </c>
      <c r="M391">
        <v>499</v>
      </c>
      <c r="N391">
        <v>1</v>
      </c>
      <c r="O391">
        <v>31338.673509223801</v>
      </c>
      <c r="P391">
        <v>0</v>
      </c>
    </row>
    <row r="392" spans="1:16" x14ac:dyDescent="0.2">
      <c r="A392" s="3" t="s">
        <v>49</v>
      </c>
      <c r="B392" s="3" t="s">
        <v>52</v>
      </c>
      <c r="C392">
        <v>42</v>
      </c>
      <c r="D392">
        <v>19000</v>
      </c>
      <c r="E392">
        <v>499</v>
      </c>
      <c r="F392">
        <v>1</v>
      </c>
      <c r="G392">
        <v>19000</v>
      </c>
      <c r="H392">
        <v>9.6351399999999995E-4</v>
      </c>
      <c r="I392">
        <v>11992</v>
      </c>
      <c r="J392">
        <v>2914</v>
      </c>
      <c r="K392">
        <v>9078</v>
      </c>
      <c r="L392">
        <v>500</v>
      </c>
      <c r="M392">
        <v>499</v>
      </c>
      <c r="N392">
        <v>1</v>
      </c>
      <c r="O392">
        <v>7008</v>
      </c>
      <c r="P392">
        <v>1</v>
      </c>
    </row>
    <row r="393" spans="1:16" x14ac:dyDescent="0.2">
      <c r="A393" s="3" t="s">
        <v>49</v>
      </c>
      <c r="B393" s="3" t="s">
        <v>52</v>
      </c>
      <c r="C393">
        <v>4</v>
      </c>
      <c r="D393">
        <v>19000</v>
      </c>
      <c r="E393">
        <v>499</v>
      </c>
      <c r="F393">
        <v>1</v>
      </c>
      <c r="G393">
        <v>84218.384375429901</v>
      </c>
      <c r="H393">
        <v>9.6293599999999996E-4</v>
      </c>
      <c r="I393">
        <v>12053</v>
      </c>
      <c r="J393">
        <v>2973</v>
      </c>
      <c r="K393">
        <v>9080</v>
      </c>
      <c r="L393">
        <v>500</v>
      </c>
      <c r="M393">
        <v>499</v>
      </c>
      <c r="N393">
        <v>1</v>
      </c>
      <c r="O393">
        <v>31097.018018677099</v>
      </c>
      <c r="P393">
        <v>0</v>
      </c>
    </row>
    <row r="394" spans="1:16" x14ac:dyDescent="0.2">
      <c r="A394" s="3" t="s">
        <v>49</v>
      </c>
      <c r="B394" s="3" t="s">
        <v>52</v>
      </c>
      <c r="C394">
        <v>12</v>
      </c>
      <c r="D394">
        <v>18000</v>
      </c>
      <c r="E394">
        <v>499</v>
      </c>
      <c r="F394">
        <v>1</v>
      </c>
      <c r="G394">
        <v>75479.649376234796</v>
      </c>
      <c r="H394">
        <v>9.6281800000000005E-4</v>
      </c>
      <c r="I394">
        <v>11986</v>
      </c>
      <c r="J394">
        <v>2935</v>
      </c>
      <c r="K394">
        <v>9051</v>
      </c>
      <c r="L394">
        <v>500</v>
      </c>
      <c r="M394">
        <v>499</v>
      </c>
      <c r="N394">
        <v>1</v>
      </c>
      <c r="O394">
        <v>25543.630852862301</v>
      </c>
      <c r="P394">
        <v>0</v>
      </c>
    </row>
    <row r="395" spans="1:16" x14ac:dyDescent="0.2">
      <c r="A395" s="3" t="s">
        <v>49</v>
      </c>
      <c r="B395" s="3" t="s">
        <v>52</v>
      </c>
      <c r="C395">
        <v>30</v>
      </c>
      <c r="D395">
        <v>15000</v>
      </c>
      <c r="E395">
        <v>499</v>
      </c>
      <c r="F395">
        <v>1</v>
      </c>
      <c r="G395">
        <v>60572.237308582698</v>
      </c>
      <c r="H395">
        <v>9.6275400000000002E-4</v>
      </c>
      <c r="I395">
        <v>11838</v>
      </c>
      <c r="J395">
        <v>2837</v>
      </c>
      <c r="K395">
        <v>9001</v>
      </c>
      <c r="L395">
        <v>500</v>
      </c>
      <c r="M395">
        <v>499</v>
      </c>
      <c r="N395">
        <v>1</v>
      </c>
      <c r="O395">
        <v>12818.8777457954</v>
      </c>
      <c r="P395">
        <v>0</v>
      </c>
    </row>
    <row r="396" spans="1:16" x14ac:dyDescent="0.2">
      <c r="A396" s="3" t="s">
        <v>49</v>
      </c>
      <c r="B396" s="3" t="s">
        <v>52</v>
      </c>
      <c r="C396">
        <v>21</v>
      </c>
      <c r="D396">
        <v>18000</v>
      </c>
      <c r="E396">
        <v>499</v>
      </c>
      <c r="F396">
        <v>1</v>
      </c>
      <c r="G396">
        <v>18000</v>
      </c>
      <c r="H396">
        <v>9.6266199999999998E-4</v>
      </c>
      <c r="I396">
        <v>11979</v>
      </c>
      <c r="J396">
        <v>2938</v>
      </c>
      <c r="K396">
        <v>9041</v>
      </c>
      <c r="L396">
        <v>500</v>
      </c>
      <c r="M396">
        <v>499</v>
      </c>
      <c r="N396">
        <v>1</v>
      </c>
      <c r="O396">
        <v>6021</v>
      </c>
      <c r="P396">
        <v>1</v>
      </c>
    </row>
    <row r="397" spans="1:16" x14ac:dyDescent="0.2">
      <c r="A397" s="3" t="s">
        <v>49</v>
      </c>
      <c r="B397" s="3" t="s">
        <v>52</v>
      </c>
      <c r="C397">
        <v>42</v>
      </c>
      <c r="D397">
        <v>12000</v>
      </c>
      <c r="E397">
        <v>499</v>
      </c>
      <c r="F397">
        <v>1</v>
      </c>
      <c r="G397">
        <v>12000</v>
      </c>
      <c r="H397">
        <v>9.6248700000000004E-4</v>
      </c>
      <c r="I397">
        <v>11862</v>
      </c>
      <c r="J397">
        <v>2752</v>
      </c>
      <c r="K397">
        <v>9110</v>
      </c>
      <c r="L397">
        <v>500</v>
      </c>
      <c r="M397">
        <v>499</v>
      </c>
      <c r="N397">
        <v>1</v>
      </c>
      <c r="O397">
        <v>138</v>
      </c>
      <c r="P397">
        <v>1</v>
      </c>
    </row>
    <row r="398" spans="1:16" x14ac:dyDescent="0.2">
      <c r="A398" s="3" t="s">
        <v>49</v>
      </c>
      <c r="B398" s="3" t="s">
        <v>52</v>
      </c>
      <c r="C398">
        <v>17</v>
      </c>
      <c r="D398">
        <v>16000</v>
      </c>
      <c r="E398">
        <v>499</v>
      </c>
      <c r="F398">
        <v>1</v>
      </c>
      <c r="G398">
        <v>16000</v>
      </c>
      <c r="H398">
        <v>9.6233199999999999E-4</v>
      </c>
      <c r="I398">
        <v>12030</v>
      </c>
      <c r="J398">
        <v>2982</v>
      </c>
      <c r="K398">
        <v>9048</v>
      </c>
      <c r="L398">
        <v>500</v>
      </c>
      <c r="M398">
        <v>499</v>
      </c>
      <c r="N398">
        <v>1</v>
      </c>
      <c r="O398">
        <v>3970</v>
      </c>
      <c r="P398">
        <v>1</v>
      </c>
    </row>
    <row r="399" spans="1:16" x14ac:dyDescent="0.2">
      <c r="A399" s="3" t="s">
        <v>49</v>
      </c>
      <c r="B399" s="3" t="s">
        <v>52</v>
      </c>
      <c r="C399">
        <v>45</v>
      </c>
      <c r="D399">
        <v>12000</v>
      </c>
      <c r="E399">
        <v>499</v>
      </c>
      <c r="F399">
        <v>1</v>
      </c>
      <c r="G399">
        <v>12000</v>
      </c>
      <c r="H399">
        <v>9.6225E-4</v>
      </c>
      <c r="I399">
        <v>11894</v>
      </c>
      <c r="J399">
        <v>2771</v>
      </c>
      <c r="K399">
        <v>9123</v>
      </c>
      <c r="L399">
        <v>500</v>
      </c>
      <c r="M399">
        <v>499</v>
      </c>
      <c r="N399">
        <v>1</v>
      </c>
      <c r="O399">
        <v>106</v>
      </c>
      <c r="P399">
        <v>1</v>
      </c>
    </row>
    <row r="400" spans="1:16" x14ac:dyDescent="0.2">
      <c r="A400" s="3" t="s">
        <v>49</v>
      </c>
      <c r="B400" s="3" t="s">
        <v>52</v>
      </c>
      <c r="C400">
        <v>38</v>
      </c>
      <c r="D400">
        <v>18000</v>
      </c>
      <c r="E400">
        <v>499</v>
      </c>
      <c r="F400">
        <v>1</v>
      </c>
      <c r="G400">
        <v>18000</v>
      </c>
      <c r="H400">
        <v>9.6177299999999997E-4</v>
      </c>
      <c r="I400">
        <v>11975</v>
      </c>
      <c r="J400">
        <v>2950</v>
      </c>
      <c r="K400">
        <v>9025</v>
      </c>
      <c r="L400">
        <v>500</v>
      </c>
      <c r="M400">
        <v>499</v>
      </c>
      <c r="N400">
        <v>1</v>
      </c>
      <c r="O400">
        <v>6025</v>
      </c>
      <c r="P400">
        <v>1</v>
      </c>
    </row>
    <row r="401" spans="1:16" x14ac:dyDescent="0.2">
      <c r="A401" s="3" t="s">
        <v>49</v>
      </c>
      <c r="B401" s="3" t="s">
        <v>52</v>
      </c>
      <c r="C401">
        <v>36</v>
      </c>
      <c r="D401">
        <v>19000</v>
      </c>
      <c r="E401">
        <v>499</v>
      </c>
      <c r="F401">
        <v>1</v>
      </c>
      <c r="G401">
        <v>19000</v>
      </c>
      <c r="H401">
        <v>9.6126800000000004E-4</v>
      </c>
      <c r="I401">
        <v>12000</v>
      </c>
      <c r="J401">
        <v>2951</v>
      </c>
      <c r="K401">
        <v>9049</v>
      </c>
      <c r="L401">
        <v>500</v>
      </c>
      <c r="M401">
        <v>499</v>
      </c>
      <c r="N401">
        <v>1</v>
      </c>
      <c r="O401">
        <v>7000</v>
      </c>
      <c r="P401">
        <v>1</v>
      </c>
    </row>
    <row r="402" spans="1:16" x14ac:dyDescent="0.2">
      <c r="A402" s="3" t="s">
        <v>49</v>
      </c>
      <c r="B402" s="3" t="s">
        <v>52</v>
      </c>
      <c r="C402">
        <v>14</v>
      </c>
      <c r="D402">
        <v>16000</v>
      </c>
      <c r="E402">
        <v>499</v>
      </c>
      <c r="F402">
        <v>1</v>
      </c>
      <c r="G402">
        <v>16000</v>
      </c>
      <c r="H402">
        <v>9.6110399999999995E-4</v>
      </c>
      <c r="I402">
        <v>12010</v>
      </c>
      <c r="J402">
        <v>2925</v>
      </c>
      <c r="K402">
        <v>9085</v>
      </c>
      <c r="L402">
        <v>500</v>
      </c>
      <c r="M402">
        <v>499</v>
      </c>
      <c r="N402">
        <v>1</v>
      </c>
      <c r="O402">
        <v>3990</v>
      </c>
      <c r="P402">
        <v>1</v>
      </c>
    </row>
    <row r="403" spans="1:16" x14ac:dyDescent="0.2">
      <c r="A403" s="3" t="s">
        <v>49</v>
      </c>
      <c r="B403" s="3" t="s">
        <v>52</v>
      </c>
      <c r="C403">
        <v>39</v>
      </c>
      <c r="D403">
        <v>15000</v>
      </c>
      <c r="E403">
        <v>499</v>
      </c>
      <c r="F403">
        <v>1</v>
      </c>
      <c r="G403">
        <v>15000</v>
      </c>
      <c r="H403">
        <v>9.6110300000000004E-4</v>
      </c>
      <c r="I403">
        <v>11837</v>
      </c>
      <c r="J403">
        <v>2886</v>
      </c>
      <c r="K403">
        <v>8951</v>
      </c>
      <c r="L403">
        <v>500</v>
      </c>
      <c r="M403">
        <v>499</v>
      </c>
      <c r="N403">
        <v>1</v>
      </c>
      <c r="O403">
        <v>3163</v>
      </c>
      <c r="P403">
        <v>1</v>
      </c>
    </row>
    <row r="404" spans="1:16" x14ac:dyDescent="0.2">
      <c r="A404" s="3" t="s">
        <v>49</v>
      </c>
      <c r="B404" s="3" t="s">
        <v>52</v>
      </c>
      <c r="C404">
        <v>2</v>
      </c>
      <c r="D404">
        <v>17000</v>
      </c>
      <c r="E404">
        <v>499</v>
      </c>
      <c r="F404">
        <v>1</v>
      </c>
      <c r="G404">
        <v>17000</v>
      </c>
      <c r="H404">
        <v>9.6063599999999996E-4</v>
      </c>
      <c r="I404">
        <v>11979</v>
      </c>
      <c r="J404">
        <v>2926</v>
      </c>
      <c r="K404">
        <v>9053</v>
      </c>
      <c r="L404">
        <v>500</v>
      </c>
      <c r="M404">
        <v>499</v>
      </c>
      <c r="N404">
        <v>1</v>
      </c>
      <c r="O404">
        <v>5021</v>
      </c>
      <c r="P404">
        <v>1</v>
      </c>
    </row>
    <row r="405" spans="1:16" x14ac:dyDescent="0.2">
      <c r="A405" s="3" t="s">
        <v>49</v>
      </c>
      <c r="B405" s="3" t="s">
        <v>52</v>
      </c>
      <c r="C405">
        <v>15</v>
      </c>
      <c r="D405">
        <v>17000</v>
      </c>
      <c r="E405">
        <v>499</v>
      </c>
      <c r="F405">
        <v>1</v>
      </c>
      <c r="G405">
        <v>65872.258119671897</v>
      </c>
      <c r="H405">
        <v>9.60205E-4</v>
      </c>
      <c r="I405">
        <v>11944</v>
      </c>
      <c r="J405">
        <v>2929</v>
      </c>
      <c r="K405">
        <v>9015</v>
      </c>
      <c r="L405">
        <v>500</v>
      </c>
      <c r="M405">
        <v>499</v>
      </c>
      <c r="N405">
        <v>1</v>
      </c>
      <c r="O405">
        <v>19730.963842147099</v>
      </c>
      <c r="P405">
        <v>0</v>
      </c>
    </row>
    <row r="406" spans="1:16" x14ac:dyDescent="0.2">
      <c r="A406" s="3" t="s">
        <v>49</v>
      </c>
      <c r="B406" s="3" t="s">
        <v>52</v>
      </c>
      <c r="C406">
        <v>10</v>
      </c>
      <c r="D406">
        <v>16000</v>
      </c>
      <c r="E406">
        <v>499</v>
      </c>
      <c r="F406">
        <v>1</v>
      </c>
      <c r="G406">
        <v>64781.839036288002</v>
      </c>
      <c r="H406">
        <v>9.5993900000000004E-4</v>
      </c>
      <c r="I406">
        <v>12037</v>
      </c>
      <c r="J406">
        <v>2934</v>
      </c>
      <c r="K406">
        <v>9103</v>
      </c>
      <c r="L406">
        <v>500</v>
      </c>
      <c r="M406">
        <v>499</v>
      </c>
      <c r="N406">
        <v>1</v>
      </c>
      <c r="O406">
        <v>16169.372957042</v>
      </c>
      <c r="P406">
        <v>0</v>
      </c>
    </row>
    <row r="407" spans="1:16" x14ac:dyDescent="0.2">
      <c r="A407" s="3" t="s">
        <v>49</v>
      </c>
      <c r="B407" s="3" t="s">
        <v>52</v>
      </c>
      <c r="C407">
        <v>19</v>
      </c>
      <c r="D407">
        <v>16000</v>
      </c>
      <c r="E407">
        <v>499</v>
      </c>
      <c r="F407">
        <v>1</v>
      </c>
      <c r="G407">
        <v>64781.839036288002</v>
      </c>
      <c r="H407">
        <v>9.5965500000000001E-4</v>
      </c>
      <c r="I407">
        <v>12010</v>
      </c>
      <c r="J407">
        <v>2902</v>
      </c>
      <c r="K407">
        <v>9108</v>
      </c>
      <c r="L407">
        <v>500</v>
      </c>
      <c r="M407">
        <v>499</v>
      </c>
      <c r="N407">
        <v>1</v>
      </c>
      <c r="O407">
        <v>16276.6911131905</v>
      </c>
      <c r="P407">
        <v>0</v>
      </c>
    </row>
    <row r="408" spans="1:16" x14ac:dyDescent="0.2">
      <c r="A408" s="3" t="s">
        <v>49</v>
      </c>
      <c r="B408" s="3" t="s">
        <v>52</v>
      </c>
      <c r="C408">
        <v>11</v>
      </c>
      <c r="D408">
        <v>16000</v>
      </c>
      <c r="E408">
        <v>499</v>
      </c>
      <c r="F408">
        <v>1</v>
      </c>
      <c r="G408">
        <v>16000</v>
      </c>
      <c r="H408">
        <v>9.5962800000000002E-4</v>
      </c>
      <c r="I408">
        <v>12020</v>
      </c>
      <c r="J408">
        <v>2915</v>
      </c>
      <c r="K408">
        <v>9105</v>
      </c>
      <c r="L408">
        <v>500</v>
      </c>
      <c r="M408">
        <v>499</v>
      </c>
      <c r="N408">
        <v>1</v>
      </c>
      <c r="O408">
        <v>3980</v>
      </c>
      <c r="P408">
        <v>1</v>
      </c>
    </row>
    <row r="409" spans="1:16" x14ac:dyDescent="0.2">
      <c r="A409" s="3" t="s">
        <v>49</v>
      </c>
      <c r="B409" s="3" t="s">
        <v>52</v>
      </c>
      <c r="C409">
        <v>39</v>
      </c>
      <c r="D409">
        <v>18000</v>
      </c>
      <c r="E409">
        <v>499</v>
      </c>
      <c r="F409">
        <v>1</v>
      </c>
      <c r="G409">
        <v>18000</v>
      </c>
      <c r="H409">
        <v>9.5944400000000005E-4</v>
      </c>
      <c r="I409">
        <v>11916</v>
      </c>
      <c r="J409">
        <v>2922</v>
      </c>
      <c r="K409">
        <v>8994</v>
      </c>
      <c r="L409">
        <v>500</v>
      </c>
      <c r="M409">
        <v>499</v>
      </c>
      <c r="N409">
        <v>1</v>
      </c>
      <c r="O409">
        <v>6084</v>
      </c>
      <c r="P409">
        <v>1</v>
      </c>
    </row>
    <row r="410" spans="1:16" x14ac:dyDescent="0.2">
      <c r="A410" s="3" t="s">
        <v>49</v>
      </c>
      <c r="B410" s="3" t="s">
        <v>52</v>
      </c>
      <c r="C410">
        <v>19</v>
      </c>
      <c r="D410">
        <v>17000</v>
      </c>
      <c r="E410">
        <v>499</v>
      </c>
      <c r="F410">
        <v>1</v>
      </c>
      <c r="G410">
        <v>65872.258119671897</v>
      </c>
      <c r="H410">
        <v>9.5938900000000005E-4</v>
      </c>
      <c r="I410">
        <v>11957</v>
      </c>
      <c r="J410">
        <v>2888</v>
      </c>
      <c r="K410">
        <v>9069</v>
      </c>
      <c r="L410">
        <v>500</v>
      </c>
      <c r="M410">
        <v>499</v>
      </c>
      <c r="N410">
        <v>1</v>
      </c>
      <c r="O410">
        <v>19715.905501684902</v>
      </c>
      <c r="P410">
        <v>0</v>
      </c>
    </row>
    <row r="411" spans="1:16" x14ac:dyDescent="0.2">
      <c r="A411" s="3" t="s">
        <v>49</v>
      </c>
      <c r="B411" s="3" t="s">
        <v>52</v>
      </c>
      <c r="C411">
        <v>17</v>
      </c>
      <c r="D411">
        <v>18000</v>
      </c>
      <c r="E411">
        <v>499</v>
      </c>
      <c r="F411">
        <v>1</v>
      </c>
      <c r="G411">
        <v>75479.649376234796</v>
      </c>
      <c r="H411">
        <v>9.5921500000000002E-4</v>
      </c>
      <c r="I411">
        <v>12002</v>
      </c>
      <c r="J411">
        <v>2952</v>
      </c>
      <c r="K411">
        <v>9050</v>
      </c>
      <c r="L411">
        <v>500</v>
      </c>
      <c r="M411">
        <v>499</v>
      </c>
      <c r="N411">
        <v>1</v>
      </c>
      <c r="O411">
        <v>25525.012186293799</v>
      </c>
      <c r="P411">
        <v>0</v>
      </c>
    </row>
    <row r="412" spans="1:16" x14ac:dyDescent="0.2">
      <c r="A412" s="3" t="s">
        <v>49</v>
      </c>
      <c r="B412" s="3" t="s">
        <v>52</v>
      </c>
      <c r="C412">
        <v>43</v>
      </c>
      <c r="D412">
        <v>19000</v>
      </c>
      <c r="E412">
        <v>499</v>
      </c>
      <c r="F412">
        <v>1</v>
      </c>
      <c r="G412">
        <v>19000</v>
      </c>
      <c r="H412">
        <v>9.5901299999999999E-4</v>
      </c>
      <c r="I412">
        <v>12005</v>
      </c>
      <c r="J412">
        <v>2973</v>
      </c>
      <c r="K412">
        <v>9032</v>
      </c>
      <c r="L412">
        <v>500</v>
      </c>
      <c r="M412">
        <v>499</v>
      </c>
      <c r="N412">
        <v>1</v>
      </c>
      <c r="O412">
        <v>6995</v>
      </c>
      <c r="P412">
        <v>1</v>
      </c>
    </row>
    <row r="413" spans="1:16" x14ac:dyDescent="0.2">
      <c r="A413" s="3" t="s">
        <v>49</v>
      </c>
      <c r="B413" s="3" t="s">
        <v>52</v>
      </c>
      <c r="C413">
        <v>18</v>
      </c>
      <c r="D413">
        <v>16000</v>
      </c>
      <c r="E413">
        <v>499</v>
      </c>
      <c r="F413">
        <v>1</v>
      </c>
      <c r="G413">
        <v>64781.839036288002</v>
      </c>
      <c r="H413">
        <v>9.5880300000000004E-4</v>
      </c>
      <c r="I413">
        <v>12011</v>
      </c>
      <c r="J413">
        <v>2929</v>
      </c>
      <c r="K413">
        <v>9082</v>
      </c>
      <c r="L413">
        <v>500</v>
      </c>
      <c r="M413">
        <v>499</v>
      </c>
      <c r="N413">
        <v>1</v>
      </c>
      <c r="O413">
        <v>16234.1424259654</v>
      </c>
      <c r="P413">
        <v>0</v>
      </c>
    </row>
    <row r="414" spans="1:16" x14ac:dyDescent="0.2">
      <c r="A414" s="3" t="s">
        <v>49</v>
      </c>
      <c r="B414" s="3" t="s">
        <v>52</v>
      </c>
      <c r="C414">
        <v>11</v>
      </c>
      <c r="D414">
        <v>18000</v>
      </c>
      <c r="E414">
        <v>499</v>
      </c>
      <c r="F414">
        <v>1</v>
      </c>
      <c r="G414">
        <v>75479.649376234796</v>
      </c>
      <c r="H414">
        <v>9.5867499999999998E-4</v>
      </c>
      <c r="I414">
        <v>11956</v>
      </c>
      <c r="J414">
        <v>2930</v>
      </c>
      <c r="K414">
        <v>9026</v>
      </c>
      <c r="L414">
        <v>500</v>
      </c>
      <c r="M414">
        <v>499</v>
      </c>
      <c r="N414">
        <v>1</v>
      </c>
      <c r="O414">
        <v>25696.0402913326</v>
      </c>
      <c r="P414">
        <v>0</v>
      </c>
    </row>
    <row r="415" spans="1:16" x14ac:dyDescent="0.2">
      <c r="A415" s="3" t="s">
        <v>49</v>
      </c>
      <c r="B415" s="3" t="s">
        <v>52</v>
      </c>
      <c r="C415">
        <v>26</v>
      </c>
      <c r="D415">
        <v>18000</v>
      </c>
      <c r="E415">
        <v>499</v>
      </c>
      <c r="F415">
        <v>1</v>
      </c>
      <c r="G415">
        <v>18000</v>
      </c>
      <c r="H415">
        <v>9.5839899999999997E-4</v>
      </c>
      <c r="I415">
        <v>11992</v>
      </c>
      <c r="J415">
        <v>2942</v>
      </c>
      <c r="K415">
        <v>9050</v>
      </c>
      <c r="L415">
        <v>500</v>
      </c>
      <c r="M415">
        <v>499</v>
      </c>
      <c r="N415">
        <v>1</v>
      </c>
      <c r="O415">
        <v>6008</v>
      </c>
      <c r="P415">
        <v>1</v>
      </c>
    </row>
    <row r="416" spans="1:16" x14ac:dyDescent="0.2">
      <c r="A416" s="3" t="s">
        <v>49</v>
      </c>
      <c r="B416" s="3" t="s">
        <v>52</v>
      </c>
      <c r="C416">
        <v>12</v>
      </c>
      <c r="D416">
        <v>18000</v>
      </c>
      <c r="E416">
        <v>499</v>
      </c>
      <c r="F416">
        <v>1</v>
      </c>
      <c r="G416">
        <v>18000</v>
      </c>
      <c r="H416">
        <v>9.5838100000000001E-4</v>
      </c>
      <c r="I416">
        <v>12007</v>
      </c>
      <c r="J416">
        <v>2948</v>
      </c>
      <c r="K416">
        <v>9059</v>
      </c>
      <c r="L416">
        <v>500</v>
      </c>
      <c r="M416">
        <v>499</v>
      </c>
      <c r="N416">
        <v>1</v>
      </c>
      <c r="O416">
        <v>5993</v>
      </c>
      <c r="P416">
        <v>1</v>
      </c>
    </row>
    <row r="417" spans="1:16" x14ac:dyDescent="0.2">
      <c r="A417" s="3" t="s">
        <v>49</v>
      </c>
      <c r="B417" s="3" t="s">
        <v>52</v>
      </c>
      <c r="C417">
        <v>18</v>
      </c>
      <c r="D417">
        <v>18000</v>
      </c>
      <c r="E417">
        <v>499</v>
      </c>
      <c r="F417">
        <v>1</v>
      </c>
      <c r="G417">
        <v>75479.649376234796</v>
      </c>
      <c r="H417">
        <v>9.5817899999999998E-4</v>
      </c>
      <c r="I417">
        <v>11940</v>
      </c>
      <c r="J417">
        <v>2934</v>
      </c>
      <c r="K417">
        <v>9006</v>
      </c>
      <c r="L417">
        <v>500</v>
      </c>
      <c r="M417">
        <v>499</v>
      </c>
      <c r="N417">
        <v>1</v>
      </c>
      <c r="O417">
        <v>25752.284201098799</v>
      </c>
      <c r="P417">
        <v>0</v>
      </c>
    </row>
    <row r="418" spans="1:16" x14ac:dyDescent="0.2">
      <c r="A418" s="3" t="s">
        <v>49</v>
      </c>
      <c r="B418" s="3" t="s">
        <v>52</v>
      </c>
      <c r="C418">
        <v>40</v>
      </c>
      <c r="D418">
        <v>17000</v>
      </c>
      <c r="E418">
        <v>499</v>
      </c>
      <c r="F418">
        <v>1</v>
      </c>
      <c r="G418">
        <v>17000</v>
      </c>
      <c r="H418">
        <v>9.5808799999999995E-4</v>
      </c>
      <c r="I418">
        <v>11964</v>
      </c>
      <c r="J418">
        <v>2946</v>
      </c>
      <c r="K418">
        <v>9018</v>
      </c>
      <c r="L418">
        <v>500</v>
      </c>
      <c r="M418">
        <v>499</v>
      </c>
      <c r="N418">
        <v>1</v>
      </c>
      <c r="O418">
        <v>5036</v>
      </c>
      <c r="P418">
        <v>1</v>
      </c>
    </row>
    <row r="419" spans="1:16" x14ac:dyDescent="0.2">
      <c r="A419" s="3" t="s">
        <v>49</v>
      </c>
      <c r="B419" s="3" t="s">
        <v>52</v>
      </c>
      <c r="C419">
        <v>4</v>
      </c>
      <c r="D419">
        <v>18000</v>
      </c>
      <c r="E419">
        <v>499</v>
      </c>
      <c r="F419">
        <v>1</v>
      </c>
      <c r="G419">
        <v>75479.649376234796</v>
      </c>
      <c r="H419">
        <v>9.58015E-4</v>
      </c>
      <c r="I419">
        <v>11945</v>
      </c>
      <c r="J419">
        <v>2943</v>
      </c>
      <c r="K419">
        <v>9002</v>
      </c>
      <c r="L419">
        <v>500</v>
      </c>
      <c r="M419">
        <v>499</v>
      </c>
      <c r="N419">
        <v>1</v>
      </c>
      <c r="O419">
        <v>25659.742488985201</v>
      </c>
      <c r="P419">
        <v>0</v>
      </c>
    </row>
    <row r="420" spans="1:16" x14ac:dyDescent="0.2">
      <c r="A420" s="3" t="s">
        <v>49</v>
      </c>
      <c r="B420" s="3" t="s">
        <v>52</v>
      </c>
      <c r="C420">
        <v>17</v>
      </c>
      <c r="D420">
        <v>19000</v>
      </c>
      <c r="E420">
        <v>499</v>
      </c>
      <c r="F420">
        <v>1</v>
      </c>
      <c r="G420">
        <v>19000</v>
      </c>
      <c r="H420">
        <v>9.5793199999999999E-4</v>
      </c>
      <c r="I420">
        <v>12003</v>
      </c>
      <c r="J420">
        <v>2959</v>
      </c>
      <c r="K420">
        <v>9044</v>
      </c>
      <c r="L420">
        <v>500</v>
      </c>
      <c r="M420">
        <v>499</v>
      </c>
      <c r="N420">
        <v>1</v>
      </c>
      <c r="O420">
        <v>6997</v>
      </c>
      <c r="P420">
        <v>1</v>
      </c>
    </row>
    <row r="421" spans="1:16" x14ac:dyDescent="0.2">
      <c r="A421" s="3" t="s">
        <v>49</v>
      </c>
      <c r="B421" s="3" t="s">
        <v>52</v>
      </c>
      <c r="C421">
        <v>10</v>
      </c>
      <c r="D421">
        <v>13000</v>
      </c>
      <c r="E421">
        <v>499</v>
      </c>
      <c r="F421">
        <v>1</v>
      </c>
      <c r="G421">
        <v>13000</v>
      </c>
      <c r="H421">
        <v>9.5779399999999998E-4</v>
      </c>
      <c r="I421">
        <v>11830</v>
      </c>
      <c r="J421">
        <v>2795</v>
      </c>
      <c r="K421">
        <v>9035</v>
      </c>
      <c r="L421">
        <v>500</v>
      </c>
      <c r="M421">
        <v>499</v>
      </c>
      <c r="N421">
        <v>1</v>
      </c>
      <c r="O421">
        <v>1170</v>
      </c>
      <c r="P421">
        <v>1</v>
      </c>
    </row>
    <row r="422" spans="1:16" x14ac:dyDescent="0.2">
      <c r="A422" s="3" t="s">
        <v>49</v>
      </c>
      <c r="B422" s="3" t="s">
        <v>52</v>
      </c>
      <c r="C422">
        <v>19</v>
      </c>
      <c r="D422">
        <v>17000</v>
      </c>
      <c r="E422">
        <v>499</v>
      </c>
      <c r="F422">
        <v>1</v>
      </c>
      <c r="G422">
        <v>17000</v>
      </c>
      <c r="H422">
        <v>9.5777600000000003E-4</v>
      </c>
      <c r="I422">
        <v>11976</v>
      </c>
      <c r="J422">
        <v>2925</v>
      </c>
      <c r="K422">
        <v>9051</v>
      </c>
      <c r="L422">
        <v>500</v>
      </c>
      <c r="M422">
        <v>499</v>
      </c>
      <c r="N422">
        <v>1</v>
      </c>
      <c r="O422">
        <v>5024</v>
      </c>
      <c r="P422">
        <v>1</v>
      </c>
    </row>
    <row r="423" spans="1:16" x14ac:dyDescent="0.2">
      <c r="A423" s="3" t="s">
        <v>49</v>
      </c>
      <c r="B423" s="3" t="s">
        <v>52</v>
      </c>
      <c r="C423">
        <v>47</v>
      </c>
      <c r="D423">
        <v>17000</v>
      </c>
      <c r="E423">
        <v>499</v>
      </c>
      <c r="F423">
        <v>1</v>
      </c>
      <c r="G423">
        <v>17000</v>
      </c>
      <c r="H423">
        <v>9.5726299999999997E-4</v>
      </c>
      <c r="I423">
        <v>11974</v>
      </c>
      <c r="J423">
        <v>2921</v>
      </c>
      <c r="K423">
        <v>9053</v>
      </c>
      <c r="L423">
        <v>500</v>
      </c>
      <c r="M423">
        <v>499</v>
      </c>
      <c r="N423">
        <v>1</v>
      </c>
      <c r="O423">
        <v>5026</v>
      </c>
      <c r="P423">
        <v>1</v>
      </c>
    </row>
    <row r="424" spans="1:16" x14ac:dyDescent="0.2">
      <c r="A424" s="3" t="s">
        <v>49</v>
      </c>
      <c r="B424" s="3" t="s">
        <v>52</v>
      </c>
      <c r="C424">
        <v>4</v>
      </c>
      <c r="D424">
        <v>18000</v>
      </c>
      <c r="E424">
        <v>499</v>
      </c>
      <c r="F424">
        <v>1</v>
      </c>
      <c r="G424">
        <v>18000</v>
      </c>
      <c r="H424">
        <v>9.5712499999999997E-4</v>
      </c>
      <c r="I424">
        <v>11976</v>
      </c>
      <c r="J424">
        <v>2926</v>
      </c>
      <c r="K424">
        <v>9050</v>
      </c>
      <c r="L424">
        <v>500</v>
      </c>
      <c r="M424">
        <v>499</v>
      </c>
      <c r="N424">
        <v>1</v>
      </c>
      <c r="O424">
        <v>6024</v>
      </c>
      <c r="P424">
        <v>1</v>
      </c>
    </row>
    <row r="425" spans="1:16" x14ac:dyDescent="0.2">
      <c r="A425" s="3" t="s">
        <v>49</v>
      </c>
      <c r="B425" s="3" t="s">
        <v>52</v>
      </c>
      <c r="C425">
        <v>7</v>
      </c>
      <c r="D425">
        <v>18000</v>
      </c>
      <c r="E425">
        <v>499</v>
      </c>
      <c r="F425">
        <v>1</v>
      </c>
      <c r="G425">
        <v>18000</v>
      </c>
      <c r="H425">
        <v>9.5710700000000001E-4</v>
      </c>
      <c r="I425">
        <v>11932</v>
      </c>
      <c r="J425">
        <v>2932</v>
      </c>
      <c r="K425">
        <v>9000</v>
      </c>
      <c r="L425">
        <v>500</v>
      </c>
      <c r="M425">
        <v>499</v>
      </c>
      <c r="N425">
        <v>1</v>
      </c>
      <c r="O425">
        <v>6068</v>
      </c>
      <c r="P425">
        <v>1</v>
      </c>
    </row>
    <row r="426" spans="1:16" x14ac:dyDescent="0.2">
      <c r="A426" s="3" t="s">
        <v>49</v>
      </c>
      <c r="B426" s="3" t="s">
        <v>52</v>
      </c>
      <c r="C426">
        <v>9</v>
      </c>
      <c r="D426">
        <v>18000</v>
      </c>
      <c r="E426">
        <v>499</v>
      </c>
      <c r="F426">
        <v>1</v>
      </c>
      <c r="G426">
        <v>18000</v>
      </c>
      <c r="H426">
        <v>9.5685900000000001E-4</v>
      </c>
      <c r="I426">
        <v>11986</v>
      </c>
      <c r="J426">
        <v>2941</v>
      </c>
      <c r="K426">
        <v>9045</v>
      </c>
      <c r="L426">
        <v>500</v>
      </c>
      <c r="M426">
        <v>499</v>
      </c>
      <c r="N426">
        <v>1</v>
      </c>
      <c r="O426">
        <v>6014</v>
      </c>
      <c r="P426">
        <v>1</v>
      </c>
    </row>
    <row r="427" spans="1:16" x14ac:dyDescent="0.2">
      <c r="A427" s="3" t="s">
        <v>49</v>
      </c>
      <c r="B427" s="3" t="s">
        <v>52</v>
      </c>
      <c r="C427">
        <v>22</v>
      </c>
      <c r="D427">
        <v>18000</v>
      </c>
      <c r="E427">
        <v>499</v>
      </c>
      <c r="F427">
        <v>1</v>
      </c>
      <c r="G427">
        <v>75479.649376234796</v>
      </c>
      <c r="H427">
        <v>9.5683200000000002E-4</v>
      </c>
      <c r="I427">
        <v>11944</v>
      </c>
      <c r="J427">
        <v>2924</v>
      </c>
      <c r="K427">
        <v>9020</v>
      </c>
      <c r="L427">
        <v>500</v>
      </c>
      <c r="M427">
        <v>499</v>
      </c>
      <c r="N427">
        <v>1</v>
      </c>
      <c r="O427">
        <v>25740.5175110276</v>
      </c>
      <c r="P427">
        <v>0</v>
      </c>
    </row>
    <row r="428" spans="1:16" x14ac:dyDescent="0.2">
      <c r="A428" s="3" t="s">
        <v>49</v>
      </c>
      <c r="B428" s="3" t="s">
        <v>52</v>
      </c>
      <c r="C428">
        <v>30</v>
      </c>
      <c r="D428">
        <v>17000</v>
      </c>
      <c r="E428">
        <v>499</v>
      </c>
      <c r="F428">
        <v>1</v>
      </c>
      <c r="G428">
        <v>17000</v>
      </c>
      <c r="H428">
        <v>9.5662099999999995E-4</v>
      </c>
      <c r="I428">
        <v>11954</v>
      </c>
      <c r="J428">
        <v>2914</v>
      </c>
      <c r="K428">
        <v>9040</v>
      </c>
      <c r="L428">
        <v>500</v>
      </c>
      <c r="M428">
        <v>499</v>
      </c>
      <c r="N428">
        <v>1</v>
      </c>
      <c r="O428">
        <v>5046</v>
      </c>
      <c r="P428">
        <v>1</v>
      </c>
    </row>
    <row r="429" spans="1:16" x14ac:dyDescent="0.2">
      <c r="A429" s="3" t="s">
        <v>49</v>
      </c>
      <c r="B429" s="3" t="s">
        <v>52</v>
      </c>
      <c r="C429">
        <v>5</v>
      </c>
      <c r="D429">
        <v>18000</v>
      </c>
      <c r="E429">
        <v>499</v>
      </c>
      <c r="F429">
        <v>1</v>
      </c>
      <c r="G429">
        <v>75479.649376234796</v>
      </c>
      <c r="H429">
        <v>9.5607999999999999E-4</v>
      </c>
      <c r="I429">
        <v>11941</v>
      </c>
      <c r="J429">
        <v>2890</v>
      </c>
      <c r="K429">
        <v>9051</v>
      </c>
      <c r="L429">
        <v>500</v>
      </c>
      <c r="M429">
        <v>499</v>
      </c>
      <c r="N429">
        <v>1</v>
      </c>
      <c r="O429">
        <v>25741.371536777799</v>
      </c>
      <c r="P429">
        <v>0</v>
      </c>
    </row>
    <row r="430" spans="1:16" x14ac:dyDescent="0.2">
      <c r="A430" s="3" t="s">
        <v>49</v>
      </c>
      <c r="B430" s="3" t="s">
        <v>52</v>
      </c>
      <c r="C430">
        <v>23</v>
      </c>
      <c r="D430">
        <v>17000</v>
      </c>
      <c r="E430">
        <v>499</v>
      </c>
      <c r="F430">
        <v>1</v>
      </c>
      <c r="G430">
        <v>65872.258119671897</v>
      </c>
      <c r="H430">
        <v>9.5596099999999996E-4</v>
      </c>
      <c r="I430">
        <v>11963</v>
      </c>
      <c r="J430">
        <v>2923</v>
      </c>
      <c r="K430">
        <v>9040</v>
      </c>
      <c r="L430">
        <v>500</v>
      </c>
      <c r="M430">
        <v>499</v>
      </c>
      <c r="N430">
        <v>1</v>
      </c>
      <c r="O430">
        <v>19668.138323756499</v>
      </c>
      <c r="P430">
        <v>0</v>
      </c>
    </row>
    <row r="431" spans="1:16" x14ac:dyDescent="0.2">
      <c r="A431" s="3" t="s">
        <v>49</v>
      </c>
      <c r="B431" s="3" t="s">
        <v>52</v>
      </c>
      <c r="C431">
        <v>25</v>
      </c>
      <c r="D431">
        <v>17000</v>
      </c>
      <c r="E431">
        <v>499</v>
      </c>
      <c r="F431">
        <v>1</v>
      </c>
      <c r="G431">
        <v>65872.258119671897</v>
      </c>
      <c r="H431">
        <v>9.5583300000000001E-4</v>
      </c>
      <c r="I431">
        <v>11970</v>
      </c>
      <c r="J431">
        <v>2915</v>
      </c>
      <c r="K431">
        <v>9055</v>
      </c>
      <c r="L431">
        <v>500</v>
      </c>
      <c r="M431">
        <v>499</v>
      </c>
      <c r="N431">
        <v>1</v>
      </c>
      <c r="O431">
        <v>19627.141649592701</v>
      </c>
      <c r="P431">
        <v>0</v>
      </c>
    </row>
    <row r="432" spans="1:16" x14ac:dyDescent="0.2">
      <c r="A432" s="3" t="s">
        <v>49</v>
      </c>
      <c r="B432" s="3" t="s">
        <v>52</v>
      </c>
      <c r="C432">
        <v>5</v>
      </c>
      <c r="D432">
        <v>16000</v>
      </c>
      <c r="E432">
        <v>499</v>
      </c>
      <c r="F432">
        <v>1</v>
      </c>
      <c r="G432">
        <v>16000</v>
      </c>
      <c r="H432">
        <v>9.5579599999999997E-4</v>
      </c>
      <c r="I432">
        <v>11969</v>
      </c>
      <c r="J432">
        <v>2911</v>
      </c>
      <c r="K432">
        <v>9058</v>
      </c>
      <c r="L432">
        <v>500</v>
      </c>
      <c r="M432">
        <v>499</v>
      </c>
      <c r="N432">
        <v>1</v>
      </c>
      <c r="O432">
        <v>4031</v>
      </c>
      <c r="P432">
        <v>1</v>
      </c>
    </row>
    <row r="433" spans="1:16" x14ac:dyDescent="0.2">
      <c r="A433" s="3" t="s">
        <v>49</v>
      </c>
      <c r="B433" s="3" t="s">
        <v>52</v>
      </c>
      <c r="C433">
        <v>28</v>
      </c>
      <c r="D433">
        <v>18000</v>
      </c>
      <c r="E433">
        <v>499</v>
      </c>
      <c r="F433">
        <v>1</v>
      </c>
      <c r="G433">
        <v>18000</v>
      </c>
      <c r="H433">
        <v>9.55695E-4</v>
      </c>
      <c r="I433">
        <v>11941</v>
      </c>
      <c r="J433">
        <v>2895</v>
      </c>
      <c r="K433">
        <v>9046</v>
      </c>
      <c r="L433">
        <v>500</v>
      </c>
      <c r="M433">
        <v>499</v>
      </c>
      <c r="N433">
        <v>1</v>
      </c>
      <c r="O433">
        <v>6059</v>
      </c>
      <c r="P433">
        <v>1</v>
      </c>
    </row>
    <row r="434" spans="1:16" x14ac:dyDescent="0.2">
      <c r="A434" s="3" t="s">
        <v>49</v>
      </c>
      <c r="B434" s="3" t="s">
        <v>52</v>
      </c>
      <c r="C434">
        <v>22</v>
      </c>
      <c r="D434">
        <v>17000</v>
      </c>
      <c r="E434">
        <v>499</v>
      </c>
      <c r="F434">
        <v>1</v>
      </c>
      <c r="G434">
        <v>17000</v>
      </c>
      <c r="H434">
        <v>9.5557599999999997E-4</v>
      </c>
      <c r="I434">
        <v>11979</v>
      </c>
      <c r="J434">
        <v>2947</v>
      </c>
      <c r="K434">
        <v>9032</v>
      </c>
      <c r="L434">
        <v>500</v>
      </c>
      <c r="M434">
        <v>499</v>
      </c>
      <c r="N434">
        <v>1</v>
      </c>
      <c r="O434">
        <v>5021</v>
      </c>
      <c r="P434">
        <v>1</v>
      </c>
    </row>
    <row r="435" spans="1:16" x14ac:dyDescent="0.2">
      <c r="A435" s="3" t="s">
        <v>49</v>
      </c>
      <c r="B435" s="3" t="s">
        <v>52</v>
      </c>
      <c r="C435">
        <v>37</v>
      </c>
      <c r="D435">
        <v>16000</v>
      </c>
      <c r="E435">
        <v>499</v>
      </c>
      <c r="F435">
        <v>1</v>
      </c>
      <c r="G435">
        <v>64781.839036288002</v>
      </c>
      <c r="H435">
        <v>9.5544800000000002E-4</v>
      </c>
      <c r="I435">
        <v>11967</v>
      </c>
      <c r="J435">
        <v>2898</v>
      </c>
      <c r="K435">
        <v>9069</v>
      </c>
      <c r="L435">
        <v>500</v>
      </c>
      <c r="M435">
        <v>499</v>
      </c>
      <c r="N435">
        <v>1</v>
      </c>
      <c r="O435">
        <v>16421.455576262098</v>
      </c>
      <c r="P435">
        <v>0</v>
      </c>
    </row>
    <row r="436" spans="1:16" x14ac:dyDescent="0.2">
      <c r="A436" s="3" t="s">
        <v>49</v>
      </c>
      <c r="B436" s="3" t="s">
        <v>52</v>
      </c>
      <c r="C436">
        <v>12</v>
      </c>
      <c r="D436">
        <v>17000</v>
      </c>
      <c r="E436">
        <v>499</v>
      </c>
      <c r="F436">
        <v>1</v>
      </c>
      <c r="G436">
        <v>65872.258119671897</v>
      </c>
      <c r="H436">
        <v>9.5537499999999995E-4</v>
      </c>
      <c r="I436">
        <v>12000</v>
      </c>
      <c r="J436">
        <v>2956</v>
      </c>
      <c r="K436">
        <v>9044</v>
      </c>
      <c r="L436">
        <v>500</v>
      </c>
      <c r="M436">
        <v>499</v>
      </c>
      <c r="N436">
        <v>1</v>
      </c>
      <c r="O436">
        <v>19506.888874241598</v>
      </c>
      <c r="P436">
        <v>0</v>
      </c>
    </row>
    <row r="437" spans="1:16" x14ac:dyDescent="0.2">
      <c r="A437" s="3" t="s">
        <v>49</v>
      </c>
      <c r="B437" s="3" t="s">
        <v>52</v>
      </c>
      <c r="C437">
        <v>30</v>
      </c>
      <c r="D437">
        <v>13000</v>
      </c>
      <c r="E437">
        <v>499</v>
      </c>
      <c r="F437">
        <v>1</v>
      </c>
      <c r="G437">
        <v>53044.701099550097</v>
      </c>
      <c r="H437">
        <v>9.54999E-4</v>
      </c>
      <c r="I437">
        <v>11847</v>
      </c>
      <c r="J437">
        <v>2835</v>
      </c>
      <c r="K437">
        <v>9012</v>
      </c>
      <c r="L437">
        <v>500</v>
      </c>
      <c r="M437">
        <v>499</v>
      </c>
      <c r="N437">
        <v>1</v>
      </c>
      <c r="O437">
        <v>4669.9319067319002</v>
      </c>
      <c r="P437">
        <v>0</v>
      </c>
    </row>
    <row r="438" spans="1:16" x14ac:dyDescent="0.2">
      <c r="A438" s="3" t="s">
        <v>49</v>
      </c>
      <c r="B438" s="3" t="s">
        <v>52</v>
      </c>
      <c r="C438">
        <v>20</v>
      </c>
      <c r="D438">
        <v>15000</v>
      </c>
      <c r="E438">
        <v>499</v>
      </c>
      <c r="F438">
        <v>1</v>
      </c>
      <c r="G438">
        <v>60572.237308582698</v>
      </c>
      <c r="H438">
        <v>9.5485199999999996E-4</v>
      </c>
      <c r="I438">
        <v>11871</v>
      </c>
      <c r="J438">
        <v>2885</v>
      </c>
      <c r="K438">
        <v>8986</v>
      </c>
      <c r="L438">
        <v>500</v>
      </c>
      <c r="M438">
        <v>499</v>
      </c>
      <c r="N438">
        <v>1</v>
      </c>
      <c r="O438">
        <v>12697.710947642599</v>
      </c>
      <c r="P438">
        <v>0</v>
      </c>
    </row>
    <row r="439" spans="1:16" x14ac:dyDescent="0.2">
      <c r="A439" s="3" t="s">
        <v>49</v>
      </c>
      <c r="B439" s="3" t="s">
        <v>52</v>
      </c>
      <c r="C439">
        <v>2</v>
      </c>
      <c r="D439">
        <v>18000</v>
      </c>
      <c r="E439">
        <v>499</v>
      </c>
      <c r="F439">
        <v>1</v>
      </c>
      <c r="G439">
        <v>75479.649376234796</v>
      </c>
      <c r="H439">
        <v>9.5480599999999999E-4</v>
      </c>
      <c r="I439">
        <v>11956</v>
      </c>
      <c r="J439">
        <v>2919</v>
      </c>
      <c r="K439">
        <v>9037</v>
      </c>
      <c r="L439">
        <v>500</v>
      </c>
      <c r="M439">
        <v>499</v>
      </c>
      <c r="N439">
        <v>1</v>
      </c>
      <c r="O439">
        <v>25650.0262880886</v>
      </c>
      <c r="P439">
        <v>0</v>
      </c>
    </row>
    <row r="440" spans="1:16" x14ac:dyDescent="0.2">
      <c r="A440" s="3" t="s">
        <v>49</v>
      </c>
      <c r="B440" s="3" t="s">
        <v>52</v>
      </c>
      <c r="C440">
        <v>21</v>
      </c>
      <c r="D440">
        <v>18000</v>
      </c>
      <c r="E440">
        <v>499</v>
      </c>
      <c r="F440">
        <v>1</v>
      </c>
      <c r="G440">
        <v>75479.649376234796</v>
      </c>
      <c r="H440">
        <v>9.5450299999999999E-4</v>
      </c>
      <c r="I440">
        <v>11957</v>
      </c>
      <c r="J440">
        <v>2938</v>
      </c>
      <c r="K440">
        <v>9019</v>
      </c>
      <c r="L440">
        <v>500</v>
      </c>
      <c r="M440">
        <v>499</v>
      </c>
      <c r="N440">
        <v>1</v>
      </c>
      <c r="O440">
        <v>25675.143552358299</v>
      </c>
      <c r="P440">
        <v>0</v>
      </c>
    </row>
    <row r="441" spans="1:16" x14ac:dyDescent="0.2">
      <c r="A441" s="3" t="s">
        <v>49</v>
      </c>
      <c r="B441" s="3" t="s">
        <v>52</v>
      </c>
      <c r="C441">
        <v>48</v>
      </c>
      <c r="D441">
        <v>17000</v>
      </c>
      <c r="E441">
        <v>499</v>
      </c>
      <c r="F441">
        <v>1</v>
      </c>
      <c r="G441">
        <v>17000</v>
      </c>
      <c r="H441">
        <v>9.5440300000000004E-4</v>
      </c>
      <c r="I441">
        <v>11986</v>
      </c>
      <c r="J441">
        <v>2931</v>
      </c>
      <c r="K441">
        <v>9055</v>
      </c>
      <c r="L441">
        <v>500</v>
      </c>
      <c r="M441">
        <v>499</v>
      </c>
      <c r="N441">
        <v>1</v>
      </c>
      <c r="O441">
        <v>5014</v>
      </c>
      <c r="P441">
        <v>1</v>
      </c>
    </row>
    <row r="442" spans="1:16" x14ac:dyDescent="0.2">
      <c r="A442" s="3" t="s">
        <v>49</v>
      </c>
      <c r="B442" s="3" t="s">
        <v>52</v>
      </c>
      <c r="C442">
        <v>8</v>
      </c>
      <c r="D442">
        <v>17000</v>
      </c>
      <c r="E442">
        <v>499</v>
      </c>
      <c r="F442">
        <v>1</v>
      </c>
      <c r="G442">
        <v>17000</v>
      </c>
      <c r="H442">
        <v>9.5439400000000001E-4</v>
      </c>
      <c r="I442">
        <v>11982</v>
      </c>
      <c r="J442">
        <v>2939</v>
      </c>
      <c r="K442">
        <v>9043</v>
      </c>
      <c r="L442">
        <v>500</v>
      </c>
      <c r="M442">
        <v>499</v>
      </c>
      <c r="N442">
        <v>1</v>
      </c>
      <c r="O442">
        <v>5018</v>
      </c>
      <c r="P442">
        <v>1</v>
      </c>
    </row>
    <row r="443" spans="1:16" x14ac:dyDescent="0.2">
      <c r="A443" s="3" t="s">
        <v>49</v>
      </c>
      <c r="B443" s="3" t="s">
        <v>52</v>
      </c>
      <c r="C443">
        <v>34</v>
      </c>
      <c r="D443">
        <v>13000</v>
      </c>
      <c r="E443">
        <v>499</v>
      </c>
      <c r="F443">
        <v>1</v>
      </c>
      <c r="G443">
        <v>53044.701099550097</v>
      </c>
      <c r="H443">
        <v>9.5422900000000001E-4</v>
      </c>
      <c r="I443">
        <v>11870</v>
      </c>
      <c r="J443">
        <v>2839</v>
      </c>
      <c r="K443">
        <v>9031</v>
      </c>
      <c r="L443">
        <v>500</v>
      </c>
      <c r="M443">
        <v>499</v>
      </c>
      <c r="N443">
        <v>1</v>
      </c>
      <c r="O443">
        <v>4579.6126814931004</v>
      </c>
      <c r="P443">
        <v>0</v>
      </c>
    </row>
    <row r="444" spans="1:16" x14ac:dyDescent="0.2">
      <c r="A444" s="3" t="s">
        <v>49</v>
      </c>
      <c r="B444" s="3" t="s">
        <v>52</v>
      </c>
      <c r="C444">
        <v>20</v>
      </c>
      <c r="D444">
        <v>17000</v>
      </c>
      <c r="E444">
        <v>499</v>
      </c>
      <c r="F444">
        <v>1</v>
      </c>
      <c r="G444">
        <v>65872.258119671897</v>
      </c>
      <c r="H444">
        <v>9.5420100000000001E-4</v>
      </c>
      <c r="I444">
        <v>11954</v>
      </c>
      <c r="J444">
        <v>2930</v>
      </c>
      <c r="K444">
        <v>9024</v>
      </c>
      <c r="L444">
        <v>500</v>
      </c>
      <c r="M444">
        <v>499</v>
      </c>
      <c r="N444">
        <v>1</v>
      </c>
      <c r="O444">
        <v>19737.562978978502</v>
      </c>
      <c r="P444">
        <v>0</v>
      </c>
    </row>
    <row r="445" spans="1:16" x14ac:dyDescent="0.2">
      <c r="A445" s="3" t="s">
        <v>49</v>
      </c>
      <c r="B445" s="3" t="s">
        <v>52</v>
      </c>
      <c r="C445">
        <v>16</v>
      </c>
      <c r="D445">
        <v>18000</v>
      </c>
      <c r="E445">
        <v>499</v>
      </c>
      <c r="F445">
        <v>1</v>
      </c>
      <c r="G445">
        <v>75479.649376234796</v>
      </c>
      <c r="H445">
        <v>9.5390799999999995E-4</v>
      </c>
      <c r="I445">
        <v>11932</v>
      </c>
      <c r="J445">
        <v>2908</v>
      </c>
      <c r="K445">
        <v>9024</v>
      </c>
      <c r="L445">
        <v>500</v>
      </c>
      <c r="M445">
        <v>499</v>
      </c>
      <c r="N445">
        <v>1</v>
      </c>
      <c r="O445">
        <v>25738.950097682598</v>
      </c>
      <c r="P445">
        <v>0</v>
      </c>
    </row>
    <row r="446" spans="1:16" x14ac:dyDescent="0.2">
      <c r="A446" s="3" t="s">
        <v>49</v>
      </c>
      <c r="B446" s="3" t="s">
        <v>52</v>
      </c>
      <c r="C446">
        <v>25</v>
      </c>
      <c r="D446">
        <v>18000</v>
      </c>
      <c r="E446">
        <v>499</v>
      </c>
      <c r="F446">
        <v>1</v>
      </c>
      <c r="G446">
        <v>75479.649376234796</v>
      </c>
      <c r="H446">
        <v>9.5383399999999998E-4</v>
      </c>
      <c r="I446">
        <v>11963</v>
      </c>
      <c r="J446">
        <v>2905</v>
      </c>
      <c r="K446">
        <v>9058</v>
      </c>
      <c r="L446">
        <v>500</v>
      </c>
      <c r="M446">
        <v>499</v>
      </c>
      <c r="N446">
        <v>1</v>
      </c>
      <c r="O446">
        <v>25664.781654433202</v>
      </c>
      <c r="P446">
        <v>0</v>
      </c>
    </row>
    <row r="447" spans="1:16" x14ac:dyDescent="0.2">
      <c r="A447" s="3" t="s">
        <v>49</v>
      </c>
      <c r="B447" s="3" t="s">
        <v>52</v>
      </c>
      <c r="C447">
        <v>29</v>
      </c>
      <c r="D447">
        <v>17000</v>
      </c>
      <c r="E447">
        <v>499</v>
      </c>
      <c r="F447">
        <v>1</v>
      </c>
      <c r="G447">
        <v>65872.258119671897</v>
      </c>
      <c r="H447">
        <v>9.5364199999999999E-4</v>
      </c>
      <c r="I447">
        <v>11981</v>
      </c>
      <c r="J447">
        <v>2955</v>
      </c>
      <c r="K447">
        <v>9026</v>
      </c>
      <c r="L447">
        <v>500</v>
      </c>
      <c r="M447">
        <v>499</v>
      </c>
      <c r="N447">
        <v>1</v>
      </c>
      <c r="O447">
        <v>19640.931954824599</v>
      </c>
      <c r="P447">
        <v>0</v>
      </c>
    </row>
    <row r="448" spans="1:16" x14ac:dyDescent="0.2">
      <c r="A448" s="3" t="s">
        <v>49</v>
      </c>
      <c r="B448" s="3" t="s">
        <v>52</v>
      </c>
      <c r="C448">
        <v>24</v>
      </c>
      <c r="D448">
        <v>18000</v>
      </c>
      <c r="E448">
        <v>499</v>
      </c>
      <c r="F448">
        <v>1</v>
      </c>
      <c r="G448">
        <v>18000</v>
      </c>
      <c r="H448">
        <v>9.5363299999999995E-4</v>
      </c>
      <c r="I448">
        <v>11980</v>
      </c>
      <c r="J448">
        <v>2892</v>
      </c>
      <c r="K448">
        <v>9088</v>
      </c>
      <c r="L448">
        <v>500</v>
      </c>
      <c r="M448">
        <v>499</v>
      </c>
      <c r="N448">
        <v>1</v>
      </c>
      <c r="O448">
        <v>6020</v>
      </c>
      <c r="P448">
        <v>1</v>
      </c>
    </row>
    <row r="449" spans="1:16" x14ac:dyDescent="0.2">
      <c r="A449" s="3" t="s">
        <v>49</v>
      </c>
      <c r="B449" s="3" t="s">
        <v>52</v>
      </c>
      <c r="C449">
        <v>30</v>
      </c>
      <c r="D449">
        <v>16000</v>
      </c>
      <c r="E449">
        <v>499</v>
      </c>
      <c r="F449">
        <v>1</v>
      </c>
      <c r="G449">
        <v>16000</v>
      </c>
      <c r="H449">
        <v>9.5362400000000003E-4</v>
      </c>
      <c r="I449">
        <v>11998</v>
      </c>
      <c r="J449">
        <v>2919</v>
      </c>
      <c r="K449">
        <v>9079</v>
      </c>
      <c r="L449">
        <v>500</v>
      </c>
      <c r="M449">
        <v>499</v>
      </c>
      <c r="N449">
        <v>1</v>
      </c>
      <c r="O449">
        <v>4002</v>
      </c>
      <c r="P449">
        <v>1</v>
      </c>
    </row>
    <row r="450" spans="1:16" x14ac:dyDescent="0.2">
      <c r="A450" s="3" t="s">
        <v>49</v>
      </c>
      <c r="B450" s="3" t="s">
        <v>52</v>
      </c>
      <c r="C450">
        <v>2</v>
      </c>
      <c r="D450">
        <v>18000</v>
      </c>
      <c r="E450">
        <v>499</v>
      </c>
      <c r="F450">
        <v>1</v>
      </c>
      <c r="G450">
        <v>18000</v>
      </c>
      <c r="H450">
        <v>9.5354999999999995E-4</v>
      </c>
      <c r="I450">
        <v>11957</v>
      </c>
      <c r="J450">
        <v>2940</v>
      </c>
      <c r="K450">
        <v>9017</v>
      </c>
      <c r="L450">
        <v>500</v>
      </c>
      <c r="M450">
        <v>499</v>
      </c>
      <c r="N450">
        <v>1</v>
      </c>
      <c r="O450">
        <v>6043</v>
      </c>
      <c r="P450">
        <v>1</v>
      </c>
    </row>
    <row r="451" spans="1:16" x14ac:dyDescent="0.2">
      <c r="A451" s="3" t="s">
        <v>49</v>
      </c>
      <c r="B451" s="3" t="s">
        <v>52</v>
      </c>
      <c r="C451">
        <v>6</v>
      </c>
      <c r="D451">
        <v>14000</v>
      </c>
      <c r="E451">
        <v>499</v>
      </c>
      <c r="F451">
        <v>1</v>
      </c>
      <c r="G451">
        <v>14000</v>
      </c>
      <c r="H451">
        <v>9.5352299999999996E-4</v>
      </c>
      <c r="I451">
        <v>11895</v>
      </c>
      <c r="J451">
        <v>2830</v>
      </c>
      <c r="K451">
        <v>9065</v>
      </c>
      <c r="L451">
        <v>500</v>
      </c>
      <c r="M451">
        <v>499</v>
      </c>
      <c r="N451">
        <v>1</v>
      </c>
      <c r="O451">
        <v>2105</v>
      </c>
      <c r="P451">
        <v>1</v>
      </c>
    </row>
    <row r="452" spans="1:16" x14ac:dyDescent="0.2">
      <c r="A452" s="3" t="s">
        <v>49</v>
      </c>
      <c r="B452" s="3" t="s">
        <v>52</v>
      </c>
      <c r="C452">
        <v>8</v>
      </c>
      <c r="D452">
        <v>18000</v>
      </c>
      <c r="E452">
        <v>499</v>
      </c>
      <c r="F452">
        <v>1</v>
      </c>
      <c r="G452">
        <v>18000</v>
      </c>
      <c r="H452">
        <v>9.5327599999999997E-4</v>
      </c>
      <c r="I452">
        <v>11973</v>
      </c>
      <c r="J452">
        <v>2942</v>
      </c>
      <c r="K452">
        <v>9031</v>
      </c>
      <c r="L452">
        <v>500</v>
      </c>
      <c r="M452">
        <v>499</v>
      </c>
      <c r="N452">
        <v>1</v>
      </c>
      <c r="O452">
        <v>6027</v>
      </c>
      <c r="P452">
        <v>1</v>
      </c>
    </row>
    <row r="453" spans="1:16" x14ac:dyDescent="0.2">
      <c r="A453" s="3" t="s">
        <v>49</v>
      </c>
      <c r="B453" s="3" t="s">
        <v>52</v>
      </c>
      <c r="C453">
        <v>13</v>
      </c>
      <c r="D453">
        <v>14000</v>
      </c>
      <c r="E453">
        <v>499</v>
      </c>
      <c r="F453">
        <v>1</v>
      </c>
      <c r="G453">
        <v>58565.0323707059</v>
      </c>
      <c r="H453">
        <v>9.5321999999999996E-4</v>
      </c>
      <c r="I453">
        <v>11959</v>
      </c>
      <c r="J453">
        <v>2859</v>
      </c>
      <c r="K453">
        <v>9100</v>
      </c>
      <c r="L453">
        <v>500</v>
      </c>
      <c r="M453">
        <v>499</v>
      </c>
      <c r="N453">
        <v>1</v>
      </c>
      <c r="O453">
        <v>8606.5630704978994</v>
      </c>
      <c r="P453">
        <v>0</v>
      </c>
    </row>
    <row r="454" spans="1:16" x14ac:dyDescent="0.2">
      <c r="A454" s="3" t="s">
        <v>49</v>
      </c>
      <c r="B454" s="3" t="s">
        <v>52</v>
      </c>
      <c r="C454">
        <v>5</v>
      </c>
      <c r="D454">
        <v>17000</v>
      </c>
      <c r="E454">
        <v>499</v>
      </c>
      <c r="F454">
        <v>1</v>
      </c>
      <c r="G454">
        <v>65872.258119671897</v>
      </c>
      <c r="H454">
        <v>9.5313799999999997E-4</v>
      </c>
      <c r="I454">
        <v>11955</v>
      </c>
      <c r="J454">
        <v>2893</v>
      </c>
      <c r="K454">
        <v>9062</v>
      </c>
      <c r="L454">
        <v>500</v>
      </c>
      <c r="M454">
        <v>499</v>
      </c>
      <c r="N454">
        <v>1</v>
      </c>
      <c r="O454">
        <v>19731.516311433799</v>
      </c>
      <c r="P454">
        <v>0</v>
      </c>
    </row>
    <row r="455" spans="1:16" x14ac:dyDescent="0.2">
      <c r="A455" s="3" t="s">
        <v>49</v>
      </c>
      <c r="B455" s="3" t="s">
        <v>52</v>
      </c>
      <c r="C455">
        <v>35</v>
      </c>
      <c r="D455">
        <v>16000</v>
      </c>
      <c r="E455">
        <v>499</v>
      </c>
      <c r="F455">
        <v>1</v>
      </c>
      <c r="G455">
        <v>16000</v>
      </c>
      <c r="H455">
        <v>9.5312000000000001E-4</v>
      </c>
      <c r="I455">
        <v>11998</v>
      </c>
      <c r="J455">
        <v>2910</v>
      </c>
      <c r="K455">
        <v>9088</v>
      </c>
      <c r="L455">
        <v>500</v>
      </c>
      <c r="M455">
        <v>499</v>
      </c>
      <c r="N455">
        <v>1</v>
      </c>
      <c r="O455">
        <v>4002</v>
      </c>
      <c r="P455">
        <v>1</v>
      </c>
    </row>
    <row r="456" spans="1:16" x14ac:dyDescent="0.2">
      <c r="A456" s="3" t="s">
        <v>49</v>
      </c>
      <c r="B456" s="3" t="s">
        <v>52</v>
      </c>
      <c r="C456">
        <v>27</v>
      </c>
      <c r="D456">
        <v>17000</v>
      </c>
      <c r="E456">
        <v>499</v>
      </c>
      <c r="F456">
        <v>1</v>
      </c>
      <c r="G456">
        <v>17000</v>
      </c>
      <c r="H456">
        <v>9.5310999999999996E-4</v>
      </c>
      <c r="I456">
        <v>11929</v>
      </c>
      <c r="J456">
        <v>2887</v>
      </c>
      <c r="K456">
        <v>9042</v>
      </c>
      <c r="L456">
        <v>500</v>
      </c>
      <c r="M456">
        <v>499</v>
      </c>
      <c r="N456">
        <v>1</v>
      </c>
      <c r="O456">
        <v>5071</v>
      </c>
      <c r="P456">
        <v>1</v>
      </c>
    </row>
    <row r="457" spans="1:16" x14ac:dyDescent="0.2">
      <c r="A457" s="3" t="s">
        <v>49</v>
      </c>
      <c r="B457" s="3" t="s">
        <v>52</v>
      </c>
      <c r="C457">
        <v>20</v>
      </c>
      <c r="D457">
        <v>17000</v>
      </c>
      <c r="E457">
        <v>499</v>
      </c>
      <c r="F457">
        <v>1</v>
      </c>
      <c r="G457">
        <v>17000</v>
      </c>
      <c r="H457">
        <v>9.5277999999999997E-4</v>
      </c>
      <c r="I457">
        <v>11957</v>
      </c>
      <c r="J457">
        <v>2893</v>
      </c>
      <c r="K457">
        <v>9064</v>
      </c>
      <c r="L457">
        <v>500</v>
      </c>
      <c r="M457">
        <v>499</v>
      </c>
      <c r="N457">
        <v>1</v>
      </c>
      <c r="O457">
        <v>5043</v>
      </c>
      <c r="P457">
        <v>1</v>
      </c>
    </row>
    <row r="458" spans="1:16" x14ac:dyDescent="0.2">
      <c r="A458" s="3" t="s">
        <v>49</v>
      </c>
      <c r="B458" s="3" t="s">
        <v>52</v>
      </c>
      <c r="C458">
        <v>15</v>
      </c>
      <c r="D458">
        <v>13000</v>
      </c>
      <c r="E458">
        <v>499</v>
      </c>
      <c r="F458">
        <v>1</v>
      </c>
      <c r="G458">
        <v>13000</v>
      </c>
      <c r="H458">
        <v>9.5259700000000001E-4</v>
      </c>
      <c r="I458">
        <v>11795</v>
      </c>
      <c r="J458">
        <v>2767</v>
      </c>
      <c r="K458">
        <v>9028</v>
      </c>
      <c r="L458">
        <v>500</v>
      </c>
      <c r="M458">
        <v>499</v>
      </c>
      <c r="N458">
        <v>1</v>
      </c>
      <c r="O458">
        <v>1205</v>
      </c>
      <c r="P458">
        <v>1</v>
      </c>
    </row>
    <row r="459" spans="1:16" x14ac:dyDescent="0.2">
      <c r="A459" s="3" t="s">
        <v>49</v>
      </c>
      <c r="B459" s="3" t="s">
        <v>52</v>
      </c>
      <c r="C459">
        <v>22</v>
      </c>
      <c r="D459">
        <v>15000</v>
      </c>
      <c r="E459">
        <v>499</v>
      </c>
      <c r="F459">
        <v>1</v>
      </c>
      <c r="G459">
        <v>15000</v>
      </c>
      <c r="H459">
        <v>9.5244100000000005E-4</v>
      </c>
      <c r="I459">
        <v>11835</v>
      </c>
      <c r="J459">
        <v>2873</v>
      </c>
      <c r="K459">
        <v>8962</v>
      </c>
      <c r="L459">
        <v>500</v>
      </c>
      <c r="M459">
        <v>499</v>
      </c>
      <c r="N459">
        <v>1</v>
      </c>
      <c r="O459">
        <v>3165</v>
      </c>
      <c r="P459">
        <v>1</v>
      </c>
    </row>
    <row r="460" spans="1:16" x14ac:dyDescent="0.2">
      <c r="A460" s="3" t="s">
        <v>49</v>
      </c>
      <c r="B460" s="3" t="s">
        <v>52</v>
      </c>
      <c r="C460">
        <v>50</v>
      </c>
      <c r="D460">
        <v>17000</v>
      </c>
      <c r="E460">
        <v>499</v>
      </c>
      <c r="F460">
        <v>1</v>
      </c>
      <c r="G460">
        <v>17000</v>
      </c>
      <c r="H460">
        <v>9.5202899999999996E-4</v>
      </c>
      <c r="I460">
        <v>11943</v>
      </c>
      <c r="J460">
        <v>2951</v>
      </c>
      <c r="K460">
        <v>8992</v>
      </c>
      <c r="L460">
        <v>500</v>
      </c>
      <c r="M460">
        <v>499</v>
      </c>
      <c r="N460">
        <v>1</v>
      </c>
      <c r="O460">
        <v>5057</v>
      </c>
      <c r="P460">
        <v>1</v>
      </c>
    </row>
    <row r="461" spans="1:16" x14ac:dyDescent="0.2">
      <c r="A461" s="3" t="s">
        <v>49</v>
      </c>
      <c r="B461" s="3" t="s">
        <v>52</v>
      </c>
      <c r="C461">
        <v>25</v>
      </c>
      <c r="D461">
        <v>12000</v>
      </c>
      <c r="E461">
        <v>499</v>
      </c>
      <c r="F461">
        <v>1</v>
      </c>
      <c r="G461">
        <v>50533.323552418398</v>
      </c>
      <c r="H461">
        <v>9.5189099999999996E-4</v>
      </c>
      <c r="I461">
        <v>11866</v>
      </c>
      <c r="J461">
        <v>2779</v>
      </c>
      <c r="K461">
        <v>9087</v>
      </c>
      <c r="L461">
        <v>500</v>
      </c>
      <c r="M461">
        <v>499</v>
      </c>
      <c r="N461">
        <v>1</v>
      </c>
      <c r="O461">
        <v>594.10542571769997</v>
      </c>
      <c r="P461">
        <v>0</v>
      </c>
    </row>
    <row r="462" spans="1:16" x14ac:dyDescent="0.2">
      <c r="A462" s="3" t="s">
        <v>49</v>
      </c>
      <c r="B462" s="3" t="s">
        <v>52</v>
      </c>
      <c r="C462">
        <v>34</v>
      </c>
      <c r="D462">
        <v>17000</v>
      </c>
      <c r="E462">
        <v>499</v>
      </c>
      <c r="F462">
        <v>1</v>
      </c>
      <c r="G462">
        <v>17000</v>
      </c>
      <c r="H462">
        <v>9.5185500000000004E-4</v>
      </c>
      <c r="I462">
        <v>11962</v>
      </c>
      <c r="J462">
        <v>2923</v>
      </c>
      <c r="K462">
        <v>9039</v>
      </c>
      <c r="L462">
        <v>500</v>
      </c>
      <c r="M462">
        <v>499</v>
      </c>
      <c r="N462">
        <v>1</v>
      </c>
      <c r="O462">
        <v>5038</v>
      </c>
      <c r="P462">
        <v>1</v>
      </c>
    </row>
    <row r="463" spans="1:16" x14ac:dyDescent="0.2">
      <c r="A463" s="3" t="s">
        <v>49</v>
      </c>
      <c r="B463" s="3" t="s">
        <v>52</v>
      </c>
      <c r="C463">
        <v>36</v>
      </c>
      <c r="D463">
        <v>12000</v>
      </c>
      <c r="E463">
        <v>499</v>
      </c>
      <c r="F463">
        <v>1</v>
      </c>
      <c r="G463">
        <v>12000</v>
      </c>
      <c r="H463">
        <v>9.5180799999999995E-4</v>
      </c>
      <c r="I463">
        <v>11903</v>
      </c>
      <c r="J463">
        <v>2775</v>
      </c>
      <c r="K463">
        <v>9128</v>
      </c>
      <c r="L463">
        <v>500</v>
      </c>
      <c r="M463">
        <v>499</v>
      </c>
      <c r="N463">
        <v>1</v>
      </c>
      <c r="O463">
        <v>97</v>
      </c>
      <c r="P463">
        <v>1</v>
      </c>
    </row>
    <row r="464" spans="1:16" x14ac:dyDescent="0.2">
      <c r="A464" s="3" t="s">
        <v>49</v>
      </c>
      <c r="B464" s="3" t="s">
        <v>52</v>
      </c>
      <c r="C464">
        <v>27</v>
      </c>
      <c r="D464">
        <v>18000</v>
      </c>
      <c r="E464">
        <v>499</v>
      </c>
      <c r="F464">
        <v>1</v>
      </c>
      <c r="G464">
        <v>18000</v>
      </c>
      <c r="H464">
        <v>9.5164299999999996E-4</v>
      </c>
      <c r="I464">
        <v>11967</v>
      </c>
      <c r="J464">
        <v>2908</v>
      </c>
      <c r="K464">
        <v>9059</v>
      </c>
      <c r="L464">
        <v>500</v>
      </c>
      <c r="M464">
        <v>499</v>
      </c>
      <c r="N464">
        <v>1</v>
      </c>
      <c r="O464">
        <v>6033</v>
      </c>
      <c r="P464">
        <v>1</v>
      </c>
    </row>
    <row r="465" spans="1:16" x14ac:dyDescent="0.2">
      <c r="A465" s="3" t="s">
        <v>49</v>
      </c>
      <c r="B465" s="3" t="s">
        <v>52</v>
      </c>
      <c r="C465">
        <v>37</v>
      </c>
      <c r="D465">
        <v>18000</v>
      </c>
      <c r="E465">
        <v>499</v>
      </c>
      <c r="F465">
        <v>1</v>
      </c>
      <c r="G465">
        <v>75479.649376234796</v>
      </c>
      <c r="H465">
        <v>9.5158799999999996E-4</v>
      </c>
      <c r="I465">
        <v>11937</v>
      </c>
      <c r="J465">
        <v>2955</v>
      </c>
      <c r="K465">
        <v>8982</v>
      </c>
      <c r="L465">
        <v>500</v>
      </c>
      <c r="M465">
        <v>499</v>
      </c>
      <c r="N465">
        <v>1</v>
      </c>
      <c r="O465">
        <v>25719.2353800489</v>
      </c>
      <c r="P465">
        <v>0</v>
      </c>
    </row>
    <row r="466" spans="1:16" x14ac:dyDescent="0.2">
      <c r="A466" s="3" t="s">
        <v>49</v>
      </c>
      <c r="B466" s="3" t="s">
        <v>52</v>
      </c>
      <c r="C466">
        <v>13</v>
      </c>
      <c r="D466">
        <v>13000</v>
      </c>
      <c r="E466">
        <v>499</v>
      </c>
      <c r="F466">
        <v>1</v>
      </c>
      <c r="G466">
        <v>13000</v>
      </c>
      <c r="H466">
        <v>9.51405E-4</v>
      </c>
      <c r="I466">
        <v>11856</v>
      </c>
      <c r="J466">
        <v>2842</v>
      </c>
      <c r="K466">
        <v>9014</v>
      </c>
      <c r="L466">
        <v>500</v>
      </c>
      <c r="M466">
        <v>499</v>
      </c>
      <c r="N466">
        <v>1</v>
      </c>
      <c r="O466">
        <v>1144</v>
      </c>
      <c r="P466">
        <v>1</v>
      </c>
    </row>
    <row r="467" spans="1:16" x14ac:dyDescent="0.2">
      <c r="A467" s="3" t="s">
        <v>49</v>
      </c>
      <c r="B467" s="3" t="s">
        <v>52</v>
      </c>
      <c r="C467">
        <v>46</v>
      </c>
      <c r="D467">
        <v>16000</v>
      </c>
      <c r="E467">
        <v>499</v>
      </c>
      <c r="F467">
        <v>1</v>
      </c>
      <c r="G467">
        <v>16000</v>
      </c>
      <c r="H467">
        <v>9.5102000000000001E-4</v>
      </c>
      <c r="I467">
        <v>11969</v>
      </c>
      <c r="J467">
        <v>2913</v>
      </c>
      <c r="K467">
        <v>9056</v>
      </c>
      <c r="L467">
        <v>500</v>
      </c>
      <c r="M467">
        <v>499</v>
      </c>
      <c r="N467">
        <v>1</v>
      </c>
      <c r="O467">
        <v>4031</v>
      </c>
      <c r="P467">
        <v>1</v>
      </c>
    </row>
    <row r="468" spans="1:16" x14ac:dyDescent="0.2">
      <c r="A468" s="3" t="s">
        <v>49</v>
      </c>
      <c r="B468" s="3" t="s">
        <v>52</v>
      </c>
      <c r="C468">
        <v>36</v>
      </c>
      <c r="D468">
        <v>18000</v>
      </c>
      <c r="E468">
        <v>499</v>
      </c>
      <c r="F468">
        <v>1</v>
      </c>
      <c r="G468">
        <v>18000</v>
      </c>
      <c r="H468">
        <v>9.5088300000000002E-4</v>
      </c>
      <c r="I468">
        <v>11947</v>
      </c>
      <c r="J468">
        <v>2956</v>
      </c>
      <c r="K468">
        <v>8991</v>
      </c>
      <c r="L468">
        <v>500</v>
      </c>
      <c r="M468">
        <v>499</v>
      </c>
      <c r="N468">
        <v>1</v>
      </c>
      <c r="O468">
        <v>6053</v>
      </c>
      <c r="P468">
        <v>1</v>
      </c>
    </row>
    <row r="469" spans="1:16" x14ac:dyDescent="0.2">
      <c r="A469" s="3" t="s">
        <v>49</v>
      </c>
      <c r="B469" s="3" t="s">
        <v>52</v>
      </c>
      <c r="C469">
        <v>50</v>
      </c>
      <c r="D469">
        <v>18000</v>
      </c>
      <c r="E469">
        <v>499</v>
      </c>
      <c r="F469">
        <v>1</v>
      </c>
      <c r="G469">
        <v>75479.649376234796</v>
      </c>
      <c r="H469">
        <v>9.5084599999999998E-4</v>
      </c>
      <c r="I469">
        <v>11913</v>
      </c>
      <c r="J469">
        <v>2906</v>
      </c>
      <c r="K469">
        <v>9007</v>
      </c>
      <c r="L469">
        <v>500</v>
      </c>
      <c r="M469">
        <v>499</v>
      </c>
      <c r="N469">
        <v>1</v>
      </c>
      <c r="O469">
        <v>25793.979428577801</v>
      </c>
      <c r="P469">
        <v>0</v>
      </c>
    </row>
    <row r="470" spans="1:16" x14ac:dyDescent="0.2">
      <c r="A470" s="3" t="s">
        <v>49</v>
      </c>
      <c r="B470" s="3" t="s">
        <v>52</v>
      </c>
      <c r="C470">
        <v>25</v>
      </c>
      <c r="D470">
        <v>17000</v>
      </c>
      <c r="E470">
        <v>499</v>
      </c>
      <c r="F470">
        <v>1</v>
      </c>
      <c r="G470">
        <v>17000</v>
      </c>
      <c r="H470">
        <v>9.5058000000000002E-4</v>
      </c>
      <c r="I470">
        <v>11926</v>
      </c>
      <c r="J470">
        <v>2906</v>
      </c>
      <c r="K470">
        <v>9020</v>
      </c>
      <c r="L470">
        <v>500</v>
      </c>
      <c r="M470">
        <v>499</v>
      </c>
      <c r="N470">
        <v>1</v>
      </c>
      <c r="O470">
        <v>5074</v>
      </c>
      <c r="P470">
        <v>1</v>
      </c>
    </row>
    <row r="471" spans="1:16" x14ac:dyDescent="0.2">
      <c r="A471" s="3" t="s">
        <v>49</v>
      </c>
      <c r="B471" s="3" t="s">
        <v>52</v>
      </c>
      <c r="C471">
        <v>41</v>
      </c>
      <c r="D471">
        <v>18000</v>
      </c>
      <c r="E471">
        <v>499</v>
      </c>
      <c r="F471">
        <v>1</v>
      </c>
      <c r="G471">
        <v>18000</v>
      </c>
      <c r="H471">
        <v>9.5055300000000003E-4</v>
      </c>
      <c r="I471">
        <v>11965</v>
      </c>
      <c r="J471">
        <v>2904</v>
      </c>
      <c r="K471">
        <v>9061</v>
      </c>
      <c r="L471">
        <v>500</v>
      </c>
      <c r="M471">
        <v>499</v>
      </c>
      <c r="N471">
        <v>1</v>
      </c>
      <c r="O471">
        <v>6035</v>
      </c>
      <c r="P471">
        <v>1</v>
      </c>
    </row>
    <row r="472" spans="1:16" x14ac:dyDescent="0.2">
      <c r="A472" s="3" t="s">
        <v>49</v>
      </c>
      <c r="B472" s="3" t="s">
        <v>52</v>
      </c>
      <c r="C472">
        <v>10</v>
      </c>
      <c r="D472">
        <v>17000</v>
      </c>
      <c r="E472">
        <v>499</v>
      </c>
      <c r="F472">
        <v>1</v>
      </c>
      <c r="G472">
        <v>17000</v>
      </c>
      <c r="H472">
        <v>9.5036899999999995E-4</v>
      </c>
      <c r="I472">
        <v>11969</v>
      </c>
      <c r="J472">
        <v>2934</v>
      </c>
      <c r="K472">
        <v>9035</v>
      </c>
      <c r="L472">
        <v>500</v>
      </c>
      <c r="M472">
        <v>499</v>
      </c>
      <c r="N472">
        <v>1</v>
      </c>
      <c r="O472">
        <v>5031</v>
      </c>
      <c r="P472">
        <v>1</v>
      </c>
    </row>
    <row r="473" spans="1:16" x14ac:dyDescent="0.2">
      <c r="A473" s="3" t="s">
        <v>49</v>
      </c>
      <c r="B473" s="3" t="s">
        <v>52</v>
      </c>
      <c r="C473">
        <v>44</v>
      </c>
      <c r="D473">
        <v>18000</v>
      </c>
      <c r="E473">
        <v>499</v>
      </c>
      <c r="F473">
        <v>1</v>
      </c>
      <c r="G473">
        <v>75479.649376234796</v>
      </c>
      <c r="H473">
        <v>9.5003000000000004E-4</v>
      </c>
      <c r="I473">
        <v>11952</v>
      </c>
      <c r="J473">
        <v>2924</v>
      </c>
      <c r="K473">
        <v>9028</v>
      </c>
      <c r="L473">
        <v>500</v>
      </c>
      <c r="M473">
        <v>499</v>
      </c>
      <c r="N473">
        <v>1</v>
      </c>
      <c r="O473">
        <v>25678.847019160901</v>
      </c>
      <c r="P473">
        <v>0</v>
      </c>
    </row>
    <row r="474" spans="1:16" x14ac:dyDescent="0.2">
      <c r="A474" s="3" t="s">
        <v>49</v>
      </c>
      <c r="B474" s="3" t="s">
        <v>52</v>
      </c>
      <c r="C474">
        <v>8</v>
      </c>
      <c r="D474">
        <v>16000</v>
      </c>
      <c r="E474">
        <v>499</v>
      </c>
      <c r="F474">
        <v>1</v>
      </c>
      <c r="G474">
        <v>16000</v>
      </c>
      <c r="H474">
        <v>9.49966E-4</v>
      </c>
      <c r="I474">
        <v>11997</v>
      </c>
      <c r="J474">
        <v>2881</v>
      </c>
      <c r="K474">
        <v>9116</v>
      </c>
      <c r="L474">
        <v>500</v>
      </c>
      <c r="M474">
        <v>499</v>
      </c>
      <c r="N474">
        <v>1</v>
      </c>
      <c r="O474">
        <v>4003</v>
      </c>
      <c r="P474">
        <v>1</v>
      </c>
    </row>
    <row r="475" spans="1:16" x14ac:dyDescent="0.2">
      <c r="A475" s="3" t="s">
        <v>49</v>
      </c>
      <c r="B475" s="3" t="s">
        <v>52</v>
      </c>
      <c r="C475">
        <v>48</v>
      </c>
      <c r="D475">
        <v>16000</v>
      </c>
      <c r="E475">
        <v>499</v>
      </c>
      <c r="F475">
        <v>1</v>
      </c>
      <c r="G475">
        <v>64781.839036288002</v>
      </c>
      <c r="H475">
        <v>9.4989200000000003E-4</v>
      </c>
      <c r="I475">
        <v>11975</v>
      </c>
      <c r="J475">
        <v>2889</v>
      </c>
      <c r="K475">
        <v>9086</v>
      </c>
      <c r="L475">
        <v>500</v>
      </c>
      <c r="M475">
        <v>499</v>
      </c>
      <c r="N475">
        <v>1</v>
      </c>
      <c r="O475">
        <v>16377.5456419947</v>
      </c>
      <c r="P475">
        <v>0</v>
      </c>
    </row>
    <row r="476" spans="1:16" x14ac:dyDescent="0.2">
      <c r="A476" s="3" t="s">
        <v>49</v>
      </c>
      <c r="B476" s="3" t="s">
        <v>52</v>
      </c>
      <c r="C476">
        <v>36</v>
      </c>
      <c r="D476">
        <v>18000</v>
      </c>
      <c r="E476">
        <v>499</v>
      </c>
      <c r="F476">
        <v>1</v>
      </c>
      <c r="G476">
        <v>75479.649376234796</v>
      </c>
      <c r="H476">
        <v>9.4984699999999997E-4</v>
      </c>
      <c r="I476">
        <v>11950</v>
      </c>
      <c r="J476">
        <v>2928</v>
      </c>
      <c r="K476">
        <v>9022</v>
      </c>
      <c r="L476">
        <v>500</v>
      </c>
      <c r="M476">
        <v>499</v>
      </c>
      <c r="N476">
        <v>1</v>
      </c>
      <c r="O476">
        <v>25643.5178853775</v>
      </c>
      <c r="P476">
        <v>0</v>
      </c>
    </row>
    <row r="477" spans="1:16" x14ac:dyDescent="0.2">
      <c r="A477" s="3" t="s">
        <v>49</v>
      </c>
      <c r="B477" s="3" t="s">
        <v>52</v>
      </c>
      <c r="C477">
        <v>3</v>
      </c>
      <c r="D477">
        <v>16000</v>
      </c>
      <c r="E477">
        <v>499</v>
      </c>
      <c r="F477">
        <v>1</v>
      </c>
      <c r="G477">
        <v>16000</v>
      </c>
      <c r="H477">
        <v>9.4972800000000005E-4</v>
      </c>
      <c r="I477">
        <v>12024</v>
      </c>
      <c r="J477">
        <v>2963</v>
      </c>
      <c r="K477">
        <v>9061</v>
      </c>
      <c r="L477">
        <v>500</v>
      </c>
      <c r="M477">
        <v>499</v>
      </c>
      <c r="N477">
        <v>1</v>
      </c>
      <c r="O477">
        <v>3976</v>
      </c>
      <c r="P477">
        <v>1</v>
      </c>
    </row>
    <row r="478" spans="1:16" x14ac:dyDescent="0.2">
      <c r="A478" s="3" t="s">
        <v>49</v>
      </c>
      <c r="B478" s="3" t="s">
        <v>52</v>
      </c>
      <c r="C478">
        <v>34</v>
      </c>
      <c r="D478">
        <v>12000</v>
      </c>
      <c r="E478">
        <v>499</v>
      </c>
      <c r="F478">
        <v>1</v>
      </c>
      <c r="G478">
        <v>12000</v>
      </c>
      <c r="H478">
        <v>9.4964500000000005E-4</v>
      </c>
      <c r="I478">
        <v>11881</v>
      </c>
      <c r="J478">
        <v>2783</v>
      </c>
      <c r="K478">
        <v>9098</v>
      </c>
      <c r="L478">
        <v>500</v>
      </c>
      <c r="M478">
        <v>499</v>
      </c>
      <c r="N478">
        <v>1</v>
      </c>
      <c r="O478">
        <v>119</v>
      </c>
      <c r="P478">
        <v>1</v>
      </c>
    </row>
    <row r="479" spans="1:16" x14ac:dyDescent="0.2">
      <c r="A479" s="3" t="s">
        <v>49</v>
      </c>
      <c r="B479" s="3" t="s">
        <v>52</v>
      </c>
      <c r="C479">
        <v>10</v>
      </c>
      <c r="D479">
        <v>15000</v>
      </c>
      <c r="E479">
        <v>499</v>
      </c>
      <c r="F479">
        <v>1</v>
      </c>
      <c r="G479">
        <v>15000</v>
      </c>
      <c r="H479">
        <v>9.4959099999999996E-4</v>
      </c>
      <c r="I479">
        <v>11839</v>
      </c>
      <c r="J479">
        <v>2870</v>
      </c>
      <c r="K479">
        <v>8969</v>
      </c>
      <c r="L479">
        <v>500</v>
      </c>
      <c r="M479">
        <v>499</v>
      </c>
      <c r="N479">
        <v>1</v>
      </c>
      <c r="O479">
        <v>3161</v>
      </c>
      <c r="P479">
        <v>1</v>
      </c>
    </row>
    <row r="480" spans="1:16" x14ac:dyDescent="0.2">
      <c r="A480" s="3" t="s">
        <v>49</v>
      </c>
      <c r="B480" s="3" t="s">
        <v>52</v>
      </c>
      <c r="C480">
        <v>39</v>
      </c>
      <c r="D480">
        <v>17000</v>
      </c>
      <c r="E480">
        <v>499</v>
      </c>
      <c r="F480">
        <v>1</v>
      </c>
      <c r="G480">
        <v>17000</v>
      </c>
      <c r="H480">
        <v>9.4959099999999996E-4</v>
      </c>
      <c r="I480">
        <v>11958</v>
      </c>
      <c r="J480">
        <v>2923</v>
      </c>
      <c r="K480">
        <v>9035</v>
      </c>
      <c r="L480">
        <v>500</v>
      </c>
      <c r="M480">
        <v>499</v>
      </c>
      <c r="N480">
        <v>1</v>
      </c>
      <c r="O480">
        <v>5042</v>
      </c>
      <c r="P480">
        <v>1</v>
      </c>
    </row>
    <row r="481" spans="1:16" x14ac:dyDescent="0.2">
      <c r="A481" s="3" t="s">
        <v>49</v>
      </c>
      <c r="B481" s="3" t="s">
        <v>52</v>
      </c>
      <c r="C481">
        <v>9</v>
      </c>
      <c r="D481">
        <v>16000</v>
      </c>
      <c r="E481">
        <v>499</v>
      </c>
      <c r="F481">
        <v>1</v>
      </c>
      <c r="G481">
        <v>16000</v>
      </c>
      <c r="H481">
        <v>9.4942500000000005E-4</v>
      </c>
      <c r="I481">
        <v>11974</v>
      </c>
      <c r="J481">
        <v>2903</v>
      </c>
      <c r="K481">
        <v>9071</v>
      </c>
      <c r="L481">
        <v>500</v>
      </c>
      <c r="M481">
        <v>499</v>
      </c>
      <c r="N481">
        <v>1</v>
      </c>
      <c r="O481">
        <v>4026</v>
      </c>
      <c r="P481">
        <v>1</v>
      </c>
    </row>
    <row r="482" spans="1:16" x14ac:dyDescent="0.2">
      <c r="A482" s="3" t="s">
        <v>49</v>
      </c>
      <c r="B482" s="3" t="s">
        <v>52</v>
      </c>
      <c r="C482">
        <v>13</v>
      </c>
      <c r="D482">
        <v>16000</v>
      </c>
      <c r="E482">
        <v>499</v>
      </c>
      <c r="F482">
        <v>1</v>
      </c>
      <c r="G482">
        <v>16000</v>
      </c>
      <c r="H482">
        <v>9.4925100000000002E-4</v>
      </c>
      <c r="I482">
        <v>12000</v>
      </c>
      <c r="J482">
        <v>2883</v>
      </c>
      <c r="K482">
        <v>9117</v>
      </c>
      <c r="L482">
        <v>500</v>
      </c>
      <c r="M482">
        <v>499</v>
      </c>
      <c r="N482">
        <v>1</v>
      </c>
      <c r="O482">
        <v>4000</v>
      </c>
      <c r="P482">
        <v>1</v>
      </c>
    </row>
    <row r="483" spans="1:16" x14ac:dyDescent="0.2">
      <c r="A483" s="3" t="s">
        <v>49</v>
      </c>
      <c r="B483" s="3" t="s">
        <v>52</v>
      </c>
      <c r="C483">
        <v>7</v>
      </c>
      <c r="D483">
        <v>12000</v>
      </c>
      <c r="E483">
        <v>499</v>
      </c>
      <c r="F483">
        <v>1</v>
      </c>
      <c r="G483">
        <v>12000</v>
      </c>
      <c r="H483">
        <v>9.4911300000000002E-4</v>
      </c>
      <c r="I483">
        <v>11899</v>
      </c>
      <c r="J483">
        <v>2761</v>
      </c>
      <c r="K483">
        <v>9138</v>
      </c>
      <c r="L483">
        <v>500</v>
      </c>
      <c r="M483">
        <v>499</v>
      </c>
      <c r="N483">
        <v>1</v>
      </c>
      <c r="O483">
        <v>101</v>
      </c>
      <c r="P483">
        <v>1</v>
      </c>
    </row>
    <row r="484" spans="1:16" x14ac:dyDescent="0.2">
      <c r="A484" s="3" t="s">
        <v>49</v>
      </c>
      <c r="B484" s="3" t="s">
        <v>52</v>
      </c>
      <c r="C484">
        <v>40</v>
      </c>
      <c r="D484">
        <v>13000</v>
      </c>
      <c r="E484">
        <v>499</v>
      </c>
      <c r="F484">
        <v>1</v>
      </c>
      <c r="G484">
        <v>13000</v>
      </c>
      <c r="H484">
        <v>9.4876599999999998E-4</v>
      </c>
      <c r="I484">
        <v>11848</v>
      </c>
      <c r="J484">
        <v>2774</v>
      </c>
      <c r="K484">
        <v>9074</v>
      </c>
      <c r="L484">
        <v>500</v>
      </c>
      <c r="M484">
        <v>499</v>
      </c>
      <c r="N484">
        <v>1</v>
      </c>
      <c r="O484">
        <v>1152</v>
      </c>
      <c r="P484">
        <v>1</v>
      </c>
    </row>
    <row r="485" spans="1:16" x14ac:dyDescent="0.2">
      <c r="A485" s="3" t="s">
        <v>49</v>
      </c>
      <c r="B485" s="3" t="s">
        <v>52</v>
      </c>
      <c r="C485">
        <v>10</v>
      </c>
      <c r="D485">
        <v>18000</v>
      </c>
      <c r="E485">
        <v>499</v>
      </c>
      <c r="F485">
        <v>1</v>
      </c>
      <c r="G485">
        <v>75479.649376234796</v>
      </c>
      <c r="H485">
        <v>9.4870999999999996E-4</v>
      </c>
      <c r="I485">
        <v>11975</v>
      </c>
      <c r="J485">
        <v>2947</v>
      </c>
      <c r="K485">
        <v>9028</v>
      </c>
      <c r="L485">
        <v>500</v>
      </c>
      <c r="M485">
        <v>499</v>
      </c>
      <c r="N485">
        <v>1</v>
      </c>
      <c r="O485">
        <v>25589.977920604499</v>
      </c>
      <c r="P485">
        <v>0</v>
      </c>
    </row>
    <row r="486" spans="1:16" x14ac:dyDescent="0.2">
      <c r="A486" s="3" t="s">
        <v>49</v>
      </c>
      <c r="B486" s="3" t="s">
        <v>52</v>
      </c>
      <c r="C486">
        <v>7</v>
      </c>
      <c r="D486">
        <v>16000</v>
      </c>
      <c r="E486">
        <v>499</v>
      </c>
      <c r="F486">
        <v>1</v>
      </c>
      <c r="G486">
        <v>64781.839036288002</v>
      </c>
      <c r="H486">
        <v>9.4806899999999995E-4</v>
      </c>
      <c r="I486">
        <v>12020</v>
      </c>
      <c r="J486">
        <v>2946</v>
      </c>
      <c r="K486">
        <v>9074</v>
      </c>
      <c r="L486">
        <v>500</v>
      </c>
      <c r="M486">
        <v>499</v>
      </c>
      <c r="N486">
        <v>1</v>
      </c>
      <c r="O486">
        <v>16204.624644446099</v>
      </c>
      <c r="P486">
        <v>0</v>
      </c>
    </row>
    <row r="487" spans="1:16" x14ac:dyDescent="0.2">
      <c r="A487" s="3" t="s">
        <v>49</v>
      </c>
      <c r="B487" s="3" t="s">
        <v>52</v>
      </c>
      <c r="C487">
        <v>49</v>
      </c>
      <c r="D487">
        <v>17000</v>
      </c>
      <c r="E487">
        <v>499</v>
      </c>
      <c r="F487">
        <v>1</v>
      </c>
      <c r="G487">
        <v>65872.258119671897</v>
      </c>
      <c r="H487">
        <v>9.4804999999999998E-4</v>
      </c>
      <c r="I487">
        <v>11957</v>
      </c>
      <c r="J487">
        <v>2940</v>
      </c>
      <c r="K487">
        <v>9017</v>
      </c>
      <c r="L487">
        <v>500</v>
      </c>
      <c r="M487">
        <v>499</v>
      </c>
      <c r="N487">
        <v>1</v>
      </c>
      <c r="O487">
        <v>19716.132191958601</v>
      </c>
      <c r="P487">
        <v>0</v>
      </c>
    </row>
    <row r="488" spans="1:16" x14ac:dyDescent="0.2">
      <c r="A488" s="3" t="s">
        <v>49</v>
      </c>
      <c r="B488" s="3" t="s">
        <v>52</v>
      </c>
      <c r="C488">
        <v>33</v>
      </c>
      <c r="D488">
        <v>18000</v>
      </c>
      <c r="E488">
        <v>499</v>
      </c>
      <c r="F488">
        <v>1</v>
      </c>
      <c r="G488">
        <v>18000</v>
      </c>
      <c r="H488">
        <v>9.4783900000000002E-4</v>
      </c>
      <c r="I488">
        <v>11977</v>
      </c>
      <c r="J488">
        <v>2924</v>
      </c>
      <c r="K488">
        <v>9053</v>
      </c>
      <c r="L488">
        <v>500</v>
      </c>
      <c r="M488">
        <v>499</v>
      </c>
      <c r="N488">
        <v>1</v>
      </c>
      <c r="O488">
        <v>6023</v>
      </c>
      <c r="P488">
        <v>1</v>
      </c>
    </row>
    <row r="489" spans="1:16" x14ac:dyDescent="0.2">
      <c r="A489" s="3" t="s">
        <v>49</v>
      </c>
      <c r="B489" s="3" t="s">
        <v>52</v>
      </c>
      <c r="C489">
        <v>41</v>
      </c>
      <c r="D489">
        <v>14000</v>
      </c>
      <c r="E489">
        <v>499</v>
      </c>
      <c r="F489">
        <v>1</v>
      </c>
      <c r="G489">
        <v>58565.0323707059</v>
      </c>
      <c r="H489">
        <v>9.4779399999999996E-4</v>
      </c>
      <c r="I489">
        <v>11906</v>
      </c>
      <c r="J489">
        <v>2830</v>
      </c>
      <c r="K489">
        <v>9076</v>
      </c>
      <c r="L489">
        <v>500</v>
      </c>
      <c r="M489">
        <v>499</v>
      </c>
      <c r="N489">
        <v>1</v>
      </c>
      <c r="O489">
        <v>8818.1905945629005</v>
      </c>
      <c r="P489">
        <v>0</v>
      </c>
    </row>
    <row r="490" spans="1:16" x14ac:dyDescent="0.2">
      <c r="A490" s="3" t="s">
        <v>49</v>
      </c>
      <c r="B490" s="3" t="s">
        <v>52</v>
      </c>
      <c r="C490">
        <v>20</v>
      </c>
      <c r="D490">
        <v>16000</v>
      </c>
      <c r="E490">
        <v>499</v>
      </c>
      <c r="F490">
        <v>1</v>
      </c>
      <c r="G490">
        <v>16000</v>
      </c>
      <c r="H490">
        <v>9.4776599999999995E-4</v>
      </c>
      <c r="I490">
        <v>12004</v>
      </c>
      <c r="J490">
        <v>2932</v>
      </c>
      <c r="K490">
        <v>9072</v>
      </c>
      <c r="L490">
        <v>500</v>
      </c>
      <c r="M490">
        <v>499</v>
      </c>
      <c r="N490">
        <v>1</v>
      </c>
      <c r="O490">
        <v>3996</v>
      </c>
      <c r="P490">
        <v>1</v>
      </c>
    </row>
    <row r="491" spans="1:16" x14ac:dyDescent="0.2">
      <c r="A491" s="3" t="s">
        <v>49</v>
      </c>
      <c r="B491" s="3" t="s">
        <v>52</v>
      </c>
      <c r="C491">
        <v>10</v>
      </c>
      <c r="D491">
        <v>17000</v>
      </c>
      <c r="E491">
        <v>499</v>
      </c>
      <c r="F491">
        <v>1</v>
      </c>
      <c r="G491">
        <v>65872.258119671897</v>
      </c>
      <c r="H491">
        <v>9.4757299999999995E-4</v>
      </c>
      <c r="I491">
        <v>11927</v>
      </c>
      <c r="J491">
        <v>2902</v>
      </c>
      <c r="K491">
        <v>9025</v>
      </c>
      <c r="L491">
        <v>500</v>
      </c>
      <c r="M491">
        <v>499</v>
      </c>
      <c r="N491">
        <v>1</v>
      </c>
      <c r="O491">
        <v>19818.449348841401</v>
      </c>
      <c r="P491">
        <v>0</v>
      </c>
    </row>
    <row r="492" spans="1:16" x14ac:dyDescent="0.2">
      <c r="A492" s="3" t="s">
        <v>49</v>
      </c>
      <c r="B492" s="3" t="s">
        <v>52</v>
      </c>
      <c r="C492">
        <v>29</v>
      </c>
      <c r="D492">
        <v>14000</v>
      </c>
      <c r="E492">
        <v>499</v>
      </c>
      <c r="F492">
        <v>1</v>
      </c>
      <c r="G492">
        <v>14000</v>
      </c>
      <c r="H492">
        <v>9.4746299999999995E-4</v>
      </c>
      <c r="I492">
        <v>11915</v>
      </c>
      <c r="J492">
        <v>2847</v>
      </c>
      <c r="K492">
        <v>9068</v>
      </c>
      <c r="L492">
        <v>500</v>
      </c>
      <c r="M492">
        <v>499</v>
      </c>
      <c r="N492">
        <v>1</v>
      </c>
      <c r="O492">
        <v>2085</v>
      </c>
      <c r="P492">
        <v>1</v>
      </c>
    </row>
    <row r="493" spans="1:16" x14ac:dyDescent="0.2">
      <c r="A493" s="3" t="s">
        <v>49</v>
      </c>
      <c r="B493" s="3" t="s">
        <v>52</v>
      </c>
      <c r="C493">
        <v>37</v>
      </c>
      <c r="D493">
        <v>13000</v>
      </c>
      <c r="E493">
        <v>499</v>
      </c>
      <c r="F493">
        <v>1</v>
      </c>
      <c r="G493">
        <v>13000</v>
      </c>
      <c r="H493">
        <v>9.4743699999999998E-4</v>
      </c>
      <c r="I493">
        <v>11828</v>
      </c>
      <c r="J493">
        <v>2804</v>
      </c>
      <c r="K493">
        <v>9024</v>
      </c>
      <c r="L493">
        <v>500</v>
      </c>
      <c r="M493">
        <v>499</v>
      </c>
      <c r="N493">
        <v>1</v>
      </c>
      <c r="O493">
        <v>1172</v>
      </c>
      <c r="P493">
        <v>1</v>
      </c>
    </row>
    <row r="494" spans="1:16" x14ac:dyDescent="0.2">
      <c r="A494" s="3" t="s">
        <v>49</v>
      </c>
      <c r="B494" s="3" t="s">
        <v>52</v>
      </c>
      <c r="C494">
        <v>14</v>
      </c>
      <c r="D494">
        <v>18000</v>
      </c>
      <c r="E494">
        <v>499</v>
      </c>
      <c r="F494">
        <v>1</v>
      </c>
      <c r="G494">
        <v>75479.649376234796</v>
      </c>
      <c r="H494">
        <v>9.47363E-4</v>
      </c>
      <c r="I494">
        <v>11933</v>
      </c>
      <c r="J494">
        <v>2903</v>
      </c>
      <c r="K494">
        <v>9030</v>
      </c>
      <c r="L494">
        <v>500</v>
      </c>
      <c r="M494">
        <v>499</v>
      </c>
      <c r="N494">
        <v>1</v>
      </c>
      <c r="O494">
        <v>25754.001806598299</v>
      </c>
      <c r="P494">
        <v>0</v>
      </c>
    </row>
    <row r="495" spans="1:16" x14ac:dyDescent="0.2">
      <c r="A495" s="3" t="s">
        <v>49</v>
      </c>
      <c r="B495" s="3" t="s">
        <v>52</v>
      </c>
      <c r="C495">
        <v>8</v>
      </c>
      <c r="D495">
        <v>12000</v>
      </c>
      <c r="E495">
        <v>499</v>
      </c>
      <c r="F495">
        <v>1</v>
      </c>
      <c r="G495">
        <v>50533.323552418398</v>
      </c>
      <c r="H495">
        <v>9.4723500000000005E-4</v>
      </c>
      <c r="I495">
        <v>11904</v>
      </c>
      <c r="J495">
        <v>2799</v>
      </c>
      <c r="K495">
        <v>9105</v>
      </c>
      <c r="L495">
        <v>500</v>
      </c>
      <c r="M495">
        <v>499</v>
      </c>
      <c r="N495">
        <v>1</v>
      </c>
      <c r="O495">
        <v>435.53352258759998</v>
      </c>
      <c r="P495">
        <v>0</v>
      </c>
    </row>
    <row r="496" spans="1:16" x14ac:dyDescent="0.2">
      <c r="A496" s="3" t="s">
        <v>49</v>
      </c>
      <c r="B496" s="3" t="s">
        <v>52</v>
      </c>
      <c r="C496">
        <v>50</v>
      </c>
      <c r="D496">
        <v>16000</v>
      </c>
      <c r="E496">
        <v>499</v>
      </c>
      <c r="F496">
        <v>1</v>
      </c>
      <c r="G496">
        <v>16000</v>
      </c>
      <c r="H496">
        <v>9.4720700000000004E-4</v>
      </c>
      <c r="I496">
        <v>12001</v>
      </c>
      <c r="J496">
        <v>2910</v>
      </c>
      <c r="K496">
        <v>9091</v>
      </c>
      <c r="L496">
        <v>500</v>
      </c>
      <c r="M496">
        <v>499</v>
      </c>
      <c r="N496">
        <v>1</v>
      </c>
      <c r="O496">
        <v>3999</v>
      </c>
      <c r="P496">
        <v>1</v>
      </c>
    </row>
    <row r="497" spans="1:16" x14ac:dyDescent="0.2">
      <c r="A497" s="3" t="s">
        <v>49</v>
      </c>
      <c r="B497" s="3" t="s">
        <v>52</v>
      </c>
      <c r="C497">
        <v>1</v>
      </c>
      <c r="D497">
        <v>15000</v>
      </c>
      <c r="E497">
        <v>499</v>
      </c>
      <c r="F497">
        <v>1</v>
      </c>
      <c r="G497">
        <v>15000</v>
      </c>
      <c r="H497">
        <v>9.4689500000000001E-4</v>
      </c>
      <c r="I497">
        <v>11844</v>
      </c>
      <c r="J497">
        <v>2916</v>
      </c>
      <c r="K497">
        <v>8928</v>
      </c>
      <c r="L497">
        <v>500</v>
      </c>
      <c r="M497">
        <v>499</v>
      </c>
      <c r="N497">
        <v>1</v>
      </c>
      <c r="O497">
        <v>3156</v>
      </c>
      <c r="P497">
        <v>1</v>
      </c>
    </row>
    <row r="498" spans="1:16" x14ac:dyDescent="0.2">
      <c r="A498" s="3" t="s">
        <v>49</v>
      </c>
      <c r="B498" s="3" t="s">
        <v>52</v>
      </c>
      <c r="C498">
        <v>9</v>
      </c>
      <c r="D498">
        <v>18000</v>
      </c>
      <c r="E498">
        <v>499</v>
      </c>
      <c r="F498">
        <v>1</v>
      </c>
      <c r="G498">
        <v>75479.649376234796</v>
      </c>
      <c r="H498">
        <v>9.4687700000000005E-4</v>
      </c>
      <c r="I498">
        <v>11960</v>
      </c>
      <c r="J498">
        <v>2924</v>
      </c>
      <c r="K498">
        <v>9036</v>
      </c>
      <c r="L498">
        <v>500</v>
      </c>
      <c r="M498">
        <v>499</v>
      </c>
      <c r="N498">
        <v>1</v>
      </c>
      <c r="O498">
        <v>25676.162187288599</v>
      </c>
      <c r="P498">
        <v>0</v>
      </c>
    </row>
    <row r="499" spans="1:16" x14ac:dyDescent="0.2">
      <c r="A499" s="3" t="s">
        <v>49</v>
      </c>
      <c r="B499" s="3" t="s">
        <v>52</v>
      </c>
      <c r="C499">
        <v>13</v>
      </c>
      <c r="D499">
        <v>18000</v>
      </c>
      <c r="E499">
        <v>499</v>
      </c>
      <c r="F499">
        <v>1</v>
      </c>
      <c r="G499">
        <v>75479.649376234796</v>
      </c>
      <c r="H499">
        <v>9.4670300000000002E-4</v>
      </c>
      <c r="I499">
        <v>11979</v>
      </c>
      <c r="J499">
        <v>2975</v>
      </c>
      <c r="K499">
        <v>9004</v>
      </c>
      <c r="L499">
        <v>500</v>
      </c>
      <c r="M499">
        <v>499</v>
      </c>
      <c r="N499">
        <v>1</v>
      </c>
      <c r="O499">
        <v>25606.554613697899</v>
      </c>
      <c r="P499">
        <v>0</v>
      </c>
    </row>
    <row r="500" spans="1:16" x14ac:dyDescent="0.2">
      <c r="A500" s="3" t="s">
        <v>49</v>
      </c>
      <c r="B500" s="3" t="s">
        <v>52</v>
      </c>
      <c r="C500">
        <v>30</v>
      </c>
      <c r="D500">
        <v>16000</v>
      </c>
      <c r="E500">
        <v>499</v>
      </c>
      <c r="F500">
        <v>1</v>
      </c>
      <c r="G500">
        <v>64781.839036288002</v>
      </c>
      <c r="H500">
        <v>9.4638199999999995E-4</v>
      </c>
      <c r="I500">
        <v>12022</v>
      </c>
      <c r="J500">
        <v>2940</v>
      </c>
      <c r="K500">
        <v>9082</v>
      </c>
      <c r="L500">
        <v>500</v>
      </c>
      <c r="M500">
        <v>499</v>
      </c>
      <c r="N500">
        <v>1</v>
      </c>
      <c r="O500">
        <v>16212.508055856501</v>
      </c>
      <c r="P500">
        <v>0</v>
      </c>
    </row>
    <row r="501" spans="1:16" x14ac:dyDescent="0.2">
      <c r="A501" s="3" t="s">
        <v>49</v>
      </c>
      <c r="B501" s="3" t="s">
        <v>52</v>
      </c>
      <c r="C501">
        <v>10</v>
      </c>
      <c r="D501">
        <v>16000</v>
      </c>
      <c r="E501">
        <v>499</v>
      </c>
      <c r="F501">
        <v>1</v>
      </c>
      <c r="G501">
        <v>16000</v>
      </c>
      <c r="H501">
        <v>9.4638199999999995E-4</v>
      </c>
      <c r="I501">
        <v>12034</v>
      </c>
      <c r="J501">
        <v>2941</v>
      </c>
      <c r="K501">
        <v>9093</v>
      </c>
      <c r="L501">
        <v>500</v>
      </c>
      <c r="M501">
        <v>499</v>
      </c>
      <c r="N501">
        <v>1</v>
      </c>
      <c r="O501">
        <v>3966</v>
      </c>
      <c r="P501">
        <v>1</v>
      </c>
    </row>
    <row r="502" spans="1:16" x14ac:dyDescent="0.2">
      <c r="A502" s="3" t="s">
        <v>49</v>
      </c>
      <c r="B502" s="3" t="s">
        <v>52</v>
      </c>
      <c r="C502">
        <v>19</v>
      </c>
      <c r="D502">
        <v>18000</v>
      </c>
      <c r="E502">
        <v>499</v>
      </c>
      <c r="F502">
        <v>1</v>
      </c>
      <c r="G502">
        <v>75479.649376234796</v>
      </c>
      <c r="H502">
        <v>9.4569399999999996E-4</v>
      </c>
      <c r="I502">
        <v>11920</v>
      </c>
      <c r="J502">
        <v>2912</v>
      </c>
      <c r="K502">
        <v>9008</v>
      </c>
      <c r="L502">
        <v>500</v>
      </c>
      <c r="M502">
        <v>499</v>
      </c>
      <c r="N502">
        <v>1</v>
      </c>
      <c r="O502">
        <v>25769.788639759801</v>
      </c>
      <c r="P502">
        <v>0</v>
      </c>
    </row>
    <row r="503" spans="1:16" x14ac:dyDescent="0.2">
      <c r="A503" s="3" t="s">
        <v>49</v>
      </c>
      <c r="B503" s="3" t="s">
        <v>52</v>
      </c>
      <c r="C503">
        <v>32</v>
      </c>
      <c r="D503">
        <v>16000</v>
      </c>
      <c r="E503">
        <v>499</v>
      </c>
      <c r="F503">
        <v>1</v>
      </c>
      <c r="G503">
        <v>64781.839036288002</v>
      </c>
      <c r="H503">
        <v>9.4554800000000005E-4</v>
      </c>
      <c r="I503">
        <v>11974</v>
      </c>
      <c r="J503">
        <v>2886</v>
      </c>
      <c r="K503">
        <v>9088</v>
      </c>
      <c r="L503">
        <v>500</v>
      </c>
      <c r="M503">
        <v>499</v>
      </c>
      <c r="N503">
        <v>1</v>
      </c>
      <c r="O503">
        <v>16414.538322404402</v>
      </c>
      <c r="P503">
        <v>0</v>
      </c>
    </row>
    <row r="504" spans="1:16" x14ac:dyDescent="0.2">
      <c r="A504" s="3" t="s">
        <v>49</v>
      </c>
      <c r="B504" s="3" t="s">
        <v>52</v>
      </c>
      <c r="C504">
        <v>2</v>
      </c>
      <c r="D504">
        <v>15000</v>
      </c>
      <c r="E504">
        <v>499</v>
      </c>
      <c r="F504">
        <v>1</v>
      </c>
      <c r="G504">
        <v>15000</v>
      </c>
      <c r="H504">
        <v>9.4527200000000004E-4</v>
      </c>
      <c r="I504">
        <v>11849</v>
      </c>
      <c r="J504">
        <v>2834</v>
      </c>
      <c r="K504">
        <v>9015</v>
      </c>
      <c r="L504">
        <v>500</v>
      </c>
      <c r="M504">
        <v>499</v>
      </c>
      <c r="N504">
        <v>1</v>
      </c>
      <c r="O504">
        <v>3151</v>
      </c>
      <c r="P504">
        <v>1</v>
      </c>
    </row>
    <row r="505" spans="1:16" x14ac:dyDescent="0.2">
      <c r="A505" s="3" t="s">
        <v>49</v>
      </c>
      <c r="B505" s="3" t="s">
        <v>52</v>
      </c>
      <c r="C505">
        <v>43</v>
      </c>
      <c r="D505">
        <v>17000</v>
      </c>
      <c r="E505">
        <v>499</v>
      </c>
      <c r="F505">
        <v>1</v>
      </c>
      <c r="G505">
        <v>65872.258119671897</v>
      </c>
      <c r="H505">
        <v>9.4516299999999995E-4</v>
      </c>
      <c r="I505">
        <v>11981</v>
      </c>
      <c r="J505">
        <v>2941</v>
      </c>
      <c r="K505">
        <v>9040</v>
      </c>
      <c r="L505">
        <v>500</v>
      </c>
      <c r="M505">
        <v>499</v>
      </c>
      <c r="N505">
        <v>1</v>
      </c>
      <c r="O505">
        <v>19612.550932421</v>
      </c>
      <c r="P505">
        <v>0</v>
      </c>
    </row>
    <row r="506" spans="1:16" x14ac:dyDescent="0.2">
      <c r="A506" s="3" t="s">
        <v>49</v>
      </c>
      <c r="B506" s="3" t="s">
        <v>52</v>
      </c>
      <c r="C506">
        <v>32</v>
      </c>
      <c r="D506">
        <v>13000</v>
      </c>
      <c r="E506">
        <v>499</v>
      </c>
      <c r="F506">
        <v>1</v>
      </c>
      <c r="G506">
        <v>53044.701099550097</v>
      </c>
      <c r="H506">
        <v>9.4513599999999996E-4</v>
      </c>
      <c r="I506">
        <v>11806</v>
      </c>
      <c r="J506">
        <v>2783</v>
      </c>
      <c r="K506">
        <v>9023</v>
      </c>
      <c r="L506">
        <v>500</v>
      </c>
      <c r="M506">
        <v>499</v>
      </c>
      <c r="N506">
        <v>1</v>
      </c>
      <c r="O506">
        <v>4861.7462748840999</v>
      </c>
      <c r="P506">
        <v>0</v>
      </c>
    </row>
    <row r="507" spans="1:16" x14ac:dyDescent="0.2">
      <c r="A507" s="3" t="s">
        <v>49</v>
      </c>
      <c r="B507" s="3" t="s">
        <v>52</v>
      </c>
      <c r="C507">
        <v>40</v>
      </c>
      <c r="D507">
        <v>15000</v>
      </c>
      <c r="E507">
        <v>499</v>
      </c>
      <c r="F507">
        <v>1</v>
      </c>
      <c r="G507">
        <v>15000</v>
      </c>
      <c r="H507">
        <v>9.4498800000000001E-4</v>
      </c>
      <c r="I507">
        <v>11876</v>
      </c>
      <c r="J507">
        <v>2889</v>
      </c>
      <c r="K507">
        <v>8987</v>
      </c>
      <c r="L507">
        <v>500</v>
      </c>
      <c r="M507">
        <v>499</v>
      </c>
      <c r="N507">
        <v>1</v>
      </c>
      <c r="O507">
        <v>3124</v>
      </c>
      <c r="P507">
        <v>1</v>
      </c>
    </row>
    <row r="508" spans="1:16" x14ac:dyDescent="0.2">
      <c r="A508" s="3" t="s">
        <v>49</v>
      </c>
      <c r="B508" s="3" t="s">
        <v>52</v>
      </c>
      <c r="C508">
        <v>45</v>
      </c>
      <c r="D508">
        <v>13000</v>
      </c>
      <c r="E508">
        <v>499</v>
      </c>
      <c r="F508">
        <v>1</v>
      </c>
      <c r="G508">
        <v>13000</v>
      </c>
      <c r="H508">
        <v>9.4486899999999998E-4</v>
      </c>
      <c r="I508">
        <v>11859</v>
      </c>
      <c r="J508">
        <v>2862</v>
      </c>
      <c r="K508">
        <v>8997</v>
      </c>
      <c r="L508">
        <v>500</v>
      </c>
      <c r="M508">
        <v>499</v>
      </c>
      <c r="N508">
        <v>1</v>
      </c>
      <c r="O508">
        <v>1141</v>
      </c>
      <c r="P508">
        <v>1</v>
      </c>
    </row>
    <row r="509" spans="1:16" x14ac:dyDescent="0.2">
      <c r="A509" s="3" t="s">
        <v>49</v>
      </c>
      <c r="B509" s="3" t="s">
        <v>52</v>
      </c>
      <c r="C509">
        <v>13</v>
      </c>
      <c r="D509">
        <v>16000</v>
      </c>
      <c r="E509">
        <v>499</v>
      </c>
      <c r="F509">
        <v>1</v>
      </c>
      <c r="G509">
        <v>64781.839036288002</v>
      </c>
      <c r="H509">
        <v>9.4485100000000002E-4</v>
      </c>
      <c r="I509">
        <v>12034</v>
      </c>
      <c r="J509">
        <v>2965</v>
      </c>
      <c r="K509">
        <v>9069</v>
      </c>
      <c r="L509">
        <v>500</v>
      </c>
      <c r="M509">
        <v>499</v>
      </c>
      <c r="N509">
        <v>1</v>
      </c>
      <c r="O509">
        <v>16189.0360705277</v>
      </c>
      <c r="P509">
        <v>0</v>
      </c>
    </row>
    <row r="510" spans="1:16" x14ac:dyDescent="0.2">
      <c r="A510" s="3" t="s">
        <v>49</v>
      </c>
      <c r="B510" s="3" t="s">
        <v>52</v>
      </c>
      <c r="C510">
        <v>28</v>
      </c>
      <c r="D510">
        <v>16000</v>
      </c>
      <c r="E510">
        <v>499</v>
      </c>
      <c r="F510">
        <v>1</v>
      </c>
      <c r="G510">
        <v>64781.839036288002</v>
      </c>
      <c r="H510">
        <v>9.4485100000000002E-4</v>
      </c>
      <c r="I510">
        <v>12048</v>
      </c>
      <c r="J510">
        <v>2928</v>
      </c>
      <c r="K510">
        <v>9120</v>
      </c>
      <c r="L510">
        <v>500</v>
      </c>
      <c r="M510">
        <v>499</v>
      </c>
      <c r="N510">
        <v>1</v>
      </c>
      <c r="O510">
        <v>16063.2542676386</v>
      </c>
      <c r="P510">
        <v>0</v>
      </c>
    </row>
    <row r="511" spans="1:16" x14ac:dyDescent="0.2">
      <c r="A511" s="3" t="s">
        <v>49</v>
      </c>
      <c r="B511" s="3" t="s">
        <v>52</v>
      </c>
      <c r="C511">
        <v>26</v>
      </c>
      <c r="D511">
        <v>17000</v>
      </c>
      <c r="E511">
        <v>499</v>
      </c>
      <c r="F511">
        <v>1</v>
      </c>
      <c r="G511">
        <v>65872.258119671897</v>
      </c>
      <c r="H511">
        <v>9.4475899999999999E-4</v>
      </c>
      <c r="I511">
        <v>11937</v>
      </c>
      <c r="J511">
        <v>2904</v>
      </c>
      <c r="K511">
        <v>9033</v>
      </c>
      <c r="L511">
        <v>500</v>
      </c>
      <c r="M511">
        <v>499</v>
      </c>
      <c r="N511">
        <v>1</v>
      </c>
      <c r="O511">
        <v>19782.537300187199</v>
      </c>
      <c r="P511">
        <v>0</v>
      </c>
    </row>
    <row r="512" spans="1:16" x14ac:dyDescent="0.2">
      <c r="A512" s="3" t="s">
        <v>49</v>
      </c>
      <c r="B512" s="3" t="s">
        <v>52</v>
      </c>
      <c r="C512">
        <v>46</v>
      </c>
      <c r="D512">
        <v>18000</v>
      </c>
      <c r="E512">
        <v>499</v>
      </c>
      <c r="F512">
        <v>1</v>
      </c>
      <c r="G512">
        <v>18000</v>
      </c>
      <c r="H512">
        <v>9.4438400000000004E-4</v>
      </c>
      <c r="I512">
        <v>11962</v>
      </c>
      <c r="J512">
        <v>2943</v>
      </c>
      <c r="K512">
        <v>9019</v>
      </c>
      <c r="L512">
        <v>500</v>
      </c>
      <c r="M512">
        <v>499</v>
      </c>
      <c r="N512">
        <v>1</v>
      </c>
      <c r="O512">
        <v>6038</v>
      </c>
      <c r="P512">
        <v>1</v>
      </c>
    </row>
    <row r="513" spans="1:16" x14ac:dyDescent="0.2">
      <c r="A513" s="3" t="s">
        <v>49</v>
      </c>
      <c r="B513" s="3" t="s">
        <v>52</v>
      </c>
      <c r="C513">
        <v>3</v>
      </c>
      <c r="D513">
        <v>14000</v>
      </c>
      <c r="E513">
        <v>499</v>
      </c>
      <c r="F513">
        <v>1</v>
      </c>
      <c r="G513">
        <v>14000</v>
      </c>
      <c r="H513">
        <v>9.4413600000000004E-4</v>
      </c>
      <c r="I513">
        <v>11901</v>
      </c>
      <c r="J513">
        <v>2814</v>
      </c>
      <c r="K513">
        <v>9087</v>
      </c>
      <c r="L513">
        <v>500</v>
      </c>
      <c r="M513">
        <v>499</v>
      </c>
      <c r="N513">
        <v>1</v>
      </c>
      <c r="O513">
        <v>2099</v>
      </c>
      <c r="P513">
        <v>1</v>
      </c>
    </row>
    <row r="514" spans="1:16" x14ac:dyDescent="0.2">
      <c r="A514" s="3" t="s">
        <v>49</v>
      </c>
      <c r="B514" s="3" t="s">
        <v>52</v>
      </c>
      <c r="C514">
        <v>26</v>
      </c>
      <c r="D514">
        <v>11000</v>
      </c>
      <c r="E514">
        <v>499</v>
      </c>
      <c r="F514">
        <v>1</v>
      </c>
      <c r="G514">
        <v>11000</v>
      </c>
      <c r="H514">
        <v>9.4376900000000001E-4</v>
      </c>
      <c r="I514">
        <v>11000</v>
      </c>
      <c r="J514">
        <v>2776</v>
      </c>
      <c r="K514">
        <v>8224</v>
      </c>
      <c r="L514">
        <v>500</v>
      </c>
      <c r="M514">
        <v>499</v>
      </c>
      <c r="N514">
        <v>1</v>
      </c>
      <c r="O514">
        <v>0</v>
      </c>
      <c r="P514">
        <v>1</v>
      </c>
    </row>
    <row r="515" spans="1:16" x14ac:dyDescent="0.2">
      <c r="A515" s="3" t="s">
        <v>49</v>
      </c>
      <c r="B515" s="3" t="s">
        <v>52</v>
      </c>
      <c r="C515">
        <v>27</v>
      </c>
      <c r="D515">
        <v>18000</v>
      </c>
      <c r="E515">
        <v>499</v>
      </c>
      <c r="F515">
        <v>1</v>
      </c>
      <c r="G515">
        <v>75479.649376234796</v>
      </c>
      <c r="H515">
        <v>9.4327400000000002E-4</v>
      </c>
      <c r="I515">
        <v>11964</v>
      </c>
      <c r="J515">
        <v>2927</v>
      </c>
      <c r="K515">
        <v>9037</v>
      </c>
      <c r="L515">
        <v>500</v>
      </c>
      <c r="M515">
        <v>499</v>
      </c>
      <c r="N515">
        <v>1</v>
      </c>
      <c r="O515">
        <v>25665.2230290841</v>
      </c>
      <c r="P515">
        <v>0</v>
      </c>
    </row>
    <row r="516" spans="1:16" x14ac:dyDescent="0.2">
      <c r="A516" s="3" t="s">
        <v>49</v>
      </c>
      <c r="B516" s="3" t="s">
        <v>52</v>
      </c>
      <c r="C516">
        <v>21</v>
      </c>
      <c r="D516">
        <v>16000</v>
      </c>
      <c r="E516">
        <v>499</v>
      </c>
      <c r="F516">
        <v>1</v>
      </c>
      <c r="G516">
        <v>16000</v>
      </c>
      <c r="H516">
        <v>9.4324700000000003E-4</v>
      </c>
      <c r="I516">
        <v>11983</v>
      </c>
      <c r="J516">
        <v>2903</v>
      </c>
      <c r="K516">
        <v>9080</v>
      </c>
      <c r="L516">
        <v>500</v>
      </c>
      <c r="M516">
        <v>499</v>
      </c>
      <c r="N516">
        <v>1</v>
      </c>
      <c r="O516">
        <v>4017</v>
      </c>
      <c r="P516">
        <v>1</v>
      </c>
    </row>
    <row r="517" spans="1:16" x14ac:dyDescent="0.2">
      <c r="A517" s="3" t="s">
        <v>49</v>
      </c>
      <c r="B517" s="3" t="s">
        <v>52</v>
      </c>
      <c r="C517">
        <v>43</v>
      </c>
      <c r="D517">
        <v>15000</v>
      </c>
      <c r="E517">
        <v>499</v>
      </c>
      <c r="F517">
        <v>1</v>
      </c>
      <c r="G517">
        <v>15000</v>
      </c>
      <c r="H517">
        <v>9.4322899999999996E-4</v>
      </c>
      <c r="I517">
        <v>11868</v>
      </c>
      <c r="J517">
        <v>2867</v>
      </c>
      <c r="K517">
        <v>9001</v>
      </c>
      <c r="L517">
        <v>500</v>
      </c>
      <c r="M517">
        <v>499</v>
      </c>
      <c r="N517">
        <v>1</v>
      </c>
      <c r="O517">
        <v>3132</v>
      </c>
      <c r="P517">
        <v>1</v>
      </c>
    </row>
    <row r="518" spans="1:16" x14ac:dyDescent="0.2">
      <c r="A518" s="3" t="s">
        <v>49</v>
      </c>
      <c r="B518" s="3" t="s">
        <v>52</v>
      </c>
      <c r="C518">
        <v>19</v>
      </c>
      <c r="D518">
        <v>16000</v>
      </c>
      <c r="E518">
        <v>499</v>
      </c>
      <c r="F518">
        <v>1</v>
      </c>
      <c r="G518">
        <v>16000</v>
      </c>
      <c r="H518">
        <v>9.4316400000000002E-4</v>
      </c>
      <c r="I518">
        <v>12013</v>
      </c>
      <c r="J518">
        <v>2933</v>
      </c>
      <c r="K518">
        <v>9080</v>
      </c>
      <c r="L518">
        <v>500</v>
      </c>
      <c r="M518">
        <v>499</v>
      </c>
      <c r="N518">
        <v>1</v>
      </c>
      <c r="O518">
        <v>3987</v>
      </c>
      <c r="P518">
        <v>1</v>
      </c>
    </row>
    <row r="519" spans="1:16" x14ac:dyDescent="0.2">
      <c r="A519" s="3" t="s">
        <v>49</v>
      </c>
      <c r="B519" s="3" t="s">
        <v>52</v>
      </c>
      <c r="C519">
        <v>17</v>
      </c>
      <c r="D519">
        <v>17000</v>
      </c>
      <c r="E519">
        <v>499</v>
      </c>
      <c r="F519">
        <v>1</v>
      </c>
      <c r="G519">
        <v>17000</v>
      </c>
      <c r="H519">
        <v>9.4311899999999997E-4</v>
      </c>
      <c r="I519">
        <v>11925</v>
      </c>
      <c r="J519">
        <v>2856</v>
      </c>
      <c r="K519">
        <v>9069</v>
      </c>
      <c r="L519">
        <v>500</v>
      </c>
      <c r="M519">
        <v>499</v>
      </c>
      <c r="N519">
        <v>1</v>
      </c>
      <c r="O519">
        <v>5075</v>
      </c>
      <c r="P519">
        <v>1</v>
      </c>
    </row>
    <row r="520" spans="1:16" x14ac:dyDescent="0.2">
      <c r="A520" s="3" t="s">
        <v>49</v>
      </c>
      <c r="B520" s="3" t="s">
        <v>52</v>
      </c>
      <c r="C520">
        <v>43</v>
      </c>
      <c r="D520">
        <v>16000</v>
      </c>
      <c r="E520">
        <v>499</v>
      </c>
      <c r="F520">
        <v>1</v>
      </c>
      <c r="G520">
        <v>64781.839036288002</v>
      </c>
      <c r="H520">
        <v>9.4221099999999998E-4</v>
      </c>
      <c r="I520">
        <v>12007</v>
      </c>
      <c r="J520">
        <v>2938</v>
      </c>
      <c r="K520">
        <v>9069</v>
      </c>
      <c r="L520">
        <v>500</v>
      </c>
      <c r="M520">
        <v>499</v>
      </c>
      <c r="N520">
        <v>1</v>
      </c>
      <c r="O520">
        <v>16245.101454453699</v>
      </c>
      <c r="P520">
        <v>0</v>
      </c>
    </row>
    <row r="521" spans="1:16" x14ac:dyDescent="0.2">
      <c r="A521" s="3" t="s">
        <v>49</v>
      </c>
      <c r="B521" s="3" t="s">
        <v>52</v>
      </c>
      <c r="C521">
        <v>7</v>
      </c>
      <c r="D521">
        <v>18000</v>
      </c>
      <c r="E521">
        <v>499</v>
      </c>
      <c r="F521">
        <v>1</v>
      </c>
      <c r="G521">
        <v>75479.649376234796</v>
      </c>
      <c r="H521">
        <v>9.4208300000000003E-4</v>
      </c>
      <c r="I521">
        <v>11928</v>
      </c>
      <c r="J521">
        <v>2939</v>
      </c>
      <c r="K521">
        <v>8989</v>
      </c>
      <c r="L521">
        <v>500</v>
      </c>
      <c r="M521">
        <v>499</v>
      </c>
      <c r="N521">
        <v>1</v>
      </c>
      <c r="O521">
        <v>25748.4096360566</v>
      </c>
      <c r="P521">
        <v>0</v>
      </c>
    </row>
    <row r="522" spans="1:16" x14ac:dyDescent="0.2">
      <c r="A522" s="3" t="s">
        <v>49</v>
      </c>
      <c r="B522" s="3" t="s">
        <v>52</v>
      </c>
      <c r="C522">
        <v>43</v>
      </c>
      <c r="D522">
        <v>16000</v>
      </c>
      <c r="E522">
        <v>499</v>
      </c>
      <c r="F522">
        <v>1</v>
      </c>
      <c r="G522">
        <v>16000</v>
      </c>
      <c r="H522">
        <v>9.4187100000000005E-4</v>
      </c>
      <c r="I522">
        <v>12001</v>
      </c>
      <c r="J522">
        <v>2910</v>
      </c>
      <c r="K522">
        <v>9091</v>
      </c>
      <c r="L522">
        <v>500</v>
      </c>
      <c r="M522">
        <v>499</v>
      </c>
      <c r="N522">
        <v>1</v>
      </c>
      <c r="O522">
        <v>3999</v>
      </c>
      <c r="P522">
        <v>1</v>
      </c>
    </row>
    <row r="523" spans="1:16" x14ac:dyDescent="0.2">
      <c r="A523" s="3" t="s">
        <v>49</v>
      </c>
      <c r="B523" s="3" t="s">
        <v>52</v>
      </c>
      <c r="C523">
        <v>24</v>
      </c>
      <c r="D523">
        <v>16000</v>
      </c>
      <c r="E523">
        <v>499</v>
      </c>
      <c r="F523">
        <v>1</v>
      </c>
      <c r="G523">
        <v>64781.839036288002</v>
      </c>
      <c r="H523">
        <v>9.4178899999999995E-4</v>
      </c>
      <c r="I523">
        <v>12013</v>
      </c>
      <c r="J523">
        <v>2925</v>
      </c>
      <c r="K523">
        <v>9088</v>
      </c>
      <c r="L523">
        <v>500</v>
      </c>
      <c r="M523">
        <v>499</v>
      </c>
      <c r="N523">
        <v>1</v>
      </c>
      <c r="O523">
        <v>16243.6993606621</v>
      </c>
      <c r="P523">
        <v>0</v>
      </c>
    </row>
    <row r="524" spans="1:16" x14ac:dyDescent="0.2">
      <c r="A524" s="3" t="s">
        <v>49</v>
      </c>
      <c r="B524" s="3" t="s">
        <v>52</v>
      </c>
      <c r="C524">
        <v>38</v>
      </c>
      <c r="D524">
        <v>17000</v>
      </c>
      <c r="E524">
        <v>499</v>
      </c>
      <c r="F524">
        <v>1</v>
      </c>
      <c r="G524">
        <v>17000</v>
      </c>
      <c r="H524">
        <v>9.4137699999999997E-4</v>
      </c>
      <c r="I524">
        <v>11956</v>
      </c>
      <c r="J524">
        <v>2905</v>
      </c>
      <c r="K524">
        <v>9051</v>
      </c>
      <c r="L524">
        <v>500</v>
      </c>
      <c r="M524">
        <v>499</v>
      </c>
      <c r="N524">
        <v>1</v>
      </c>
      <c r="O524">
        <v>5044</v>
      </c>
      <c r="P524">
        <v>1</v>
      </c>
    </row>
    <row r="525" spans="1:16" x14ac:dyDescent="0.2">
      <c r="A525" s="3" t="s">
        <v>49</v>
      </c>
      <c r="B525" s="3" t="s">
        <v>52</v>
      </c>
      <c r="C525">
        <v>9</v>
      </c>
      <c r="D525">
        <v>17000</v>
      </c>
      <c r="E525">
        <v>499</v>
      </c>
      <c r="F525">
        <v>1</v>
      </c>
      <c r="G525">
        <v>17000</v>
      </c>
      <c r="H525">
        <v>9.41138E-4</v>
      </c>
      <c r="I525">
        <v>11987</v>
      </c>
      <c r="J525">
        <v>2925</v>
      </c>
      <c r="K525">
        <v>9062</v>
      </c>
      <c r="L525">
        <v>500</v>
      </c>
      <c r="M525">
        <v>499</v>
      </c>
      <c r="N525">
        <v>1</v>
      </c>
      <c r="O525">
        <v>5013</v>
      </c>
      <c r="P525">
        <v>1</v>
      </c>
    </row>
    <row r="526" spans="1:16" x14ac:dyDescent="0.2">
      <c r="A526" s="3" t="s">
        <v>49</v>
      </c>
      <c r="B526" s="3" t="s">
        <v>52</v>
      </c>
      <c r="C526">
        <v>44</v>
      </c>
      <c r="D526">
        <v>14000</v>
      </c>
      <c r="E526">
        <v>499</v>
      </c>
      <c r="F526">
        <v>1</v>
      </c>
      <c r="G526">
        <v>14000</v>
      </c>
      <c r="H526">
        <v>9.4097400000000002E-4</v>
      </c>
      <c r="I526">
        <v>11934</v>
      </c>
      <c r="J526">
        <v>2842</v>
      </c>
      <c r="K526">
        <v>9092</v>
      </c>
      <c r="L526">
        <v>500</v>
      </c>
      <c r="M526">
        <v>499</v>
      </c>
      <c r="N526">
        <v>1</v>
      </c>
      <c r="O526">
        <v>2066</v>
      </c>
      <c r="P526">
        <v>1</v>
      </c>
    </row>
    <row r="527" spans="1:16" x14ac:dyDescent="0.2">
      <c r="A527" s="3" t="s">
        <v>49</v>
      </c>
      <c r="B527" s="3" t="s">
        <v>52</v>
      </c>
      <c r="C527">
        <v>22</v>
      </c>
      <c r="D527">
        <v>16000</v>
      </c>
      <c r="E527">
        <v>499</v>
      </c>
      <c r="F527">
        <v>1</v>
      </c>
      <c r="G527">
        <v>16000</v>
      </c>
      <c r="H527">
        <v>9.4073500000000005E-4</v>
      </c>
      <c r="I527">
        <v>12068</v>
      </c>
      <c r="J527">
        <v>3006</v>
      </c>
      <c r="K527">
        <v>9062</v>
      </c>
      <c r="L527">
        <v>500</v>
      </c>
      <c r="M527">
        <v>499</v>
      </c>
      <c r="N527">
        <v>1</v>
      </c>
      <c r="O527">
        <v>3932</v>
      </c>
      <c r="P527">
        <v>1</v>
      </c>
    </row>
    <row r="528" spans="1:16" x14ac:dyDescent="0.2">
      <c r="A528" s="3" t="s">
        <v>49</v>
      </c>
      <c r="B528" s="3" t="s">
        <v>52</v>
      </c>
      <c r="C528">
        <v>47</v>
      </c>
      <c r="D528">
        <v>17000</v>
      </c>
      <c r="E528">
        <v>499</v>
      </c>
      <c r="F528">
        <v>1</v>
      </c>
      <c r="G528">
        <v>65872.258119671897</v>
      </c>
      <c r="H528">
        <v>9.4067200000000004E-4</v>
      </c>
      <c r="I528">
        <v>11944</v>
      </c>
      <c r="J528">
        <v>2905</v>
      </c>
      <c r="K528">
        <v>9039</v>
      </c>
      <c r="L528">
        <v>500</v>
      </c>
      <c r="M528">
        <v>499</v>
      </c>
      <c r="N528">
        <v>1</v>
      </c>
      <c r="O528">
        <v>19727.425757106699</v>
      </c>
      <c r="P528">
        <v>0</v>
      </c>
    </row>
    <row r="529" spans="1:16" x14ac:dyDescent="0.2">
      <c r="A529" s="3" t="s">
        <v>49</v>
      </c>
      <c r="B529" s="3" t="s">
        <v>52</v>
      </c>
      <c r="C529">
        <v>28</v>
      </c>
      <c r="D529">
        <v>14000</v>
      </c>
      <c r="E529">
        <v>499</v>
      </c>
      <c r="F529">
        <v>1</v>
      </c>
      <c r="G529">
        <v>14000</v>
      </c>
      <c r="H529">
        <v>9.4062499999999995E-4</v>
      </c>
      <c r="I529">
        <v>11933</v>
      </c>
      <c r="J529">
        <v>2829</v>
      </c>
      <c r="K529">
        <v>9104</v>
      </c>
      <c r="L529">
        <v>500</v>
      </c>
      <c r="M529">
        <v>499</v>
      </c>
      <c r="N529">
        <v>1</v>
      </c>
      <c r="O529">
        <v>2067</v>
      </c>
      <c r="P529">
        <v>1</v>
      </c>
    </row>
    <row r="530" spans="1:16" x14ac:dyDescent="0.2">
      <c r="A530" s="3" t="s">
        <v>49</v>
      </c>
      <c r="B530" s="3" t="s">
        <v>52</v>
      </c>
      <c r="C530">
        <v>42</v>
      </c>
      <c r="D530">
        <v>17000</v>
      </c>
      <c r="E530">
        <v>499</v>
      </c>
      <c r="F530">
        <v>1</v>
      </c>
      <c r="G530">
        <v>65872.258119671897</v>
      </c>
      <c r="H530">
        <v>9.4043299999999996E-4</v>
      </c>
      <c r="I530">
        <v>11954</v>
      </c>
      <c r="J530">
        <v>2918</v>
      </c>
      <c r="K530">
        <v>9036</v>
      </c>
      <c r="L530">
        <v>500</v>
      </c>
      <c r="M530">
        <v>499</v>
      </c>
      <c r="N530">
        <v>1</v>
      </c>
      <c r="O530">
        <v>19682.371483148101</v>
      </c>
      <c r="P530">
        <v>0</v>
      </c>
    </row>
    <row r="531" spans="1:16" x14ac:dyDescent="0.2">
      <c r="A531" s="3" t="s">
        <v>49</v>
      </c>
      <c r="B531" s="3" t="s">
        <v>52</v>
      </c>
      <c r="C531">
        <v>31</v>
      </c>
      <c r="D531">
        <v>13000</v>
      </c>
      <c r="E531">
        <v>499</v>
      </c>
      <c r="F531">
        <v>1</v>
      </c>
      <c r="G531">
        <v>13000</v>
      </c>
      <c r="H531">
        <v>9.4038699999999999E-4</v>
      </c>
      <c r="I531">
        <v>11821</v>
      </c>
      <c r="J531">
        <v>2775</v>
      </c>
      <c r="K531">
        <v>9046</v>
      </c>
      <c r="L531">
        <v>500</v>
      </c>
      <c r="M531">
        <v>499</v>
      </c>
      <c r="N531">
        <v>1</v>
      </c>
      <c r="O531">
        <v>1179</v>
      </c>
      <c r="P531">
        <v>1</v>
      </c>
    </row>
    <row r="532" spans="1:16" x14ac:dyDescent="0.2">
      <c r="A532" s="3" t="s">
        <v>49</v>
      </c>
      <c r="B532" s="3" t="s">
        <v>52</v>
      </c>
      <c r="C532">
        <v>18</v>
      </c>
      <c r="D532">
        <v>16000</v>
      </c>
      <c r="E532">
        <v>499</v>
      </c>
      <c r="F532">
        <v>1</v>
      </c>
      <c r="G532">
        <v>16000</v>
      </c>
      <c r="H532">
        <v>9.4017600000000003E-4</v>
      </c>
      <c r="I532">
        <v>12009</v>
      </c>
      <c r="J532">
        <v>2931</v>
      </c>
      <c r="K532">
        <v>9078</v>
      </c>
      <c r="L532">
        <v>500</v>
      </c>
      <c r="M532">
        <v>499</v>
      </c>
      <c r="N532">
        <v>1</v>
      </c>
      <c r="O532">
        <v>3991</v>
      </c>
      <c r="P532">
        <v>1</v>
      </c>
    </row>
    <row r="533" spans="1:16" x14ac:dyDescent="0.2">
      <c r="A533" s="3" t="s">
        <v>49</v>
      </c>
      <c r="B533" s="3" t="s">
        <v>52</v>
      </c>
      <c r="C533">
        <v>8</v>
      </c>
      <c r="D533">
        <v>13000</v>
      </c>
      <c r="E533">
        <v>499</v>
      </c>
      <c r="F533">
        <v>1</v>
      </c>
      <c r="G533">
        <v>53044.701099550097</v>
      </c>
      <c r="H533">
        <v>9.3987400000000005E-4</v>
      </c>
      <c r="I533">
        <v>11844</v>
      </c>
      <c r="J533">
        <v>2836</v>
      </c>
      <c r="K533">
        <v>9008</v>
      </c>
      <c r="L533">
        <v>500</v>
      </c>
      <c r="M533">
        <v>499</v>
      </c>
      <c r="N533">
        <v>1</v>
      </c>
      <c r="O533">
        <v>4700.9526594763001</v>
      </c>
      <c r="P533">
        <v>0</v>
      </c>
    </row>
    <row r="534" spans="1:16" x14ac:dyDescent="0.2">
      <c r="A534" s="3" t="s">
        <v>49</v>
      </c>
      <c r="B534" s="3" t="s">
        <v>52</v>
      </c>
      <c r="C534">
        <v>26</v>
      </c>
      <c r="D534">
        <v>16000</v>
      </c>
      <c r="E534">
        <v>499</v>
      </c>
      <c r="F534">
        <v>1</v>
      </c>
      <c r="G534">
        <v>64781.839036288002</v>
      </c>
      <c r="H534">
        <v>9.3977299999999998E-4</v>
      </c>
      <c r="I534">
        <v>11988</v>
      </c>
      <c r="J534">
        <v>2895</v>
      </c>
      <c r="K534">
        <v>9093</v>
      </c>
      <c r="L534">
        <v>500</v>
      </c>
      <c r="M534">
        <v>499</v>
      </c>
      <c r="N534">
        <v>1</v>
      </c>
      <c r="O534">
        <v>16323.904946451899</v>
      </c>
      <c r="P534">
        <v>0</v>
      </c>
    </row>
    <row r="535" spans="1:16" x14ac:dyDescent="0.2">
      <c r="A535" s="3" t="s">
        <v>49</v>
      </c>
      <c r="B535" s="3" t="s">
        <v>52</v>
      </c>
      <c r="C535">
        <v>21</v>
      </c>
      <c r="D535">
        <v>17000</v>
      </c>
      <c r="E535">
        <v>499</v>
      </c>
      <c r="F535">
        <v>1</v>
      </c>
      <c r="G535">
        <v>65872.258119671897</v>
      </c>
      <c r="H535">
        <v>9.3975500000000002E-4</v>
      </c>
      <c r="I535">
        <v>11987</v>
      </c>
      <c r="J535">
        <v>2932</v>
      </c>
      <c r="K535">
        <v>9055</v>
      </c>
      <c r="L535">
        <v>500</v>
      </c>
      <c r="M535">
        <v>499</v>
      </c>
      <c r="N535">
        <v>1</v>
      </c>
      <c r="O535">
        <v>19587.273718680201</v>
      </c>
      <c r="P535">
        <v>0</v>
      </c>
    </row>
    <row r="536" spans="1:16" x14ac:dyDescent="0.2">
      <c r="A536" s="3" t="s">
        <v>49</v>
      </c>
      <c r="B536" s="3" t="s">
        <v>52</v>
      </c>
      <c r="C536">
        <v>33</v>
      </c>
      <c r="D536">
        <v>16000</v>
      </c>
      <c r="E536">
        <v>499</v>
      </c>
      <c r="F536">
        <v>1</v>
      </c>
      <c r="G536">
        <v>16000</v>
      </c>
      <c r="H536">
        <v>9.3958900000000001E-4</v>
      </c>
      <c r="I536">
        <v>12012</v>
      </c>
      <c r="J536">
        <v>2945</v>
      </c>
      <c r="K536">
        <v>9067</v>
      </c>
      <c r="L536">
        <v>500</v>
      </c>
      <c r="M536">
        <v>499</v>
      </c>
      <c r="N536">
        <v>1</v>
      </c>
      <c r="O536">
        <v>3988</v>
      </c>
      <c r="P536">
        <v>1</v>
      </c>
    </row>
    <row r="537" spans="1:16" x14ac:dyDescent="0.2">
      <c r="A537" s="3" t="s">
        <v>49</v>
      </c>
      <c r="B537" s="3" t="s">
        <v>52</v>
      </c>
      <c r="C537">
        <v>4</v>
      </c>
      <c r="D537">
        <v>16000</v>
      </c>
      <c r="E537">
        <v>499</v>
      </c>
      <c r="F537">
        <v>1</v>
      </c>
      <c r="G537">
        <v>64781.839036288002</v>
      </c>
      <c r="H537">
        <v>9.3956200000000001E-4</v>
      </c>
      <c r="I537">
        <v>12028</v>
      </c>
      <c r="J537">
        <v>2932</v>
      </c>
      <c r="K537">
        <v>9096</v>
      </c>
      <c r="L537">
        <v>500</v>
      </c>
      <c r="M537">
        <v>499</v>
      </c>
      <c r="N537">
        <v>1</v>
      </c>
      <c r="O537">
        <v>16180.3857560126</v>
      </c>
      <c r="P537">
        <v>0</v>
      </c>
    </row>
    <row r="538" spans="1:16" x14ac:dyDescent="0.2">
      <c r="A538" s="3" t="s">
        <v>49</v>
      </c>
      <c r="B538" s="3" t="s">
        <v>52</v>
      </c>
      <c r="C538">
        <v>25</v>
      </c>
      <c r="D538">
        <v>16000</v>
      </c>
      <c r="E538">
        <v>499</v>
      </c>
      <c r="F538">
        <v>1</v>
      </c>
      <c r="G538">
        <v>16000</v>
      </c>
      <c r="H538">
        <v>9.3937899999999995E-4</v>
      </c>
      <c r="I538">
        <v>11978</v>
      </c>
      <c r="J538">
        <v>2868</v>
      </c>
      <c r="K538">
        <v>9110</v>
      </c>
      <c r="L538">
        <v>500</v>
      </c>
      <c r="M538">
        <v>499</v>
      </c>
      <c r="N538">
        <v>1</v>
      </c>
      <c r="O538">
        <v>4022</v>
      </c>
      <c r="P538">
        <v>1</v>
      </c>
    </row>
    <row r="539" spans="1:16" x14ac:dyDescent="0.2">
      <c r="A539" s="3" t="s">
        <v>49</v>
      </c>
      <c r="B539" s="3" t="s">
        <v>52</v>
      </c>
      <c r="C539">
        <v>40</v>
      </c>
      <c r="D539">
        <v>18000</v>
      </c>
      <c r="E539">
        <v>499</v>
      </c>
      <c r="F539">
        <v>1</v>
      </c>
      <c r="G539">
        <v>75479.649376234796</v>
      </c>
      <c r="H539">
        <v>9.3913999999999998E-4</v>
      </c>
      <c r="I539">
        <v>11932</v>
      </c>
      <c r="J539">
        <v>2865</v>
      </c>
      <c r="K539">
        <v>9067</v>
      </c>
      <c r="L539">
        <v>500</v>
      </c>
      <c r="M539">
        <v>499</v>
      </c>
      <c r="N539">
        <v>1</v>
      </c>
      <c r="O539">
        <v>25756.4915406693</v>
      </c>
      <c r="P539">
        <v>0</v>
      </c>
    </row>
    <row r="540" spans="1:16" x14ac:dyDescent="0.2">
      <c r="A540" s="3" t="s">
        <v>49</v>
      </c>
      <c r="B540" s="3" t="s">
        <v>52</v>
      </c>
      <c r="C540">
        <v>6</v>
      </c>
      <c r="D540">
        <v>15000</v>
      </c>
      <c r="E540">
        <v>499</v>
      </c>
      <c r="F540">
        <v>1</v>
      </c>
      <c r="G540">
        <v>15000</v>
      </c>
      <c r="H540">
        <v>9.3913099999999995E-4</v>
      </c>
      <c r="I540">
        <v>11848</v>
      </c>
      <c r="J540">
        <v>2881</v>
      </c>
      <c r="K540">
        <v>8967</v>
      </c>
      <c r="L540">
        <v>500</v>
      </c>
      <c r="M540">
        <v>499</v>
      </c>
      <c r="N540">
        <v>1</v>
      </c>
      <c r="O540">
        <v>3152</v>
      </c>
      <c r="P540">
        <v>1</v>
      </c>
    </row>
    <row r="541" spans="1:16" x14ac:dyDescent="0.2">
      <c r="A541" s="3" t="s">
        <v>49</v>
      </c>
      <c r="B541" s="3" t="s">
        <v>52</v>
      </c>
      <c r="C541">
        <v>42</v>
      </c>
      <c r="D541">
        <v>18000</v>
      </c>
      <c r="E541">
        <v>499</v>
      </c>
      <c r="F541">
        <v>1</v>
      </c>
      <c r="G541">
        <v>75479.649376234796</v>
      </c>
      <c r="H541">
        <v>9.3911299999999999E-4</v>
      </c>
      <c r="I541">
        <v>11961</v>
      </c>
      <c r="J541">
        <v>2962</v>
      </c>
      <c r="K541">
        <v>8999</v>
      </c>
      <c r="L541">
        <v>500</v>
      </c>
      <c r="M541">
        <v>499</v>
      </c>
      <c r="N541">
        <v>1</v>
      </c>
      <c r="O541">
        <v>25680.2244055722</v>
      </c>
      <c r="P541">
        <v>0</v>
      </c>
    </row>
    <row r="542" spans="1:16" x14ac:dyDescent="0.2">
      <c r="A542" s="3" t="s">
        <v>49</v>
      </c>
      <c r="B542" s="3" t="s">
        <v>52</v>
      </c>
      <c r="C542">
        <v>16</v>
      </c>
      <c r="D542">
        <v>15000</v>
      </c>
      <c r="E542">
        <v>499</v>
      </c>
      <c r="F542">
        <v>1</v>
      </c>
      <c r="G542">
        <v>60572.237308582698</v>
      </c>
      <c r="H542">
        <v>9.3826999999999995E-4</v>
      </c>
      <c r="I542">
        <v>11869</v>
      </c>
      <c r="J542">
        <v>2867</v>
      </c>
      <c r="K542">
        <v>9002</v>
      </c>
      <c r="L542">
        <v>500</v>
      </c>
      <c r="M542">
        <v>499</v>
      </c>
      <c r="N542">
        <v>1</v>
      </c>
      <c r="O542">
        <v>12696.410959720501</v>
      </c>
      <c r="P542">
        <v>0</v>
      </c>
    </row>
    <row r="543" spans="1:16" x14ac:dyDescent="0.2">
      <c r="A543" s="3" t="s">
        <v>49</v>
      </c>
      <c r="B543" s="3" t="s">
        <v>52</v>
      </c>
      <c r="C543">
        <v>27</v>
      </c>
      <c r="D543">
        <v>17000</v>
      </c>
      <c r="E543">
        <v>499</v>
      </c>
      <c r="F543">
        <v>1</v>
      </c>
      <c r="G543">
        <v>65872.258119671897</v>
      </c>
      <c r="H543">
        <v>9.3822299999999996E-4</v>
      </c>
      <c r="I543">
        <v>11952</v>
      </c>
      <c r="J543">
        <v>2907</v>
      </c>
      <c r="K543">
        <v>9045</v>
      </c>
      <c r="L543">
        <v>500</v>
      </c>
      <c r="M543">
        <v>499</v>
      </c>
      <c r="N543">
        <v>1</v>
      </c>
      <c r="O543">
        <v>19745.4242143669</v>
      </c>
      <c r="P543">
        <v>0</v>
      </c>
    </row>
    <row r="544" spans="1:16" x14ac:dyDescent="0.2">
      <c r="A544" s="3" t="s">
        <v>49</v>
      </c>
      <c r="B544" s="3" t="s">
        <v>52</v>
      </c>
      <c r="C544">
        <v>45</v>
      </c>
      <c r="D544">
        <v>14000</v>
      </c>
      <c r="E544">
        <v>499</v>
      </c>
      <c r="F544">
        <v>1</v>
      </c>
      <c r="G544">
        <v>14000</v>
      </c>
      <c r="H544">
        <v>9.3798500000000001E-4</v>
      </c>
      <c r="I544">
        <v>11883</v>
      </c>
      <c r="J544">
        <v>2770</v>
      </c>
      <c r="K544">
        <v>9113</v>
      </c>
      <c r="L544">
        <v>500</v>
      </c>
      <c r="M544">
        <v>499</v>
      </c>
      <c r="N544">
        <v>1</v>
      </c>
      <c r="O544">
        <v>2117</v>
      </c>
      <c r="P544">
        <v>1</v>
      </c>
    </row>
    <row r="545" spans="1:16" x14ac:dyDescent="0.2">
      <c r="A545" s="3" t="s">
        <v>49</v>
      </c>
      <c r="B545" s="3" t="s">
        <v>52</v>
      </c>
      <c r="C545">
        <v>22</v>
      </c>
      <c r="D545">
        <v>13000</v>
      </c>
      <c r="E545">
        <v>499</v>
      </c>
      <c r="F545">
        <v>1</v>
      </c>
      <c r="G545">
        <v>53044.701099550097</v>
      </c>
      <c r="H545">
        <v>9.3791199999999995E-4</v>
      </c>
      <c r="I545">
        <v>11871</v>
      </c>
      <c r="J545">
        <v>2811</v>
      </c>
      <c r="K545">
        <v>9060</v>
      </c>
      <c r="L545">
        <v>500</v>
      </c>
      <c r="M545">
        <v>499</v>
      </c>
      <c r="N545">
        <v>1</v>
      </c>
      <c r="O545">
        <v>4601.8562574647003</v>
      </c>
      <c r="P545">
        <v>0</v>
      </c>
    </row>
    <row r="546" spans="1:16" x14ac:dyDescent="0.2">
      <c r="A546" s="3" t="s">
        <v>49</v>
      </c>
      <c r="B546" s="3" t="s">
        <v>52</v>
      </c>
      <c r="C546">
        <v>8</v>
      </c>
      <c r="D546">
        <v>16000</v>
      </c>
      <c r="E546">
        <v>499</v>
      </c>
      <c r="F546">
        <v>1</v>
      </c>
      <c r="G546">
        <v>64781.839036288002</v>
      </c>
      <c r="H546">
        <v>9.3791199999999995E-4</v>
      </c>
      <c r="I546">
        <v>11983</v>
      </c>
      <c r="J546">
        <v>2884</v>
      </c>
      <c r="K546">
        <v>9099</v>
      </c>
      <c r="L546">
        <v>500</v>
      </c>
      <c r="M546">
        <v>499</v>
      </c>
      <c r="N546">
        <v>1</v>
      </c>
      <c r="O546">
        <v>16349.090775697799</v>
      </c>
      <c r="P546">
        <v>0</v>
      </c>
    </row>
    <row r="547" spans="1:16" x14ac:dyDescent="0.2">
      <c r="A547" s="3" t="s">
        <v>49</v>
      </c>
      <c r="B547" s="3" t="s">
        <v>52</v>
      </c>
      <c r="C547">
        <v>34</v>
      </c>
      <c r="D547">
        <v>16000</v>
      </c>
      <c r="E547">
        <v>499</v>
      </c>
      <c r="F547">
        <v>1</v>
      </c>
      <c r="G547">
        <v>16000</v>
      </c>
      <c r="H547">
        <v>9.3788400000000005E-4</v>
      </c>
      <c r="I547">
        <v>11958</v>
      </c>
      <c r="J547">
        <v>2876</v>
      </c>
      <c r="K547">
        <v>9082</v>
      </c>
      <c r="L547">
        <v>500</v>
      </c>
      <c r="M547">
        <v>499</v>
      </c>
      <c r="N547">
        <v>1</v>
      </c>
      <c r="O547">
        <v>4042</v>
      </c>
      <c r="P547">
        <v>1</v>
      </c>
    </row>
    <row r="548" spans="1:16" x14ac:dyDescent="0.2">
      <c r="A548" s="3" t="s">
        <v>49</v>
      </c>
      <c r="B548" s="3" t="s">
        <v>52</v>
      </c>
      <c r="C548">
        <v>20</v>
      </c>
      <c r="D548">
        <v>16000</v>
      </c>
      <c r="E548">
        <v>499</v>
      </c>
      <c r="F548">
        <v>1</v>
      </c>
      <c r="G548">
        <v>64781.839036288002</v>
      </c>
      <c r="H548">
        <v>9.3760899999999995E-4</v>
      </c>
      <c r="I548">
        <v>12032</v>
      </c>
      <c r="J548">
        <v>2932</v>
      </c>
      <c r="K548">
        <v>9100</v>
      </c>
      <c r="L548">
        <v>500</v>
      </c>
      <c r="M548">
        <v>499</v>
      </c>
      <c r="N548">
        <v>1</v>
      </c>
      <c r="O548">
        <v>16157.064116290599</v>
      </c>
      <c r="P548">
        <v>0</v>
      </c>
    </row>
    <row r="549" spans="1:16" x14ac:dyDescent="0.2">
      <c r="A549" s="3" t="s">
        <v>49</v>
      </c>
      <c r="B549" s="3" t="s">
        <v>52</v>
      </c>
      <c r="C549">
        <v>36</v>
      </c>
      <c r="D549">
        <v>13000</v>
      </c>
      <c r="E549">
        <v>499</v>
      </c>
      <c r="F549">
        <v>1</v>
      </c>
      <c r="G549">
        <v>13000</v>
      </c>
      <c r="H549">
        <v>9.37344E-4</v>
      </c>
      <c r="I549">
        <v>11793</v>
      </c>
      <c r="J549">
        <v>2734</v>
      </c>
      <c r="K549">
        <v>9059</v>
      </c>
      <c r="L549">
        <v>500</v>
      </c>
      <c r="M549">
        <v>499</v>
      </c>
      <c r="N549">
        <v>1</v>
      </c>
      <c r="O549">
        <v>1207</v>
      </c>
      <c r="P549">
        <v>1</v>
      </c>
    </row>
    <row r="550" spans="1:16" x14ac:dyDescent="0.2">
      <c r="A550" s="3" t="s">
        <v>49</v>
      </c>
      <c r="B550" s="3" t="s">
        <v>52</v>
      </c>
      <c r="C550">
        <v>29</v>
      </c>
      <c r="D550">
        <v>15000</v>
      </c>
      <c r="E550">
        <v>499</v>
      </c>
      <c r="F550">
        <v>1</v>
      </c>
      <c r="G550">
        <v>15000</v>
      </c>
      <c r="H550">
        <v>9.3717900000000001E-4</v>
      </c>
      <c r="I550">
        <v>11855</v>
      </c>
      <c r="J550">
        <v>2907</v>
      </c>
      <c r="K550">
        <v>8948</v>
      </c>
      <c r="L550">
        <v>500</v>
      </c>
      <c r="M550">
        <v>499</v>
      </c>
      <c r="N550">
        <v>1</v>
      </c>
      <c r="O550">
        <v>3145</v>
      </c>
      <c r="P550">
        <v>1</v>
      </c>
    </row>
    <row r="551" spans="1:16" x14ac:dyDescent="0.2">
      <c r="A551" s="3" t="s">
        <v>49</v>
      </c>
      <c r="B551" s="3" t="s">
        <v>52</v>
      </c>
      <c r="C551">
        <v>13</v>
      </c>
      <c r="D551">
        <v>15000</v>
      </c>
      <c r="E551">
        <v>499</v>
      </c>
      <c r="F551">
        <v>1</v>
      </c>
      <c r="G551">
        <v>60572.237308582698</v>
      </c>
      <c r="H551">
        <v>9.3707700000000003E-4</v>
      </c>
      <c r="I551">
        <v>11914</v>
      </c>
      <c r="J551">
        <v>2924</v>
      </c>
      <c r="K551">
        <v>8990</v>
      </c>
      <c r="L551">
        <v>500</v>
      </c>
      <c r="M551">
        <v>499</v>
      </c>
      <c r="N551">
        <v>1</v>
      </c>
      <c r="O551">
        <v>12511.4951899917</v>
      </c>
      <c r="P551">
        <v>0</v>
      </c>
    </row>
    <row r="552" spans="1:16" x14ac:dyDescent="0.2">
      <c r="A552" s="3" t="s">
        <v>49</v>
      </c>
      <c r="B552" s="3" t="s">
        <v>52</v>
      </c>
      <c r="C552">
        <v>24</v>
      </c>
      <c r="D552">
        <v>17000</v>
      </c>
      <c r="E552">
        <v>499</v>
      </c>
      <c r="F552">
        <v>1</v>
      </c>
      <c r="G552">
        <v>65872.258119671897</v>
      </c>
      <c r="H552">
        <v>9.3676600000000001E-4</v>
      </c>
      <c r="I552">
        <v>11989</v>
      </c>
      <c r="J552">
        <v>2918</v>
      </c>
      <c r="K552">
        <v>9071</v>
      </c>
      <c r="L552">
        <v>500</v>
      </c>
      <c r="M552">
        <v>499</v>
      </c>
      <c r="N552">
        <v>1</v>
      </c>
      <c r="O552">
        <v>19572.789495857902</v>
      </c>
      <c r="P552">
        <v>0</v>
      </c>
    </row>
    <row r="553" spans="1:16" x14ac:dyDescent="0.2">
      <c r="A553" s="3" t="s">
        <v>49</v>
      </c>
      <c r="B553" s="3" t="s">
        <v>52</v>
      </c>
      <c r="C553">
        <v>33</v>
      </c>
      <c r="D553">
        <v>15000</v>
      </c>
      <c r="E553">
        <v>499</v>
      </c>
      <c r="F553">
        <v>1</v>
      </c>
      <c r="G553">
        <v>60572.237308582698</v>
      </c>
      <c r="H553">
        <v>9.3675699999999998E-4</v>
      </c>
      <c r="I553">
        <v>11851</v>
      </c>
      <c r="J553">
        <v>2856</v>
      </c>
      <c r="K553">
        <v>8995</v>
      </c>
      <c r="L553">
        <v>500</v>
      </c>
      <c r="M553">
        <v>499</v>
      </c>
      <c r="N553">
        <v>1</v>
      </c>
      <c r="O553">
        <v>12751.019232717899</v>
      </c>
      <c r="P553">
        <v>0</v>
      </c>
    </row>
    <row r="554" spans="1:16" x14ac:dyDescent="0.2">
      <c r="A554" s="3" t="s">
        <v>49</v>
      </c>
      <c r="B554" s="3" t="s">
        <v>52</v>
      </c>
      <c r="C554">
        <v>47</v>
      </c>
      <c r="D554">
        <v>13000</v>
      </c>
      <c r="E554">
        <v>499</v>
      </c>
      <c r="F554">
        <v>1</v>
      </c>
      <c r="G554">
        <v>13000</v>
      </c>
      <c r="H554">
        <v>9.3675699999999998E-4</v>
      </c>
      <c r="I554">
        <v>11858</v>
      </c>
      <c r="J554">
        <v>2835</v>
      </c>
      <c r="K554">
        <v>9023</v>
      </c>
      <c r="L554">
        <v>500</v>
      </c>
      <c r="M554">
        <v>499</v>
      </c>
      <c r="N554">
        <v>1</v>
      </c>
      <c r="O554">
        <v>1142</v>
      </c>
      <c r="P554">
        <v>1</v>
      </c>
    </row>
    <row r="555" spans="1:16" x14ac:dyDescent="0.2">
      <c r="A555" s="3" t="s">
        <v>49</v>
      </c>
      <c r="B555" s="3" t="s">
        <v>52</v>
      </c>
      <c r="C555">
        <v>28</v>
      </c>
      <c r="D555">
        <v>17000</v>
      </c>
      <c r="E555">
        <v>499</v>
      </c>
      <c r="F555">
        <v>1</v>
      </c>
      <c r="G555">
        <v>17000</v>
      </c>
      <c r="H555">
        <v>9.3671100000000001E-4</v>
      </c>
      <c r="I555">
        <v>11928</v>
      </c>
      <c r="J555">
        <v>2867</v>
      </c>
      <c r="K555">
        <v>9061</v>
      </c>
      <c r="L555">
        <v>500</v>
      </c>
      <c r="M555">
        <v>499</v>
      </c>
      <c r="N555">
        <v>1</v>
      </c>
      <c r="O555">
        <v>5072</v>
      </c>
      <c r="P555">
        <v>1</v>
      </c>
    </row>
    <row r="556" spans="1:16" x14ac:dyDescent="0.2">
      <c r="A556" s="3" t="s">
        <v>49</v>
      </c>
      <c r="B556" s="3" t="s">
        <v>52</v>
      </c>
      <c r="C556">
        <v>36</v>
      </c>
      <c r="D556">
        <v>12000</v>
      </c>
      <c r="E556">
        <v>499</v>
      </c>
      <c r="F556">
        <v>1</v>
      </c>
      <c r="G556">
        <v>50533.323552418398</v>
      </c>
      <c r="H556">
        <v>9.3663800000000005E-4</v>
      </c>
      <c r="I556">
        <v>11894</v>
      </c>
      <c r="J556">
        <v>2794</v>
      </c>
      <c r="K556">
        <v>9100</v>
      </c>
      <c r="L556">
        <v>500</v>
      </c>
      <c r="M556">
        <v>499</v>
      </c>
      <c r="N556">
        <v>1</v>
      </c>
      <c r="O556">
        <v>482.5556393873</v>
      </c>
      <c r="P556">
        <v>0</v>
      </c>
    </row>
    <row r="557" spans="1:16" x14ac:dyDescent="0.2">
      <c r="A557" s="3" t="s">
        <v>49</v>
      </c>
      <c r="B557" s="3" t="s">
        <v>52</v>
      </c>
      <c r="C557">
        <v>22</v>
      </c>
      <c r="D557">
        <v>16000</v>
      </c>
      <c r="E557">
        <v>499</v>
      </c>
      <c r="F557">
        <v>1</v>
      </c>
      <c r="G557">
        <v>64781.839036288002</v>
      </c>
      <c r="H557">
        <v>9.3660100000000001E-4</v>
      </c>
      <c r="I557">
        <v>12011</v>
      </c>
      <c r="J557">
        <v>2924</v>
      </c>
      <c r="K557">
        <v>9087</v>
      </c>
      <c r="L557">
        <v>500</v>
      </c>
      <c r="M557">
        <v>499</v>
      </c>
      <c r="N557">
        <v>1</v>
      </c>
      <c r="O557">
        <v>16249.5650826041</v>
      </c>
      <c r="P557">
        <v>0</v>
      </c>
    </row>
    <row r="558" spans="1:16" x14ac:dyDescent="0.2">
      <c r="A558" s="3" t="s">
        <v>49</v>
      </c>
      <c r="B558" s="3" t="s">
        <v>52</v>
      </c>
      <c r="C558">
        <v>34</v>
      </c>
      <c r="D558">
        <v>13000</v>
      </c>
      <c r="E558">
        <v>499</v>
      </c>
      <c r="F558">
        <v>1</v>
      </c>
      <c r="G558">
        <v>13000</v>
      </c>
      <c r="H558">
        <v>9.3616100000000002E-4</v>
      </c>
      <c r="I558">
        <v>11840</v>
      </c>
      <c r="J558">
        <v>2796</v>
      </c>
      <c r="K558">
        <v>9044</v>
      </c>
      <c r="L558">
        <v>500</v>
      </c>
      <c r="M558">
        <v>499</v>
      </c>
      <c r="N558">
        <v>1</v>
      </c>
      <c r="O558">
        <v>1160</v>
      </c>
      <c r="P558">
        <v>1</v>
      </c>
    </row>
    <row r="559" spans="1:16" x14ac:dyDescent="0.2">
      <c r="A559" s="3" t="s">
        <v>49</v>
      </c>
      <c r="B559" s="3" t="s">
        <v>52</v>
      </c>
      <c r="C559">
        <v>43</v>
      </c>
      <c r="D559">
        <v>17000</v>
      </c>
      <c r="E559">
        <v>499</v>
      </c>
      <c r="F559">
        <v>1</v>
      </c>
      <c r="G559">
        <v>17000</v>
      </c>
      <c r="H559">
        <v>9.3614299999999996E-4</v>
      </c>
      <c r="I559">
        <v>11962</v>
      </c>
      <c r="J559">
        <v>2965</v>
      </c>
      <c r="K559">
        <v>8997</v>
      </c>
      <c r="L559">
        <v>500</v>
      </c>
      <c r="M559">
        <v>499</v>
      </c>
      <c r="N559">
        <v>1</v>
      </c>
      <c r="O559">
        <v>5038</v>
      </c>
      <c r="P559">
        <v>1</v>
      </c>
    </row>
    <row r="560" spans="1:16" x14ac:dyDescent="0.2">
      <c r="A560" s="3" t="s">
        <v>49</v>
      </c>
      <c r="B560" s="3" t="s">
        <v>52</v>
      </c>
      <c r="C560">
        <v>31</v>
      </c>
      <c r="D560">
        <v>16000</v>
      </c>
      <c r="E560">
        <v>499</v>
      </c>
      <c r="F560">
        <v>1</v>
      </c>
      <c r="G560">
        <v>16000</v>
      </c>
      <c r="H560">
        <v>9.3583100000000003E-4</v>
      </c>
      <c r="I560">
        <v>12001</v>
      </c>
      <c r="J560">
        <v>2909</v>
      </c>
      <c r="K560">
        <v>9092</v>
      </c>
      <c r="L560">
        <v>500</v>
      </c>
      <c r="M560">
        <v>499</v>
      </c>
      <c r="N560">
        <v>1</v>
      </c>
      <c r="O560">
        <v>3999</v>
      </c>
      <c r="P560">
        <v>1</v>
      </c>
    </row>
    <row r="561" spans="1:16" x14ac:dyDescent="0.2">
      <c r="A561" s="3" t="s">
        <v>49</v>
      </c>
      <c r="B561" s="3" t="s">
        <v>52</v>
      </c>
      <c r="C561">
        <v>46</v>
      </c>
      <c r="D561">
        <v>17000</v>
      </c>
      <c r="E561">
        <v>499</v>
      </c>
      <c r="F561">
        <v>1</v>
      </c>
      <c r="G561">
        <v>65872.258119671897</v>
      </c>
      <c r="H561">
        <v>9.3578499999999996E-4</v>
      </c>
      <c r="I561">
        <v>11952</v>
      </c>
      <c r="J561">
        <v>2916</v>
      </c>
      <c r="K561">
        <v>9036</v>
      </c>
      <c r="L561">
        <v>500</v>
      </c>
      <c r="M561">
        <v>499</v>
      </c>
      <c r="N561">
        <v>1</v>
      </c>
      <c r="O561">
        <v>19748.224667455299</v>
      </c>
      <c r="P561">
        <v>0</v>
      </c>
    </row>
    <row r="562" spans="1:16" x14ac:dyDescent="0.2">
      <c r="A562" s="3" t="s">
        <v>49</v>
      </c>
      <c r="B562" s="3" t="s">
        <v>52</v>
      </c>
      <c r="C562">
        <v>23</v>
      </c>
      <c r="D562">
        <v>16000</v>
      </c>
      <c r="E562">
        <v>499</v>
      </c>
      <c r="F562">
        <v>1</v>
      </c>
      <c r="G562">
        <v>16000</v>
      </c>
      <c r="H562">
        <v>9.3568399999999999E-4</v>
      </c>
      <c r="I562">
        <v>12017</v>
      </c>
      <c r="J562">
        <v>2915</v>
      </c>
      <c r="K562">
        <v>9102</v>
      </c>
      <c r="L562">
        <v>500</v>
      </c>
      <c r="M562">
        <v>499</v>
      </c>
      <c r="N562">
        <v>1</v>
      </c>
      <c r="O562">
        <v>3983</v>
      </c>
      <c r="P562">
        <v>1</v>
      </c>
    </row>
    <row r="563" spans="1:16" x14ac:dyDescent="0.2">
      <c r="A563" s="3" t="s">
        <v>49</v>
      </c>
      <c r="B563" s="3" t="s">
        <v>52</v>
      </c>
      <c r="C563">
        <v>32</v>
      </c>
      <c r="D563">
        <v>15000</v>
      </c>
      <c r="E563">
        <v>499</v>
      </c>
      <c r="F563">
        <v>1</v>
      </c>
      <c r="G563">
        <v>15000</v>
      </c>
      <c r="H563">
        <v>9.3548299999999997E-4</v>
      </c>
      <c r="I563">
        <v>11877</v>
      </c>
      <c r="J563">
        <v>2899</v>
      </c>
      <c r="K563">
        <v>8978</v>
      </c>
      <c r="L563">
        <v>500</v>
      </c>
      <c r="M563">
        <v>499</v>
      </c>
      <c r="N563">
        <v>1</v>
      </c>
      <c r="O563">
        <v>3123</v>
      </c>
      <c r="P563">
        <v>1</v>
      </c>
    </row>
    <row r="564" spans="1:16" x14ac:dyDescent="0.2">
      <c r="A564" s="3" t="s">
        <v>49</v>
      </c>
      <c r="B564" s="3" t="s">
        <v>52</v>
      </c>
      <c r="C564">
        <v>49</v>
      </c>
      <c r="D564">
        <v>16000</v>
      </c>
      <c r="E564">
        <v>499</v>
      </c>
      <c r="F564">
        <v>1</v>
      </c>
      <c r="G564">
        <v>64781.839036288002</v>
      </c>
      <c r="H564">
        <v>9.3545499999999997E-4</v>
      </c>
      <c r="I564">
        <v>12019</v>
      </c>
      <c r="J564">
        <v>2903</v>
      </c>
      <c r="K564">
        <v>9116</v>
      </c>
      <c r="L564">
        <v>500</v>
      </c>
      <c r="M564">
        <v>499</v>
      </c>
      <c r="N564">
        <v>1</v>
      </c>
      <c r="O564">
        <v>16219.584476205901</v>
      </c>
      <c r="P564">
        <v>0</v>
      </c>
    </row>
    <row r="565" spans="1:16" x14ac:dyDescent="0.2">
      <c r="A565" s="3" t="s">
        <v>49</v>
      </c>
      <c r="B565" s="3" t="s">
        <v>52</v>
      </c>
      <c r="C565">
        <v>20</v>
      </c>
      <c r="D565">
        <v>18000</v>
      </c>
      <c r="E565">
        <v>499</v>
      </c>
      <c r="F565">
        <v>1</v>
      </c>
      <c r="G565">
        <v>75479.649376234796</v>
      </c>
      <c r="H565">
        <v>9.3526299999999998E-4</v>
      </c>
      <c r="I565">
        <v>11947</v>
      </c>
      <c r="J565">
        <v>2927</v>
      </c>
      <c r="K565">
        <v>9020</v>
      </c>
      <c r="L565">
        <v>500</v>
      </c>
      <c r="M565">
        <v>499</v>
      </c>
      <c r="N565">
        <v>1</v>
      </c>
      <c r="O565">
        <v>25671.313894576</v>
      </c>
      <c r="P565">
        <v>0</v>
      </c>
    </row>
    <row r="566" spans="1:16" x14ac:dyDescent="0.2">
      <c r="A566" s="3" t="s">
        <v>49</v>
      </c>
      <c r="B566" s="3" t="s">
        <v>52</v>
      </c>
      <c r="C566">
        <v>39</v>
      </c>
      <c r="D566">
        <v>16000</v>
      </c>
      <c r="E566">
        <v>499</v>
      </c>
      <c r="F566">
        <v>1</v>
      </c>
      <c r="G566">
        <v>64781.839036288002</v>
      </c>
      <c r="H566">
        <v>9.3509799999999998E-4</v>
      </c>
      <c r="I566">
        <v>11990</v>
      </c>
      <c r="J566">
        <v>2918</v>
      </c>
      <c r="K566">
        <v>9072</v>
      </c>
      <c r="L566">
        <v>500</v>
      </c>
      <c r="M566">
        <v>499</v>
      </c>
      <c r="N566">
        <v>1</v>
      </c>
      <c r="O566">
        <v>16314.0277776365</v>
      </c>
      <c r="P566">
        <v>0</v>
      </c>
    </row>
    <row r="567" spans="1:16" x14ac:dyDescent="0.2">
      <c r="A567" s="3" t="s">
        <v>49</v>
      </c>
      <c r="B567" s="3" t="s">
        <v>52</v>
      </c>
      <c r="C567">
        <v>24</v>
      </c>
      <c r="D567">
        <v>17000</v>
      </c>
      <c r="E567">
        <v>499</v>
      </c>
      <c r="F567">
        <v>1</v>
      </c>
      <c r="G567">
        <v>17000</v>
      </c>
      <c r="H567">
        <v>9.3497000000000003E-4</v>
      </c>
      <c r="I567">
        <v>11962</v>
      </c>
      <c r="J567">
        <v>2891</v>
      </c>
      <c r="K567">
        <v>9071</v>
      </c>
      <c r="L567">
        <v>500</v>
      </c>
      <c r="M567">
        <v>499</v>
      </c>
      <c r="N567">
        <v>1</v>
      </c>
      <c r="O567">
        <v>5038</v>
      </c>
      <c r="P567">
        <v>1</v>
      </c>
    </row>
    <row r="568" spans="1:16" x14ac:dyDescent="0.2">
      <c r="A568" s="3" t="s">
        <v>49</v>
      </c>
      <c r="B568" s="3" t="s">
        <v>52</v>
      </c>
      <c r="C568">
        <v>44</v>
      </c>
      <c r="D568">
        <v>14000</v>
      </c>
      <c r="E568">
        <v>499</v>
      </c>
      <c r="F568">
        <v>1</v>
      </c>
      <c r="G568">
        <v>58565.0323707059</v>
      </c>
      <c r="H568">
        <v>9.3494200000000002E-4</v>
      </c>
      <c r="I568">
        <v>11899</v>
      </c>
      <c r="J568">
        <v>2827</v>
      </c>
      <c r="K568">
        <v>9072</v>
      </c>
      <c r="L568">
        <v>500</v>
      </c>
      <c r="M568">
        <v>499</v>
      </c>
      <c r="N568">
        <v>1</v>
      </c>
      <c r="O568">
        <v>8831.3585850581003</v>
      </c>
      <c r="P568">
        <v>0</v>
      </c>
    </row>
    <row r="569" spans="1:16" x14ac:dyDescent="0.2">
      <c r="A569" s="3" t="s">
        <v>49</v>
      </c>
      <c r="B569" s="3" t="s">
        <v>52</v>
      </c>
      <c r="C569">
        <v>26</v>
      </c>
      <c r="D569">
        <v>16000</v>
      </c>
      <c r="E569">
        <v>499</v>
      </c>
      <c r="F569">
        <v>1</v>
      </c>
      <c r="G569">
        <v>16000</v>
      </c>
      <c r="H569">
        <v>9.3484999999999998E-4</v>
      </c>
      <c r="I569">
        <v>11997</v>
      </c>
      <c r="J569">
        <v>2909</v>
      </c>
      <c r="K569">
        <v>9088</v>
      </c>
      <c r="L569">
        <v>500</v>
      </c>
      <c r="M569">
        <v>499</v>
      </c>
      <c r="N569">
        <v>1</v>
      </c>
      <c r="O569">
        <v>4003</v>
      </c>
      <c r="P569">
        <v>1</v>
      </c>
    </row>
    <row r="570" spans="1:16" x14ac:dyDescent="0.2">
      <c r="A570" s="3" t="s">
        <v>49</v>
      </c>
      <c r="B570" s="3" t="s">
        <v>52</v>
      </c>
      <c r="C570">
        <v>39</v>
      </c>
      <c r="D570">
        <v>17000</v>
      </c>
      <c r="E570">
        <v>499</v>
      </c>
      <c r="F570">
        <v>1</v>
      </c>
      <c r="G570">
        <v>65872.258119671897</v>
      </c>
      <c r="H570">
        <v>9.3482199999999998E-4</v>
      </c>
      <c r="I570">
        <v>11988</v>
      </c>
      <c r="J570">
        <v>2930</v>
      </c>
      <c r="K570">
        <v>9058</v>
      </c>
      <c r="L570">
        <v>500</v>
      </c>
      <c r="M570">
        <v>499</v>
      </c>
      <c r="N570">
        <v>1</v>
      </c>
      <c r="O570">
        <v>19574.256660519</v>
      </c>
      <c r="P570">
        <v>0</v>
      </c>
    </row>
    <row r="571" spans="1:16" x14ac:dyDescent="0.2">
      <c r="A571" s="3" t="s">
        <v>49</v>
      </c>
      <c r="B571" s="3" t="s">
        <v>52</v>
      </c>
      <c r="C571">
        <v>30</v>
      </c>
      <c r="D571">
        <v>15000</v>
      </c>
      <c r="E571">
        <v>499</v>
      </c>
      <c r="F571">
        <v>1</v>
      </c>
      <c r="G571">
        <v>15000</v>
      </c>
      <c r="H571">
        <v>9.3470399999999996E-4</v>
      </c>
      <c r="I571">
        <v>11882</v>
      </c>
      <c r="J571">
        <v>2902</v>
      </c>
      <c r="K571">
        <v>8980</v>
      </c>
      <c r="L571">
        <v>500</v>
      </c>
      <c r="M571">
        <v>499</v>
      </c>
      <c r="N571">
        <v>1</v>
      </c>
      <c r="O571">
        <v>3118</v>
      </c>
      <c r="P571">
        <v>1</v>
      </c>
    </row>
    <row r="572" spans="1:16" x14ac:dyDescent="0.2">
      <c r="A572" s="3" t="s">
        <v>49</v>
      </c>
      <c r="B572" s="3" t="s">
        <v>52</v>
      </c>
      <c r="C572">
        <v>25</v>
      </c>
      <c r="D572">
        <v>11000</v>
      </c>
      <c r="E572">
        <v>499</v>
      </c>
      <c r="F572">
        <v>1</v>
      </c>
      <c r="G572">
        <v>11000</v>
      </c>
      <c r="H572">
        <v>9.34686E-4</v>
      </c>
      <c r="I572">
        <v>11000</v>
      </c>
      <c r="J572">
        <v>2781</v>
      </c>
      <c r="K572">
        <v>8219</v>
      </c>
      <c r="L572">
        <v>500</v>
      </c>
      <c r="M572">
        <v>499</v>
      </c>
      <c r="N572">
        <v>1</v>
      </c>
      <c r="O572">
        <v>0</v>
      </c>
      <c r="P572">
        <v>1</v>
      </c>
    </row>
    <row r="573" spans="1:16" x14ac:dyDescent="0.2">
      <c r="A573" s="3" t="s">
        <v>49</v>
      </c>
      <c r="B573" s="3" t="s">
        <v>52</v>
      </c>
      <c r="C573">
        <v>24</v>
      </c>
      <c r="D573">
        <v>16000</v>
      </c>
      <c r="E573">
        <v>499</v>
      </c>
      <c r="F573">
        <v>1</v>
      </c>
      <c r="G573">
        <v>16000</v>
      </c>
      <c r="H573">
        <v>9.3455700000000003E-4</v>
      </c>
      <c r="I573">
        <v>12016</v>
      </c>
      <c r="J573">
        <v>2951</v>
      </c>
      <c r="K573">
        <v>9065</v>
      </c>
      <c r="L573">
        <v>500</v>
      </c>
      <c r="M573">
        <v>499</v>
      </c>
      <c r="N573">
        <v>1</v>
      </c>
      <c r="O573">
        <v>3984</v>
      </c>
      <c r="P573">
        <v>1</v>
      </c>
    </row>
    <row r="574" spans="1:16" x14ac:dyDescent="0.2">
      <c r="A574" s="3" t="s">
        <v>49</v>
      </c>
      <c r="B574" s="3" t="s">
        <v>52</v>
      </c>
      <c r="C574">
        <v>21</v>
      </c>
      <c r="D574">
        <v>14000</v>
      </c>
      <c r="E574">
        <v>499</v>
      </c>
      <c r="F574">
        <v>1</v>
      </c>
      <c r="G574">
        <v>58565.0323707059</v>
      </c>
      <c r="H574">
        <v>9.3446600000000001E-4</v>
      </c>
      <c r="I574">
        <v>11857</v>
      </c>
      <c r="J574">
        <v>2814</v>
      </c>
      <c r="K574">
        <v>9043</v>
      </c>
      <c r="L574">
        <v>500</v>
      </c>
      <c r="M574">
        <v>499</v>
      </c>
      <c r="N574">
        <v>1</v>
      </c>
      <c r="O574">
        <v>9004.2968582411995</v>
      </c>
      <c r="P574">
        <v>0</v>
      </c>
    </row>
    <row r="575" spans="1:16" x14ac:dyDescent="0.2">
      <c r="A575" s="3" t="s">
        <v>49</v>
      </c>
      <c r="B575" s="3" t="s">
        <v>52</v>
      </c>
      <c r="C575">
        <v>45</v>
      </c>
      <c r="D575">
        <v>15000</v>
      </c>
      <c r="E575">
        <v>499</v>
      </c>
      <c r="F575">
        <v>1</v>
      </c>
      <c r="G575">
        <v>15000</v>
      </c>
      <c r="H575">
        <v>9.3442799999999995E-4</v>
      </c>
      <c r="I575">
        <v>11864</v>
      </c>
      <c r="J575">
        <v>2897</v>
      </c>
      <c r="K575">
        <v>8967</v>
      </c>
      <c r="L575">
        <v>500</v>
      </c>
      <c r="M575">
        <v>499</v>
      </c>
      <c r="N575">
        <v>1</v>
      </c>
      <c r="O575">
        <v>3136</v>
      </c>
      <c r="P575">
        <v>1</v>
      </c>
    </row>
    <row r="576" spans="1:16" x14ac:dyDescent="0.2">
      <c r="A576" s="3" t="s">
        <v>49</v>
      </c>
      <c r="B576" s="3" t="s">
        <v>52</v>
      </c>
      <c r="C576">
        <v>45</v>
      </c>
      <c r="D576">
        <v>16000</v>
      </c>
      <c r="E576">
        <v>499</v>
      </c>
      <c r="F576">
        <v>1</v>
      </c>
      <c r="G576">
        <v>64781.839036288002</v>
      </c>
      <c r="H576">
        <v>9.3429099999999996E-4</v>
      </c>
      <c r="I576">
        <v>12014</v>
      </c>
      <c r="J576">
        <v>2917</v>
      </c>
      <c r="K576">
        <v>9097</v>
      </c>
      <c r="L576">
        <v>500</v>
      </c>
      <c r="M576">
        <v>499</v>
      </c>
      <c r="N576">
        <v>1</v>
      </c>
      <c r="O576">
        <v>16231.4097100404</v>
      </c>
      <c r="P576">
        <v>0</v>
      </c>
    </row>
    <row r="577" spans="1:16" x14ac:dyDescent="0.2">
      <c r="A577" s="3" t="s">
        <v>49</v>
      </c>
      <c r="B577" s="3" t="s">
        <v>52</v>
      </c>
      <c r="C577">
        <v>27</v>
      </c>
      <c r="D577">
        <v>16000</v>
      </c>
      <c r="E577">
        <v>499</v>
      </c>
      <c r="F577">
        <v>1</v>
      </c>
      <c r="G577">
        <v>64781.839036288002</v>
      </c>
      <c r="H577">
        <v>9.3428200000000004E-4</v>
      </c>
      <c r="I577">
        <v>11972</v>
      </c>
      <c r="J577">
        <v>2900</v>
      </c>
      <c r="K577">
        <v>9072</v>
      </c>
      <c r="L577">
        <v>500</v>
      </c>
      <c r="M577">
        <v>499</v>
      </c>
      <c r="N577">
        <v>1</v>
      </c>
      <c r="O577">
        <v>16385.163888074701</v>
      </c>
      <c r="P577">
        <v>0</v>
      </c>
    </row>
    <row r="578" spans="1:16" x14ac:dyDescent="0.2">
      <c r="A578" s="3" t="s">
        <v>49</v>
      </c>
      <c r="B578" s="3" t="s">
        <v>52</v>
      </c>
      <c r="C578">
        <v>23</v>
      </c>
      <c r="D578">
        <v>17000</v>
      </c>
      <c r="E578">
        <v>499</v>
      </c>
      <c r="F578">
        <v>1</v>
      </c>
      <c r="G578">
        <v>17000</v>
      </c>
      <c r="H578">
        <v>9.34245E-4</v>
      </c>
      <c r="I578">
        <v>11981</v>
      </c>
      <c r="J578">
        <v>2948</v>
      </c>
      <c r="K578">
        <v>9033</v>
      </c>
      <c r="L578">
        <v>500</v>
      </c>
      <c r="M578">
        <v>499</v>
      </c>
      <c r="N578">
        <v>1</v>
      </c>
      <c r="O578">
        <v>5019</v>
      </c>
      <c r="P578">
        <v>1</v>
      </c>
    </row>
    <row r="579" spans="1:16" x14ac:dyDescent="0.2">
      <c r="A579" s="3" t="s">
        <v>49</v>
      </c>
      <c r="B579" s="3" t="s">
        <v>52</v>
      </c>
      <c r="C579">
        <v>49</v>
      </c>
      <c r="D579">
        <v>13000</v>
      </c>
      <c r="E579">
        <v>499</v>
      </c>
      <c r="F579">
        <v>1</v>
      </c>
      <c r="G579">
        <v>13000</v>
      </c>
      <c r="H579">
        <v>9.3381400000000004E-4</v>
      </c>
      <c r="I579">
        <v>11828</v>
      </c>
      <c r="J579">
        <v>2806</v>
      </c>
      <c r="K579">
        <v>9022</v>
      </c>
      <c r="L579">
        <v>500</v>
      </c>
      <c r="M579">
        <v>499</v>
      </c>
      <c r="N579">
        <v>1</v>
      </c>
      <c r="O579">
        <v>1172</v>
      </c>
      <c r="P579">
        <v>1</v>
      </c>
    </row>
    <row r="580" spans="1:16" x14ac:dyDescent="0.2">
      <c r="A580" s="3" t="s">
        <v>49</v>
      </c>
      <c r="B580" s="3" t="s">
        <v>52</v>
      </c>
      <c r="C580">
        <v>11</v>
      </c>
      <c r="D580">
        <v>12000</v>
      </c>
      <c r="E580">
        <v>499</v>
      </c>
      <c r="F580">
        <v>1</v>
      </c>
      <c r="G580">
        <v>50533.323552418398</v>
      </c>
      <c r="H580">
        <v>9.3380600000000002E-4</v>
      </c>
      <c r="I580">
        <v>11906</v>
      </c>
      <c r="J580">
        <v>2811</v>
      </c>
      <c r="K580">
        <v>9095</v>
      </c>
      <c r="L580">
        <v>500</v>
      </c>
      <c r="M580">
        <v>499</v>
      </c>
      <c r="N580">
        <v>1</v>
      </c>
      <c r="O580">
        <v>423.46026911500002</v>
      </c>
      <c r="P580">
        <v>0</v>
      </c>
    </row>
    <row r="581" spans="1:16" x14ac:dyDescent="0.2">
      <c r="A581" s="3" t="s">
        <v>49</v>
      </c>
      <c r="B581" s="3" t="s">
        <v>52</v>
      </c>
      <c r="C581">
        <v>43</v>
      </c>
      <c r="D581">
        <v>18000</v>
      </c>
      <c r="E581">
        <v>499</v>
      </c>
      <c r="F581">
        <v>1</v>
      </c>
      <c r="G581">
        <v>75479.649376234796</v>
      </c>
      <c r="H581">
        <v>9.3377800000000002E-4</v>
      </c>
      <c r="I581">
        <v>11990</v>
      </c>
      <c r="J581">
        <v>2927</v>
      </c>
      <c r="K581">
        <v>9063</v>
      </c>
      <c r="L581">
        <v>500</v>
      </c>
      <c r="M581">
        <v>499</v>
      </c>
      <c r="N581">
        <v>1</v>
      </c>
      <c r="O581">
        <v>25535.0120783602</v>
      </c>
      <c r="P581">
        <v>0</v>
      </c>
    </row>
    <row r="582" spans="1:16" x14ac:dyDescent="0.2">
      <c r="A582" s="3" t="s">
        <v>49</v>
      </c>
      <c r="B582" s="3" t="s">
        <v>52</v>
      </c>
      <c r="C582">
        <v>25</v>
      </c>
      <c r="D582">
        <v>15000</v>
      </c>
      <c r="E582">
        <v>499</v>
      </c>
      <c r="F582">
        <v>1</v>
      </c>
      <c r="G582">
        <v>60572.237308582698</v>
      </c>
      <c r="H582">
        <v>9.3324599999999999E-4</v>
      </c>
      <c r="I582">
        <v>11848</v>
      </c>
      <c r="J582">
        <v>2851</v>
      </c>
      <c r="K582">
        <v>8997</v>
      </c>
      <c r="L582">
        <v>500</v>
      </c>
      <c r="M582">
        <v>499</v>
      </c>
      <c r="N582">
        <v>1</v>
      </c>
      <c r="O582">
        <v>12756.431219185501</v>
      </c>
      <c r="P582">
        <v>0</v>
      </c>
    </row>
    <row r="583" spans="1:16" x14ac:dyDescent="0.2">
      <c r="A583" s="3" t="s">
        <v>49</v>
      </c>
      <c r="B583" s="3" t="s">
        <v>52</v>
      </c>
      <c r="C583">
        <v>42</v>
      </c>
      <c r="D583">
        <v>16000</v>
      </c>
      <c r="E583">
        <v>499</v>
      </c>
      <c r="F583">
        <v>1</v>
      </c>
      <c r="G583">
        <v>16000</v>
      </c>
      <c r="H583">
        <v>9.3299799999999999E-4</v>
      </c>
      <c r="I583">
        <v>12024</v>
      </c>
      <c r="J583">
        <v>2935</v>
      </c>
      <c r="K583">
        <v>9089</v>
      </c>
      <c r="L583">
        <v>500</v>
      </c>
      <c r="M583">
        <v>499</v>
      </c>
      <c r="N583">
        <v>1</v>
      </c>
      <c r="O583">
        <v>3976</v>
      </c>
      <c r="P583">
        <v>1</v>
      </c>
    </row>
    <row r="584" spans="1:16" x14ac:dyDescent="0.2">
      <c r="A584" s="3" t="s">
        <v>49</v>
      </c>
      <c r="B584" s="3" t="s">
        <v>52</v>
      </c>
      <c r="C584">
        <v>37</v>
      </c>
      <c r="D584">
        <v>17000</v>
      </c>
      <c r="E584">
        <v>499</v>
      </c>
      <c r="F584">
        <v>1</v>
      </c>
      <c r="G584">
        <v>65872.258119671897</v>
      </c>
      <c r="H584">
        <v>9.32944E-4</v>
      </c>
      <c r="I584">
        <v>11955</v>
      </c>
      <c r="J584">
        <v>2861</v>
      </c>
      <c r="K584">
        <v>9094</v>
      </c>
      <c r="L584">
        <v>500</v>
      </c>
      <c r="M584">
        <v>499</v>
      </c>
      <c r="N584">
        <v>1</v>
      </c>
      <c r="O584">
        <v>19679.6606079267</v>
      </c>
      <c r="P584">
        <v>0</v>
      </c>
    </row>
    <row r="585" spans="1:16" x14ac:dyDescent="0.2">
      <c r="A585" s="3" t="s">
        <v>49</v>
      </c>
      <c r="B585" s="3" t="s">
        <v>52</v>
      </c>
      <c r="C585">
        <v>2</v>
      </c>
      <c r="D585">
        <v>13000</v>
      </c>
      <c r="E585">
        <v>499</v>
      </c>
      <c r="F585">
        <v>1</v>
      </c>
      <c r="G585">
        <v>13000</v>
      </c>
      <c r="H585">
        <v>9.3288900000000001E-4</v>
      </c>
      <c r="I585">
        <v>11823</v>
      </c>
      <c r="J585">
        <v>2808</v>
      </c>
      <c r="K585">
        <v>9015</v>
      </c>
      <c r="L585">
        <v>500</v>
      </c>
      <c r="M585">
        <v>499</v>
      </c>
      <c r="N585">
        <v>1</v>
      </c>
      <c r="O585">
        <v>1177</v>
      </c>
      <c r="P585">
        <v>1</v>
      </c>
    </row>
    <row r="586" spans="1:16" x14ac:dyDescent="0.2">
      <c r="A586" s="3" t="s">
        <v>49</v>
      </c>
      <c r="B586" s="3" t="s">
        <v>52</v>
      </c>
      <c r="C586">
        <v>9</v>
      </c>
      <c r="D586">
        <v>13000</v>
      </c>
      <c r="E586">
        <v>499</v>
      </c>
      <c r="F586">
        <v>1</v>
      </c>
      <c r="G586">
        <v>13000</v>
      </c>
      <c r="H586">
        <v>9.3240200000000004E-4</v>
      </c>
      <c r="I586">
        <v>11815</v>
      </c>
      <c r="J586">
        <v>2769</v>
      </c>
      <c r="K586">
        <v>9046</v>
      </c>
      <c r="L586">
        <v>500</v>
      </c>
      <c r="M586">
        <v>499</v>
      </c>
      <c r="N586">
        <v>1</v>
      </c>
      <c r="O586">
        <v>1185</v>
      </c>
      <c r="P586">
        <v>1</v>
      </c>
    </row>
    <row r="587" spans="1:16" x14ac:dyDescent="0.2">
      <c r="A587" s="3" t="s">
        <v>49</v>
      </c>
      <c r="B587" s="3" t="s">
        <v>52</v>
      </c>
      <c r="C587">
        <v>19</v>
      </c>
      <c r="D587">
        <v>15000</v>
      </c>
      <c r="E587">
        <v>499</v>
      </c>
      <c r="F587">
        <v>1</v>
      </c>
      <c r="G587">
        <v>15000</v>
      </c>
      <c r="H587">
        <v>9.3232899999999997E-4</v>
      </c>
      <c r="I587">
        <v>11833</v>
      </c>
      <c r="J587">
        <v>2894</v>
      </c>
      <c r="K587">
        <v>8939</v>
      </c>
      <c r="L587">
        <v>500</v>
      </c>
      <c r="M587">
        <v>499</v>
      </c>
      <c r="N587">
        <v>1</v>
      </c>
      <c r="O587">
        <v>3167</v>
      </c>
      <c r="P587">
        <v>1</v>
      </c>
    </row>
    <row r="588" spans="1:16" x14ac:dyDescent="0.2">
      <c r="A588" s="3" t="s">
        <v>49</v>
      </c>
      <c r="B588" s="3" t="s">
        <v>52</v>
      </c>
      <c r="C588">
        <v>6</v>
      </c>
      <c r="D588">
        <v>16000</v>
      </c>
      <c r="E588">
        <v>499</v>
      </c>
      <c r="F588">
        <v>1</v>
      </c>
      <c r="G588">
        <v>16000</v>
      </c>
      <c r="H588">
        <v>9.3226599999999995E-4</v>
      </c>
      <c r="I588">
        <v>11968</v>
      </c>
      <c r="J588">
        <v>2904</v>
      </c>
      <c r="K588">
        <v>9064</v>
      </c>
      <c r="L588">
        <v>500</v>
      </c>
      <c r="M588">
        <v>499</v>
      </c>
      <c r="N588">
        <v>1</v>
      </c>
      <c r="O588">
        <v>4032</v>
      </c>
      <c r="P588">
        <v>1</v>
      </c>
    </row>
    <row r="589" spans="1:16" x14ac:dyDescent="0.2">
      <c r="A589" s="3" t="s">
        <v>49</v>
      </c>
      <c r="B589" s="3" t="s">
        <v>52</v>
      </c>
      <c r="C589">
        <v>36</v>
      </c>
      <c r="D589">
        <v>16000</v>
      </c>
      <c r="E589">
        <v>499</v>
      </c>
      <c r="F589">
        <v>1</v>
      </c>
      <c r="G589">
        <v>64781.839036288002</v>
      </c>
      <c r="H589">
        <v>9.3221899999999997E-4</v>
      </c>
      <c r="I589">
        <v>12006</v>
      </c>
      <c r="J589">
        <v>2911</v>
      </c>
      <c r="K589">
        <v>9095</v>
      </c>
      <c r="L589">
        <v>500</v>
      </c>
      <c r="M589">
        <v>499</v>
      </c>
      <c r="N589">
        <v>1</v>
      </c>
      <c r="O589">
        <v>16244.2696981357</v>
      </c>
      <c r="P589">
        <v>0</v>
      </c>
    </row>
    <row r="590" spans="1:16" x14ac:dyDescent="0.2">
      <c r="A590" s="3" t="s">
        <v>49</v>
      </c>
      <c r="B590" s="3" t="s">
        <v>52</v>
      </c>
      <c r="C590">
        <v>6</v>
      </c>
      <c r="D590">
        <v>17000</v>
      </c>
      <c r="E590">
        <v>499</v>
      </c>
      <c r="F590">
        <v>1</v>
      </c>
      <c r="G590">
        <v>65872.258119671897</v>
      </c>
      <c r="H590">
        <v>9.3220100000000001E-4</v>
      </c>
      <c r="I590">
        <v>11951</v>
      </c>
      <c r="J590">
        <v>2913</v>
      </c>
      <c r="K590">
        <v>9038</v>
      </c>
      <c r="L590">
        <v>500</v>
      </c>
      <c r="M590">
        <v>499</v>
      </c>
      <c r="N590">
        <v>1</v>
      </c>
      <c r="O590">
        <v>19729.3759096379</v>
      </c>
      <c r="P590">
        <v>0</v>
      </c>
    </row>
    <row r="591" spans="1:16" x14ac:dyDescent="0.2">
      <c r="A591" s="3" t="s">
        <v>49</v>
      </c>
      <c r="B591" s="3" t="s">
        <v>52</v>
      </c>
      <c r="C591">
        <v>50</v>
      </c>
      <c r="D591">
        <v>14000</v>
      </c>
      <c r="E591">
        <v>499</v>
      </c>
      <c r="F591">
        <v>1</v>
      </c>
      <c r="G591">
        <v>58565.0323707059</v>
      </c>
      <c r="H591">
        <v>9.3219199999999998E-4</v>
      </c>
      <c r="I591">
        <v>11916</v>
      </c>
      <c r="J591">
        <v>2794</v>
      </c>
      <c r="K591">
        <v>9122</v>
      </c>
      <c r="L591">
        <v>500</v>
      </c>
      <c r="M591">
        <v>499</v>
      </c>
      <c r="N591">
        <v>1</v>
      </c>
      <c r="O591">
        <v>8777.0744708518996</v>
      </c>
      <c r="P591">
        <v>0</v>
      </c>
    </row>
    <row r="592" spans="1:16" x14ac:dyDescent="0.2">
      <c r="A592" s="3" t="s">
        <v>49</v>
      </c>
      <c r="B592" s="3" t="s">
        <v>52</v>
      </c>
      <c r="C592">
        <v>1</v>
      </c>
      <c r="D592">
        <v>14000</v>
      </c>
      <c r="E592">
        <v>499</v>
      </c>
      <c r="F592">
        <v>1</v>
      </c>
      <c r="G592">
        <v>14000</v>
      </c>
      <c r="H592">
        <v>9.3213699999999998E-4</v>
      </c>
      <c r="I592">
        <v>11863</v>
      </c>
      <c r="J592">
        <v>2795</v>
      </c>
      <c r="K592">
        <v>9068</v>
      </c>
      <c r="L592">
        <v>500</v>
      </c>
      <c r="M592">
        <v>499</v>
      </c>
      <c r="N592">
        <v>1</v>
      </c>
      <c r="O592">
        <v>2137</v>
      </c>
      <c r="P592">
        <v>1</v>
      </c>
    </row>
    <row r="593" spans="1:16" x14ac:dyDescent="0.2">
      <c r="A593" s="3" t="s">
        <v>49</v>
      </c>
      <c r="B593" s="3" t="s">
        <v>52</v>
      </c>
      <c r="C593">
        <v>40</v>
      </c>
      <c r="D593">
        <v>14000</v>
      </c>
      <c r="E593">
        <v>499</v>
      </c>
      <c r="F593">
        <v>1</v>
      </c>
      <c r="G593">
        <v>14000</v>
      </c>
      <c r="H593">
        <v>9.3181600000000002E-4</v>
      </c>
      <c r="I593">
        <v>11840</v>
      </c>
      <c r="J593">
        <v>2761</v>
      </c>
      <c r="K593">
        <v>9079</v>
      </c>
      <c r="L593">
        <v>500</v>
      </c>
      <c r="M593">
        <v>499</v>
      </c>
      <c r="N593">
        <v>1</v>
      </c>
      <c r="O593">
        <v>2160</v>
      </c>
      <c r="P593">
        <v>1</v>
      </c>
    </row>
    <row r="594" spans="1:16" x14ac:dyDescent="0.2">
      <c r="A594" s="3" t="s">
        <v>49</v>
      </c>
      <c r="B594" s="3" t="s">
        <v>52</v>
      </c>
      <c r="C594">
        <v>33</v>
      </c>
      <c r="D594">
        <v>18000</v>
      </c>
      <c r="E594">
        <v>499</v>
      </c>
      <c r="F594">
        <v>1</v>
      </c>
      <c r="G594">
        <v>75479.649376234796</v>
      </c>
      <c r="H594">
        <v>9.31615E-4</v>
      </c>
      <c r="I594">
        <v>11929</v>
      </c>
      <c r="J594">
        <v>2923</v>
      </c>
      <c r="K594">
        <v>9006</v>
      </c>
      <c r="L594">
        <v>500</v>
      </c>
      <c r="M594">
        <v>499</v>
      </c>
      <c r="N594">
        <v>1</v>
      </c>
      <c r="O594">
        <v>25738.6028525035</v>
      </c>
      <c r="P594">
        <v>0</v>
      </c>
    </row>
    <row r="595" spans="1:16" x14ac:dyDescent="0.2">
      <c r="A595" s="3" t="s">
        <v>49</v>
      </c>
      <c r="B595" s="3" t="s">
        <v>52</v>
      </c>
      <c r="C595">
        <v>23</v>
      </c>
      <c r="D595">
        <v>15000</v>
      </c>
      <c r="E595">
        <v>499</v>
      </c>
      <c r="F595">
        <v>1</v>
      </c>
      <c r="G595">
        <v>60572.237308582698</v>
      </c>
      <c r="H595">
        <v>9.3120200000000001E-4</v>
      </c>
      <c r="I595">
        <v>11856</v>
      </c>
      <c r="J595">
        <v>2865</v>
      </c>
      <c r="K595">
        <v>8991</v>
      </c>
      <c r="L595">
        <v>500</v>
      </c>
      <c r="M595">
        <v>499</v>
      </c>
      <c r="N595">
        <v>1</v>
      </c>
      <c r="O595">
        <v>12734.485080672401</v>
      </c>
      <c r="P595">
        <v>0</v>
      </c>
    </row>
    <row r="596" spans="1:16" x14ac:dyDescent="0.2">
      <c r="A596" s="3" t="s">
        <v>49</v>
      </c>
      <c r="B596" s="3" t="s">
        <v>52</v>
      </c>
      <c r="C596">
        <v>35</v>
      </c>
      <c r="D596">
        <v>18000</v>
      </c>
      <c r="E596">
        <v>499</v>
      </c>
      <c r="F596">
        <v>1</v>
      </c>
      <c r="G596">
        <v>75479.649376234796</v>
      </c>
      <c r="H596">
        <v>9.3093600000000005E-4</v>
      </c>
      <c r="I596">
        <v>11926</v>
      </c>
      <c r="J596">
        <v>2896</v>
      </c>
      <c r="K596">
        <v>9030</v>
      </c>
      <c r="L596">
        <v>500</v>
      </c>
      <c r="M596">
        <v>499</v>
      </c>
      <c r="N596">
        <v>1</v>
      </c>
      <c r="O596">
        <v>25809.119672088302</v>
      </c>
      <c r="P596">
        <v>0</v>
      </c>
    </row>
    <row r="597" spans="1:16" x14ac:dyDescent="0.2">
      <c r="A597" s="3" t="s">
        <v>49</v>
      </c>
      <c r="B597" s="3" t="s">
        <v>52</v>
      </c>
      <c r="C597">
        <v>31</v>
      </c>
      <c r="D597">
        <v>13000</v>
      </c>
      <c r="E597">
        <v>499</v>
      </c>
      <c r="F597">
        <v>1</v>
      </c>
      <c r="G597">
        <v>53044.701099550097</v>
      </c>
      <c r="H597">
        <v>9.3028499999999999E-4</v>
      </c>
      <c r="I597">
        <v>11827</v>
      </c>
      <c r="J597">
        <v>2820</v>
      </c>
      <c r="K597">
        <v>9007</v>
      </c>
      <c r="L597">
        <v>500</v>
      </c>
      <c r="M597">
        <v>499</v>
      </c>
      <c r="N597">
        <v>1</v>
      </c>
      <c r="O597">
        <v>4772.7406792712</v>
      </c>
      <c r="P597">
        <v>0</v>
      </c>
    </row>
    <row r="598" spans="1:16" x14ac:dyDescent="0.2">
      <c r="A598" s="3" t="s">
        <v>49</v>
      </c>
      <c r="B598" s="3" t="s">
        <v>52</v>
      </c>
      <c r="C598">
        <v>8</v>
      </c>
      <c r="D598">
        <v>17000</v>
      </c>
      <c r="E598">
        <v>499</v>
      </c>
      <c r="F598">
        <v>1</v>
      </c>
      <c r="G598">
        <v>65872.258119671897</v>
      </c>
      <c r="H598">
        <v>9.3011099999999996E-4</v>
      </c>
      <c r="I598">
        <v>11951</v>
      </c>
      <c r="J598">
        <v>2917</v>
      </c>
      <c r="K598">
        <v>9034</v>
      </c>
      <c r="L598">
        <v>500</v>
      </c>
      <c r="M598">
        <v>499</v>
      </c>
      <c r="N598">
        <v>1</v>
      </c>
      <c r="O598">
        <v>19740.562076095601</v>
      </c>
      <c r="P598">
        <v>0</v>
      </c>
    </row>
    <row r="599" spans="1:16" x14ac:dyDescent="0.2">
      <c r="A599" s="3" t="s">
        <v>49</v>
      </c>
      <c r="B599" s="3" t="s">
        <v>52</v>
      </c>
      <c r="C599">
        <v>2</v>
      </c>
      <c r="D599">
        <v>14000</v>
      </c>
      <c r="E599">
        <v>499</v>
      </c>
      <c r="F599">
        <v>1</v>
      </c>
      <c r="G599">
        <v>14000</v>
      </c>
      <c r="H599">
        <v>9.2991899999999997E-4</v>
      </c>
      <c r="I599">
        <v>11898</v>
      </c>
      <c r="J599">
        <v>2806</v>
      </c>
      <c r="K599">
        <v>9092</v>
      </c>
      <c r="L599">
        <v>500</v>
      </c>
      <c r="M599">
        <v>499</v>
      </c>
      <c r="N599">
        <v>1</v>
      </c>
      <c r="O599">
        <v>2102</v>
      </c>
      <c r="P599">
        <v>1</v>
      </c>
    </row>
    <row r="600" spans="1:16" x14ac:dyDescent="0.2">
      <c r="A600" s="3" t="s">
        <v>49</v>
      </c>
      <c r="B600" s="3" t="s">
        <v>52</v>
      </c>
      <c r="C600">
        <v>41</v>
      </c>
      <c r="D600">
        <v>13000</v>
      </c>
      <c r="E600">
        <v>499</v>
      </c>
      <c r="F600">
        <v>1</v>
      </c>
      <c r="G600">
        <v>13000</v>
      </c>
      <c r="H600">
        <v>9.29845E-4</v>
      </c>
      <c r="I600">
        <v>11839</v>
      </c>
      <c r="J600">
        <v>2795</v>
      </c>
      <c r="K600">
        <v>9044</v>
      </c>
      <c r="L600">
        <v>500</v>
      </c>
      <c r="M600">
        <v>499</v>
      </c>
      <c r="N600">
        <v>1</v>
      </c>
      <c r="O600">
        <v>1161</v>
      </c>
      <c r="P600">
        <v>1</v>
      </c>
    </row>
    <row r="601" spans="1:16" x14ac:dyDescent="0.2">
      <c r="A601" s="3" t="s">
        <v>49</v>
      </c>
      <c r="B601" s="3" t="s">
        <v>52</v>
      </c>
      <c r="C601">
        <v>32</v>
      </c>
      <c r="D601">
        <v>17000</v>
      </c>
      <c r="E601">
        <v>499</v>
      </c>
      <c r="F601">
        <v>1</v>
      </c>
      <c r="G601">
        <v>65872.258119671897</v>
      </c>
      <c r="H601">
        <v>9.2969799999999996E-4</v>
      </c>
      <c r="I601">
        <v>11980</v>
      </c>
      <c r="J601">
        <v>2951</v>
      </c>
      <c r="K601">
        <v>9029</v>
      </c>
      <c r="L601">
        <v>500</v>
      </c>
      <c r="M601">
        <v>499</v>
      </c>
      <c r="N601">
        <v>1</v>
      </c>
      <c r="O601">
        <v>19590.582536562899</v>
      </c>
      <c r="P601">
        <v>0</v>
      </c>
    </row>
    <row r="602" spans="1:16" x14ac:dyDescent="0.2">
      <c r="A602" s="3" t="s">
        <v>49</v>
      </c>
      <c r="B602" s="3" t="s">
        <v>52</v>
      </c>
      <c r="C602">
        <v>50</v>
      </c>
      <c r="D602">
        <v>13000</v>
      </c>
      <c r="E602">
        <v>499</v>
      </c>
      <c r="F602">
        <v>1</v>
      </c>
      <c r="G602">
        <v>13000</v>
      </c>
      <c r="H602">
        <v>9.2968E-4</v>
      </c>
      <c r="I602">
        <v>11820</v>
      </c>
      <c r="J602">
        <v>2739</v>
      </c>
      <c r="K602">
        <v>9081</v>
      </c>
      <c r="L602">
        <v>500</v>
      </c>
      <c r="M602">
        <v>499</v>
      </c>
      <c r="N602">
        <v>1</v>
      </c>
      <c r="O602">
        <v>1180</v>
      </c>
      <c r="P602">
        <v>1</v>
      </c>
    </row>
    <row r="603" spans="1:16" x14ac:dyDescent="0.2">
      <c r="A603" s="3" t="s">
        <v>49</v>
      </c>
      <c r="B603" s="3" t="s">
        <v>52</v>
      </c>
      <c r="C603">
        <v>6</v>
      </c>
      <c r="D603">
        <v>13000</v>
      </c>
      <c r="E603">
        <v>499</v>
      </c>
      <c r="F603">
        <v>1</v>
      </c>
      <c r="G603">
        <v>13000</v>
      </c>
      <c r="H603">
        <v>9.2967099999999997E-4</v>
      </c>
      <c r="I603">
        <v>11818</v>
      </c>
      <c r="J603">
        <v>2803</v>
      </c>
      <c r="K603">
        <v>9015</v>
      </c>
      <c r="L603">
        <v>500</v>
      </c>
      <c r="M603">
        <v>499</v>
      </c>
      <c r="N603">
        <v>1</v>
      </c>
      <c r="O603">
        <v>1182</v>
      </c>
      <c r="P603">
        <v>1</v>
      </c>
    </row>
    <row r="604" spans="1:16" x14ac:dyDescent="0.2">
      <c r="A604" s="3" t="s">
        <v>49</v>
      </c>
      <c r="B604" s="3" t="s">
        <v>52</v>
      </c>
      <c r="C604">
        <v>33</v>
      </c>
      <c r="D604">
        <v>13000</v>
      </c>
      <c r="E604">
        <v>499</v>
      </c>
      <c r="F604">
        <v>1</v>
      </c>
      <c r="G604">
        <v>13000</v>
      </c>
      <c r="H604">
        <v>9.2941499999999995E-4</v>
      </c>
      <c r="I604">
        <v>11842</v>
      </c>
      <c r="J604">
        <v>2834</v>
      </c>
      <c r="K604">
        <v>9008</v>
      </c>
      <c r="L604">
        <v>500</v>
      </c>
      <c r="M604">
        <v>499</v>
      </c>
      <c r="N604">
        <v>1</v>
      </c>
      <c r="O604">
        <v>1158</v>
      </c>
      <c r="P604">
        <v>1</v>
      </c>
    </row>
    <row r="605" spans="1:16" x14ac:dyDescent="0.2">
      <c r="A605" s="3" t="s">
        <v>49</v>
      </c>
      <c r="B605" s="3" t="s">
        <v>52</v>
      </c>
      <c r="C605">
        <v>46</v>
      </c>
      <c r="D605">
        <v>18000</v>
      </c>
      <c r="E605">
        <v>499</v>
      </c>
      <c r="F605">
        <v>1</v>
      </c>
      <c r="G605">
        <v>75479.649376234796</v>
      </c>
      <c r="H605">
        <v>9.2919400000000005E-4</v>
      </c>
      <c r="I605">
        <v>11975</v>
      </c>
      <c r="J605">
        <v>2951</v>
      </c>
      <c r="K605">
        <v>9024</v>
      </c>
      <c r="L605">
        <v>500</v>
      </c>
      <c r="M605">
        <v>499</v>
      </c>
      <c r="N605">
        <v>1</v>
      </c>
      <c r="O605">
        <v>25581.032151220701</v>
      </c>
      <c r="P605">
        <v>0</v>
      </c>
    </row>
    <row r="606" spans="1:16" x14ac:dyDescent="0.2">
      <c r="A606" s="3" t="s">
        <v>49</v>
      </c>
      <c r="B606" s="3" t="s">
        <v>52</v>
      </c>
      <c r="C606">
        <v>28</v>
      </c>
      <c r="D606">
        <v>17000</v>
      </c>
      <c r="E606">
        <v>499</v>
      </c>
      <c r="F606">
        <v>1</v>
      </c>
      <c r="G606">
        <v>65872.258119671897</v>
      </c>
      <c r="H606">
        <v>9.2916699999999995E-4</v>
      </c>
      <c r="I606">
        <v>11936</v>
      </c>
      <c r="J606">
        <v>2904</v>
      </c>
      <c r="K606">
        <v>9032</v>
      </c>
      <c r="L606">
        <v>500</v>
      </c>
      <c r="M606">
        <v>499</v>
      </c>
      <c r="N606">
        <v>1</v>
      </c>
      <c r="O606">
        <v>19800.181046572801</v>
      </c>
      <c r="P606">
        <v>0</v>
      </c>
    </row>
    <row r="607" spans="1:16" x14ac:dyDescent="0.2">
      <c r="A607" s="3" t="s">
        <v>49</v>
      </c>
      <c r="B607" s="3" t="s">
        <v>52</v>
      </c>
      <c r="C607">
        <v>14</v>
      </c>
      <c r="D607">
        <v>15000</v>
      </c>
      <c r="E607">
        <v>499</v>
      </c>
      <c r="F607">
        <v>1</v>
      </c>
      <c r="G607">
        <v>15000</v>
      </c>
      <c r="H607">
        <v>9.2913999999999996E-4</v>
      </c>
      <c r="I607">
        <v>11831</v>
      </c>
      <c r="J607">
        <v>2885</v>
      </c>
      <c r="K607">
        <v>8946</v>
      </c>
      <c r="L607">
        <v>500</v>
      </c>
      <c r="M607">
        <v>499</v>
      </c>
      <c r="N607">
        <v>1</v>
      </c>
      <c r="O607">
        <v>3169</v>
      </c>
      <c r="P607">
        <v>1</v>
      </c>
    </row>
    <row r="608" spans="1:16" x14ac:dyDescent="0.2">
      <c r="A608" s="3" t="s">
        <v>49</v>
      </c>
      <c r="B608" s="3" t="s">
        <v>52</v>
      </c>
      <c r="C608">
        <v>8</v>
      </c>
      <c r="D608">
        <v>13000</v>
      </c>
      <c r="E608">
        <v>499</v>
      </c>
      <c r="F608">
        <v>1</v>
      </c>
      <c r="G608">
        <v>13000</v>
      </c>
      <c r="H608">
        <v>9.2902000000000002E-4</v>
      </c>
      <c r="I608">
        <v>11847</v>
      </c>
      <c r="J608">
        <v>2832</v>
      </c>
      <c r="K608">
        <v>9015</v>
      </c>
      <c r="L608">
        <v>500</v>
      </c>
      <c r="M608">
        <v>499</v>
      </c>
      <c r="N608">
        <v>1</v>
      </c>
      <c r="O608">
        <v>1153</v>
      </c>
      <c r="P608">
        <v>1</v>
      </c>
    </row>
    <row r="609" spans="1:16" x14ac:dyDescent="0.2">
      <c r="A609" s="3" t="s">
        <v>49</v>
      </c>
      <c r="B609" s="3" t="s">
        <v>52</v>
      </c>
      <c r="C609">
        <v>1</v>
      </c>
      <c r="D609">
        <v>13000</v>
      </c>
      <c r="E609">
        <v>499</v>
      </c>
      <c r="F609">
        <v>1</v>
      </c>
      <c r="G609">
        <v>13000</v>
      </c>
      <c r="H609">
        <v>9.2863500000000003E-4</v>
      </c>
      <c r="I609">
        <v>11806</v>
      </c>
      <c r="J609">
        <v>2744</v>
      </c>
      <c r="K609">
        <v>9062</v>
      </c>
      <c r="L609">
        <v>500</v>
      </c>
      <c r="M609">
        <v>499</v>
      </c>
      <c r="N609">
        <v>1</v>
      </c>
      <c r="O609">
        <v>1194</v>
      </c>
      <c r="P609">
        <v>1</v>
      </c>
    </row>
    <row r="610" spans="1:16" x14ac:dyDescent="0.2">
      <c r="A610" s="3" t="s">
        <v>49</v>
      </c>
      <c r="B610" s="3" t="s">
        <v>52</v>
      </c>
      <c r="C610">
        <v>16</v>
      </c>
      <c r="D610">
        <v>17000</v>
      </c>
      <c r="E610">
        <v>499</v>
      </c>
      <c r="F610">
        <v>1</v>
      </c>
      <c r="G610">
        <v>65872.258119671897</v>
      </c>
      <c r="H610">
        <v>9.2860800000000004E-4</v>
      </c>
      <c r="I610">
        <v>11985</v>
      </c>
      <c r="J610">
        <v>2918</v>
      </c>
      <c r="K610">
        <v>9067</v>
      </c>
      <c r="L610">
        <v>500</v>
      </c>
      <c r="M610">
        <v>499</v>
      </c>
      <c r="N610">
        <v>1</v>
      </c>
      <c r="O610">
        <v>19576.836245713799</v>
      </c>
      <c r="P610">
        <v>0</v>
      </c>
    </row>
    <row r="611" spans="1:16" x14ac:dyDescent="0.2">
      <c r="A611" s="3" t="s">
        <v>49</v>
      </c>
      <c r="B611" s="3" t="s">
        <v>52</v>
      </c>
      <c r="C611">
        <v>41</v>
      </c>
      <c r="D611">
        <v>12000</v>
      </c>
      <c r="E611">
        <v>499</v>
      </c>
      <c r="F611">
        <v>1</v>
      </c>
      <c r="G611">
        <v>12000</v>
      </c>
      <c r="H611">
        <v>9.2816800000000005E-4</v>
      </c>
      <c r="I611">
        <v>11857</v>
      </c>
      <c r="J611">
        <v>2724</v>
      </c>
      <c r="K611">
        <v>9133</v>
      </c>
      <c r="L611">
        <v>500</v>
      </c>
      <c r="M611">
        <v>499</v>
      </c>
      <c r="N611">
        <v>1</v>
      </c>
      <c r="O611">
        <v>143</v>
      </c>
      <c r="P611">
        <v>1</v>
      </c>
    </row>
    <row r="612" spans="1:16" x14ac:dyDescent="0.2">
      <c r="A612" s="3" t="s">
        <v>49</v>
      </c>
      <c r="B612" s="3" t="s">
        <v>52</v>
      </c>
      <c r="C612">
        <v>12</v>
      </c>
      <c r="D612">
        <v>16000</v>
      </c>
      <c r="E612">
        <v>499</v>
      </c>
      <c r="F612">
        <v>1</v>
      </c>
      <c r="G612">
        <v>16000</v>
      </c>
      <c r="H612">
        <v>9.2816800000000005E-4</v>
      </c>
      <c r="I612">
        <v>11972</v>
      </c>
      <c r="J612">
        <v>2875</v>
      </c>
      <c r="K612">
        <v>9097</v>
      </c>
      <c r="L612">
        <v>500</v>
      </c>
      <c r="M612">
        <v>499</v>
      </c>
      <c r="N612">
        <v>1</v>
      </c>
      <c r="O612">
        <v>4028</v>
      </c>
      <c r="P612">
        <v>1</v>
      </c>
    </row>
    <row r="613" spans="1:16" x14ac:dyDescent="0.2">
      <c r="A613" s="3" t="s">
        <v>49</v>
      </c>
      <c r="B613" s="3" t="s">
        <v>52</v>
      </c>
      <c r="C613">
        <v>12</v>
      </c>
      <c r="D613">
        <v>15000</v>
      </c>
      <c r="E613">
        <v>499</v>
      </c>
      <c r="F613">
        <v>1</v>
      </c>
      <c r="G613">
        <v>15000</v>
      </c>
      <c r="H613">
        <v>9.2812199999999997E-4</v>
      </c>
      <c r="I613">
        <v>11823</v>
      </c>
      <c r="J613">
        <v>2843</v>
      </c>
      <c r="K613">
        <v>8980</v>
      </c>
      <c r="L613">
        <v>500</v>
      </c>
      <c r="M613">
        <v>499</v>
      </c>
      <c r="N613">
        <v>1</v>
      </c>
      <c r="O613">
        <v>3177</v>
      </c>
      <c r="P613">
        <v>1</v>
      </c>
    </row>
    <row r="614" spans="1:16" x14ac:dyDescent="0.2">
      <c r="A614" s="3" t="s">
        <v>49</v>
      </c>
      <c r="B614" s="3" t="s">
        <v>52</v>
      </c>
      <c r="C614">
        <v>38</v>
      </c>
      <c r="D614">
        <v>17000</v>
      </c>
      <c r="E614">
        <v>499</v>
      </c>
      <c r="F614">
        <v>1</v>
      </c>
      <c r="G614">
        <v>65872.258119671897</v>
      </c>
      <c r="H614">
        <v>9.2804900000000002E-4</v>
      </c>
      <c r="I614">
        <v>11960</v>
      </c>
      <c r="J614">
        <v>2910</v>
      </c>
      <c r="K614">
        <v>9050</v>
      </c>
      <c r="L614">
        <v>500</v>
      </c>
      <c r="M614">
        <v>499</v>
      </c>
      <c r="N614">
        <v>1</v>
      </c>
      <c r="O614">
        <v>19723.4218711463</v>
      </c>
      <c r="P614">
        <v>0</v>
      </c>
    </row>
    <row r="615" spans="1:16" x14ac:dyDescent="0.2">
      <c r="A615" s="3" t="s">
        <v>49</v>
      </c>
      <c r="B615" s="3" t="s">
        <v>52</v>
      </c>
      <c r="C615">
        <v>44</v>
      </c>
      <c r="D615">
        <v>16000</v>
      </c>
      <c r="E615">
        <v>499</v>
      </c>
      <c r="F615">
        <v>1</v>
      </c>
      <c r="G615">
        <v>16000</v>
      </c>
      <c r="H615">
        <v>9.2777300000000001E-4</v>
      </c>
      <c r="I615">
        <v>11993</v>
      </c>
      <c r="J615">
        <v>2966</v>
      </c>
      <c r="K615">
        <v>9027</v>
      </c>
      <c r="L615">
        <v>500</v>
      </c>
      <c r="M615">
        <v>499</v>
      </c>
      <c r="N615">
        <v>1</v>
      </c>
      <c r="O615">
        <v>4007</v>
      </c>
      <c r="P615">
        <v>1</v>
      </c>
    </row>
    <row r="616" spans="1:16" x14ac:dyDescent="0.2">
      <c r="A616" s="3" t="s">
        <v>49</v>
      </c>
      <c r="B616" s="3" t="s">
        <v>52</v>
      </c>
      <c r="C616">
        <v>31</v>
      </c>
      <c r="D616">
        <v>16000</v>
      </c>
      <c r="E616">
        <v>499</v>
      </c>
      <c r="F616">
        <v>1</v>
      </c>
      <c r="G616">
        <v>64781.839036288002</v>
      </c>
      <c r="H616">
        <v>9.2755300000000001E-4</v>
      </c>
      <c r="I616">
        <v>12001</v>
      </c>
      <c r="J616">
        <v>2896</v>
      </c>
      <c r="K616">
        <v>9105</v>
      </c>
      <c r="L616">
        <v>500</v>
      </c>
      <c r="M616">
        <v>499</v>
      </c>
      <c r="N616">
        <v>1</v>
      </c>
      <c r="O616">
        <v>16285.6581285926</v>
      </c>
      <c r="P616">
        <v>0</v>
      </c>
    </row>
    <row r="617" spans="1:16" x14ac:dyDescent="0.2">
      <c r="A617" s="3" t="s">
        <v>49</v>
      </c>
      <c r="B617" s="3" t="s">
        <v>52</v>
      </c>
      <c r="C617">
        <v>5</v>
      </c>
      <c r="D617">
        <v>15000</v>
      </c>
      <c r="E617">
        <v>499</v>
      </c>
      <c r="F617">
        <v>1</v>
      </c>
      <c r="G617">
        <v>15000</v>
      </c>
      <c r="H617">
        <v>9.2729599999999998E-4</v>
      </c>
      <c r="I617">
        <v>11882</v>
      </c>
      <c r="J617">
        <v>2899</v>
      </c>
      <c r="K617">
        <v>8983</v>
      </c>
      <c r="L617">
        <v>500</v>
      </c>
      <c r="M617">
        <v>499</v>
      </c>
      <c r="N617">
        <v>1</v>
      </c>
      <c r="O617">
        <v>3118</v>
      </c>
      <c r="P617">
        <v>1</v>
      </c>
    </row>
    <row r="618" spans="1:16" x14ac:dyDescent="0.2">
      <c r="A618" s="3" t="s">
        <v>49</v>
      </c>
      <c r="B618" s="3" t="s">
        <v>52</v>
      </c>
      <c r="C618">
        <v>46</v>
      </c>
      <c r="D618">
        <v>16000</v>
      </c>
      <c r="E618">
        <v>499</v>
      </c>
      <c r="F618">
        <v>1</v>
      </c>
      <c r="G618">
        <v>64781.839036288002</v>
      </c>
      <c r="H618">
        <v>9.26609E-4</v>
      </c>
      <c r="I618">
        <v>11963</v>
      </c>
      <c r="J618">
        <v>2879</v>
      </c>
      <c r="K618">
        <v>9084</v>
      </c>
      <c r="L618">
        <v>500</v>
      </c>
      <c r="M618">
        <v>499</v>
      </c>
      <c r="N618">
        <v>1</v>
      </c>
      <c r="O618">
        <v>16428.598188952899</v>
      </c>
      <c r="P618">
        <v>0</v>
      </c>
    </row>
    <row r="619" spans="1:16" x14ac:dyDescent="0.2">
      <c r="A619" s="3" t="s">
        <v>49</v>
      </c>
      <c r="B619" s="3" t="s">
        <v>52</v>
      </c>
      <c r="C619">
        <v>33</v>
      </c>
      <c r="D619">
        <v>12000</v>
      </c>
      <c r="E619">
        <v>499</v>
      </c>
      <c r="F619">
        <v>1</v>
      </c>
      <c r="G619">
        <v>12000</v>
      </c>
      <c r="H619">
        <v>9.26609E-4</v>
      </c>
      <c r="I619">
        <v>11907</v>
      </c>
      <c r="J619">
        <v>2758</v>
      </c>
      <c r="K619">
        <v>9149</v>
      </c>
      <c r="L619">
        <v>500</v>
      </c>
      <c r="M619">
        <v>499</v>
      </c>
      <c r="N619">
        <v>1</v>
      </c>
      <c r="O619">
        <v>93</v>
      </c>
      <c r="P619">
        <v>1</v>
      </c>
    </row>
    <row r="620" spans="1:16" x14ac:dyDescent="0.2">
      <c r="A620" s="3" t="s">
        <v>49</v>
      </c>
      <c r="B620" s="3" t="s">
        <v>52</v>
      </c>
      <c r="C620">
        <v>36</v>
      </c>
      <c r="D620">
        <v>16000</v>
      </c>
      <c r="E620">
        <v>499</v>
      </c>
      <c r="F620">
        <v>1</v>
      </c>
      <c r="G620">
        <v>16000</v>
      </c>
      <c r="H620">
        <v>9.2657299999999998E-4</v>
      </c>
      <c r="I620">
        <v>12020</v>
      </c>
      <c r="J620">
        <v>2911</v>
      </c>
      <c r="K620">
        <v>9109</v>
      </c>
      <c r="L620">
        <v>500</v>
      </c>
      <c r="M620">
        <v>499</v>
      </c>
      <c r="N620">
        <v>1</v>
      </c>
      <c r="O620">
        <v>3980</v>
      </c>
      <c r="P620">
        <v>1</v>
      </c>
    </row>
    <row r="621" spans="1:16" x14ac:dyDescent="0.2">
      <c r="A621" s="3" t="s">
        <v>49</v>
      </c>
      <c r="B621" s="3" t="s">
        <v>52</v>
      </c>
      <c r="C621">
        <v>9</v>
      </c>
      <c r="D621">
        <v>17000</v>
      </c>
      <c r="E621">
        <v>499</v>
      </c>
      <c r="F621">
        <v>1</v>
      </c>
      <c r="G621">
        <v>65872.258119671897</v>
      </c>
      <c r="H621">
        <v>9.2599499999999999E-4</v>
      </c>
      <c r="I621">
        <v>11961</v>
      </c>
      <c r="J621">
        <v>2890</v>
      </c>
      <c r="K621">
        <v>9071</v>
      </c>
      <c r="L621">
        <v>500</v>
      </c>
      <c r="M621">
        <v>499</v>
      </c>
      <c r="N621">
        <v>1</v>
      </c>
      <c r="O621">
        <v>19677.965133153499</v>
      </c>
      <c r="P621">
        <v>0</v>
      </c>
    </row>
    <row r="622" spans="1:16" x14ac:dyDescent="0.2">
      <c r="A622" s="3" t="s">
        <v>49</v>
      </c>
      <c r="B622" s="3" t="s">
        <v>52</v>
      </c>
      <c r="C622">
        <v>33</v>
      </c>
      <c r="D622">
        <v>13000</v>
      </c>
      <c r="E622">
        <v>499</v>
      </c>
      <c r="F622">
        <v>1</v>
      </c>
      <c r="G622">
        <v>53044.701099550097</v>
      </c>
      <c r="H622">
        <v>9.2584799999999995E-4</v>
      </c>
      <c r="I622">
        <v>11842</v>
      </c>
      <c r="J622">
        <v>2793</v>
      </c>
      <c r="K622">
        <v>9049</v>
      </c>
      <c r="L622">
        <v>500</v>
      </c>
      <c r="M622">
        <v>499</v>
      </c>
      <c r="N622">
        <v>1</v>
      </c>
      <c r="O622">
        <v>4717.6810660537003</v>
      </c>
      <c r="P622">
        <v>0</v>
      </c>
    </row>
    <row r="623" spans="1:16" x14ac:dyDescent="0.2">
      <c r="A623" s="3" t="s">
        <v>49</v>
      </c>
      <c r="B623" s="3" t="s">
        <v>52</v>
      </c>
      <c r="C623">
        <v>17</v>
      </c>
      <c r="D623">
        <v>13000</v>
      </c>
      <c r="E623">
        <v>499</v>
      </c>
      <c r="F623">
        <v>1</v>
      </c>
      <c r="G623">
        <v>13000</v>
      </c>
      <c r="H623">
        <v>9.2584000000000004E-4</v>
      </c>
      <c r="I623">
        <v>11860</v>
      </c>
      <c r="J623">
        <v>2833</v>
      </c>
      <c r="K623">
        <v>9027</v>
      </c>
      <c r="L623">
        <v>500</v>
      </c>
      <c r="M623">
        <v>499</v>
      </c>
      <c r="N623">
        <v>1</v>
      </c>
      <c r="O623">
        <v>1140</v>
      </c>
      <c r="P623">
        <v>1</v>
      </c>
    </row>
    <row r="624" spans="1:16" x14ac:dyDescent="0.2">
      <c r="A624" s="3" t="s">
        <v>49</v>
      </c>
      <c r="B624" s="3" t="s">
        <v>52</v>
      </c>
      <c r="C624">
        <v>33</v>
      </c>
      <c r="D624">
        <v>15000</v>
      </c>
      <c r="E624">
        <v>499</v>
      </c>
      <c r="F624">
        <v>1</v>
      </c>
      <c r="G624">
        <v>15000</v>
      </c>
      <c r="H624">
        <v>9.25693E-4</v>
      </c>
      <c r="I624">
        <v>11831</v>
      </c>
      <c r="J624">
        <v>2883</v>
      </c>
      <c r="K624">
        <v>8948</v>
      </c>
      <c r="L624">
        <v>500</v>
      </c>
      <c r="M624">
        <v>499</v>
      </c>
      <c r="N624">
        <v>1</v>
      </c>
      <c r="O624">
        <v>3169</v>
      </c>
      <c r="P624">
        <v>1</v>
      </c>
    </row>
    <row r="625" spans="1:16" x14ac:dyDescent="0.2">
      <c r="A625" s="3" t="s">
        <v>49</v>
      </c>
      <c r="B625" s="3" t="s">
        <v>52</v>
      </c>
      <c r="C625">
        <v>47</v>
      </c>
      <c r="D625">
        <v>15000</v>
      </c>
      <c r="E625">
        <v>499</v>
      </c>
      <c r="F625">
        <v>1</v>
      </c>
      <c r="G625">
        <v>15000</v>
      </c>
      <c r="H625">
        <v>9.2498600000000004E-4</v>
      </c>
      <c r="I625">
        <v>11850</v>
      </c>
      <c r="J625">
        <v>2872</v>
      </c>
      <c r="K625">
        <v>8978</v>
      </c>
      <c r="L625">
        <v>500</v>
      </c>
      <c r="M625">
        <v>499</v>
      </c>
      <c r="N625">
        <v>1</v>
      </c>
      <c r="O625">
        <v>3150</v>
      </c>
      <c r="P625">
        <v>1</v>
      </c>
    </row>
    <row r="626" spans="1:16" x14ac:dyDescent="0.2">
      <c r="A626" s="3" t="s">
        <v>49</v>
      </c>
      <c r="B626" s="3" t="s">
        <v>52</v>
      </c>
      <c r="C626">
        <v>2</v>
      </c>
      <c r="D626">
        <v>17000</v>
      </c>
      <c r="E626">
        <v>499</v>
      </c>
      <c r="F626">
        <v>1</v>
      </c>
      <c r="G626">
        <v>65872.258119671897</v>
      </c>
      <c r="H626">
        <v>9.2490400000000005E-4</v>
      </c>
      <c r="I626">
        <v>11942</v>
      </c>
      <c r="J626">
        <v>2889</v>
      </c>
      <c r="K626">
        <v>9053</v>
      </c>
      <c r="L626">
        <v>500</v>
      </c>
      <c r="M626">
        <v>499</v>
      </c>
      <c r="N626">
        <v>1</v>
      </c>
      <c r="O626">
        <v>19723.529759885001</v>
      </c>
      <c r="P626">
        <v>0</v>
      </c>
    </row>
    <row r="627" spans="1:16" x14ac:dyDescent="0.2">
      <c r="A627" s="3" t="s">
        <v>49</v>
      </c>
      <c r="B627" s="3" t="s">
        <v>52</v>
      </c>
      <c r="C627">
        <v>47</v>
      </c>
      <c r="D627">
        <v>16000</v>
      </c>
      <c r="E627">
        <v>499</v>
      </c>
      <c r="F627">
        <v>1</v>
      </c>
      <c r="G627">
        <v>64781.839036288002</v>
      </c>
      <c r="H627">
        <v>9.2483099999999998E-4</v>
      </c>
      <c r="I627">
        <v>12026</v>
      </c>
      <c r="J627">
        <v>2952</v>
      </c>
      <c r="K627">
        <v>9074</v>
      </c>
      <c r="L627">
        <v>500</v>
      </c>
      <c r="M627">
        <v>499</v>
      </c>
      <c r="N627">
        <v>1</v>
      </c>
      <c r="O627">
        <v>16212.476365069</v>
      </c>
      <c r="P627">
        <v>0</v>
      </c>
    </row>
    <row r="628" spans="1:16" x14ac:dyDescent="0.2">
      <c r="A628" s="3" t="s">
        <v>49</v>
      </c>
      <c r="B628" s="3" t="s">
        <v>52</v>
      </c>
      <c r="C628">
        <v>17</v>
      </c>
      <c r="D628">
        <v>16000</v>
      </c>
      <c r="E628">
        <v>499</v>
      </c>
      <c r="F628">
        <v>1</v>
      </c>
      <c r="G628">
        <v>64781.839036288002</v>
      </c>
      <c r="H628">
        <v>9.2476699999999995E-4</v>
      </c>
      <c r="I628">
        <v>12056</v>
      </c>
      <c r="J628">
        <v>2944</v>
      </c>
      <c r="K628">
        <v>9112</v>
      </c>
      <c r="L628">
        <v>500</v>
      </c>
      <c r="M628">
        <v>499</v>
      </c>
      <c r="N628">
        <v>1</v>
      </c>
      <c r="O628">
        <v>16056.3976089854</v>
      </c>
      <c r="P628">
        <v>0</v>
      </c>
    </row>
    <row r="629" spans="1:16" x14ac:dyDescent="0.2">
      <c r="A629" s="3" t="s">
        <v>49</v>
      </c>
      <c r="B629" s="3" t="s">
        <v>52</v>
      </c>
      <c r="C629">
        <v>12</v>
      </c>
      <c r="D629">
        <v>13000</v>
      </c>
      <c r="E629">
        <v>499</v>
      </c>
      <c r="F629">
        <v>1</v>
      </c>
      <c r="G629">
        <v>53044.701099550097</v>
      </c>
      <c r="H629">
        <v>9.2448200000000002E-4</v>
      </c>
      <c r="I629">
        <v>11818</v>
      </c>
      <c r="J629">
        <v>2806</v>
      </c>
      <c r="K629">
        <v>9012</v>
      </c>
      <c r="L629">
        <v>500</v>
      </c>
      <c r="M629">
        <v>499</v>
      </c>
      <c r="N629">
        <v>1</v>
      </c>
      <c r="O629">
        <v>4807.8956286097</v>
      </c>
      <c r="P629">
        <v>0</v>
      </c>
    </row>
    <row r="630" spans="1:16" x14ac:dyDescent="0.2">
      <c r="A630" s="3" t="s">
        <v>49</v>
      </c>
      <c r="B630" s="3" t="s">
        <v>52</v>
      </c>
      <c r="C630">
        <v>26</v>
      </c>
      <c r="D630">
        <v>15000</v>
      </c>
      <c r="E630">
        <v>499</v>
      </c>
      <c r="F630">
        <v>1</v>
      </c>
      <c r="G630">
        <v>15000</v>
      </c>
      <c r="H630">
        <v>9.2444599999999999E-4</v>
      </c>
      <c r="I630">
        <v>11876</v>
      </c>
      <c r="J630">
        <v>2895</v>
      </c>
      <c r="K630">
        <v>8981</v>
      </c>
      <c r="L630">
        <v>500</v>
      </c>
      <c r="M630">
        <v>499</v>
      </c>
      <c r="N630">
        <v>1</v>
      </c>
      <c r="O630">
        <v>3124</v>
      </c>
      <c r="P630">
        <v>1</v>
      </c>
    </row>
    <row r="631" spans="1:16" x14ac:dyDescent="0.2">
      <c r="A631" s="3" t="s">
        <v>49</v>
      </c>
      <c r="B631" s="3" t="s">
        <v>52</v>
      </c>
      <c r="C631">
        <v>7</v>
      </c>
      <c r="D631">
        <v>15000</v>
      </c>
      <c r="E631">
        <v>499</v>
      </c>
      <c r="F631">
        <v>1</v>
      </c>
      <c r="G631">
        <v>15000</v>
      </c>
      <c r="H631">
        <v>9.2403400000000001E-4</v>
      </c>
      <c r="I631">
        <v>11849</v>
      </c>
      <c r="J631">
        <v>2846</v>
      </c>
      <c r="K631">
        <v>9003</v>
      </c>
      <c r="L631">
        <v>500</v>
      </c>
      <c r="M631">
        <v>499</v>
      </c>
      <c r="N631">
        <v>1</v>
      </c>
      <c r="O631">
        <v>3151</v>
      </c>
      <c r="P631">
        <v>1</v>
      </c>
    </row>
    <row r="632" spans="1:16" x14ac:dyDescent="0.2">
      <c r="A632" s="3" t="s">
        <v>49</v>
      </c>
      <c r="B632" s="3" t="s">
        <v>52</v>
      </c>
      <c r="C632">
        <v>30</v>
      </c>
      <c r="D632">
        <v>17000</v>
      </c>
      <c r="E632">
        <v>499</v>
      </c>
      <c r="F632">
        <v>1</v>
      </c>
      <c r="G632">
        <v>65872.258119671897</v>
      </c>
      <c r="H632">
        <v>9.2384100000000001E-4</v>
      </c>
      <c r="I632">
        <v>12013</v>
      </c>
      <c r="J632">
        <v>2943</v>
      </c>
      <c r="K632">
        <v>9070</v>
      </c>
      <c r="L632">
        <v>500</v>
      </c>
      <c r="M632">
        <v>499</v>
      </c>
      <c r="N632">
        <v>1</v>
      </c>
      <c r="O632">
        <v>19476.830110770701</v>
      </c>
      <c r="P632">
        <v>0</v>
      </c>
    </row>
    <row r="633" spans="1:16" x14ac:dyDescent="0.2">
      <c r="A633" s="3" t="s">
        <v>49</v>
      </c>
      <c r="B633" s="3" t="s">
        <v>52</v>
      </c>
      <c r="C633">
        <v>49</v>
      </c>
      <c r="D633">
        <v>16000</v>
      </c>
      <c r="E633">
        <v>499</v>
      </c>
      <c r="F633">
        <v>1</v>
      </c>
      <c r="G633">
        <v>16000</v>
      </c>
      <c r="H633">
        <v>9.2377699999999997E-4</v>
      </c>
      <c r="I633">
        <v>12022</v>
      </c>
      <c r="J633">
        <v>2986</v>
      </c>
      <c r="K633">
        <v>9036</v>
      </c>
      <c r="L633">
        <v>500</v>
      </c>
      <c r="M633">
        <v>499</v>
      </c>
      <c r="N633">
        <v>1</v>
      </c>
      <c r="O633">
        <v>3978</v>
      </c>
      <c r="P633">
        <v>1</v>
      </c>
    </row>
    <row r="634" spans="1:16" x14ac:dyDescent="0.2">
      <c r="A634" s="3" t="s">
        <v>49</v>
      </c>
      <c r="B634" s="3" t="s">
        <v>52</v>
      </c>
      <c r="C634">
        <v>7</v>
      </c>
      <c r="D634">
        <v>14000</v>
      </c>
      <c r="E634">
        <v>499</v>
      </c>
      <c r="F634">
        <v>1</v>
      </c>
      <c r="G634">
        <v>58565.0323707059</v>
      </c>
      <c r="H634">
        <v>9.2374000000000004E-4</v>
      </c>
      <c r="I634">
        <v>11887</v>
      </c>
      <c r="J634">
        <v>2796</v>
      </c>
      <c r="K634">
        <v>9091</v>
      </c>
      <c r="L634">
        <v>500</v>
      </c>
      <c r="M634">
        <v>499</v>
      </c>
      <c r="N634">
        <v>1</v>
      </c>
      <c r="O634">
        <v>8912.4186179237004</v>
      </c>
      <c r="P634">
        <v>0</v>
      </c>
    </row>
    <row r="635" spans="1:16" x14ac:dyDescent="0.2">
      <c r="A635" s="3" t="s">
        <v>49</v>
      </c>
      <c r="B635" s="3" t="s">
        <v>52</v>
      </c>
      <c r="C635">
        <v>27</v>
      </c>
      <c r="D635">
        <v>12000</v>
      </c>
      <c r="E635">
        <v>499</v>
      </c>
      <c r="F635">
        <v>1</v>
      </c>
      <c r="G635">
        <v>12000</v>
      </c>
      <c r="H635">
        <v>9.2346599999999996E-4</v>
      </c>
      <c r="I635">
        <v>11908</v>
      </c>
      <c r="J635">
        <v>2787</v>
      </c>
      <c r="K635">
        <v>9121</v>
      </c>
      <c r="L635">
        <v>500</v>
      </c>
      <c r="M635">
        <v>499</v>
      </c>
      <c r="N635">
        <v>1</v>
      </c>
      <c r="O635">
        <v>92</v>
      </c>
      <c r="P635">
        <v>1</v>
      </c>
    </row>
    <row r="636" spans="1:16" x14ac:dyDescent="0.2">
      <c r="A636" s="3" t="s">
        <v>49</v>
      </c>
      <c r="B636" s="3" t="s">
        <v>52</v>
      </c>
      <c r="C636">
        <v>1</v>
      </c>
      <c r="D636">
        <v>17000</v>
      </c>
      <c r="E636">
        <v>499</v>
      </c>
      <c r="F636">
        <v>1</v>
      </c>
      <c r="G636">
        <v>65872.258119671897</v>
      </c>
      <c r="H636">
        <v>9.2316200000000005E-4</v>
      </c>
      <c r="I636">
        <v>11975</v>
      </c>
      <c r="J636">
        <v>2918</v>
      </c>
      <c r="K636">
        <v>9057</v>
      </c>
      <c r="L636">
        <v>500</v>
      </c>
      <c r="M636">
        <v>499</v>
      </c>
      <c r="N636">
        <v>1</v>
      </c>
      <c r="O636">
        <v>19634.561375347799</v>
      </c>
      <c r="P636">
        <v>0</v>
      </c>
    </row>
    <row r="637" spans="1:16" x14ac:dyDescent="0.2">
      <c r="A637" s="3" t="s">
        <v>49</v>
      </c>
      <c r="B637" s="3" t="s">
        <v>52</v>
      </c>
      <c r="C637">
        <v>22</v>
      </c>
      <c r="D637">
        <v>14000</v>
      </c>
      <c r="E637">
        <v>499</v>
      </c>
      <c r="F637">
        <v>1</v>
      </c>
      <c r="G637">
        <v>58565.0323707059</v>
      </c>
      <c r="H637">
        <v>9.22952E-4</v>
      </c>
      <c r="I637">
        <v>11911</v>
      </c>
      <c r="J637">
        <v>2825</v>
      </c>
      <c r="K637">
        <v>9086</v>
      </c>
      <c r="L637">
        <v>500</v>
      </c>
      <c r="M637">
        <v>499</v>
      </c>
      <c r="N637">
        <v>1</v>
      </c>
      <c r="O637">
        <v>8790.5379356922003</v>
      </c>
      <c r="P637">
        <v>0</v>
      </c>
    </row>
    <row r="638" spans="1:16" x14ac:dyDescent="0.2">
      <c r="A638" s="3" t="s">
        <v>49</v>
      </c>
      <c r="B638" s="3" t="s">
        <v>52</v>
      </c>
      <c r="C638">
        <v>33</v>
      </c>
      <c r="D638">
        <v>17000</v>
      </c>
      <c r="E638">
        <v>499</v>
      </c>
      <c r="F638">
        <v>1</v>
      </c>
      <c r="G638">
        <v>65872.258119671897</v>
      </c>
      <c r="H638">
        <v>9.2195299999999999E-4</v>
      </c>
      <c r="I638">
        <v>11960</v>
      </c>
      <c r="J638">
        <v>2906</v>
      </c>
      <c r="K638">
        <v>9054</v>
      </c>
      <c r="L638">
        <v>500</v>
      </c>
      <c r="M638">
        <v>499</v>
      </c>
      <c r="N638">
        <v>1</v>
      </c>
      <c r="O638">
        <v>19656.193693841698</v>
      </c>
      <c r="P638">
        <v>0</v>
      </c>
    </row>
    <row r="639" spans="1:16" x14ac:dyDescent="0.2">
      <c r="A639" s="3" t="s">
        <v>49</v>
      </c>
      <c r="B639" s="3" t="s">
        <v>52</v>
      </c>
      <c r="C639">
        <v>4</v>
      </c>
      <c r="D639">
        <v>12000</v>
      </c>
      <c r="E639">
        <v>499</v>
      </c>
      <c r="F639">
        <v>1</v>
      </c>
      <c r="G639">
        <v>12000</v>
      </c>
      <c r="H639">
        <v>9.2088999999999995E-4</v>
      </c>
      <c r="I639">
        <v>11887</v>
      </c>
      <c r="J639">
        <v>2780</v>
      </c>
      <c r="K639">
        <v>9107</v>
      </c>
      <c r="L639">
        <v>500</v>
      </c>
      <c r="M639">
        <v>499</v>
      </c>
      <c r="N639">
        <v>1</v>
      </c>
      <c r="O639">
        <v>113</v>
      </c>
      <c r="P639">
        <v>1</v>
      </c>
    </row>
    <row r="640" spans="1:16" x14ac:dyDescent="0.2">
      <c r="A640" s="3" t="s">
        <v>49</v>
      </c>
      <c r="B640" s="3" t="s">
        <v>52</v>
      </c>
      <c r="C640">
        <v>5</v>
      </c>
      <c r="D640">
        <v>16000</v>
      </c>
      <c r="E640">
        <v>499</v>
      </c>
      <c r="F640">
        <v>1</v>
      </c>
      <c r="G640">
        <v>64781.839036288002</v>
      </c>
      <c r="H640">
        <v>9.2082600000000002E-4</v>
      </c>
      <c r="I640">
        <v>11985</v>
      </c>
      <c r="J640">
        <v>2974</v>
      </c>
      <c r="K640">
        <v>9011</v>
      </c>
      <c r="L640">
        <v>500</v>
      </c>
      <c r="M640">
        <v>499</v>
      </c>
      <c r="N640">
        <v>1</v>
      </c>
      <c r="O640">
        <v>16334.683097267</v>
      </c>
      <c r="P640">
        <v>0</v>
      </c>
    </row>
    <row r="641" spans="1:16" x14ac:dyDescent="0.2">
      <c r="A641" s="3" t="s">
        <v>49</v>
      </c>
      <c r="B641" s="3" t="s">
        <v>52</v>
      </c>
      <c r="C641">
        <v>39</v>
      </c>
      <c r="D641">
        <v>13000</v>
      </c>
      <c r="E641">
        <v>499</v>
      </c>
      <c r="F641">
        <v>1</v>
      </c>
      <c r="G641">
        <v>53044.701099550097</v>
      </c>
      <c r="H641">
        <v>9.20632E-4</v>
      </c>
      <c r="I641">
        <v>11848</v>
      </c>
      <c r="J641">
        <v>2800</v>
      </c>
      <c r="K641">
        <v>9048</v>
      </c>
      <c r="L641">
        <v>500</v>
      </c>
      <c r="M641">
        <v>499</v>
      </c>
      <c r="N641">
        <v>1</v>
      </c>
      <c r="O641">
        <v>4696.8809874173003</v>
      </c>
      <c r="P641">
        <v>0</v>
      </c>
    </row>
    <row r="642" spans="1:16" x14ac:dyDescent="0.2">
      <c r="A642" s="3" t="s">
        <v>49</v>
      </c>
      <c r="B642" s="3" t="s">
        <v>52</v>
      </c>
      <c r="C642">
        <v>37</v>
      </c>
      <c r="D642">
        <v>12000</v>
      </c>
      <c r="E642">
        <v>499</v>
      </c>
      <c r="F642">
        <v>1</v>
      </c>
      <c r="G642">
        <v>12000</v>
      </c>
      <c r="H642">
        <v>9.2058699999999995E-4</v>
      </c>
      <c r="I642">
        <v>11930</v>
      </c>
      <c r="J642">
        <v>2815</v>
      </c>
      <c r="K642">
        <v>9115</v>
      </c>
      <c r="L642">
        <v>500</v>
      </c>
      <c r="M642">
        <v>499</v>
      </c>
      <c r="N642">
        <v>1</v>
      </c>
      <c r="O642">
        <v>70</v>
      </c>
      <c r="P642">
        <v>1</v>
      </c>
    </row>
    <row r="643" spans="1:16" x14ac:dyDescent="0.2">
      <c r="A643" s="3" t="s">
        <v>49</v>
      </c>
      <c r="B643" s="3" t="s">
        <v>52</v>
      </c>
      <c r="C643">
        <v>35</v>
      </c>
      <c r="D643">
        <v>16000</v>
      </c>
      <c r="E643">
        <v>499</v>
      </c>
      <c r="F643">
        <v>1</v>
      </c>
      <c r="G643">
        <v>64781.839036288002</v>
      </c>
      <c r="H643">
        <v>9.2041300000000003E-4</v>
      </c>
      <c r="I643">
        <v>12027</v>
      </c>
      <c r="J643">
        <v>2926</v>
      </c>
      <c r="K643">
        <v>9101</v>
      </c>
      <c r="L643">
        <v>500</v>
      </c>
      <c r="M643">
        <v>499</v>
      </c>
      <c r="N643">
        <v>1</v>
      </c>
      <c r="O643">
        <v>16189.728079349599</v>
      </c>
      <c r="P643">
        <v>0</v>
      </c>
    </row>
    <row r="644" spans="1:16" x14ac:dyDescent="0.2">
      <c r="A644" s="3" t="s">
        <v>49</v>
      </c>
      <c r="B644" s="3" t="s">
        <v>52</v>
      </c>
      <c r="C644">
        <v>3</v>
      </c>
      <c r="D644">
        <v>16000</v>
      </c>
      <c r="E644">
        <v>499</v>
      </c>
      <c r="F644">
        <v>1</v>
      </c>
      <c r="G644">
        <v>64781.839036288002</v>
      </c>
      <c r="H644">
        <v>9.2030300000000003E-4</v>
      </c>
      <c r="I644">
        <v>12015</v>
      </c>
      <c r="J644">
        <v>2946</v>
      </c>
      <c r="K644">
        <v>9069</v>
      </c>
      <c r="L644">
        <v>500</v>
      </c>
      <c r="M644">
        <v>499</v>
      </c>
      <c r="N644">
        <v>1</v>
      </c>
      <c r="O644">
        <v>16187.399125710501</v>
      </c>
      <c r="P644">
        <v>0</v>
      </c>
    </row>
    <row r="645" spans="1:16" x14ac:dyDescent="0.2">
      <c r="A645" s="3" t="s">
        <v>49</v>
      </c>
      <c r="B645" s="3" t="s">
        <v>52</v>
      </c>
      <c r="C645">
        <v>4</v>
      </c>
      <c r="D645">
        <v>13000</v>
      </c>
      <c r="E645">
        <v>499</v>
      </c>
      <c r="F645">
        <v>1</v>
      </c>
      <c r="G645">
        <v>13000</v>
      </c>
      <c r="H645">
        <v>9.2029399999999999E-4</v>
      </c>
      <c r="I645">
        <v>11845</v>
      </c>
      <c r="J645">
        <v>2821</v>
      </c>
      <c r="K645">
        <v>9024</v>
      </c>
      <c r="L645">
        <v>500</v>
      </c>
      <c r="M645">
        <v>499</v>
      </c>
      <c r="N645">
        <v>1</v>
      </c>
      <c r="O645">
        <v>1155</v>
      </c>
      <c r="P645">
        <v>1</v>
      </c>
    </row>
    <row r="646" spans="1:16" x14ac:dyDescent="0.2">
      <c r="A646" s="3" t="s">
        <v>49</v>
      </c>
      <c r="B646" s="3" t="s">
        <v>52</v>
      </c>
      <c r="C646">
        <v>29</v>
      </c>
      <c r="D646">
        <v>16000</v>
      </c>
      <c r="E646">
        <v>499</v>
      </c>
      <c r="F646">
        <v>1</v>
      </c>
      <c r="G646">
        <v>16000</v>
      </c>
      <c r="H646">
        <v>9.1991800000000004E-4</v>
      </c>
      <c r="I646">
        <v>12008</v>
      </c>
      <c r="J646">
        <v>2931</v>
      </c>
      <c r="K646">
        <v>9077</v>
      </c>
      <c r="L646">
        <v>500</v>
      </c>
      <c r="M646">
        <v>499</v>
      </c>
      <c r="N646">
        <v>1</v>
      </c>
      <c r="O646">
        <v>3992</v>
      </c>
      <c r="P646">
        <v>1</v>
      </c>
    </row>
    <row r="647" spans="1:16" x14ac:dyDescent="0.2">
      <c r="A647" s="3" t="s">
        <v>49</v>
      </c>
      <c r="B647" s="3" t="s">
        <v>52</v>
      </c>
      <c r="C647">
        <v>6</v>
      </c>
      <c r="D647">
        <v>15000</v>
      </c>
      <c r="E647">
        <v>499</v>
      </c>
      <c r="F647">
        <v>1</v>
      </c>
      <c r="G647">
        <v>60572.237308582698</v>
      </c>
      <c r="H647">
        <v>9.1978999999999997E-4</v>
      </c>
      <c r="I647">
        <v>11832</v>
      </c>
      <c r="J647">
        <v>2869</v>
      </c>
      <c r="K647">
        <v>8963</v>
      </c>
      <c r="L647">
        <v>500</v>
      </c>
      <c r="M647">
        <v>499</v>
      </c>
      <c r="N647">
        <v>1</v>
      </c>
      <c r="O647">
        <v>12830.0838564896</v>
      </c>
      <c r="P647">
        <v>0</v>
      </c>
    </row>
    <row r="648" spans="1:16" x14ac:dyDescent="0.2">
      <c r="A648" s="3" t="s">
        <v>49</v>
      </c>
      <c r="B648" s="3" t="s">
        <v>52</v>
      </c>
      <c r="C648">
        <v>48</v>
      </c>
      <c r="D648">
        <v>13000</v>
      </c>
      <c r="E648">
        <v>499</v>
      </c>
      <c r="F648">
        <v>1</v>
      </c>
      <c r="G648">
        <v>13000</v>
      </c>
      <c r="H648">
        <v>9.19771E-4</v>
      </c>
      <c r="I648">
        <v>11843</v>
      </c>
      <c r="J648">
        <v>2765</v>
      </c>
      <c r="K648">
        <v>9078</v>
      </c>
      <c r="L648">
        <v>500</v>
      </c>
      <c r="M648">
        <v>499</v>
      </c>
      <c r="N648">
        <v>1</v>
      </c>
      <c r="O648">
        <v>1157</v>
      </c>
      <c r="P648">
        <v>1</v>
      </c>
    </row>
    <row r="649" spans="1:16" x14ac:dyDescent="0.2">
      <c r="A649" s="3" t="s">
        <v>49</v>
      </c>
      <c r="B649" s="3" t="s">
        <v>52</v>
      </c>
      <c r="C649">
        <v>18</v>
      </c>
      <c r="D649">
        <v>14000</v>
      </c>
      <c r="E649">
        <v>499</v>
      </c>
      <c r="F649">
        <v>1</v>
      </c>
      <c r="G649">
        <v>14000</v>
      </c>
      <c r="H649">
        <v>9.19716E-4</v>
      </c>
      <c r="I649">
        <v>11887</v>
      </c>
      <c r="J649">
        <v>2799</v>
      </c>
      <c r="K649">
        <v>9088</v>
      </c>
      <c r="L649">
        <v>500</v>
      </c>
      <c r="M649">
        <v>499</v>
      </c>
      <c r="N649">
        <v>1</v>
      </c>
      <c r="O649">
        <v>2113</v>
      </c>
      <c r="P649">
        <v>1</v>
      </c>
    </row>
    <row r="650" spans="1:16" x14ac:dyDescent="0.2">
      <c r="A650" s="3" t="s">
        <v>49</v>
      </c>
      <c r="B650" s="3" t="s">
        <v>52</v>
      </c>
      <c r="C650">
        <v>4</v>
      </c>
      <c r="D650">
        <v>15000</v>
      </c>
      <c r="E650">
        <v>499</v>
      </c>
      <c r="F650">
        <v>1</v>
      </c>
      <c r="G650">
        <v>60572.237308582698</v>
      </c>
      <c r="H650">
        <v>9.1963400000000001E-4</v>
      </c>
      <c r="I650">
        <v>11843</v>
      </c>
      <c r="J650">
        <v>2876</v>
      </c>
      <c r="K650">
        <v>8967</v>
      </c>
      <c r="L650">
        <v>500</v>
      </c>
      <c r="M650">
        <v>499</v>
      </c>
      <c r="N650">
        <v>1</v>
      </c>
      <c r="O650">
        <v>12815.387055044101</v>
      </c>
      <c r="P650">
        <v>0</v>
      </c>
    </row>
    <row r="651" spans="1:16" x14ac:dyDescent="0.2">
      <c r="A651" s="3" t="s">
        <v>49</v>
      </c>
      <c r="B651" s="3" t="s">
        <v>52</v>
      </c>
      <c r="C651">
        <v>33</v>
      </c>
      <c r="D651">
        <v>16000</v>
      </c>
      <c r="E651">
        <v>499</v>
      </c>
      <c r="F651">
        <v>1</v>
      </c>
      <c r="G651">
        <v>64781.839036288002</v>
      </c>
      <c r="H651">
        <v>9.1957900000000001E-4</v>
      </c>
      <c r="I651">
        <v>12003</v>
      </c>
      <c r="J651">
        <v>2935</v>
      </c>
      <c r="K651">
        <v>9068</v>
      </c>
      <c r="L651">
        <v>500</v>
      </c>
      <c r="M651">
        <v>499</v>
      </c>
      <c r="N651">
        <v>1</v>
      </c>
      <c r="O651">
        <v>16277.816609358801</v>
      </c>
      <c r="P651">
        <v>0</v>
      </c>
    </row>
    <row r="652" spans="1:16" x14ac:dyDescent="0.2">
      <c r="A652" s="3" t="s">
        <v>49</v>
      </c>
      <c r="B652" s="3" t="s">
        <v>52</v>
      </c>
      <c r="C652">
        <v>28</v>
      </c>
      <c r="D652">
        <v>13000</v>
      </c>
      <c r="E652">
        <v>499</v>
      </c>
      <c r="F652">
        <v>1</v>
      </c>
      <c r="G652">
        <v>53044.701099550097</v>
      </c>
      <c r="H652">
        <v>9.1953300000000005E-4</v>
      </c>
      <c r="I652">
        <v>11847</v>
      </c>
      <c r="J652">
        <v>2797</v>
      </c>
      <c r="K652">
        <v>9050</v>
      </c>
      <c r="L652">
        <v>500</v>
      </c>
      <c r="M652">
        <v>499</v>
      </c>
      <c r="N652">
        <v>1</v>
      </c>
      <c r="O652">
        <v>4676.5449201531001</v>
      </c>
      <c r="P652">
        <v>0</v>
      </c>
    </row>
    <row r="653" spans="1:16" x14ac:dyDescent="0.2">
      <c r="A653" s="3" t="s">
        <v>49</v>
      </c>
      <c r="B653" s="3" t="s">
        <v>52</v>
      </c>
      <c r="C653">
        <v>37</v>
      </c>
      <c r="D653">
        <v>15000</v>
      </c>
      <c r="E653">
        <v>499</v>
      </c>
      <c r="F653">
        <v>1</v>
      </c>
      <c r="G653">
        <v>15000</v>
      </c>
      <c r="H653">
        <v>9.1913900000000002E-4</v>
      </c>
      <c r="I653">
        <v>11782</v>
      </c>
      <c r="J653">
        <v>2839</v>
      </c>
      <c r="K653">
        <v>8943</v>
      </c>
      <c r="L653">
        <v>500</v>
      </c>
      <c r="M653">
        <v>499</v>
      </c>
      <c r="N653">
        <v>1</v>
      </c>
      <c r="O653">
        <v>3218</v>
      </c>
      <c r="P653">
        <v>1</v>
      </c>
    </row>
    <row r="654" spans="1:16" x14ac:dyDescent="0.2">
      <c r="A654" s="3" t="s">
        <v>49</v>
      </c>
      <c r="B654" s="3" t="s">
        <v>52</v>
      </c>
      <c r="C654">
        <v>18</v>
      </c>
      <c r="D654">
        <v>15000</v>
      </c>
      <c r="E654">
        <v>499</v>
      </c>
      <c r="F654">
        <v>1</v>
      </c>
      <c r="G654">
        <v>15000</v>
      </c>
      <c r="H654">
        <v>9.1911100000000002E-4</v>
      </c>
      <c r="I654">
        <v>11854</v>
      </c>
      <c r="J654">
        <v>2857</v>
      </c>
      <c r="K654">
        <v>8997</v>
      </c>
      <c r="L654">
        <v>500</v>
      </c>
      <c r="M654">
        <v>499</v>
      </c>
      <c r="N654">
        <v>1</v>
      </c>
      <c r="O654">
        <v>3146</v>
      </c>
      <c r="P654">
        <v>1</v>
      </c>
    </row>
    <row r="655" spans="1:16" x14ac:dyDescent="0.2">
      <c r="A655" s="3" t="s">
        <v>49</v>
      </c>
      <c r="B655" s="3" t="s">
        <v>52</v>
      </c>
      <c r="C655">
        <v>32</v>
      </c>
      <c r="D655">
        <v>15000</v>
      </c>
      <c r="E655">
        <v>499</v>
      </c>
      <c r="F655">
        <v>1</v>
      </c>
      <c r="G655">
        <v>60572.237308582698</v>
      </c>
      <c r="H655">
        <v>9.1907399999999998E-4</v>
      </c>
      <c r="I655">
        <v>11843</v>
      </c>
      <c r="J655">
        <v>2837</v>
      </c>
      <c r="K655">
        <v>9006</v>
      </c>
      <c r="L655">
        <v>500</v>
      </c>
      <c r="M655">
        <v>499</v>
      </c>
      <c r="N655">
        <v>1</v>
      </c>
      <c r="O655">
        <v>12783.295688058501</v>
      </c>
      <c r="P655">
        <v>0</v>
      </c>
    </row>
    <row r="656" spans="1:16" x14ac:dyDescent="0.2">
      <c r="A656" s="3" t="s">
        <v>49</v>
      </c>
      <c r="B656" s="3" t="s">
        <v>52</v>
      </c>
      <c r="C656">
        <v>36</v>
      </c>
      <c r="D656">
        <v>17000</v>
      </c>
      <c r="E656">
        <v>499</v>
      </c>
      <c r="F656">
        <v>1</v>
      </c>
      <c r="G656">
        <v>65872.258119671897</v>
      </c>
      <c r="H656">
        <v>9.1902800000000001E-4</v>
      </c>
      <c r="I656">
        <v>11950</v>
      </c>
      <c r="J656">
        <v>2914</v>
      </c>
      <c r="K656">
        <v>9036</v>
      </c>
      <c r="L656">
        <v>500</v>
      </c>
      <c r="M656">
        <v>499</v>
      </c>
      <c r="N656">
        <v>1</v>
      </c>
      <c r="O656">
        <v>19736.123205922398</v>
      </c>
      <c r="P656">
        <v>0</v>
      </c>
    </row>
    <row r="657" spans="1:16" x14ac:dyDescent="0.2">
      <c r="A657" s="3" t="s">
        <v>49</v>
      </c>
      <c r="B657" s="3" t="s">
        <v>52</v>
      </c>
      <c r="C657">
        <v>9</v>
      </c>
      <c r="D657">
        <v>16000</v>
      </c>
      <c r="E657">
        <v>499</v>
      </c>
      <c r="F657">
        <v>1</v>
      </c>
      <c r="G657">
        <v>64781.839036288002</v>
      </c>
      <c r="H657">
        <v>9.1880800000000002E-4</v>
      </c>
      <c r="I657">
        <v>12012</v>
      </c>
      <c r="J657">
        <v>2895</v>
      </c>
      <c r="K657">
        <v>9117</v>
      </c>
      <c r="L657">
        <v>500</v>
      </c>
      <c r="M657">
        <v>499</v>
      </c>
      <c r="N657">
        <v>1</v>
      </c>
      <c r="O657">
        <v>16232.3532459816</v>
      </c>
      <c r="P657">
        <v>0</v>
      </c>
    </row>
    <row r="658" spans="1:16" x14ac:dyDescent="0.2">
      <c r="A658" s="3" t="s">
        <v>49</v>
      </c>
      <c r="B658" s="3" t="s">
        <v>52</v>
      </c>
      <c r="C658">
        <v>32</v>
      </c>
      <c r="D658">
        <v>14000</v>
      </c>
      <c r="E658">
        <v>499</v>
      </c>
      <c r="F658">
        <v>1</v>
      </c>
      <c r="G658">
        <v>14000</v>
      </c>
      <c r="H658">
        <v>9.1869E-4</v>
      </c>
      <c r="I658">
        <v>11904</v>
      </c>
      <c r="J658">
        <v>2835</v>
      </c>
      <c r="K658">
        <v>9069</v>
      </c>
      <c r="L658">
        <v>500</v>
      </c>
      <c r="M658">
        <v>499</v>
      </c>
      <c r="N658">
        <v>1</v>
      </c>
      <c r="O658">
        <v>2096</v>
      </c>
      <c r="P658">
        <v>1</v>
      </c>
    </row>
    <row r="659" spans="1:16" x14ac:dyDescent="0.2">
      <c r="A659" s="3" t="s">
        <v>49</v>
      </c>
      <c r="B659" s="3" t="s">
        <v>52</v>
      </c>
      <c r="C659">
        <v>8</v>
      </c>
      <c r="D659">
        <v>15000</v>
      </c>
      <c r="E659">
        <v>499</v>
      </c>
      <c r="F659">
        <v>1</v>
      </c>
      <c r="G659">
        <v>60572.237308582698</v>
      </c>
      <c r="H659">
        <v>9.1866199999999999E-4</v>
      </c>
      <c r="I659">
        <v>11846</v>
      </c>
      <c r="J659">
        <v>2868</v>
      </c>
      <c r="K659">
        <v>8978</v>
      </c>
      <c r="L659">
        <v>500</v>
      </c>
      <c r="M659">
        <v>499</v>
      </c>
      <c r="N659">
        <v>1</v>
      </c>
      <c r="O659">
        <v>12756.664911681</v>
      </c>
      <c r="P659">
        <v>0</v>
      </c>
    </row>
    <row r="660" spans="1:16" x14ac:dyDescent="0.2">
      <c r="A660" s="3" t="s">
        <v>49</v>
      </c>
      <c r="B660" s="3" t="s">
        <v>52</v>
      </c>
      <c r="C660">
        <v>39</v>
      </c>
      <c r="D660">
        <v>14000</v>
      </c>
      <c r="E660">
        <v>499</v>
      </c>
      <c r="F660">
        <v>1</v>
      </c>
      <c r="G660">
        <v>14000</v>
      </c>
      <c r="H660">
        <v>9.1861600000000003E-4</v>
      </c>
      <c r="I660">
        <v>11904</v>
      </c>
      <c r="J660">
        <v>2825</v>
      </c>
      <c r="K660">
        <v>9079</v>
      </c>
      <c r="L660">
        <v>500</v>
      </c>
      <c r="M660">
        <v>499</v>
      </c>
      <c r="N660">
        <v>1</v>
      </c>
      <c r="O660">
        <v>2096</v>
      </c>
      <c r="P660">
        <v>1</v>
      </c>
    </row>
    <row r="661" spans="1:16" x14ac:dyDescent="0.2">
      <c r="A661" s="3" t="s">
        <v>49</v>
      </c>
      <c r="B661" s="3" t="s">
        <v>52</v>
      </c>
      <c r="C661">
        <v>12</v>
      </c>
      <c r="D661">
        <v>16000</v>
      </c>
      <c r="E661">
        <v>499</v>
      </c>
      <c r="F661">
        <v>1</v>
      </c>
      <c r="G661">
        <v>64781.839036288002</v>
      </c>
      <c r="H661">
        <v>9.1816599999999999E-4</v>
      </c>
      <c r="I661">
        <v>12030</v>
      </c>
      <c r="J661">
        <v>2933</v>
      </c>
      <c r="K661">
        <v>9097</v>
      </c>
      <c r="L661">
        <v>500</v>
      </c>
      <c r="M661">
        <v>499</v>
      </c>
      <c r="N661">
        <v>1</v>
      </c>
      <c r="O661">
        <v>16190.557338902599</v>
      </c>
      <c r="P661">
        <v>0</v>
      </c>
    </row>
    <row r="662" spans="1:16" x14ac:dyDescent="0.2">
      <c r="A662" s="3" t="s">
        <v>49</v>
      </c>
      <c r="B662" s="3" t="s">
        <v>52</v>
      </c>
      <c r="C662">
        <v>7</v>
      </c>
      <c r="D662">
        <v>14000</v>
      </c>
      <c r="E662">
        <v>499</v>
      </c>
      <c r="F662">
        <v>1</v>
      </c>
      <c r="G662">
        <v>14000</v>
      </c>
      <c r="H662">
        <v>9.1814900000000005E-4</v>
      </c>
      <c r="I662">
        <v>11876</v>
      </c>
      <c r="J662">
        <v>2784</v>
      </c>
      <c r="K662">
        <v>9092</v>
      </c>
      <c r="L662">
        <v>500</v>
      </c>
      <c r="M662">
        <v>499</v>
      </c>
      <c r="N662">
        <v>1</v>
      </c>
      <c r="O662">
        <v>2124</v>
      </c>
      <c r="P662">
        <v>1</v>
      </c>
    </row>
    <row r="663" spans="1:16" x14ac:dyDescent="0.2">
      <c r="A663" s="3" t="s">
        <v>49</v>
      </c>
      <c r="B663" s="3" t="s">
        <v>52</v>
      </c>
      <c r="C663">
        <v>48</v>
      </c>
      <c r="D663">
        <v>12000</v>
      </c>
      <c r="E663">
        <v>499</v>
      </c>
      <c r="F663">
        <v>1</v>
      </c>
      <c r="G663">
        <v>12000</v>
      </c>
      <c r="H663">
        <v>9.18139E-4</v>
      </c>
      <c r="I663">
        <v>11889</v>
      </c>
      <c r="J663">
        <v>2750</v>
      </c>
      <c r="K663">
        <v>9139</v>
      </c>
      <c r="L663">
        <v>500</v>
      </c>
      <c r="M663">
        <v>499</v>
      </c>
      <c r="N663">
        <v>1</v>
      </c>
      <c r="O663">
        <v>111</v>
      </c>
      <c r="P663">
        <v>1</v>
      </c>
    </row>
    <row r="664" spans="1:16" x14ac:dyDescent="0.2">
      <c r="A664" s="3" t="s">
        <v>49</v>
      </c>
      <c r="B664" s="3" t="s">
        <v>52</v>
      </c>
      <c r="C664">
        <v>35</v>
      </c>
      <c r="D664">
        <v>17000</v>
      </c>
      <c r="E664">
        <v>499</v>
      </c>
      <c r="F664">
        <v>1</v>
      </c>
      <c r="G664">
        <v>65872.258119671897</v>
      </c>
      <c r="H664">
        <v>9.1799199999999996E-4</v>
      </c>
      <c r="I664">
        <v>11990</v>
      </c>
      <c r="J664">
        <v>2918</v>
      </c>
      <c r="K664">
        <v>9072</v>
      </c>
      <c r="L664">
        <v>500</v>
      </c>
      <c r="M664">
        <v>499</v>
      </c>
      <c r="N664">
        <v>1</v>
      </c>
      <c r="O664">
        <v>19568.988954489199</v>
      </c>
      <c r="P664">
        <v>0</v>
      </c>
    </row>
    <row r="665" spans="1:16" x14ac:dyDescent="0.2">
      <c r="A665" s="3" t="s">
        <v>49</v>
      </c>
      <c r="B665" s="3" t="s">
        <v>52</v>
      </c>
      <c r="C665">
        <v>27</v>
      </c>
      <c r="D665">
        <v>15000</v>
      </c>
      <c r="E665">
        <v>499</v>
      </c>
      <c r="F665">
        <v>1</v>
      </c>
      <c r="G665">
        <v>15000</v>
      </c>
      <c r="H665">
        <v>9.1789200000000001E-4</v>
      </c>
      <c r="I665">
        <v>11820</v>
      </c>
      <c r="J665">
        <v>2855</v>
      </c>
      <c r="K665">
        <v>8965</v>
      </c>
      <c r="L665">
        <v>500</v>
      </c>
      <c r="M665">
        <v>499</v>
      </c>
      <c r="N665">
        <v>1</v>
      </c>
      <c r="O665">
        <v>3180</v>
      </c>
      <c r="P665">
        <v>1</v>
      </c>
    </row>
    <row r="666" spans="1:16" x14ac:dyDescent="0.2">
      <c r="A666" s="3" t="s">
        <v>49</v>
      </c>
      <c r="B666" s="3" t="s">
        <v>52</v>
      </c>
      <c r="C666">
        <v>9</v>
      </c>
      <c r="D666">
        <v>12000</v>
      </c>
      <c r="E666">
        <v>499</v>
      </c>
      <c r="F666">
        <v>1</v>
      </c>
      <c r="G666">
        <v>12000</v>
      </c>
      <c r="H666">
        <v>9.1783700000000001E-4</v>
      </c>
      <c r="I666">
        <v>11877</v>
      </c>
      <c r="J666">
        <v>2786</v>
      </c>
      <c r="K666">
        <v>9091</v>
      </c>
      <c r="L666">
        <v>500</v>
      </c>
      <c r="M666">
        <v>499</v>
      </c>
      <c r="N666">
        <v>1</v>
      </c>
      <c r="O666">
        <v>123</v>
      </c>
      <c r="P666">
        <v>1</v>
      </c>
    </row>
    <row r="667" spans="1:16" x14ac:dyDescent="0.2">
      <c r="A667" s="3" t="s">
        <v>49</v>
      </c>
      <c r="B667" s="3" t="s">
        <v>52</v>
      </c>
      <c r="C667">
        <v>7</v>
      </c>
      <c r="D667">
        <v>13000</v>
      </c>
      <c r="E667">
        <v>499</v>
      </c>
      <c r="F667">
        <v>1</v>
      </c>
      <c r="G667">
        <v>13000</v>
      </c>
      <c r="H667">
        <v>9.1778200000000002E-4</v>
      </c>
      <c r="I667">
        <v>11830</v>
      </c>
      <c r="J667">
        <v>2796</v>
      </c>
      <c r="K667">
        <v>9034</v>
      </c>
      <c r="L667">
        <v>500</v>
      </c>
      <c r="M667">
        <v>499</v>
      </c>
      <c r="N667">
        <v>1</v>
      </c>
      <c r="O667">
        <v>1170</v>
      </c>
      <c r="P667">
        <v>1</v>
      </c>
    </row>
    <row r="668" spans="1:16" x14ac:dyDescent="0.2">
      <c r="A668" s="3" t="s">
        <v>49</v>
      </c>
      <c r="B668" s="3" t="s">
        <v>52</v>
      </c>
      <c r="C668">
        <v>3</v>
      </c>
      <c r="D668">
        <v>13000</v>
      </c>
      <c r="E668">
        <v>499</v>
      </c>
      <c r="F668">
        <v>1</v>
      </c>
      <c r="G668">
        <v>13000</v>
      </c>
      <c r="H668">
        <v>9.1757999999999998E-4</v>
      </c>
      <c r="I668">
        <v>11841</v>
      </c>
      <c r="J668">
        <v>2815</v>
      </c>
      <c r="K668">
        <v>9026</v>
      </c>
      <c r="L668">
        <v>500</v>
      </c>
      <c r="M668">
        <v>499</v>
      </c>
      <c r="N668">
        <v>1</v>
      </c>
      <c r="O668">
        <v>1159</v>
      </c>
      <c r="P668">
        <v>1</v>
      </c>
    </row>
    <row r="669" spans="1:16" x14ac:dyDescent="0.2">
      <c r="A669" s="3" t="s">
        <v>49</v>
      </c>
      <c r="B669" s="3" t="s">
        <v>52</v>
      </c>
      <c r="C669">
        <v>20</v>
      </c>
      <c r="D669">
        <v>15000</v>
      </c>
      <c r="E669">
        <v>499</v>
      </c>
      <c r="F669">
        <v>1</v>
      </c>
      <c r="G669">
        <v>15000</v>
      </c>
      <c r="H669">
        <v>9.1757999999999998E-4</v>
      </c>
      <c r="I669">
        <v>11869</v>
      </c>
      <c r="J669">
        <v>2862</v>
      </c>
      <c r="K669">
        <v>9007</v>
      </c>
      <c r="L669">
        <v>500</v>
      </c>
      <c r="M669">
        <v>499</v>
      </c>
      <c r="N669">
        <v>1</v>
      </c>
      <c r="O669">
        <v>3131</v>
      </c>
      <c r="P669">
        <v>1</v>
      </c>
    </row>
    <row r="670" spans="1:16" x14ac:dyDescent="0.2">
      <c r="A670" s="3" t="s">
        <v>49</v>
      </c>
      <c r="B670" s="3" t="s">
        <v>52</v>
      </c>
      <c r="C670">
        <v>10</v>
      </c>
      <c r="D670">
        <v>14000</v>
      </c>
      <c r="E670">
        <v>499</v>
      </c>
      <c r="F670">
        <v>1</v>
      </c>
      <c r="G670">
        <v>14000</v>
      </c>
      <c r="H670">
        <v>9.1755299999999999E-4</v>
      </c>
      <c r="I670">
        <v>11896</v>
      </c>
      <c r="J670">
        <v>2791</v>
      </c>
      <c r="K670">
        <v>9105</v>
      </c>
      <c r="L670">
        <v>500</v>
      </c>
      <c r="M670">
        <v>499</v>
      </c>
      <c r="N670">
        <v>1</v>
      </c>
      <c r="O670">
        <v>2104</v>
      </c>
      <c r="P670">
        <v>1</v>
      </c>
    </row>
    <row r="671" spans="1:16" x14ac:dyDescent="0.2">
      <c r="A671" s="3" t="s">
        <v>49</v>
      </c>
      <c r="B671" s="3" t="s">
        <v>52</v>
      </c>
      <c r="C671">
        <v>35</v>
      </c>
      <c r="D671">
        <v>15000</v>
      </c>
      <c r="E671">
        <v>499</v>
      </c>
      <c r="F671">
        <v>1</v>
      </c>
      <c r="G671">
        <v>15000</v>
      </c>
      <c r="H671">
        <v>9.1713999999999999E-4</v>
      </c>
      <c r="I671">
        <v>11824</v>
      </c>
      <c r="J671">
        <v>2836</v>
      </c>
      <c r="K671">
        <v>8988</v>
      </c>
      <c r="L671">
        <v>500</v>
      </c>
      <c r="M671">
        <v>499</v>
      </c>
      <c r="N671">
        <v>1</v>
      </c>
      <c r="O671">
        <v>3176</v>
      </c>
      <c r="P671">
        <v>1</v>
      </c>
    </row>
    <row r="672" spans="1:16" x14ac:dyDescent="0.2">
      <c r="A672" s="3" t="s">
        <v>49</v>
      </c>
      <c r="B672" s="3" t="s">
        <v>52</v>
      </c>
      <c r="C672">
        <v>24</v>
      </c>
      <c r="D672">
        <v>12000</v>
      </c>
      <c r="E672">
        <v>499</v>
      </c>
      <c r="F672">
        <v>1</v>
      </c>
      <c r="G672">
        <v>12000</v>
      </c>
      <c r="H672">
        <v>9.16893E-4</v>
      </c>
      <c r="I672">
        <v>11888</v>
      </c>
      <c r="J672">
        <v>2786</v>
      </c>
      <c r="K672">
        <v>9102</v>
      </c>
      <c r="L672">
        <v>500</v>
      </c>
      <c r="M672">
        <v>499</v>
      </c>
      <c r="N672">
        <v>1</v>
      </c>
      <c r="O672">
        <v>112</v>
      </c>
      <c r="P672">
        <v>1</v>
      </c>
    </row>
    <row r="673" spans="1:16" x14ac:dyDescent="0.2">
      <c r="A673" s="3" t="s">
        <v>49</v>
      </c>
      <c r="B673" s="3" t="s">
        <v>52</v>
      </c>
      <c r="C673">
        <v>18</v>
      </c>
      <c r="D673">
        <v>17000</v>
      </c>
      <c r="E673">
        <v>499</v>
      </c>
      <c r="F673">
        <v>1</v>
      </c>
      <c r="G673">
        <v>65872.258119671897</v>
      </c>
      <c r="H673">
        <v>9.1678300000000001E-4</v>
      </c>
      <c r="I673">
        <v>11938</v>
      </c>
      <c r="J673">
        <v>2916</v>
      </c>
      <c r="K673">
        <v>9022</v>
      </c>
      <c r="L673">
        <v>500</v>
      </c>
      <c r="M673">
        <v>499</v>
      </c>
      <c r="N673">
        <v>1</v>
      </c>
      <c r="O673">
        <v>19770.904064787399</v>
      </c>
      <c r="P673">
        <v>0</v>
      </c>
    </row>
    <row r="674" spans="1:16" x14ac:dyDescent="0.2">
      <c r="A674" s="3" t="s">
        <v>49</v>
      </c>
      <c r="B674" s="3" t="s">
        <v>52</v>
      </c>
      <c r="C674">
        <v>37</v>
      </c>
      <c r="D674">
        <v>14000</v>
      </c>
      <c r="E674">
        <v>499</v>
      </c>
      <c r="F674">
        <v>1</v>
      </c>
      <c r="G674">
        <v>14000</v>
      </c>
      <c r="H674">
        <v>9.1637999999999995E-4</v>
      </c>
      <c r="I674">
        <v>11884</v>
      </c>
      <c r="J674">
        <v>2835</v>
      </c>
      <c r="K674">
        <v>9049</v>
      </c>
      <c r="L674">
        <v>500</v>
      </c>
      <c r="M674">
        <v>499</v>
      </c>
      <c r="N674">
        <v>1</v>
      </c>
      <c r="O674">
        <v>2116</v>
      </c>
      <c r="P674">
        <v>1</v>
      </c>
    </row>
    <row r="675" spans="1:16" x14ac:dyDescent="0.2">
      <c r="A675" s="3" t="s">
        <v>49</v>
      </c>
      <c r="B675" s="3" t="s">
        <v>52</v>
      </c>
      <c r="C675">
        <v>41</v>
      </c>
      <c r="D675">
        <v>13000</v>
      </c>
      <c r="E675">
        <v>499</v>
      </c>
      <c r="F675">
        <v>1</v>
      </c>
      <c r="G675">
        <v>53044.701099550097</v>
      </c>
      <c r="H675">
        <v>9.1637900000000004E-4</v>
      </c>
      <c r="I675">
        <v>11811</v>
      </c>
      <c r="J675">
        <v>2774</v>
      </c>
      <c r="K675">
        <v>9037</v>
      </c>
      <c r="L675">
        <v>500</v>
      </c>
      <c r="M675">
        <v>499</v>
      </c>
      <c r="N675">
        <v>1</v>
      </c>
      <c r="O675">
        <v>4842.8658057421999</v>
      </c>
      <c r="P675">
        <v>0</v>
      </c>
    </row>
    <row r="676" spans="1:16" x14ac:dyDescent="0.2">
      <c r="A676" s="3" t="s">
        <v>49</v>
      </c>
      <c r="B676" s="3" t="s">
        <v>52</v>
      </c>
      <c r="C676">
        <v>10</v>
      </c>
      <c r="D676">
        <v>12000</v>
      </c>
      <c r="E676">
        <v>499</v>
      </c>
      <c r="F676">
        <v>1</v>
      </c>
      <c r="G676">
        <v>12000</v>
      </c>
      <c r="H676">
        <v>9.16197E-4</v>
      </c>
      <c r="I676">
        <v>11898</v>
      </c>
      <c r="J676">
        <v>2781</v>
      </c>
      <c r="K676">
        <v>9117</v>
      </c>
      <c r="L676">
        <v>500</v>
      </c>
      <c r="M676">
        <v>499</v>
      </c>
      <c r="N676">
        <v>1</v>
      </c>
      <c r="O676">
        <v>102</v>
      </c>
      <c r="P676">
        <v>1</v>
      </c>
    </row>
    <row r="677" spans="1:16" x14ac:dyDescent="0.2">
      <c r="A677" s="3" t="s">
        <v>49</v>
      </c>
      <c r="B677" s="3" t="s">
        <v>52</v>
      </c>
      <c r="C677">
        <v>31</v>
      </c>
      <c r="D677">
        <v>17000</v>
      </c>
      <c r="E677">
        <v>499</v>
      </c>
      <c r="F677">
        <v>1</v>
      </c>
      <c r="G677">
        <v>65872.258119671897</v>
      </c>
      <c r="H677">
        <v>9.1596699999999995E-4</v>
      </c>
      <c r="I677">
        <v>11949</v>
      </c>
      <c r="J677">
        <v>2929</v>
      </c>
      <c r="K677">
        <v>9020</v>
      </c>
      <c r="L677">
        <v>500</v>
      </c>
      <c r="M677">
        <v>499</v>
      </c>
      <c r="N677">
        <v>1</v>
      </c>
      <c r="O677">
        <v>19755.650972424901</v>
      </c>
      <c r="P677">
        <v>0</v>
      </c>
    </row>
    <row r="678" spans="1:16" x14ac:dyDescent="0.2">
      <c r="A678" s="3" t="s">
        <v>49</v>
      </c>
      <c r="B678" s="3" t="s">
        <v>52</v>
      </c>
      <c r="C678">
        <v>11</v>
      </c>
      <c r="D678">
        <v>16000</v>
      </c>
      <c r="E678">
        <v>499</v>
      </c>
      <c r="F678">
        <v>1</v>
      </c>
      <c r="G678">
        <v>64781.839036288002</v>
      </c>
      <c r="H678">
        <v>9.1592099999999999E-4</v>
      </c>
      <c r="I678">
        <v>12019</v>
      </c>
      <c r="J678">
        <v>2915</v>
      </c>
      <c r="K678">
        <v>9104</v>
      </c>
      <c r="L678">
        <v>500</v>
      </c>
      <c r="M678">
        <v>499</v>
      </c>
      <c r="N678">
        <v>1</v>
      </c>
      <c r="O678">
        <v>16206.9615906403</v>
      </c>
      <c r="P678">
        <v>0</v>
      </c>
    </row>
    <row r="679" spans="1:16" x14ac:dyDescent="0.2">
      <c r="A679" s="3" t="s">
        <v>49</v>
      </c>
      <c r="B679" s="3" t="s">
        <v>52</v>
      </c>
      <c r="C679">
        <v>38</v>
      </c>
      <c r="D679">
        <v>16000</v>
      </c>
      <c r="E679">
        <v>499</v>
      </c>
      <c r="F679">
        <v>1</v>
      </c>
      <c r="G679">
        <v>64781.839036288002</v>
      </c>
      <c r="H679">
        <v>9.1560999999999997E-4</v>
      </c>
      <c r="I679">
        <v>12029</v>
      </c>
      <c r="J679">
        <v>2948</v>
      </c>
      <c r="K679">
        <v>9081</v>
      </c>
      <c r="L679">
        <v>500</v>
      </c>
      <c r="M679">
        <v>499</v>
      </c>
      <c r="N679">
        <v>1</v>
      </c>
      <c r="O679">
        <v>16209.045930636799</v>
      </c>
      <c r="P679">
        <v>0</v>
      </c>
    </row>
    <row r="680" spans="1:16" x14ac:dyDescent="0.2">
      <c r="A680" s="3" t="s">
        <v>49</v>
      </c>
      <c r="B680" s="3" t="s">
        <v>52</v>
      </c>
      <c r="C680">
        <v>50</v>
      </c>
      <c r="D680">
        <v>14000</v>
      </c>
      <c r="E680">
        <v>499</v>
      </c>
      <c r="F680">
        <v>1</v>
      </c>
      <c r="G680">
        <v>14000</v>
      </c>
      <c r="H680">
        <v>9.1547199999999997E-4</v>
      </c>
      <c r="I680">
        <v>11908</v>
      </c>
      <c r="J680">
        <v>2834</v>
      </c>
      <c r="K680">
        <v>9074</v>
      </c>
      <c r="L680">
        <v>500</v>
      </c>
      <c r="M680">
        <v>499</v>
      </c>
      <c r="N680">
        <v>1</v>
      </c>
      <c r="O680">
        <v>2092</v>
      </c>
      <c r="P680">
        <v>1</v>
      </c>
    </row>
    <row r="681" spans="1:16" x14ac:dyDescent="0.2">
      <c r="A681" s="3" t="s">
        <v>49</v>
      </c>
      <c r="B681" s="3" t="s">
        <v>52</v>
      </c>
      <c r="C681">
        <v>5</v>
      </c>
      <c r="D681">
        <v>14000</v>
      </c>
      <c r="E681">
        <v>499</v>
      </c>
      <c r="F681">
        <v>1</v>
      </c>
      <c r="G681">
        <v>14000</v>
      </c>
      <c r="H681">
        <v>9.1544499999999997E-4</v>
      </c>
      <c r="I681">
        <v>11872</v>
      </c>
      <c r="J681">
        <v>2794</v>
      </c>
      <c r="K681">
        <v>9078</v>
      </c>
      <c r="L681">
        <v>500</v>
      </c>
      <c r="M681">
        <v>499</v>
      </c>
      <c r="N681">
        <v>1</v>
      </c>
      <c r="O681">
        <v>2128</v>
      </c>
      <c r="P681">
        <v>1</v>
      </c>
    </row>
    <row r="682" spans="1:16" x14ac:dyDescent="0.2">
      <c r="A682" s="3" t="s">
        <v>49</v>
      </c>
      <c r="B682" s="3" t="s">
        <v>52</v>
      </c>
      <c r="C682">
        <v>30</v>
      </c>
      <c r="D682">
        <v>13000</v>
      </c>
      <c r="E682">
        <v>499</v>
      </c>
      <c r="F682">
        <v>1</v>
      </c>
      <c r="G682">
        <v>13000</v>
      </c>
      <c r="H682">
        <v>9.1540800000000004E-4</v>
      </c>
      <c r="I682">
        <v>11832</v>
      </c>
      <c r="J682">
        <v>2770</v>
      </c>
      <c r="K682">
        <v>9062</v>
      </c>
      <c r="L682">
        <v>500</v>
      </c>
      <c r="M682">
        <v>499</v>
      </c>
      <c r="N682">
        <v>1</v>
      </c>
      <c r="O682">
        <v>1168</v>
      </c>
      <c r="P682">
        <v>1</v>
      </c>
    </row>
    <row r="683" spans="1:16" x14ac:dyDescent="0.2">
      <c r="A683" s="3" t="s">
        <v>49</v>
      </c>
      <c r="B683" s="3" t="s">
        <v>52</v>
      </c>
      <c r="C683">
        <v>44</v>
      </c>
      <c r="D683">
        <v>13000</v>
      </c>
      <c r="E683">
        <v>499</v>
      </c>
      <c r="F683">
        <v>1</v>
      </c>
      <c r="G683">
        <v>13000</v>
      </c>
      <c r="H683">
        <v>9.1522399999999996E-4</v>
      </c>
      <c r="I683">
        <v>11859</v>
      </c>
      <c r="J683">
        <v>2822</v>
      </c>
      <c r="K683">
        <v>9037</v>
      </c>
      <c r="L683">
        <v>500</v>
      </c>
      <c r="M683">
        <v>499</v>
      </c>
      <c r="N683">
        <v>1</v>
      </c>
      <c r="O683">
        <v>1141</v>
      </c>
      <c r="P683">
        <v>1</v>
      </c>
    </row>
    <row r="684" spans="1:16" x14ac:dyDescent="0.2">
      <c r="A684" s="3" t="s">
        <v>49</v>
      </c>
      <c r="B684" s="3" t="s">
        <v>52</v>
      </c>
      <c r="C684">
        <v>41</v>
      </c>
      <c r="D684">
        <v>17000</v>
      </c>
      <c r="E684">
        <v>499</v>
      </c>
      <c r="F684">
        <v>1</v>
      </c>
      <c r="G684">
        <v>65872.258119671897</v>
      </c>
      <c r="H684">
        <v>9.1494000000000005E-4</v>
      </c>
      <c r="I684">
        <v>11957</v>
      </c>
      <c r="J684">
        <v>2884</v>
      </c>
      <c r="K684">
        <v>9073</v>
      </c>
      <c r="L684">
        <v>500</v>
      </c>
      <c r="M684">
        <v>499</v>
      </c>
      <c r="N684">
        <v>1</v>
      </c>
      <c r="O684">
        <v>19676.521573895901</v>
      </c>
      <c r="P684">
        <v>0</v>
      </c>
    </row>
    <row r="685" spans="1:16" x14ac:dyDescent="0.2">
      <c r="A685" s="3" t="s">
        <v>49</v>
      </c>
      <c r="B685" s="3" t="s">
        <v>52</v>
      </c>
      <c r="C685">
        <v>44</v>
      </c>
      <c r="D685">
        <v>15000</v>
      </c>
      <c r="E685">
        <v>499</v>
      </c>
      <c r="F685">
        <v>1</v>
      </c>
      <c r="G685">
        <v>15000</v>
      </c>
      <c r="H685">
        <v>9.1436299999999996E-4</v>
      </c>
      <c r="I685">
        <v>11829</v>
      </c>
      <c r="J685">
        <v>2843</v>
      </c>
      <c r="K685">
        <v>8986</v>
      </c>
      <c r="L685">
        <v>500</v>
      </c>
      <c r="M685">
        <v>499</v>
      </c>
      <c r="N685">
        <v>1</v>
      </c>
      <c r="O685">
        <v>3171</v>
      </c>
      <c r="P685">
        <v>1</v>
      </c>
    </row>
    <row r="686" spans="1:16" x14ac:dyDescent="0.2">
      <c r="A686" s="3" t="s">
        <v>49</v>
      </c>
      <c r="B686" s="3" t="s">
        <v>52</v>
      </c>
      <c r="C686">
        <v>35</v>
      </c>
      <c r="D686">
        <v>12000</v>
      </c>
      <c r="E686">
        <v>499</v>
      </c>
      <c r="F686">
        <v>1</v>
      </c>
      <c r="G686">
        <v>12000</v>
      </c>
      <c r="H686">
        <v>9.1416100000000003E-4</v>
      </c>
      <c r="I686">
        <v>11905</v>
      </c>
      <c r="J686">
        <v>2774</v>
      </c>
      <c r="K686">
        <v>9131</v>
      </c>
      <c r="L686">
        <v>500</v>
      </c>
      <c r="M686">
        <v>499</v>
      </c>
      <c r="N686">
        <v>1</v>
      </c>
      <c r="O686">
        <v>95</v>
      </c>
      <c r="P686">
        <v>1</v>
      </c>
    </row>
    <row r="687" spans="1:16" x14ac:dyDescent="0.2">
      <c r="A687" s="3" t="s">
        <v>49</v>
      </c>
      <c r="B687" s="3" t="s">
        <v>52</v>
      </c>
      <c r="C687">
        <v>17</v>
      </c>
      <c r="D687">
        <v>14000</v>
      </c>
      <c r="E687">
        <v>499</v>
      </c>
      <c r="F687">
        <v>1</v>
      </c>
      <c r="G687">
        <v>14000</v>
      </c>
      <c r="H687">
        <v>9.1414299999999997E-4</v>
      </c>
      <c r="I687">
        <v>11896</v>
      </c>
      <c r="J687">
        <v>2843</v>
      </c>
      <c r="K687">
        <v>9053</v>
      </c>
      <c r="L687">
        <v>500</v>
      </c>
      <c r="M687">
        <v>499</v>
      </c>
      <c r="N687">
        <v>1</v>
      </c>
      <c r="O687">
        <v>2104</v>
      </c>
      <c r="P687">
        <v>1</v>
      </c>
    </row>
    <row r="688" spans="1:16" x14ac:dyDescent="0.2">
      <c r="A688" s="3" t="s">
        <v>49</v>
      </c>
      <c r="B688" s="3" t="s">
        <v>52</v>
      </c>
      <c r="C688">
        <v>27</v>
      </c>
      <c r="D688">
        <v>12000</v>
      </c>
      <c r="E688">
        <v>499</v>
      </c>
      <c r="F688">
        <v>1</v>
      </c>
      <c r="G688">
        <v>50533.323552418398</v>
      </c>
      <c r="H688">
        <v>9.13932E-4</v>
      </c>
      <c r="I688">
        <v>11892</v>
      </c>
      <c r="J688">
        <v>2824</v>
      </c>
      <c r="K688">
        <v>9068</v>
      </c>
      <c r="L688">
        <v>500</v>
      </c>
      <c r="M688">
        <v>499</v>
      </c>
      <c r="N688">
        <v>1</v>
      </c>
      <c r="O688">
        <v>489.84858597800002</v>
      </c>
      <c r="P688">
        <v>0</v>
      </c>
    </row>
    <row r="689" spans="1:16" x14ac:dyDescent="0.2">
      <c r="A689" s="3" t="s">
        <v>49</v>
      </c>
      <c r="B689" s="3" t="s">
        <v>52</v>
      </c>
      <c r="C689">
        <v>50</v>
      </c>
      <c r="D689">
        <v>16000</v>
      </c>
      <c r="E689">
        <v>499</v>
      </c>
      <c r="F689">
        <v>1</v>
      </c>
      <c r="G689">
        <v>64781.839036288002</v>
      </c>
      <c r="H689">
        <v>9.1374900000000005E-4</v>
      </c>
      <c r="I689">
        <v>12013</v>
      </c>
      <c r="J689">
        <v>2917</v>
      </c>
      <c r="K689">
        <v>9096</v>
      </c>
      <c r="L689">
        <v>500</v>
      </c>
      <c r="M689">
        <v>499</v>
      </c>
      <c r="N689">
        <v>1</v>
      </c>
      <c r="O689">
        <v>16231.5455332402</v>
      </c>
      <c r="P689">
        <v>0</v>
      </c>
    </row>
    <row r="690" spans="1:16" x14ac:dyDescent="0.2">
      <c r="A690" s="3" t="s">
        <v>49</v>
      </c>
      <c r="B690" s="3" t="s">
        <v>52</v>
      </c>
      <c r="C690">
        <v>9</v>
      </c>
      <c r="D690">
        <v>14000</v>
      </c>
      <c r="E690">
        <v>499</v>
      </c>
      <c r="F690">
        <v>1</v>
      </c>
      <c r="G690">
        <v>58565.0323707059</v>
      </c>
      <c r="H690">
        <v>9.1370299999999998E-4</v>
      </c>
      <c r="I690">
        <v>11898</v>
      </c>
      <c r="J690">
        <v>2840</v>
      </c>
      <c r="K690">
        <v>9058</v>
      </c>
      <c r="L690">
        <v>500</v>
      </c>
      <c r="M690">
        <v>499</v>
      </c>
      <c r="N690">
        <v>1</v>
      </c>
      <c r="O690">
        <v>8858.9629174098009</v>
      </c>
      <c r="P690">
        <v>0</v>
      </c>
    </row>
    <row r="691" spans="1:16" x14ac:dyDescent="0.2">
      <c r="A691" s="3" t="s">
        <v>49</v>
      </c>
      <c r="B691" s="3" t="s">
        <v>52</v>
      </c>
      <c r="C691">
        <v>31</v>
      </c>
      <c r="D691">
        <v>12000</v>
      </c>
      <c r="E691">
        <v>499</v>
      </c>
      <c r="F691">
        <v>1</v>
      </c>
      <c r="G691">
        <v>12000</v>
      </c>
      <c r="H691">
        <v>9.1364799999999998E-4</v>
      </c>
      <c r="I691">
        <v>11872</v>
      </c>
      <c r="J691">
        <v>2763</v>
      </c>
      <c r="K691">
        <v>9109</v>
      </c>
      <c r="L691">
        <v>500</v>
      </c>
      <c r="M691">
        <v>499</v>
      </c>
      <c r="N691">
        <v>1</v>
      </c>
      <c r="O691">
        <v>128</v>
      </c>
      <c r="P691">
        <v>1</v>
      </c>
    </row>
    <row r="692" spans="1:16" x14ac:dyDescent="0.2">
      <c r="A692" s="3" t="s">
        <v>49</v>
      </c>
      <c r="B692" s="3" t="s">
        <v>52</v>
      </c>
      <c r="C692">
        <v>42</v>
      </c>
      <c r="D692">
        <v>16000</v>
      </c>
      <c r="E692">
        <v>499</v>
      </c>
      <c r="F692">
        <v>1</v>
      </c>
      <c r="G692">
        <v>64781.839036288002</v>
      </c>
      <c r="H692">
        <v>9.13601E-4</v>
      </c>
      <c r="I692">
        <v>12036</v>
      </c>
      <c r="J692">
        <v>2984</v>
      </c>
      <c r="K692">
        <v>9052</v>
      </c>
      <c r="L692">
        <v>500</v>
      </c>
      <c r="M692">
        <v>499</v>
      </c>
      <c r="N692">
        <v>1</v>
      </c>
      <c r="O692">
        <v>16124.715966002001</v>
      </c>
      <c r="P692">
        <v>0</v>
      </c>
    </row>
    <row r="693" spans="1:16" x14ac:dyDescent="0.2">
      <c r="A693" s="3" t="s">
        <v>49</v>
      </c>
      <c r="B693" s="3" t="s">
        <v>52</v>
      </c>
      <c r="C693">
        <v>41</v>
      </c>
      <c r="D693">
        <v>14000</v>
      </c>
      <c r="E693">
        <v>499</v>
      </c>
      <c r="F693">
        <v>1</v>
      </c>
      <c r="G693">
        <v>14000</v>
      </c>
      <c r="H693">
        <v>9.1358400000000005E-4</v>
      </c>
      <c r="I693">
        <v>11921</v>
      </c>
      <c r="J693">
        <v>2860</v>
      </c>
      <c r="K693">
        <v>9061</v>
      </c>
      <c r="L693">
        <v>500</v>
      </c>
      <c r="M693">
        <v>499</v>
      </c>
      <c r="N693">
        <v>1</v>
      </c>
      <c r="O693">
        <v>2079</v>
      </c>
      <c r="P693">
        <v>1</v>
      </c>
    </row>
    <row r="694" spans="1:16" x14ac:dyDescent="0.2">
      <c r="A694" s="3" t="s">
        <v>49</v>
      </c>
      <c r="B694" s="3" t="s">
        <v>52</v>
      </c>
      <c r="C694">
        <v>22</v>
      </c>
      <c r="D694">
        <v>11000</v>
      </c>
      <c r="E694">
        <v>499</v>
      </c>
      <c r="F694">
        <v>1</v>
      </c>
      <c r="G694">
        <v>11000</v>
      </c>
      <c r="H694">
        <v>9.1341899999999995E-4</v>
      </c>
      <c r="I694">
        <v>11000</v>
      </c>
      <c r="J694">
        <v>2716</v>
      </c>
      <c r="K694">
        <v>8284</v>
      </c>
      <c r="L694">
        <v>500</v>
      </c>
      <c r="M694">
        <v>499</v>
      </c>
      <c r="N694">
        <v>1</v>
      </c>
      <c r="O694">
        <v>0</v>
      </c>
      <c r="P694">
        <v>1</v>
      </c>
    </row>
    <row r="695" spans="1:16" x14ac:dyDescent="0.2">
      <c r="A695" s="3" t="s">
        <v>49</v>
      </c>
      <c r="B695" s="3" t="s">
        <v>52</v>
      </c>
      <c r="C695">
        <v>34</v>
      </c>
      <c r="D695">
        <v>16000</v>
      </c>
      <c r="E695">
        <v>499</v>
      </c>
      <c r="F695">
        <v>1</v>
      </c>
      <c r="G695">
        <v>64781.839036288002</v>
      </c>
      <c r="H695">
        <v>9.1336300000000004E-4</v>
      </c>
      <c r="I695">
        <v>12023</v>
      </c>
      <c r="J695">
        <v>2936</v>
      </c>
      <c r="K695">
        <v>9087</v>
      </c>
      <c r="L695">
        <v>500</v>
      </c>
      <c r="M695">
        <v>499</v>
      </c>
      <c r="N695">
        <v>1</v>
      </c>
      <c r="O695">
        <v>16189.6816215074</v>
      </c>
      <c r="P695">
        <v>0</v>
      </c>
    </row>
    <row r="696" spans="1:16" x14ac:dyDescent="0.2">
      <c r="A696" s="3" t="s">
        <v>49</v>
      </c>
      <c r="B696" s="3" t="s">
        <v>52</v>
      </c>
      <c r="C696">
        <v>18</v>
      </c>
      <c r="D696">
        <v>12000</v>
      </c>
      <c r="E696">
        <v>499</v>
      </c>
      <c r="F696">
        <v>1</v>
      </c>
      <c r="G696">
        <v>12000</v>
      </c>
      <c r="H696">
        <v>9.1327200000000002E-4</v>
      </c>
      <c r="I696">
        <v>11902</v>
      </c>
      <c r="J696">
        <v>2818</v>
      </c>
      <c r="K696">
        <v>9084</v>
      </c>
      <c r="L696">
        <v>500</v>
      </c>
      <c r="M696">
        <v>499</v>
      </c>
      <c r="N696">
        <v>1</v>
      </c>
      <c r="O696">
        <v>98</v>
      </c>
      <c r="P696">
        <v>1</v>
      </c>
    </row>
    <row r="697" spans="1:16" x14ac:dyDescent="0.2">
      <c r="A697" s="3" t="s">
        <v>49</v>
      </c>
      <c r="B697" s="3" t="s">
        <v>52</v>
      </c>
      <c r="C697">
        <v>49</v>
      </c>
      <c r="D697">
        <v>14000</v>
      </c>
      <c r="E697">
        <v>499</v>
      </c>
      <c r="F697">
        <v>1</v>
      </c>
      <c r="G697">
        <v>14000</v>
      </c>
      <c r="H697">
        <v>9.1324500000000003E-4</v>
      </c>
      <c r="I697">
        <v>11880</v>
      </c>
      <c r="J697">
        <v>2784</v>
      </c>
      <c r="K697">
        <v>9096</v>
      </c>
      <c r="L697">
        <v>500</v>
      </c>
      <c r="M697">
        <v>499</v>
      </c>
      <c r="N697">
        <v>1</v>
      </c>
      <c r="O697">
        <v>2120</v>
      </c>
      <c r="P697">
        <v>1</v>
      </c>
    </row>
    <row r="698" spans="1:16" x14ac:dyDescent="0.2">
      <c r="A698" s="3" t="s">
        <v>49</v>
      </c>
      <c r="B698" s="3" t="s">
        <v>52</v>
      </c>
      <c r="C698">
        <v>28</v>
      </c>
      <c r="D698">
        <v>14000</v>
      </c>
      <c r="E698">
        <v>499</v>
      </c>
      <c r="F698">
        <v>1</v>
      </c>
      <c r="G698">
        <v>58565.0323707059</v>
      </c>
      <c r="H698">
        <v>9.1317199999999996E-4</v>
      </c>
      <c r="I698">
        <v>11887</v>
      </c>
      <c r="J698">
        <v>2801</v>
      </c>
      <c r="K698">
        <v>9086</v>
      </c>
      <c r="L698">
        <v>500</v>
      </c>
      <c r="M698">
        <v>499</v>
      </c>
      <c r="N698">
        <v>1</v>
      </c>
      <c r="O698">
        <v>8899.2718592672009</v>
      </c>
      <c r="P698">
        <v>0</v>
      </c>
    </row>
    <row r="699" spans="1:16" x14ac:dyDescent="0.2">
      <c r="A699" s="3" t="s">
        <v>49</v>
      </c>
      <c r="B699" s="3" t="s">
        <v>52</v>
      </c>
      <c r="C699">
        <v>23</v>
      </c>
      <c r="D699">
        <v>11000</v>
      </c>
      <c r="E699">
        <v>499</v>
      </c>
      <c r="F699">
        <v>1</v>
      </c>
      <c r="G699">
        <v>11000</v>
      </c>
      <c r="H699">
        <v>9.1316200000000002E-4</v>
      </c>
      <c r="I699">
        <v>11000</v>
      </c>
      <c r="J699">
        <v>2786</v>
      </c>
      <c r="K699">
        <v>8214</v>
      </c>
      <c r="L699">
        <v>500</v>
      </c>
      <c r="M699">
        <v>499</v>
      </c>
      <c r="N699">
        <v>1</v>
      </c>
      <c r="O699">
        <v>0</v>
      </c>
      <c r="P699">
        <v>1</v>
      </c>
    </row>
    <row r="700" spans="1:16" x14ac:dyDescent="0.2">
      <c r="A700" s="3" t="s">
        <v>49</v>
      </c>
      <c r="B700" s="3" t="s">
        <v>52</v>
      </c>
      <c r="C700">
        <v>41</v>
      </c>
      <c r="D700">
        <v>15000</v>
      </c>
      <c r="E700">
        <v>499</v>
      </c>
      <c r="F700">
        <v>1</v>
      </c>
      <c r="G700">
        <v>15000</v>
      </c>
      <c r="H700">
        <v>9.1261200000000004E-4</v>
      </c>
      <c r="I700">
        <v>11867</v>
      </c>
      <c r="J700">
        <v>2905</v>
      </c>
      <c r="K700">
        <v>8962</v>
      </c>
      <c r="L700">
        <v>500</v>
      </c>
      <c r="M700">
        <v>499</v>
      </c>
      <c r="N700">
        <v>1</v>
      </c>
      <c r="O700">
        <v>3133</v>
      </c>
      <c r="P700">
        <v>1</v>
      </c>
    </row>
    <row r="701" spans="1:16" x14ac:dyDescent="0.2">
      <c r="A701" s="3" t="s">
        <v>49</v>
      </c>
      <c r="B701" s="3" t="s">
        <v>52</v>
      </c>
      <c r="C701">
        <v>16</v>
      </c>
      <c r="D701">
        <v>16000</v>
      </c>
      <c r="E701">
        <v>499</v>
      </c>
      <c r="F701">
        <v>1</v>
      </c>
      <c r="G701">
        <v>64781.839036288002</v>
      </c>
      <c r="H701">
        <v>9.1241900000000003E-4</v>
      </c>
      <c r="I701">
        <v>11994</v>
      </c>
      <c r="J701">
        <v>2937</v>
      </c>
      <c r="K701">
        <v>9057</v>
      </c>
      <c r="L701">
        <v>500</v>
      </c>
      <c r="M701">
        <v>499</v>
      </c>
      <c r="N701">
        <v>1</v>
      </c>
      <c r="O701">
        <v>16318.002957140299</v>
      </c>
      <c r="P701">
        <v>0</v>
      </c>
    </row>
    <row r="702" spans="1:16" x14ac:dyDescent="0.2">
      <c r="A702" s="3" t="s">
        <v>49</v>
      </c>
      <c r="B702" s="3" t="s">
        <v>52</v>
      </c>
      <c r="C702">
        <v>25</v>
      </c>
      <c r="D702">
        <v>15000</v>
      </c>
      <c r="E702">
        <v>499</v>
      </c>
      <c r="F702">
        <v>1</v>
      </c>
      <c r="G702">
        <v>15000</v>
      </c>
      <c r="H702">
        <v>9.1221800000000001E-4</v>
      </c>
      <c r="I702">
        <v>11821</v>
      </c>
      <c r="J702">
        <v>2837</v>
      </c>
      <c r="K702">
        <v>8984</v>
      </c>
      <c r="L702">
        <v>500</v>
      </c>
      <c r="M702">
        <v>499</v>
      </c>
      <c r="N702">
        <v>1</v>
      </c>
      <c r="O702">
        <v>3179</v>
      </c>
      <c r="P702">
        <v>1</v>
      </c>
    </row>
    <row r="703" spans="1:16" x14ac:dyDescent="0.2">
      <c r="A703" s="3" t="s">
        <v>49</v>
      </c>
      <c r="B703" s="3" t="s">
        <v>52</v>
      </c>
      <c r="C703">
        <v>44</v>
      </c>
      <c r="D703">
        <v>12000</v>
      </c>
      <c r="E703">
        <v>499</v>
      </c>
      <c r="F703">
        <v>1</v>
      </c>
      <c r="G703">
        <v>12000</v>
      </c>
      <c r="H703">
        <v>9.1191500000000001E-4</v>
      </c>
      <c r="I703">
        <v>11897</v>
      </c>
      <c r="J703">
        <v>2775</v>
      </c>
      <c r="K703">
        <v>9122</v>
      </c>
      <c r="L703">
        <v>500</v>
      </c>
      <c r="M703">
        <v>499</v>
      </c>
      <c r="N703">
        <v>1</v>
      </c>
      <c r="O703">
        <v>103</v>
      </c>
      <c r="P703">
        <v>1</v>
      </c>
    </row>
    <row r="704" spans="1:16" x14ac:dyDescent="0.2">
      <c r="A704" s="3" t="s">
        <v>49</v>
      </c>
      <c r="B704" s="3" t="s">
        <v>52</v>
      </c>
      <c r="C704">
        <v>14</v>
      </c>
      <c r="D704">
        <v>15000</v>
      </c>
      <c r="E704">
        <v>499</v>
      </c>
      <c r="F704">
        <v>1</v>
      </c>
      <c r="G704">
        <v>60572.237308582698</v>
      </c>
      <c r="H704">
        <v>9.1173199999999995E-4</v>
      </c>
      <c r="I704">
        <v>11824</v>
      </c>
      <c r="J704">
        <v>2861</v>
      </c>
      <c r="K704">
        <v>8963</v>
      </c>
      <c r="L704">
        <v>500</v>
      </c>
      <c r="M704">
        <v>499</v>
      </c>
      <c r="N704">
        <v>1</v>
      </c>
      <c r="O704">
        <v>12848.1765315456</v>
      </c>
      <c r="P704">
        <v>0</v>
      </c>
    </row>
    <row r="705" spans="1:16" x14ac:dyDescent="0.2">
      <c r="A705" s="3" t="s">
        <v>49</v>
      </c>
      <c r="B705" s="3" t="s">
        <v>52</v>
      </c>
      <c r="C705">
        <v>25</v>
      </c>
      <c r="D705">
        <v>14000</v>
      </c>
      <c r="E705">
        <v>499</v>
      </c>
      <c r="F705">
        <v>1</v>
      </c>
      <c r="G705">
        <v>58565.0323707059</v>
      </c>
      <c r="H705">
        <v>9.1172300000000003E-4</v>
      </c>
      <c r="I705">
        <v>11869</v>
      </c>
      <c r="J705">
        <v>2808</v>
      </c>
      <c r="K705">
        <v>9061</v>
      </c>
      <c r="L705">
        <v>500</v>
      </c>
      <c r="M705">
        <v>499</v>
      </c>
      <c r="N705">
        <v>1</v>
      </c>
      <c r="O705">
        <v>8964.2243929515007</v>
      </c>
      <c r="P705">
        <v>0</v>
      </c>
    </row>
    <row r="706" spans="1:16" x14ac:dyDescent="0.2">
      <c r="A706" s="3" t="s">
        <v>49</v>
      </c>
      <c r="B706" s="3" t="s">
        <v>52</v>
      </c>
      <c r="C706">
        <v>15</v>
      </c>
      <c r="D706">
        <v>12000</v>
      </c>
      <c r="E706">
        <v>499</v>
      </c>
      <c r="F706">
        <v>1</v>
      </c>
      <c r="G706">
        <v>12000</v>
      </c>
      <c r="H706">
        <v>9.1146599999999999E-4</v>
      </c>
      <c r="I706">
        <v>11890</v>
      </c>
      <c r="J706">
        <v>2808</v>
      </c>
      <c r="K706">
        <v>9082</v>
      </c>
      <c r="L706">
        <v>500</v>
      </c>
      <c r="M706">
        <v>499</v>
      </c>
      <c r="N706">
        <v>1</v>
      </c>
      <c r="O706">
        <v>110</v>
      </c>
      <c r="P706">
        <v>1</v>
      </c>
    </row>
    <row r="707" spans="1:16" x14ac:dyDescent="0.2">
      <c r="A707" s="3" t="s">
        <v>49</v>
      </c>
      <c r="B707" s="3" t="s">
        <v>52</v>
      </c>
      <c r="C707">
        <v>15</v>
      </c>
      <c r="D707">
        <v>15000</v>
      </c>
      <c r="E707">
        <v>499</v>
      </c>
      <c r="F707">
        <v>1</v>
      </c>
      <c r="G707">
        <v>60572.237308582698</v>
      </c>
      <c r="H707">
        <v>9.1142000000000003E-4</v>
      </c>
      <c r="I707">
        <v>11835</v>
      </c>
      <c r="J707">
        <v>2895</v>
      </c>
      <c r="K707">
        <v>8940</v>
      </c>
      <c r="L707">
        <v>500</v>
      </c>
      <c r="M707">
        <v>499</v>
      </c>
      <c r="N707">
        <v>1</v>
      </c>
      <c r="O707">
        <v>12804.522186714201</v>
      </c>
      <c r="P707">
        <v>0</v>
      </c>
    </row>
    <row r="708" spans="1:16" x14ac:dyDescent="0.2">
      <c r="A708" s="3" t="s">
        <v>49</v>
      </c>
      <c r="B708" s="3" t="s">
        <v>52</v>
      </c>
      <c r="C708">
        <v>20</v>
      </c>
      <c r="D708">
        <v>12000</v>
      </c>
      <c r="E708">
        <v>499</v>
      </c>
      <c r="F708">
        <v>1</v>
      </c>
      <c r="G708">
        <v>12000</v>
      </c>
      <c r="H708">
        <v>9.10833E-4</v>
      </c>
      <c r="I708">
        <v>11881</v>
      </c>
      <c r="J708">
        <v>2762</v>
      </c>
      <c r="K708">
        <v>9119</v>
      </c>
      <c r="L708">
        <v>500</v>
      </c>
      <c r="M708">
        <v>499</v>
      </c>
      <c r="N708">
        <v>1</v>
      </c>
      <c r="O708">
        <v>119</v>
      </c>
      <c r="P708">
        <v>1</v>
      </c>
    </row>
    <row r="709" spans="1:16" x14ac:dyDescent="0.2">
      <c r="A709" s="3" t="s">
        <v>49</v>
      </c>
      <c r="B709" s="3" t="s">
        <v>52</v>
      </c>
      <c r="C709">
        <v>38</v>
      </c>
      <c r="D709">
        <v>12000</v>
      </c>
      <c r="E709">
        <v>499</v>
      </c>
      <c r="F709">
        <v>1</v>
      </c>
      <c r="G709">
        <v>50533.323552418398</v>
      </c>
      <c r="H709">
        <v>9.1046699999999998E-4</v>
      </c>
      <c r="I709">
        <v>11897</v>
      </c>
      <c r="J709">
        <v>2752</v>
      </c>
      <c r="K709">
        <v>9145</v>
      </c>
      <c r="L709">
        <v>500</v>
      </c>
      <c r="M709">
        <v>499</v>
      </c>
      <c r="N709">
        <v>1</v>
      </c>
      <c r="O709">
        <v>469.61201563949999</v>
      </c>
      <c r="P709">
        <v>0</v>
      </c>
    </row>
    <row r="710" spans="1:16" x14ac:dyDescent="0.2">
      <c r="A710" s="3" t="s">
        <v>49</v>
      </c>
      <c r="B710" s="3" t="s">
        <v>52</v>
      </c>
      <c r="C710">
        <v>42</v>
      </c>
      <c r="D710">
        <v>14000</v>
      </c>
      <c r="E710">
        <v>499</v>
      </c>
      <c r="F710">
        <v>1</v>
      </c>
      <c r="G710">
        <v>14000</v>
      </c>
      <c r="H710">
        <v>9.10165E-4</v>
      </c>
      <c r="I710">
        <v>11899</v>
      </c>
      <c r="J710">
        <v>2822</v>
      </c>
      <c r="K710">
        <v>9077</v>
      </c>
      <c r="L710">
        <v>500</v>
      </c>
      <c r="M710">
        <v>499</v>
      </c>
      <c r="N710">
        <v>1</v>
      </c>
      <c r="O710">
        <v>2101</v>
      </c>
      <c r="P710">
        <v>1</v>
      </c>
    </row>
    <row r="711" spans="1:16" x14ac:dyDescent="0.2">
      <c r="A711" s="3" t="s">
        <v>49</v>
      </c>
      <c r="B711" s="3" t="s">
        <v>52</v>
      </c>
      <c r="C711">
        <v>16</v>
      </c>
      <c r="D711">
        <v>12000</v>
      </c>
      <c r="E711">
        <v>499</v>
      </c>
      <c r="F711">
        <v>1</v>
      </c>
      <c r="G711">
        <v>12000</v>
      </c>
      <c r="H711">
        <v>9.0990799999999996E-4</v>
      </c>
      <c r="I711">
        <v>11927</v>
      </c>
      <c r="J711">
        <v>2784</v>
      </c>
      <c r="K711">
        <v>9143</v>
      </c>
      <c r="L711">
        <v>500</v>
      </c>
      <c r="M711">
        <v>499</v>
      </c>
      <c r="N711">
        <v>1</v>
      </c>
      <c r="O711">
        <v>73</v>
      </c>
      <c r="P711">
        <v>1</v>
      </c>
    </row>
    <row r="712" spans="1:16" x14ac:dyDescent="0.2">
      <c r="A712" s="3" t="s">
        <v>49</v>
      </c>
      <c r="B712" s="3" t="s">
        <v>52</v>
      </c>
      <c r="C712">
        <v>24</v>
      </c>
      <c r="D712">
        <v>15000</v>
      </c>
      <c r="E712">
        <v>499</v>
      </c>
      <c r="F712">
        <v>1</v>
      </c>
      <c r="G712">
        <v>60572.237308582698</v>
      </c>
      <c r="H712">
        <v>9.0982499999999996E-4</v>
      </c>
      <c r="I712">
        <v>11841</v>
      </c>
      <c r="J712">
        <v>2887</v>
      </c>
      <c r="K712">
        <v>8954</v>
      </c>
      <c r="L712">
        <v>500</v>
      </c>
      <c r="M712">
        <v>499</v>
      </c>
      <c r="N712">
        <v>1</v>
      </c>
      <c r="O712">
        <v>12786.548624942599</v>
      </c>
      <c r="P712">
        <v>0</v>
      </c>
    </row>
    <row r="713" spans="1:16" x14ac:dyDescent="0.2">
      <c r="A713" s="3" t="s">
        <v>49</v>
      </c>
      <c r="B713" s="3" t="s">
        <v>52</v>
      </c>
      <c r="C713">
        <v>22</v>
      </c>
      <c r="D713">
        <v>15000</v>
      </c>
      <c r="E713">
        <v>499</v>
      </c>
      <c r="F713">
        <v>1</v>
      </c>
      <c r="G713">
        <v>60572.237308582698</v>
      </c>
      <c r="H713">
        <v>9.09614E-4</v>
      </c>
      <c r="I713">
        <v>11839</v>
      </c>
      <c r="J713">
        <v>2858</v>
      </c>
      <c r="K713">
        <v>8981</v>
      </c>
      <c r="L713">
        <v>500</v>
      </c>
      <c r="M713">
        <v>499</v>
      </c>
      <c r="N713">
        <v>1</v>
      </c>
      <c r="O713">
        <v>12827.811471204601</v>
      </c>
      <c r="P713">
        <v>0</v>
      </c>
    </row>
    <row r="714" spans="1:16" x14ac:dyDescent="0.2">
      <c r="A714" s="3" t="s">
        <v>49</v>
      </c>
      <c r="B714" s="3" t="s">
        <v>52</v>
      </c>
      <c r="C714">
        <v>43</v>
      </c>
      <c r="D714">
        <v>15000</v>
      </c>
      <c r="E714">
        <v>499</v>
      </c>
      <c r="F714">
        <v>1</v>
      </c>
      <c r="G714">
        <v>60572.237308582698</v>
      </c>
      <c r="H714">
        <v>9.0956900000000005E-4</v>
      </c>
      <c r="I714">
        <v>11854</v>
      </c>
      <c r="J714">
        <v>2877</v>
      </c>
      <c r="K714">
        <v>8977</v>
      </c>
      <c r="L714">
        <v>500</v>
      </c>
      <c r="M714">
        <v>499</v>
      </c>
      <c r="N714">
        <v>1</v>
      </c>
      <c r="O714">
        <v>12752.837636407599</v>
      </c>
      <c r="P714">
        <v>0</v>
      </c>
    </row>
    <row r="715" spans="1:16" x14ac:dyDescent="0.2">
      <c r="A715" s="3" t="s">
        <v>49</v>
      </c>
      <c r="B715" s="3" t="s">
        <v>52</v>
      </c>
      <c r="C715">
        <v>29</v>
      </c>
      <c r="D715">
        <v>14000</v>
      </c>
      <c r="E715">
        <v>499</v>
      </c>
      <c r="F715">
        <v>1</v>
      </c>
      <c r="G715">
        <v>58565.0323707059</v>
      </c>
      <c r="H715">
        <v>9.0923900000000005E-4</v>
      </c>
      <c r="I715">
        <v>11844</v>
      </c>
      <c r="J715">
        <v>2804</v>
      </c>
      <c r="K715">
        <v>9040</v>
      </c>
      <c r="L715">
        <v>500</v>
      </c>
      <c r="M715">
        <v>499</v>
      </c>
      <c r="N715">
        <v>1</v>
      </c>
      <c r="O715">
        <v>9067.5188750489997</v>
      </c>
      <c r="P715">
        <v>0</v>
      </c>
    </row>
    <row r="716" spans="1:16" x14ac:dyDescent="0.2">
      <c r="A716" s="3" t="s">
        <v>49</v>
      </c>
      <c r="B716" s="3" t="s">
        <v>52</v>
      </c>
      <c r="C716">
        <v>19</v>
      </c>
      <c r="D716">
        <v>11000</v>
      </c>
      <c r="E716">
        <v>499</v>
      </c>
      <c r="F716">
        <v>1</v>
      </c>
      <c r="G716">
        <v>11000</v>
      </c>
      <c r="H716">
        <v>9.0917400000000001E-4</v>
      </c>
      <c r="I716">
        <v>11000</v>
      </c>
      <c r="J716">
        <v>2771</v>
      </c>
      <c r="K716">
        <v>8229</v>
      </c>
      <c r="L716">
        <v>500</v>
      </c>
      <c r="M716">
        <v>499</v>
      </c>
      <c r="N716">
        <v>1</v>
      </c>
      <c r="O716">
        <v>0</v>
      </c>
      <c r="P716">
        <v>1</v>
      </c>
    </row>
    <row r="717" spans="1:16" x14ac:dyDescent="0.2">
      <c r="A717" s="3" t="s">
        <v>49</v>
      </c>
      <c r="B717" s="3" t="s">
        <v>52</v>
      </c>
      <c r="C717">
        <v>9</v>
      </c>
      <c r="D717">
        <v>14000</v>
      </c>
      <c r="E717">
        <v>499</v>
      </c>
      <c r="F717">
        <v>1</v>
      </c>
      <c r="G717">
        <v>14000</v>
      </c>
      <c r="H717">
        <v>9.0916499999999997E-4</v>
      </c>
      <c r="I717">
        <v>11884</v>
      </c>
      <c r="J717">
        <v>2803</v>
      </c>
      <c r="K717">
        <v>9081</v>
      </c>
      <c r="L717">
        <v>500</v>
      </c>
      <c r="M717">
        <v>499</v>
      </c>
      <c r="N717">
        <v>1</v>
      </c>
      <c r="O717">
        <v>2116</v>
      </c>
      <c r="P717">
        <v>1</v>
      </c>
    </row>
    <row r="718" spans="1:16" x14ac:dyDescent="0.2">
      <c r="A718" s="3" t="s">
        <v>49</v>
      </c>
      <c r="B718" s="3" t="s">
        <v>52</v>
      </c>
      <c r="C718">
        <v>2</v>
      </c>
      <c r="D718">
        <v>14000</v>
      </c>
      <c r="E718">
        <v>499</v>
      </c>
      <c r="F718">
        <v>1</v>
      </c>
      <c r="G718">
        <v>58565.0323707059</v>
      </c>
      <c r="H718">
        <v>9.0898200000000002E-4</v>
      </c>
      <c r="I718">
        <v>11903</v>
      </c>
      <c r="J718">
        <v>2811</v>
      </c>
      <c r="K718">
        <v>9092</v>
      </c>
      <c r="L718">
        <v>500</v>
      </c>
      <c r="M718">
        <v>499</v>
      </c>
      <c r="N718">
        <v>1</v>
      </c>
      <c r="O718">
        <v>8846.9503052667005</v>
      </c>
      <c r="P718">
        <v>0</v>
      </c>
    </row>
    <row r="719" spans="1:16" x14ac:dyDescent="0.2">
      <c r="A719" s="3" t="s">
        <v>49</v>
      </c>
      <c r="B719" s="3" t="s">
        <v>52</v>
      </c>
      <c r="C719">
        <v>17</v>
      </c>
      <c r="D719">
        <v>12000</v>
      </c>
      <c r="E719">
        <v>499</v>
      </c>
      <c r="F719">
        <v>1</v>
      </c>
      <c r="G719">
        <v>12000</v>
      </c>
      <c r="H719">
        <v>9.0898200000000002E-4</v>
      </c>
      <c r="I719">
        <v>11883</v>
      </c>
      <c r="J719">
        <v>2750</v>
      </c>
      <c r="K719">
        <v>9133</v>
      </c>
      <c r="L719">
        <v>500</v>
      </c>
      <c r="M719">
        <v>499</v>
      </c>
      <c r="N719">
        <v>1</v>
      </c>
      <c r="O719">
        <v>117</v>
      </c>
      <c r="P719">
        <v>1</v>
      </c>
    </row>
    <row r="720" spans="1:16" x14ac:dyDescent="0.2">
      <c r="A720" s="3" t="s">
        <v>49</v>
      </c>
      <c r="B720" s="3" t="s">
        <v>52</v>
      </c>
      <c r="C720">
        <v>46</v>
      </c>
      <c r="D720">
        <v>15000</v>
      </c>
      <c r="E720">
        <v>499</v>
      </c>
      <c r="F720">
        <v>1</v>
      </c>
      <c r="G720">
        <v>60572.237308582698</v>
      </c>
      <c r="H720">
        <v>9.0885399999999996E-4</v>
      </c>
      <c r="I720">
        <v>11846</v>
      </c>
      <c r="J720">
        <v>2879</v>
      </c>
      <c r="K720">
        <v>8967</v>
      </c>
      <c r="L720">
        <v>500</v>
      </c>
      <c r="M720">
        <v>499</v>
      </c>
      <c r="N720">
        <v>1</v>
      </c>
      <c r="O720">
        <v>12772.822959102299</v>
      </c>
      <c r="P720">
        <v>0</v>
      </c>
    </row>
    <row r="721" spans="1:16" x14ac:dyDescent="0.2">
      <c r="A721" s="3" t="s">
        <v>49</v>
      </c>
      <c r="B721" s="3" t="s">
        <v>52</v>
      </c>
      <c r="C721">
        <v>39</v>
      </c>
      <c r="D721">
        <v>12000</v>
      </c>
      <c r="E721">
        <v>499</v>
      </c>
      <c r="F721">
        <v>1</v>
      </c>
      <c r="G721">
        <v>12000</v>
      </c>
      <c r="H721">
        <v>9.0826700000000004E-4</v>
      </c>
      <c r="I721">
        <v>11863</v>
      </c>
      <c r="J721">
        <v>2801</v>
      </c>
      <c r="K721">
        <v>9062</v>
      </c>
      <c r="L721">
        <v>500</v>
      </c>
      <c r="M721">
        <v>499</v>
      </c>
      <c r="N721">
        <v>1</v>
      </c>
      <c r="O721">
        <v>137</v>
      </c>
      <c r="P721">
        <v>1</v>
      </c>
    </row>
    <row r="722" spans="1:16" x14ac:dyDescent="0.2">
      <c r="A722" s="3" t="s">
        <v>49</v>
      </c>
      <c r="B722" s="3" t="s">
        <v>52</v>
      </c>
      <c r="C722">
        <v>24</v>
      </c>
      <c r="D722">
        <v>15000</v>
      </c>
      <c r="E722">
        <v>499</v>
      </c>
      <c r="F722">
        <v>1</v>
      </c>
      <c r="G722">
        <v>15000</v>
      </c>
      <c r="H722">
        <v>9.0821200000000004E-4</v>
      </c>
      <c r="I722">
        <v>11780</v>
      </c>
      <c r="J722">
        <v>2797</v>
      </c>
      <c r="K722">
        <v>8983</v>
      </c>
      <c r="L722">
        <v>500</v>
      </c>
      <c r="M722">
        <v>499</v>
      </c>
      <c r="N722">
        <v>1</v>
      </c>
      <c r="O722">
        <v>3220</v>
      </c>
      <c r="P722">
        <v>1</v>
      </c>
    </row>
    <row r="723" spans="1:16" x14ac:dyDescent="0.2">
      <c r="A723" s="3" t="s">
        <v>49</v>
      </c>
      <c r="B723" s="3" t="s">
        <v>52</v>
      </c>
      <c r="C723">
        <v>1</v>
      </c>
      <c r="D723">
        <v>16000</v>
      </c>
      <c r="E723">
        <v>499</v>
      </c>
      <c r="F723">
        <v>1</v>
      </c>
      <c r="G723">
        <v>64781.839036288002</v>
      </c>
      <c r="H723">
        <v>9.0813899999999997E-4</v>
      </c>
      <c r="I723">
        <v>11997</v>
      </c>
      <c r="J723">
        <v>2931</v>
      </c>
      <c r="K723">
        <v>9066</v>
      </c>
      <c r="L723">
        <v>500</v>
      </c>
      <c r="M723">
        <v>499</v>
      </c>
      <c r="N723">
        <v>1</v>
      </c>
      <c r="O723">
        <v>16283.3369807126</v>
      </c>
      <c r="P723">
        <v>0</v>
      </c>
    </row>
    <row r="724" spans="1:16" x14ac:dyDescent="0.2">
      <c r="A724" s="3" t="s">
        <v>49</v>
      </c>
      <c r="B724" s="3" t="s">
        <v>52</v>
      </c>
      <c r="C724">
        <v>23</v>
      </c>
      <c r="D724">
        <v>16000</v>
      </c>
      <c r="E724">
        <v>499</v>
      </c>
      <c r="F724">
        <v>1</v>
      </c>
      <c r="G724">
        <v>64781.839036288002</v>
      </c>
      <c r="H724">
        <v>9.08065E-4</v>
      </c>
      <c r="I724">
        <v>12012</v>
      </c>
      <c r="J724">
        <v>2915</v>
      </c>
      <c r="K724">
        <v>9097</v>
      </c>
      <c r="L724">
        <v>500</v>
      </c>
      <c r="M724">
        <v>499</v>
      </c>
      <c r="N724">
        <v>1</v>
      </c>
      <c r="O724">
        <v>16237.398300858</v>
      </c>
      <c r="P724">
        <v>0</v>
      </c>
    </row>
    <row r="725" spans="1:16" x14ac:dyDescent="0.2">
      <c r="A725" s="3" t="s">
        <v>49</v>
      </c>
      <c r="B725" s="3" t="s">
        <v>52</v>
      </c>
      <c r="C725">
        <v>14</v>
      </c>
      <c r="D725">
        <v>16000</v>
      </c>
      <c r="E725">
        <v>499</v>
      </c>
      <c r="F725">
        <v>1</v>
      </c>
      <c r="G725">
        <v>64781.839036288002</v>
      </c>
      <c r="H725">
        <v>9.0779000000000001E-4</v>
      </c>
      <c r="I725">
        <v>11999</v>
      </c>
      <c r="J725">
        <v>2944</v>
      </c>
      <c r="K725">
        <v>9055</v>
      </c>
      <c r="L725">
        <v>500</v>
      </c>
      <c r="M725">
        <v>499</v>
      </c>
      <c r="N725">
        <v>1</v>
      </c>
      <c r="O725">
        <v>16295.707904290901</v>
      </c>
      <c r="P725">
        <v>0</v>
      </c>
    </row>
    <row r="726" spans="1:16" x14ac:dyDescent="0.2">
      <c r="A726" s="3" t="s">
        <v>49</v>
      </c>
      <c r="B726" s="3" t="s">
        <v>52</v>
      </c>
      <c r="C726">
        <v>36</v>
      </c>
      <c r="D726">
        <v>15000</v>
      </c>
      <c r="E726">
        <v>499</v>
      </c>
      <c r="F726">
        <v>1</v>
      </c>
      <c r="G726">
        <v>15000</v>
      </c>
      <c r="H726">
        <v>9.0773600000000002E-4</v>
      </c>
      <c r="I726">
        <v>11851</v>
      </c>
      <c r="J726">
        <v>2865</v>
      </c>
      <c r="K726">
        <v>8986</v>
      </c>
      <c r="L726">
        <v>500</v>
      </c>
      <c r="M726">
        <v>499</v>
      </c>
      <c r="N726">
        <v>1</v>
      </c>
      <c r="O726">
        <v>3149</v>
      </c>
      <c r="P726">
        <v>1</v>
      </c>
    </row>
    <row r="727" spans="1:16" x14ac:dyDescent="0.2">
      <c r="A727" s="3" t="s">
        <v>49</v>
      </c>
      <c r="B727" s="3" t="s">
        <v>52</v>
      </c>
      <c r="C727">
        <v>26</v>
      </c>
      <c r="D727">
        <v>12000</v>
      </c>
      <c r="E727">
        <v>499</v>
      </c>
      <c r="F727">
        <v>1</v>
      </c>
      <c r="G727">
        <v>12000</v>
      </c>
      <c r="H727">
        <v>9.0770800000000002E-4</v>
      </c>
      <c r="I727">
        <v>11902</v>
      </c>
      <c r="J727">
        <v>2810</v>
      </c>
      <c r="K727">
        <v>9092</v>
      </c>
      <c r="L727">
        <v>500</v>
      </c>
      <c r="M727">
        <v>499</v>
      </c>
      <c r="N727">
        <v>1</v>
      </c>
      <c r="O727">
        <v>98</v>
      </c>
      <c r="P727">
        <v>1</v>
      </c>
    </row>
    <row r="728" spans="1:16" x14ac:dyDescent="0.2">
      <c r="A728" s="3" t="s">
        <v>49</v>
      </c>
      <c r="B728" s="3" t="s">
        <v>52</v>
      </c>
      <c r="C728">
        <v>42</v>
      </c>
      <c r="D728">
        <v>13000</v>
      </c>
      <c r="E728">
        <v>499</v>
      </c>
      <c r="F728">
        <v>1</v>
      </c>
      <c r="G728">
        <v>13000</v>
      </c>
      <c r="H728">
        <v>9.0754300000000002E-4</v>
      </c>
      <c r="I728">
        <v>11875</v>
      </c>
      <c r="J728">
        <v>2823</v>
      </c>
      <c r="K728">
        <v>9052</v>
      </c>
      <c r="L728">
        <v>500</v>
      </c>
      <c r="M728">
        <v>499</v>
      </c>
      <c r="N728">
        <v>1</v>
      </c>
      <c r="O728">
        <v>1125</v>
      </c>
      <c r="P728">
        <v>1</v>
      </c>
    </row>
    <row r="729" spans="1:16" x14ac:dyDescent="0.2">
      <c r="A729" s="3" t="s">
        <v>49</v>
      </c>
      <c r="B729" s="3" t="s">
        <v>52</v>
      </c>
      <c r="C729">
        <v>48</v>
      </c>
      <c r="D729">
        <v>15000</v>
      </c>
      <c r="E729">
        <v>499</v>
      </c>
      <c r="F729">
        <v>1</v>
      </c>
      <c r="G729">
        <v>15000</v>
      </c>
      <c r="H729">
        <v>9.0746000000000002E-4</v>
      </c>
      <c r="I729">
        <v>11830</v>
      </c>
      <c r="J729">
        <v>2859</v>
      </c>
      <c r="K729">
        <v>8971</v>
      </c>
      <c r="L729">
        <v>500</v>
      </c>
      <c r="M729">
        <v>499</v>
      </c>
      <c r="N729">
        <v>1</v>
      </c>
      <c r="O729">
        <v>3170</v>
      </c>
      <c r="P729">
        <v>1</v>
      </c>
    </row>
    <row r="730" spans="1:16" x14ac:dyDescent="0.2">
      <c r="A730" s="3" t="s">
        <v>49</v>
      </c>
      <c r="B730" s="3" t="s">
        <v>52</v>
      </c>
      <c r="C730">
        <v>34</v>
      </c>
      <c r="D730">
        <v>14000</v>
      </c>
      <c r="E730">
        <v>499</v>
      </c>
      <c r="F730">
        <v>1</v>
      </c>
      <c r="G730">
        <v>14000</v>
      </c>
      <c r="H730">
        <v>9.0722199999999995E-4</v>
      </c>
      <c r="I730">
        <v>11902</v>
      </c>
      <c r="J730">
        <v>2835</v>
      </c>
      <c r="K730">
        <v>9067</v>
      </c>
      <c r="L730">
        <v>500</v>
      </c>
      <c r="M730">
        <v>499</v>
      </c>
      <c r="N730">
        <v>1</v>
      </c>
      <c r="O730">
        <v>2098</v>
      </c>
      <c r="P730">
        <v>1</v>
      </c>
    </row>
    <row r="731" spans="1:16" x14ac:dyDescent="0.2">
      <c r="A731" s="3" t="s">
        <v>49</v>
      </c>
      <c r="B731" s="3" t="s">
        <v>52</v>
      </c>
      <c r="C731">
        <v>14</v>
      </c>
      <c r="D731">
        <v>13000</v>
      </c>
      <c r="E731">
        <v>499</v>
      </c>
      <c r="F731">
        <v>1</v>
      </c>
      <c r="G731">
        <v>13000</v>
      </c>
      <c r="H731">
        <v>9.0713899999999995E-4</v>
      </c>
      <c r="I731">
        <v>11820</v>
      </c>
      <c r="J731">
        <v>2801</v>
      </c>
      <c r="K731">
        <v>9019</v>
      </c>
      <c r="L731">
        <v>500</v>
      </c>
      <c r="M731">
        <v>499</v>
      </c>
      <c r="N731">
        <v>1</v>
      </c>
      <c r="O731">
        <v>1180</v>
      </c>
      <c r="P731">
        <v>1</v>
      </c>
    </row>
    <row r="732" spans="1:16" x14ac:dyDescent="0.2">
      <c r="A732" s="3" t="s">
        <v>49</v>
      </c>
      <c r="B732" s="3" t="s">
        <v>52</v>
      </c>
      <c r="C732">
        <v>19</v>
      </c>
      <c r="D732">
        <v>14000</v>
      </c>
      <c r="E732">
        <v>499</v>
      </c>
      <c r="F732">
        <v>1</v>
      </c>
      <c r="G732">
        <v>14000</v>
      </c>
      <c r="H732">
        <v>9.0632400000000002E-4</v>
      </c>
      <c r="I732">
        <v>11893</v>
      </c>
      <c r="J732">
        <v>2833</v>
      </c>
      <c r="K732">
        <v>9060</v>
      </c>
      <c r="L732">
        <v>500</v>
      </c>
      <c r="M732">
        <v>499</v>
      </c>
      <c r="N732">
        <v>1</v>
      </c>
      <c r="O732">
        <v>2107</v>
      </c>
      <c r="P732">
        <v>1</v>
      </c>
    </row>
    <row r="733" spans="1:16" x14ac:dyDescent="0.2">
      <c r="A733" s="3" t="s">
        <v>49</v>
      </c>
      <c r="B733" s="3" t="s">
        <v>52</v>
      </c>
      <c r="C733">
        <v>25</v>
      </c>
      <c r="D733">
        <v>16000</v>
      </c>
      <c r="E733">
        <v>499</v>
      </c>
      <c r="F733">
        <v>1</v>
      </c>
      <c r="G733">
        <v>64781.839036288002</v>
      </c>
      <c r="H733">
        <v>9.0627800000000005E-4</v>
      </c>
      <c r="I733">
        <v>12043</v>
      </c>
      <c r="J733">
        <v>2971</v>
      </c>
      <c r="K733">
        <v>9072</v>
      </c>
      <c r="L733">
        <v>500</v>
      </c>
      <c r="M733">
        <v>499</v>
      </c>
      <c r="N733">
        <v>1</v>
      </c>
      <c r="O733">
        <v>16162.1176489514</v>
      </c>
      <c r="P733">
        <v>0</v>
      </c>
    </row>
    <row r="734" spans="1:16" x14ac:dyDescent="0.2">
      <c r="A734" s="3" t="s">
        <v>49</v>
      </c>
      <c r="B734" s="3" t="s">
        <v>52</v>
      </c>
      <c r="C734">
        <v>29</v>
      </c>
      <c r="D734">
        <v>16000</v>
      </c>
      <c r="E734">
        <v>499</v>
      </c>
      <c r="F734">
        <v>1</v>
      </c>
      <c r="G734">
        <v>64781.839036288002</v>
      </c>
      <c r="H734">
        <v>9.0620399999999997E-4</v>
      </c>
      <c r="I734">
        <v>12017</v>
      </c>
      <c r="J734">
        <v>2949</v>
      </c>
      <c r="K734">
        <v>9068</v>
      </c>
      <c r="L734">
        <v>500</v>
      </c>
      <c r="M734">
        <v>499</v>
      </c>
      <c r="N734">
        <v>1</v>
      </c>
      <c r="O734">
        <v>16214.2705255562</v>
      </c>
      <c r="P734">
        <v>0</v>
      </c>
    </row>
    <row r="735" spans="1:16" x14ac:dyDescent="0.2">
      <c r="A735" s="3" t="s">
        <v>49</v>
      </c>
      <c r="B735" s="3" t="s">
        <v>52</v>
      </c>
      <c r="C735">
        <v>15</v>
      </c>
      <c r="D735">
        <v>15000</v>
      </c>
      <c r="E735">
        <v>499</v>
      </c>
      <c r="F735">
        <v>1</v>
      </c>
      <c r="G735">
        <v>15000</v>
      </c>
      <c r="H735">
        <v>9.0606699999999998E-4</v>
      </c>
      <c r="I735">
        <v>11875</v>
      </c>
      <c r="J735">
        <v>2877</v>
      </c>
      <c r="K735">
        <v>8998</v>
      </c>
      <c r="L735">
        <v>500</v>
      </c>
      <c r="M735">
        <v>499</v>
      </c>
      <c r="N735">
        <v>1</v>
      </c>
      <c r="O735">
        <v>3125</v>
      </c>
      <c r="P735">
        <v>1</v>
      </c>
    </row>
    <row r="736" spans="1:16" x14ac:dyDescent="0.2">
      <c r="A736" s="3" t="s">
        <v>49</v>
      </c>
      <c r="B736" s="3" t="s">
        <v>52</v>
      </c>
      <c r="C736">
        <v>34</v>
      </c>
      <c r="D736">
        <v>15000</v>
      </c>
      <c r="E736">
        <v>499</v>
      </c>
      <c r="F736">
        <v>1</v>
      </c>
      <c r="G736">
        <v>60572.237308582698</v>
      </c>
      <c r="H736">
        <v>9.0541600000000003E-4</v>
      </c>
      <c r="I736">
        <v>11851</v>
      </c>
      <c r="J736">
        <v>2852</v>
      </c>
      <c r="K736">
        <v>8999</v>
      </c>
      <c r="L736">
        <v>500</v>
      </c>
      <c r="M736">
        <v>499</v>
      </c>
      <c r="N736">
        <v>1</v>
      </c>
      <c r="O736">
        <v>12776.6724502077</v>
      </c>
      <c r="P736">
        <v>0</v>
      </c>
    </row>
    <row r="737" spans="1:16" x14ac:dyDescent="0.2">
      <c r="A737" s="3" t="s">
        <v>49</v>
      </c>
      <c r="B737" s="3" t="s">
        <v>52</v>
      </c>
      <c r="C737">
        <v>14</v>
      </c>
      <c r="D737">
        <v>12000</v>
      </c>
      <c r="E737">
        <v>499</v>
      </c>
      <c r="F737">
        <v>1</v>
      </c>
      <c r="G737">
        <v>12000</v>
      </c>
      <c r="H737">
        <v>9.0532500000000001E-4</v>
      </c>
      <c r="I737">
        <v>11898</v>
      </c>
      <c r="J737">
        <v>2742</v>
      </c>
      <c r="K737">
        <v>9156</v>
      </c>
      <c r="L737">
        <v>500</v>
      </c>
      <c r="M737">
        <v>499</v>
      </c>
      <c r="N737">
        <v>1</v>
      </c>
      <c r="O737">
        <v>102</v>
      </c>
      <c r="P737">
        <v>1</v>
      </c>
    </row>
    <row r="738" spans="1:16" x14ac:dyDescent="0.2">
      <c r="A738" s="3" t="s">
        <v>49</v>
      </c>
      <c r="B738" s="3" t="s">
        <v>52</v>
      </c>
      <c r="C738">
        <v>8</v>
      </c>
      <c r="D738">
        <v>14000</v>
      </c>
      <c r="E738">
        <v>499</v>
      </c>
      <c r="F738">
        <v>1</v>
      </c>
      <c r="G738">
        <v>14000</v>
      </c>
      <c r="H738">
        <v>9.0497600000000004E-4</v>
      </c>
      <c r="I738">
        <v>11944</v>
      </c>
      <c r="J738">
        <v>2834</v>
      </c>
      <c r="K738">
        <v>9110</v>
      </c>
      <c r="L738">
        <v>500</v>
      </c>
      <c r="M738">
        <v>499</v>
      </c>
      <c r="N738">
        <v>1</v>
      </c>
      <c r="O738">
        <v>2056</v>
      </c>
      <c r="P738">
        <v>1</v>
      </c>
    </row>
    <row r="739" spans="1:16" x14ac:dyDescent="0.2">
      <c r="A739" s="3" t="s">
        <v>49</v>
      </c>
      <c r="B739" s="3" t="s">
        <v>52</v>
      </c>
      <c r="C739">
        <v>29</v>
      </c>
      <c r="D739">
        <v>15000</v>
      </c>
      <c r="E739">
        <v>499</v>
      </c>
      <c r="F739">
        <v>1</v>
      </c>
      <c r="G739">
        <v>60572.237308582698</v>
      </c>
      <c r="H739">
        <v>9.0487499999999997E-4</v>
      </c>
      <c r="I739">
        <v>11864</v>
      </c>
      <c r="J739">
        <v>2868</v>
      </c>
      <c r="K739">
        <v>8996</v>
      </c>
      <c r="L739">
        <v>500</v>
      </c>
      <c r="M739">
        <v>499</v>
      </c>
      <c r="N739">
        <v>1</v>
      </c>
      <c r="O739">
        <v>12709.173504599299</v>
      </c>
      <c r="P739">
        <v>0</v>
      </c>
    </row>
    <row r="740" spans="1:16" x14ac:dyDescent="0.2">
      <c r="A740" s="3" t="s">
        <v>49</v>
      </c>
      <c r="B740" s="3" t="s">
        <v>52</v>
      </c>
      <c r="C740">
        <v>11</v>
      </c>
      <c r="D740">
        <v>15000</v>
      </c>
      <c r="E740">
        <v>499</v>
      </c>
      <c r="F740">
        <v>1</v>
      </c>
      <c r="G740">
        <v>15000</v>
      </c>
      <c r="H740">
        <v>9.0469200000000002E-4</v>
      </c>
      <c r="I740">
        <v>11823</v>
      </c>
      <c r="J740">
        <v>2859</v>
      </c>
      <c r="K740">
        <v>8964</v>
      </c>
      <c r="L740">
        <v>500</v>
      </c>
      <c r="M740">
        <v>499</v>
      </c>
      <c r="N740">
        <v>1</v>
      </c>
      <c r="O740">
        <v>3177</v>
      </c>
      <c r="P740">
        <v>1</v>
      </c>
    </row>
    <row r="741" spans="1:16" x14ac:dyDescent="0.2">
      <c r="A741" s="3" t="s">
        <v>49</v>
      </c>
      <c r="B741" s="3" t="s">
        <v>52</v>
      </c>
      <c r="C741">
        <v>25</v>
      </c>
      <c r="D741">
        <v>14000</v>
      </c>
      <c r="E741">
        <v>499</v>
      </c>
      <c r="F741">
        <v>1</v>
      </c>
      <c r="G741">
        <v>14000</v>
      </c>
      <c r="H741">
        <v>9.0444400000000002E-4</v>
      </c>
      <c r="I741">
        <v>11916</v>
      </c>
      <c r="J741">
        <v>2828</v>
      </c>
      <c r="K741">
        <v>9088</v>
      </c>
      <c r="L741">
        <v>500</v>
      </c>
      <c r="M741">
        <v>499</v>
      </c>
      <c r="N741">
        <v>1</v>
      </c>
      <c r="O741">
        <v>2084</v>
      </c>
      <c r="P741">
        <v>1</v>
      </c>
    </row>
    <row r="742" spans="1:16" x14ac:dyDescent="0.2">
      <c r="A742" s="3" t="s">
        <v>49</v>
      </c>
      <c r="B742" s="3" t="s">
        <v>52</v>
      </c>
      <c r="C742">
        <v>26</v>
      </c>
      <c r="D742">
        <v>14000</v>
      </c>
      <c r="E742">
        <v>499</v>
      </c>
      <c r="F742">
        <v>1</v>
      </c>
      <c r="G742">
        <v>14000</v>
      </c>
      <c r="H742">
        <v>9.0422500000000004E-4</v>
      </c>
      <c r="I742">
        <v>11898</v>
      </c>
      <c r="J742">
        <v>2805</v>
      </c>
      <c r="K742">
        <v>9093</v>
      </c>
      <c r="L742">
        <v>500</v>
      </c>
      <c r="M742">
        <v>499</v>
      </c>
      <c r="N742">
        <v>1</v>
      </c>
      <c r="O742">
        <v>2102</v>
      </c>
      <c r="P742">
        <v>1</v>
      </c>
    </row>
    <row r="743" spans="1:16" x14ac:dyDescent="0.2">
      <c r="A743" s="3" t="s">
        <v>49</v>
      </c>
      <c r="B743" s="3" t="s">
        <v>52</v>
      </c>
      <c r="C743">
        <v>21</v>
      </c>
      <c r="D743">
        <v>16000</v>
      </c>
      <c r="E743">
        <v>499</v>
      </c>
      <c r="F743">
        <v>1</v>
      </c>
      <c r="G743">
        <v>64781.839036288002</v>
      </c>
      <c r="H743">
        <v>9.0412399999999997E-4</v>
      </c>
      <c r="I743">
        <v>12008</v>
      </c>
      <c r="J743">
        <v>2907</v>
      </c>
      <c r="K743">
        <v>9101</v>
      </c>
      <c r="L743">
        <v>500</v>
      </c>
      <c r="M743">
        <v>499</v>
      </c>
      <c r="N743">
        <v>1</v>
      </c>
      <c r="O743">
        <v>16273.365979828901</v>
      </c>
      <c r="P743">
        <v>0</v>
      </c>
    </row>
    <row r="744" spans="1:16" x14ac:dyDescent="0.2">
      <c r="A744" s="3" t="s">
        <v>49</v>
      </c>
      <c r="B744" s="3" t="s">
        <v>52</v>
      </c>
      <c r="C744">
        <v>28</v>
      </c>
      <c r="D744">
        <v>15000</v>
      </c>
      <c r="E744">
        <v>499</v>
      </c>
      <c r="F744">
        <v>1</v>
      </c>
      <c r="G744">
        <v>15000</v>
      </c>
      <c r="H744">
        <v>9.0400400000000003E-4</v>
      </c>
      <c r="I744">
        <v>11838</v>
      </c>
      <c r="J744">
        <v>2856</v>
      </c>
      <c r="K744">
        <v>8982</v>
      </c>
      <c r="L744">
        <v>500</v>
      </c>
      <c r="M744">
        <v>499</v>
      </c>
      <c r="N744">
        <v>1</v>
      </c>
      <c r="O744">
        <v>3162</v>
      </c>
      <c r="P744">
        <v>1</v>
      </c>
    </row>
    <row r="745" spans="1:16" x14ac:dyDescent="0.2">
      <c r="A745" s="3" t="s">
        <v>49</v>
      </c>
      <c r="B745" s="3" t="s">
        <v>52</v>
      </c>
      <c r="C745">
        <v>40</v>
      </c>
      <c r="D745">
        <v>15000</v>
      </c>
      <c r="E745">
        <v>499</v>
      </c>
      <c r="F745">
        <v>1</v>
      </c>
      <c r="G745">
        <v>60572.237308582698</v>
      </c>
      <c r="H745">
        <v>9.0386700000000004E-4</v>
      </c>
      <c r="I745">
        <v>11867</v>
      </c>
      <c r="J745">
        <v>2857</v>
      </c>
      <c r="K745">
        <v>9010</v>
      </c>
      <c r="L745">
        <v>500</v>
      </c>
      <c r="M745">
        <v>499</v>
      </c>
      <c r="N745">
        <v>1</v>
      </c>
      <c r="O745">
        <v>12696.1456478728</v>
      </c>
      <c r="P745">
        <v>0</v>
      </c>
    </row>
    <row r="746" spans="1:16" x14ac:dyDescent="0.2">
      <c r="A746" s="3" t="s">
        <v>49</v>
      </c>
      <c r="B746" s="3" t="s">
        <v>52</v>
      </c>
      <c r="C746">
        <v>46</v>
      </c>
      <c r="D746">
        <v>13000</v>
      </c>
      <c r="E746">
        <v>499</v>
      </c>
      <c r="F746">
        <v>1</v>
      </c>
      <c r="G746">
        <v>53044.701099550097</v>
      </c>
      <c r="H746">
        <v>9.0365599999999997E-4</v>
      </c>
      <c r="I746">
        <v>11832</v>
      </c>
      <c r="J746">
        <v>2810</v>
      </c>
      <c r="K746">
        <v>9022</v>
      </c>
      <c r="L746">
        <v>500</v>
      </c>
      <c r="M746">
        <v>499</v>
      </c>
      <c r="N746">
        <v>1</v>
      </c>
      <c r="O746">
        <v>4759.3970047156999</v>
      </c>
      <c r="P746">
        <v>0</v>
      </c>
    </row>
    <row r="747" spans="1:16" x14ac:dyDescent="0.2">
      <c r="A747" s="3" t="s">
        <v>49</v>
      </c>
      <c r="B747" s="3" t="s">
        <v>52</v>
      </c>
      <c r="C747">
        <v>9</v>
      </c>
      <c r="D747">
        <v>15000</v>
      </c>
      <c r="E747">
        <v>499</v>
      </c>
      <c r="F747">
        <v>1</v>
      </c>
      <c r="G747">
        <v>60572.237308582698</v>
      </c>
      <c r="H747">
        <v>9.0343599999999997E-4</v>
      </c>
      <c r="I747">
        <v>11864</v>
      </c>
      <c r="J747">
        <v>2887</v>
      </c>
      <c r="K747">
        <v>8977</v>
      </c>
      <c r="L747">
        <v>500</v>
      </c>
      <c r="M747">
        <v>499</v>
      </c>
      <c r="N747">
        <v>1</v>
      </c>
      <c r="O747">
        <v>12714.5138683407</v>
      </c>
      <c r="P747">
        <v>0</v>
      </c>
    </row>
    <row r="748" spans="1:16" x14ac:dyDescent="0.2">
      <c r="A748" s="3" t="s">
        <v>49</v>
      </c>
      <c r="B748" s="3" t="s">
        <v>52</v>
      </c>
      <c r="C748">
        <v>11</v>
      </c>
      <c r="D748">
        <v>13000</v>
      </c>
      <c r="E748">
        <v>499</v>
      </c>
      <c r="F748">
        <v>1</v>
      </c>
      <c r="G748">
        <v>53044.701099550097</v>
      </c>
      <c r="H748">
        <v>9.0315199999999995E-4</v>
      </c>
      <c r="I748">
        <v>11829</v>
      </c>
      <c r="J748">
        <v>2827</v>
      </c>
      <c r="K748">
        <v>9002</v>
      </c>
      <c r="L748">
        <v>500</v>
      </c>
      <c r="M748">
        <v>499</v>
      </c>
      <c r="N748">
        <v>1</v>
      </c>
      <c r="O748">
        <v>4760.7149093982998</v>
      </c>
      <c r="P748">
        <v>0</v>
      </c>
    </row>
    <row r="749" spans="1:16" x14ac:dyDescent="0.2">
      <c r="A749" s="3" t="s">
        <v>49</v>
      </c>
      <c r="B749" s="3" t="s">
        <v>52</v>
      </c>
      <c r="C749">
        <v>48</v>
      </c>
      <c r="D749">
        <v>14000</v>
      </c>
      <c r="E749">
        <v>499</v>
      </c>
      <c r="F749">
        <v>1</v>
      </c>
      <c r="G749">
        <v>14000</v>
      </c>
      <c r="H749">
        <v>9.0277599999999999E-4</v>
      </c>
      <c r="I749">
        <v>11865</v>
      </c>
      <c r="J749">
        <v>2824</v>
      </c>
      <c r="K749">
        <v>9041</v>
      </c>
      <c r="L749">
        <v>500</v>
      </c>
      <c r="M749">
        <v>499</v>
      </c>
      <c r="N749">
        <v>1</v>
      </c>
      <c r="O749">
        <v>2135</v>
      </c>
      <c r="P749">
        <v>1</v>
      </c>
    </row>
    <row r="750" spans="1:16" x14ac:dyDescent="0.2">
      <c r="A750" s="3" t="s">
        <v>49</v>
      </c>
      <c r="B750" s="3" t="s">
        <v>52</v>
      </c>
      <c r="C750">
        <v>10</v>
      </c>
      <c r="D750">
        <v>15000</v>
      </c>
      <c r="E750">
        <v>499</v>
      </c>
      <c r="F750">
        <v>1</v>
      </c>
      <c r="G750">
        <v>60572.237308582698</v>
      </c>
      <c r="H750">
        <v>9.02446E-4</v>
      </c>
      <c r="I750">
        <v>11860</v>
      </c>
      <c r="J750">
        <v>2884</v>
      </c>
      <c r="K750">
        <v>8976</v>
      </c>
      <c r="L750">
        <v>500</v>
      </c>
      <c r="M750">
        <v>499</v>
      </c>
      <c r="N750">
        <v>1</v>
      </c>
      <c r="O750">
        <v>12749.118530052199</v>
      </c>
      <c r="P750">
        <v>0</v>
      </c>
    </row>
    <row r="751" spans="1:16" x14ac:dyDescent="0.2">
      <c r="A751" s="3" t="s">
        <v>49</v>
      </c>
      <c r="B751" s="3" t="s">
        <v>52</v>
      </c>
      <c r="C751">
        <v>26</v>
      </c>
      <c r="D751">
        <v>13000</v>
      </c>
      <c r="E751">
        <v>499</v>
      </c>
      <c r="F751">
        <v>1</v>
      </c>
      <c r="G751">
        <v>53044.701099550097</v>
      </c>
      <c r="H751">
        <v>9.0239200000000002E-4</v>
      </c>
      <c r="I751">
        <v>11811</v>
      </c>
      <c r="J751">
        <v>2791</v>
      </c>
      <c r="K751">
        <v>9020</v>
      </c>
      <c r="L751">
        <v>500</v>
      </c>
      <c r="M751">
        <v>499</v>
      </c>
      <c r="N751">
        <v>1</v>
      </c>
      <c r="O751">
        <v>4835.4011461767996</v>
      </c>
      <c r="P751">
        <v>0</v>
      </c>
    </row>
    <row r="752" spans="1:16" x14ac:dyDescent="0.2">
      <c r="A752" s="3" t="s">
        <v>49</v>
      </c>
      <c r="B752" s="3" t="s">
        <v>52</v>
      </c>
      <c r="C752">
        <v>16</v>
      </c>
      <c r="D752">
        <v>15000</v>
      </c>
      <c r="E752">
        <v>499</v>
      </c>
      <c r="F752">
        <v>1</v>
      </c>
      <c r="G752">
        <v>15000</v>
      </c>
      <c r="H752">
        <v>9.02391E-4</v>
      </c>
      <c r="I752">
        <v>11861</v>
      </c>
      <c r="J752">
        <v>2865</v>
      </c>
      <c r="K752">
        <v>8996</v>
      </c>
      <c r="L752">
        <v>500</v>
      </c>
      <c r="M752">
        <v>499</v>
      </c>
      <c r="N752">
        <v>1</v>
      </c>
      <c r="O752">
        <v>3139</v>
      </c>
      <c r="P752">
        <v>1</v>
      </c>
    </row>
    <row r="753" spans="1:16" x14ac:dyDescent="0.2">
      <c r="A753" s="3" t="s">
        <v>49</v>
      </c>
      <c r="B753" s="3" t="s">
        <v>52</v>
      </c>
      <c r="C753">
        <v>36</v>
      </c>
      <c r="D753">
        <v>15000</v>
      </c>
      <c r="E753">
        <v>499</v>
      </c>
      <c r="F753">
        <v>1</v>
      </c>
      <c r="G753">
        <v>60572.237308582698</v>
      </c>
      <c r="H753">
        <v>9.0211600000000001E-4</v>
      </c>
      <c r="I753">
        <v>11841</v>
      </c>
      <c r="J753">
        <v>2839</v>
      </c>
      <c r="K753">
        <v>9002</v>
      </c>
      <c r="L753">
        <v>500</v>
      </c>
      <c r="M753">
        <v>499</v>
      </c>
      <c r="N753">
        <v>1</v>
      </c>
      <c r="O753">
        <v>12797.608893255299</v>
      </c>
      <c r="P753">
        <v>0</v>
      </c>
    </row>
    <row r="754" spans="1:16" x14ac:dyDescent="0.2">
      <c r="A754" s="3" t="s">
        <v>49</v>
      </c>
      <c r="B754" s="3" t="s">
        <v>52</v>
      </c>
      <c r="C754">
        <v>43</v>
      </c>
      <c r="D754">
        <v>14000</v>
      </c>
      <c r="E754">
        <v>499</v>
      </c>
      <c r="F754">
        <v>1</v>
      </c>
      <c r="G754">
        <v>14000</v>
      </c>
      <c r="H754">
        <v>9.0177699999999998E-4</v>
      </c>
      <c r="I754">
        <v>11939</v>
      </c>
      <c r="J754">
        <v>2837</v>
      </c>
      <c r="K754">
        <v>9102</v>
      </c>
      <c r="L754">
        <v>500</v>
      </c>
      <c r="M754">
        <v>499</v>
      </c>
      <c r="N754">
        <v>1</v>
      </c>
      <c r="O754">
        <v>2061</v>
      </c>
      <c r="P754">
        <v>1</v>
      </c>
    </row>
    <row r="755" spans="1:16" x14ac:dyDescent="0.2">
      <c r="A755" s="3" t="s">
        <v>49</v>
      </c>
      <c r="B755" s="3" t="s">
        <v>52</v>
      </c>
      <c r="C755">
        <v>29</v>
      </c>
      <c r="D755">
        <v>12000</v>
      </c>
      <c r="E755">
        <v>499</v>
      </c>
      <c r="F755">
        <v>1</v>
      </c>
      <c r="G755">
        <v>12000</v>
      </c>
      <c r="H755">
        <v>9.0174899999999998E-4</v>
      </c>
      <c r="I755">
        <v>11885</v>
      </c>
      <c r="J755">
        <v>2797</v>
      </c>
      <c r="K755">
        <v>9088</v>
      </c>
      <c r="L755">
        <v>500</v>
      </c>
      <c r="M755">
        <v>499</v>
      </c>
      <c r="N755">
        <v>1</v>
      </c>
      <c r="O755">
        <v>115</v>
      </c>
      <c r="P755">
        <v>1</v>
      </c>
    </row>
    <row r="756" spans="1:16" x14ac:dyDescent="0.2">
      <c r="A756" s="3" t="s">
        <v>49</v>
      </c>
      <c r="B756" s="3" t="s">
        <v>52</v>
      </c>
      <c r="C756">
        <v>35</v>
      </c>
      <c r="D756">
        <v>14000</v>
      </c>
      <c r="E756">
        <v>499</v>
      </c>
      <c r="F756">
        <v>1</v>
      </c>
      <c r="G756">
        <v>58565.0323707059</v>
      </c>
      <c r="H756">
        <v>9.0161199999999999E-4</v>
      </c>
      <c r="I756">
        <v>11898</v>
      </c>
      <c r="J756">
        <v>2827</v>
      </c>
      <c r="K756">
        <v>9071</v>
      </c>
      <c r="L756">
        <v>500</v>
      </c>
      <c r="M756">
        <v>499</v>
      </c>
      <c r="N756">
        <v>1</v>
      </c>
      <c r="O756">
        <v>8852.3665486305999</v>
      </c>
      <c r="P756">
        <v>0</v>
      </c>
    </row>
    <row r="757" spans="1:16" x14ac:dyDescent="0.2">
      <c r="A757" s="3" t="s">
        <v>49</v>
      </c>
      <c r="B757" s="3" t="s">
        <v>52</v>
      </c>
      <c r="C757">
        <v>8</v>
      </c>
      <c r="D757">
        <v>11000</v>
      </c>
      <c r="E757">
        <v>499</v>
      </c>
      <c r="F757">
        <v>1</v>
      </c>
      <c r="G757">
        <v>11000</v>
      </c>
      <c r="H757">
        <v>9.0140100000000003E-4</v>
      </c>
      <c r="I757">
        <v>11000</v>
      </c>
      <c r="J757">
        <v>2727</v>
      </c>
      <c r="K757">
        <v>8273</v>
      </c>
      <c r="L757">
        <v>500</v>
      </c>
      <c r="M757">
        <v>499</v>
      </c>
      <c r="N757">
        <v>1</v>
      </c>
      <c r="O757">
        <v>0</v>
      </c>
      <c r="P757">
        <v>1</v>
      </c>
    </row>
    <row r="758" spans="1:16" x14ac:dyDescent="0.2">
      <c r="A758" s="3" t="s">
        <v>49</v>
      </c>
      <c r="B758" s="3" t="s">
        <v>52</v>
      </c>
      <c r="C758">
        <v>21</v>
      </c>
      <c r="D758">
        <v>15000</v>
      </c>
      <c r="E758">
        <v>499</v>
      </c>
      <c r="F758">
        <v>1</v>
      </c>
      <c r="G758">
        <v>15000</v>
      </c>
      <c r="H758">
        <v>9.0129999999999995E-4</v>
      </c>
      <c r="I758">
        <v>11834</v>
      </c>
      <c r="J758">
        <v>2849</v>
      </c>
      <c r="K758">
        <v>8985</v>
      </c>
      <c r="L758">
        <v>500</v>
      </c>
      <c r="M758">
        <v>499</v>
      </c>
      <c r="N758">
        <v>1</v>
      </c>
      <c r="O758">
        <v>3166</v>
      </c>
      <c r="P758">
        <v>1</v>
      </c>
    </row>
    <row r="759" spans="1:16" x14ac:dyDescent="0.2">
      <c r="A759" s="3" t="s">
        <v>49</v>
      </c>
      <c r="B759" s="3" t="s">
        <v>52</v>
      </c>
      <c r="C759">
        <v>35</v>
      </c>
      <c r="D759">
        <v>13000</v>
      </c>
      <c r="E759">
        <v>499</v>
      </c>
      <c r="F759">
        <v>1</v>
      </c>
      <c r="G759">
        <v>13000</v>
      </c>
      <c r="H759">
        <v>9.0109000000000001E-4</v>
      </c>
      <c r="I759">
        <v>11821</v>
      </c>
      <c r="J759">
        <v>2784</v>
      </c>
      <c r="K759">
        <v>9037</v>
      </c>
      <c r="L759">
        <v>500</v>
      </c>
      <c r="M759">
        <v>499</v>
      </c>
      <c r="N759">
        <v>1</v>
      </c>
      <c r="O759">
        <v>1179</v>
      </c>
      <c r="P759">
        <v>1</v>
      </c>
    </row>
    <row r="760" spans="1:16" x14ac:dyDescent="0.2">
      <c r="A760" s="3" t="s">
        <v>49</v>
      </c>
      <c r="B760" s="3" t="s">
        <v>52</v>
      </c>
      <c r="C760">
        <v>26</v>
      </c>
      <c r="D760">
        <v>15000</v>
      </c>
      <c r="E760">
        <v>499</v>
      </c>
      <c r="F760">
        <v>1</v>
      </c>
      <c r="G760">
        <v>60572.237308582698</v>
      </c>
      <c r="H760">
        <v>9.0103500000000001E-4</v>
      </c>
      <c r="I760">
        <v>11890</v>
      </c>
      <c r="J760">
        <v>2879</v>
      </c>
      <c r="K760">
        <v>9011</v>
      </c>
      <c r="L760">
        <v>500</v>
      </c>
      <c r="M760">
        <v>499</v>
      </c>
      <c r="N760">
        <v>1</v>
      </c>
      <c r="O760">
        <v>12614.1695964808</v>
      </c>
      <c r="P760">
        <v>0</v>
      </c>
    </row>
    <row r="761" spans="1:16" x14ac:dyDescent="0.2">
      <c r="A761" s="3" t="s">
        <v>49</v>
      </c>
      <c r="B761" s="3" t="s">
        <v>52</v>
      </c>
      <c r="C761">
        <v>47</v>
      </c>
      <c r="D761">
        <v>15000</v>
      </c>
      <c r="E761">
        <v>499</v>
      </c>
      <c r="F761">
        <v>1</v>
      </c>
      <c r="G761">
        <v>60572.237308582698</v>
      </c>
      <c r="H761">
        <v>9.0033699999999997E-4</v>
      </c>
      <c r="I761">
        <v>11834</v>
      </c>
      <c r="J761">
        <v>2868</v>
      </c>
      <c r="K761">
        <v>8966</v>
      </c>
      <c r="L761">
        <v>500</v>
      </c>
      <c r="M761">
        <v>499</v>
      </c>
      <c r="N761">
        <v>1</v>
      </c>
      <c r="O761">
        <v>12807.6406778685</v>
      </c>
      <c r="P761">
        <v>0</v>
      </c>
    </row>
    <row r="762" spans="1:16" x14ac:dyDescent="0.2">
      <c r="A762" s="3" t="s">
        <v>49</v>
      </c>
      <c r="B762" s="3" t="s">
        <v>52</v>
      </c>
      <c r="C762">
        <v>24</v>
      </c>
      <c r="D762">
        <v>14000</v>
      </c>
      <c r="E762">
        <v>499</v>
      </c>
      <c r="F762">
        <v>1</v>
      </c>
      <c r="G762">
        <v>14000</v>
      </c>
      <c r="H762">
        <v>8.9935700000000004E-4</v>
      </c>
      <c r="I762">
        <v>11880</v>
      </c>
      <c r="J762">
        <v>2775</v>
      </c>
      <c r="K762">
        <v>9105</v>
      </c>
      <c r="L762">
        <v>500</v>
      </c>
      <c r="M762">
        <v>499</v>
      </c>
      <c r="N762">
        <v>1</v>
      </c>
      <c r="O762">
        <v>2120</v>
      </c>
      <c r="P762">
        <v>1</v>
      </c>
    </row>
    <row r="763" spans="1:16" x14ac:dyDescent="0.2">
      <c r="A763" s="3" t="s">
        <v>49</v>
      </c>
      <c r="B763" s="3" t="s">
        <v>52</v>
      </c>
      <c r="C763">
        <v>19</v>
      </c>
      <c r="D763">
        <v>15000</v>
      </c>
      <c r="E763">
        <v>499</v>
      </c>
      <c r="F763">
        <v>1</v>
      </c>
      <c r="G763">
        <v>60572.237308582698</v>
      </c>
      <c r="H763">
        <v>8.9922000000000005E-4</v>
      </c>
      <c r="I763">
        <v>11859</v>
      </c>
      <c r="J763">
        <v>2882</v>
      </c>
      <c r="K763">
        <v>8977</v>
      </c>
      <c r="L763">
        <v>500</v>
      </c>
      <c r="M763">
        <v>499</v>
      </c>
      <c r="N763">
        <v>1</v>
      </c>
      <c r="O763">
        <v>12744.540261861501</v>
      </c>
      <c r="P763">
        <v>0</v>
      </c>
    </row>
    <row r="764" spans="1:16" x14ac:dyDescent="0.2">
      <c r="A764" s="3" t="s">
        <v>49</v>
      </c>
      <c r="B764" s="3" t="s">
        <v>52</v>
      </c>
      <c r="C764">
        <v>10</v>
      </c>
      <c r="D764">
        <v>12000</v>
      </c>
      <c r="E764">
        <v>499</v>
      </c>
      <c r="F764">
        <v>1</v>
      </c>
      <c r="G764">
        <v>50533.323552418398</v>
      </c>
      <c r="H764">
        <v>8.9921E-4</v>
      </c>
      <c r="I764">
        <v>11928</v>
      </c>
      <c r="J764">
        <v>2792</v>
      </c>
      <c r="K764">
        <v>9136</v>
      </c>
      <c r="L764">
        <v>500</v>
      </c>
      <c r="M764">
        <v>499</v>
      </c>
      <c r="N764">
        <v>1</v>
      </c>
      <c r="O764">
        <v>320.40419422999997</v>
      </c>
      <c r="P764">
        <v>0</v>
      </c>
    </row>
    <row r="765" spans="1:16" x14ac:dyDescent="0.2">
      <c r="A765" s="3" t="s">
        <v>49</v>
      </c>
      <c r="B765" s="3" t="s">
        <v>52</v>
      </c>
      <c r="C765">
        <v>38</v>
      </c>
      <c r="D765">
        <v>15000</v>
      </c>
      <c r="E765">
        <v>499</v>
      </c>
      <c r="F765">
        <v>1</v>
      </c>
      <c r="G765">
        <v>60572.237308582698</v>
      </c>
      <c r="H765">
        <v>8.9861499999999996E-4</v>
      </c>
      <c r="I765">
        <v>11844</v>
      </c>
      <c r="J765">
        <v>2882</v>
      </c>
      <c r="K765">
        <v>8962</v>
      </c>
      <c r="L765">
        <v>500</v>
      </c>
      <c r="M765">
        <v>499</v>
      </c>
      <c r="N765">
        <v>1</v>
      </c>
      <c r="O765">
        <v>12795.930218154101</v>
      </c>
      <c r="P765">
        <v>0</v>
      </c>
    </row>
    <row r="766" spans="1:16" x14ac:dyDescent="0.2">
      <c r="A766" s="3" t="s">
        <v>49</v>
      </c>
      <c r="B766" s="3" t="s">
        <v>52</v>
      </c>
      <c r="C766">
        <v>38</v>
      </c>
      <c r="D766">
        <v>12000</v>
      </c>
      <c r="E766">
        <v>499</v>
      </c>
      <c r="F766">
        <v>1</v>
      </c>
      <c r="G766">
        <v>12000</v>
      </c>
      <c r="H766">
        <v>8.9844100000000004E-4</v>
      </c>
      <c r="I766">
        <v>11857</v>
      </c>
      <c r="J766">
        <v>2752</v>
      </c>
      <c r="K766">
        <v>9105</v>
      </c>
      <c r="L766">
        <v>500</v>
      </c>
      <c r="M766">
        <v>499</v>
      </c>
      <c r="N766">
        <v>1</v>
      </c>
      <c r="O766">
        <v>143</v>
      </c>
      <c r="P766">
        <v>1</v>
      </c>
    </row>
    <row r="767" spans="1:16" x14ac:dyDescent="0.2">
      <c r="A767" s="3" t="s">
        <v>49</v>
      </c>
      <c r="B767" s="3" t="s">
        <v>52</v>
      </c>
      <c r="C767">
        <v>3</v>
      </c>
      <c r="D767">
        <v>15000</v>
      </c>
      <c r="E767">
        <v>499</v>
      </c>
      <c r="F767">
        <v>1</v>
      </c>
      <c r="G767">
        <v>60572.237308582698</v>
      </c>
      <c r="H767">
        <v>8.9833000000000003E-4</v>
      </c>
      <c r="I767">
        <v>11816</v>
      </c>
      <c r="J767">
        <v>2833</v>
      </c>
      <c r="K767">
        <v>8983</v>
      </c>
      <c r="L767">
        <v>500</v>
      </c>
      <c r="M767">
        <v>499</v>
      </c>
      <c r="N767">
        <v>1</v>
      </c>
      <c r="O767">
        <v>12889.9459177388</v>
      </c>
      <c r="P767">
        <v>0</v>
      </c>
    </row>
    <row r="768" spans="1:16" x14ac:dyDescent="0.2">
      <c r="A768" s="3" t="s">
        <v>49</v>
      </c>
      <c r="B768" s="3" t="s">
        <v>52</v>
      </c>
      <c r="C768">
        <v>14</v>
      </c>
      <c r="D768">
        <v>14000</v>
      </c>
      <c r="E768">
        <v>499</v>
      </c>
      <c r="F768">
        <v>1</v>
      </c>
      <c r="G768">
        <v>58565.0323707059</v>
      </c>
      <c r="H768">
        <v>8.9819200000000002E-4</v>
      </c>
      <c r="I768">
        <v>11922</v>
      </c>
      <c r="J768">
        <v>2849</v>
      </c>
      <c r="K768">
        <v>9073</v>
      </c>
      <c r="L768">
        <v>500</v>
      </c>
      <c r="M768">
        <v>499</v>
      </c>
      <c r="N768">
        <v>1</v>
      </c>
      <c r="O768">
        <v>8770.4206581428007</v>
      </c>
      <c r="P768">
        <v>0</v>
      </c>
    </row>
    <row r="769" spans="1:16" x14ac:dyDescent="0.2">
      <c r="A769" s="3" t="s">
        <v>49</v>
      </c>
      <c r="B769" s="3" t="s">
        <v>52</v>
      </c>
      <c r="C769">
        <v>47</v>
      </c>
      <c r="D769">
        <v>14000</v>
      </c>
      <c r="E769">
        <v>499</v>
      </c>
      <c r="F769">
        <v>1</v>
      </c>
      <c r="G769">
        <v>14000</v>
      </c>
      <c r="H769">
        <v>8.9791800000000005E-4</v>
      </c>
      <c r="I769">
        <v>11895</v>
      </c>
      <c r="J769">
        <v>2834</v>
      </c>
      <c r="K769">
        <v>9061</v>
      </c>
      <c r="L769">
        <v>500</v>
      </c>
      <c r="M769">
        <v>499</v>
      </c>
      <c r="N769">
        <v>1</v>
      </c>
      <c r="O769">
        <v>2105</v>
      </c>
      <c r="P769">
        <v>1</v>
      </c>
    </row>
    <row r="770" spans="1:16" x14ac:dyDescent="0.2">
      <c r="A770" s="3" t="s">
        <v>49</v>
      </c>
      <c r="B770" s="3" t="s">
        <v>52</v>
      </c>
      <c r="C770">
        <v>4</v>
      </c>
      <c r="D770">
        <v>15000</v>
      </c>
      <c r="E770">
        <v>499</v>
      </c>
      <c r="F770">
        <v>1</v>
      </c>
      <c r="G770">
        <v>15000</v>
      </c>
      <c r="H770">
        <v>8.9785400000000001E-4</v>
      </c>
      <c r="I770">
        <v>11822</v>
      </c>
      <c r="J770">
        <v>2886</v>
      </c>
      <c r="K770">
        <v>8936</v>
      </c>
      <c r="L770">
        <v>500</v>
      </c>
      <c r="M770">
        <v>499</v>
      </c>
      <c r="N770">
        <v>1</v>
      </c>
      <c r="O770">
        <v>3178</v>
      </c>
      <c r="P770">
        <v>1</v>
      </c>
    </row>
    <row r="771" spans="1:16" x14ac:dyDescent="0.2">
      <c r="A771" s="3" t="s">
        <v>49</v>
      </c>
      <c r="B771" s="3" t="s">
        <v>52</v>
      </c>
      <c r="C771">
        <v>13</v>
      </c>
      <c r="D771">
        <v>12000</v>
      </c>
      <c r="E771">
        <v>499</v>
      </c>
      <c r="F771">
        <v>1</v>
      </c>
      <c r="G771">
        <v>12000</v>
      </c>
      <c r="H771">
        <v>8.9778000000000004E-4</v>
      </c>
      <c r="I771">
        <v>11900</v>
      </c>
      <c r="J771">
        <v>2770</v>
      </c>
      <c r="K771">
        <v>9130</v>
      </c>
      <c r="L771">
        <v>500</v>
      </c>
      <c r="M771">
        <v>499</v>
      </c>
      <c r="N771">
        <v>1</v>
      </c>
      <c r="O771">
        <v>100</v>
      </c>
      <c r="P771">
        <v>1</v>
      </c>
    </row>
    <row r="772" spans="1:16" x14ac:dyDescent="0.2">
      <c r="A772" s="3" t="s">
        <v>49</v>
      </c>
      <c r="B772" s="3" t="s">
        <v>52</v>
      </c>
      <c r="C772">
        <v>5</v>
      </c>
      <c r="D772">
        <v>12000</v>
      </c>
      <c r="E772">
        <v>499</v>
      </c>
      <c r="F772">
        <v>1</v>
      </c>
      <c r="G772">
        <v>50533.323552418398</v>
      </c>
      <c r="H772">
        <v>8.9776199999999997E-4</v>
      </c>
      <c r="I772">
        <v>11900</v>
      </c>
      <c r="J772">
        <v>2782</v>
      </c>
      <c r="K772">
        <v>9118</v>
      </c>
      <c r="L772">
        <v>500</v>
      </c>
      <c r="M772">
        <v>499</v>
      </c>
      <c r="N772">
        <v>1</v>
      </c>
      <c r="O772">
        <v>454.60452074739999</v>
      </c>
      <c r="P772">
        <v>0</v>
      </c>
    </row>
    <row r="773" spans="1:16" x14ac:dyDescent="0.2">
      <c r="A773" s="3" t="s">
        <v>49</v>
      </c>
      <c r="B773" s="3" t="s">
        <v>52</v>
      </c>
      <c r="C773">
        <v>15</v>
      </c>
      <c r="D773">
        <v>14000</v>
      </c>
      <c r="E773">
        <v>499</v>
      </c>
      <c r="F773">
        <v>1</v>
      </c>
      <c r="G773">
        <v>14000</v>
      </c>
      <c r="H773">
        <v>8.9771700000000002E-4</v>
      </c>
      <c r="I773">
        <v>11882</v>
      </c>
      <c r="J773">
        <v>2823</v>
      </c>
      <c r="K773">
        <v>9059</v>
      </c>
      <c r="L773">
        <v>500</v>
      </c>
      <c r="M773">
        <v>499</v>
      </c>
      <c r="N773">
        <v>1</v>
      </c>
      <c r="O773">
        <v>2118</v>
      </c>
      <c r="P773">
        <v>1</v>
      </c>
    </row>
    <row r="774" spans="1:16" x14ac:dyDescent="0.2">
      <c r="A774" s="3" t="s">
        <v>49</v>
      </c>
      <c r="B774" s="3" t="s">
        <v>52</v>
      </c>
      <c r="C774">
        <v>39</v>
      </c>
      <c r="D774">
        <v>15000</v>
      </c>
      <c r="E774">
        <v>499</v>
      </c>
      <c r="F774">
        <v>1</v>
      </c>
      <c r="G774">
        <v>60572.237308582698</v>
      </c>
      <c r="H774">
        <v>8.9771600000000001E-4</v>
      </c>
      <c r="I774">
        <v>11855</v>
      </c>
      <c r="J774">
        <v>2854</v>
      </c>
      <c r="K774">
        <v>9001</v>
      </c>
      <c r="L774">
        <v>500</v>
      </c>
      <c r="M774">
        <v>499</v>
      </c>
      <c r="N774">
        <v>1</v>
      </c>
      <c r="O774">
        <v>12757.2822031667</v>
      </c>
      <c r="P774">
        <v>0</v>
      </c>
    </row>
    <row r="775" spans="1:16" x14ac:dyDescent="0.2">
      <c r="A775" s="3" t="s">
        <v>49</v>
      </c>
      <c r="B775" s="3" t="s">
        <v>52</v>
      </c>
      <c r="C775">
        <v>50</v>
      </c>
      <c r="D775">
        <v>15000</v>
      </c>
      <c r="E775">
        <v>499</v>
      </c>
      <c r="F775">
        <v>1</v>
      </c>
      <c r="G775">
        <v>60572.237308582698</v>
      </c>
      <c r="H775">
        <v>8.9771600000000001E-4</v>
      </c>
      <c r="I775">
        <v>11842</v>
      </c>
      <c r="J775">
        <v>2885</v>
      </c>
      <c r="K775">
        <v>8957</v>
      </c>
      <c r="L775">
        <v>500</v>
      </c>
      <c r="M775">
        <v>499</v>
      </c>
      <c r="N775">
        <v>1</v>
      </c>
      <c r="O775">
        <v>12792.6787498099</v>
      </c>
      <c r="P775">
        <v>0</v>
      </c>
    </row>
    <row r="776" spans="1:16" x14ac:dyDescent="0.2">
      <c r="A776" s="3" t="s">
        <v>49</v>
      </c>
      <c r="B776" s="3" t="s">
        <v>52</v>
      </c>
      <c r="C776">
        <v>2</v>
      </c>
      <c r="D776">
        <v>12000</v>
      </c>
      <c r="E776">
        <v>499</v>
      </c>
      <c r="F776">
        <v>1</v>
      </c>
      <c r="G776">
        <v>12000</v>
      </c>
      <c r="H776">
        <v>8.9767899999999997E-4</v>
      </c>
      <c r="I776">
        <v>11907</v>
      </c>
      <c r="J776">
        <v>2808</v>
      </c>
      <c r="K776">
        <v>9099</v>
      </c>
      <c r="L776">
        <v>500</v>
      </c>
      <c r="M776">
        <v>499</v>
      </c>
      <c r="N776">
        <v>1</v>
      </c>
      <c r="O776">
        <v>93</v>
      </c>
      <c r="P776">
        <v>1</v>
      </c>
    </row>
    <row r="777" spans="1:16" x14ac:dyDescent="0.2">
      <c r="A777" s="3" t="s">
        <v>49</v>
      </c>
      <c r="B777" s="3" t="s">
        <v>52</v>
      </c>
      <c r="C777">
        <v>22</v>
      </c>
      <c r="D777">
        <v>12000</v>
      </c>
      <c r="E777">
        <v>499</v>
      </c>
      <c r="F777">
        <v>1</v>
      </c>
      <c r="G777">
        <v>12000</v>
      </c>
      <c r="H777">
        <v>8.9767000000000004E-4</v>
      </c>
      <c r="I777">
        <v>11877</v>
      </c>
      <c r="J777">
        <v>2759</v>
      </c>
      <c r="K777">
        <v>9118</v>
      </c>
      <c r="L777">
        <v>500</v>
      </c>
      <c r="M777">
        <v>499</v>
      </c>
      <c r="N777">
        <v>1</v>
      </c>
      <c r="O777">
        <v>123</v>
      </c>
      <c r="P777">
        <v>1</v>
      </c>
    </row>
    <row r="778" spans="1:16" x14ac:dyDescent="0.2">
      <c r="A778" s="3" t="s">
        <v>49</v>
      </c>
      <c r="B778" s="3" t="s">
        <v>52</v>
      </c>
      <c r="C778">
        <v>21</v>
      </c>
      <c r="D778">
        <v>13000</v>
      </c>
      <c r="E778">
        <v>499</v>
      </c>
      <c r="F778">
        <v>1</v>
      </c>
      <c r="G778">
        <v>53044.701099550097</v>
      </c>
      <c r="H778">
        <v>8.9731299999999995E-4</v>
      </c>
      <c r="I778">
        <v>11853</v>
      </c>
      <c r="J778">
        <v>2810</v>
      </c>
      <c r="K778">
        <v>9043</v>
      </c>
      <c r="L778">
        <v>500</v>
      </c>
      <c r="M778">
        <v>499</v>
      </c>
      <c r="N778">
        <v>1</v>
      </c>
      <c r="O778">
        <v>4670.6208687020999</v>
      </c>
      <c r="P778">
        <v>0</v>
      </c>
    </row>
    <row r="779" spans="1:16" x14ac:dyDescent="0.2">
      <c r="A779" s="3" t="s">
        <v>49</v>
      </c>
      <c r="B779" s="3" t="s">
        <v>52</v>
      </c>
      <c r="C779">
        <v>18</v>
      </c>
      <c r="D779">
        <v>13000</v>
      </c>
      <c r="E779">
        <v>499</v>
      </c>
      <c r="F779">
        <v>1</v>
      </c>
      <c r="G779">
        <v>53044.701099550097</v>
      </c>
      <c r="H779">
        <v>8.9716600000000002E-4</v>
      </c>
      <c r="I779">
        <v>11821</v>
      </c>
      <c r="J779">
        <v>2843</v>
      </c>
      <c r="K779">
        <v>8978</v>
      </c>
      <c r="L779">
        <v>500</v>
      </c>
      <c r="M779">
        <v>499</v>
      </c>
      <c r="N779">
        <v>1</v>
      </c>
      <c r="O779">
        <v>4800.8892821315003</v>
      </c>
      <c r="P779">
        <v>0</v>
      </c>
    </row>
    <row r="780" spans="1:16" x14ac:dyDescent="0.2">
      <c r="A780" s="3" t="s">
        <v>49</v>
      </c>
      <c r="B780" s="3" t="s">
        <v>52</v>
      </c>
      <c r="C780">
        <v>37</v>
      </c>
      <c r="D780">
        <v>15000</v>
      </c>
      <c r="E780">
        <v>499</v>
      </c>
      <c r="F780">
        <v>1</v>
      </c>
      <c r="G780">
        <v>60572.237308582698</v>
      </c>
      <c r="H780">
        <v>8.9696399999999999E-4</v>
      </c>
      <c r="I780">
        <v>11852</v>
      </c>
      <c r="J780">
        <v>2869</v>
      </c>
      <c r="K780">
        <v>8983</v>
      </c>
      <c r="L780">
        <v>500</v>
      </c>
      <c r="M780">
        <v>499</v>
      </c>
      <c r="N780">
        <v>1</v>
      </c>
      <c r="O780">
        <v>12761.5948246638</v>
      </c>
      <c r="P780">
        <v>0</v>
      </c>
    </row>
    <row r="781" spans="1:16" x14ac:dyDescent="0.2">
      <c r="A781" s="3" t="s">
        <v>49</v>
      </c>
      <c r="B781" s="3" t="s">
        <v>52</v>
      </c>
      <c r="C781">
        <v>17</v>
      </c>
      <c r="D781">
        <v>15000</v>
      </c>
      <c r="E781">
        <v>499</v>
      </c>
      <c r="F781">
        <v>1</v>
      </c>
      <c r="G781">
        <v>15000</v>
      </c>
      <c r="H781">
        <v>8.9653400000000005E-4</v>
      </c>
      <c r="I781">
        <v>11864</v>
      </c>
      <c r="J781">
        <v>2873</v>
      </c>
      <c r="K781">
        <v>8991</v>
      </c>
      <c r="L781">
        <v>500</v>
      </c>
      <c r="M781">
        <v>499</v>
      </c>
      <c r="N781">
        <v>1</v>
      </c>
      <c r="O781">
        <v>3136</v>
      </c>
      <c r="P781">
        <v>1</v>
      </c>
    </row>
    <row r="782" spans="1:16" x14ac:dyDescent="0.2">
      <c r="A782" s="3" t="s">
        <v>49</v>
      </c>
      <c r="B782" s="3" t="s">
        <v>52</v>
      </c>
      <c r="C782">
        <v>30</v>
      </c>
      <c r="D782">
        <v>12000</v>
      </c>
      <c r="E782">
        <v>499</v>
      </c>
      <c r="F782">
        <v>1</v>
      </c>
      <c r="G782">
        <v>50533.323552418398</v>
      </c>
      <c r="H782">
        <v>8.9648799999999997E-4</v>
      </c>
      <c r="I782">
        <v>11895</v>
      </c>
      <c r="J782">
        <v>2791</v>
      </c>
      <c r="K782">
        <v>9104</v>
      </c>
      <c r="L782">
        <v>500</v>
      </c>
      <c r="M782">
        <v>499</v>
      </c>
      <c r="N782">
        <v>1</v>
      </c>
      <c r="O782">
        <v>475.3708560778</v>
      </c>
      <c r="P782">
        <v>0</v>
      </c>
    </row>
    <row r="783" spans="1:16" x14ac:dyDescent="0.2">
      <c r="A783" s="3" t="s">
        <v>49</v>
      </c>
      <c r="B783" s="3" t="s">
        <v>52</v>
      </c>
      <c r="C783">
        <v>23</v>
      </c>
      <c r="D783">
        <v>15000</v>
      </c>
      <c r="E783">
        <v>499</v>
      </c>
      <c r="F783">
        <v>1</v>
      </c>
      <c r="G783">
        <v>15000</v>
      </c>
      <c r="H783">
        <v>8.9643299999999997E-4</v>
      </c>
      <c r="I783">
        <v>11875</v>
      </c>
      <c r="J783">
        <v>2881</v>
      </c>
      <c r="K783">
        <v>8994</v>
      </c>
      <c r="L783">
        <v>500</v>
      </c>
      <c r="M783">
        <v>499</v>
      </c>
      <c r="N783">
        <v>1</v>
      </c>
      <c r="O783">
        <v>3125</v>
      </c>
      <c r="P783">
        <v>1</v>
      </c>
    </row>
    <row r="784" spans="1:16" x14ac:dyDescent="0.2">
      <c r="A784" s="3" t="s">
        <v>49</v>
      </c>
      <c r="B784" s="3" t="s">
        <v>52</v>
      </c>
      <c r="C784">
        <v>44</v>
      </c>
      <c r="D784">
        <v>13000</v>
      </c>
      <c r="E784">
        <v>499</v>
      </c>
      <c r="F784">
        <v>1</v>
      </c>
      <c r="G784">
        <v>53044.701099550097</v>
      </c>
      <c r="H784">
        <v>8.9569900000000002E-4</v>
      </c>
      <c r="I784">
        <v>11812</v>
      </c>
      <c r="J784">
        <v>2750</v>
      </c>
      <c r="K784">
        <v>9062</v>
      </c>
      <c r="L784">
        <v>500</v>
      </c>
      <c r="M784">
        <v>499</v>
      </c>
      <c r="N784">
        <v>1</v>
      </c>
      <c r="O784">
        <v>4824.0267180394003</v>
      </c>
      <c r="P784">
        <v>0</v>
      </c>
    </row>
    <row r="785" spans="1:16" x14ac:dyDescent="0.2">
      <c r="A785" s="3" t="s">
        <v>49</v>
      </c>
      <c r="B785" s="3" t="s">
        <v>52</v>
      </c>
      <c r="C785">
        <v>46</v>
      </c>
      <c r="D785">
        <v>13000</v>
      </c>
      <c r="E785">
        <v>499</v>
      </c>
      <c r="F785">
        <v>1</v>
      </c>
      <c r="G785">
        <v>13000</v>
      </c>
      <c r="H785">
        <v>8.9554299999999995E-4</v>
      </c>
      <c r="I785">
        <v>11808</v>
      </c>
      <c r="J785">
        <v>2801</v>
      </c>
      <c r="K785">
        <v>9007</v>
      </c>
      <c r="L785">
        <v>500</v>
      </c>
      <c r="M785">
        <v>499</v>
      </c>
      <c r="N785">
        <v>1</v>
      </c>
      <c r="O785">
        <v>1192</v>
      </c>
      <c r="P785">
        <v>1</v>
      </c>
    </row>
    <row r="786" spans="1:16" x14ac:dyDescent="0.2">
      <c r="A786" s="3" t="s">
        <v>49</v>
      </c>
      <c r="B786" s="3" t="s">
        <v>52</v>
      </c>
      <c r="C786">
        <v>50</v>
      </c>
      <c r="D786">
        <v>15000</v>
      </c>
      <c r="E786">
        <v>499</v>
      </c>
      <c r="F786">
        <v>1</v>
      </c>
      <c r="G786">
        <v>15000</v>
      </c>
      <c r="H786">
        <v>8.9525900000000003E-4</v>
      </c>
      <c r="I786">
        <v>11856</v>
      </c>
      <c r="J786">
        <v>2826</v>
      </c>
      <c r="K786">
        <v>9030</v>
      </c>
      <c r="L786">
        <v>500</v>
      </c>
      <c r="M786">
        <v>499</v>
      </c>
      <c r="N786">
        <v>1</v>
      </c>
      <c r="O786">
        <v>3144</v>
      </c>
      <c r="P786">
        <v>1</v>
      </c>
    </row>
    <row r="787" spans="1:16" x14ac:dyDescent="0.2">
      <c r="A787" s="3" t="s">
        <v>49</v>
      </c>
      <c r="B787" s="3" t="s">
        <v>52</v>
      </c>
      <c r="C787">
        <v>21</v>
      </c>
      <c r="D787">
        <v>12000</v>
      </c>
      <c r="E787">
        <v>499</v>
      </c>
      <c r="F787">
        <v>1</v>
      </c>
      <c r="G787">
        <v>12000</v>
      </c>
      <c r="H787">
        <v>8.9524099999999996E-4</v>
      </c>
      <c r="I787">
        <v>11879</v>
      </c>
      <c r="J787">
        <v>2782</v>
      </c>
      <c r="K787">
        <v>9097</v>
      </c>
      <c r="L787">
        <v>500</v>
      </c>
      <c r="M787">
        <v>499</v>
      </c>
      <c r="N787">
        <v>1</v>
      </c>
      <c r="O787">
        <v>121</v>
      </c>
      <c r="P787">
        <v>1</v>
      </c>
    </row>
    <row r="788" spans="1:16" x14ac:dyDescent="0.2">
      <c r="A788" s="3" t="s">
        <v>49</v>
      </c>
      <c r="B788" s="3" t="s">
        <v>52</v>
      </c>
      <c r="C788">
        <v>12</v>
      </c>
      <c r="D788">
        <v>14000</v>
      </c>
      <c r="E788">
        <v>499</v>
      </c>
      <c r="F788">
        <v>1</v>
      </c>
      <c r="G788">
        <v>58565.0323707059</v>
      </c>
      <c r="H788">
        <v>8.9521399999999997E-4</v>
      </c>
      <c r="I788">
        <v>11898</v>
      </c>
      <c r="J788">
        <v>2843</v>
      </c>
      <c r="K788">
        <v>9055</v>
      </c>
      <c r="L788">
        <v>500</v>
      </c>
      <c r="M788">
        <v>499</v>
      </c>
      <c r="N788">
        <v>1</v>
      </c>
      <c r="O788">
        <v>8831.6248962679001</v>
      </c>
      <c r="P788">
        <v>0</v>
      </c>
    </row>
    <row r="789" spans="1:16" x14ac:dyDescent="0.2">
      <c r="A789" s="3" t="s">
        <v>49</v>
      </c>
      <c r="B789" s="3" t="s">
        <v>52</v>
      </c>
      <c r="C789">
        <v>15</v>
      </c>
      <c r="D789">
        <v>12000</v>
      </c>
      <c r="E789">
        <v>499</v>
      </c>
      <c r="F789">
        <v>1</v>
      </c>
      <c r="G789">
        <v>50533.323552418398</v>
      </c>
      <c r="H789">
        <v>8.95195E-4</v>
      </c>
      <c r="I789">
        <v>11900</v>
      </c>
      <c r="J789">
        <v>2756</v>
      </c>
      <c r="K789">
        <v>9144</v>
      </c>
      <c r="L789">
        <v>500</v>
      </c>
      <c r="M789">
        <v>499</v>
      </c>
      <c r="N789">
        <v>1</v>
      </c>
      <c r="O789">
        <v>455.8443438992</v>
      </c>
      <c r="P789">
        <v>0</v>
      </c>
    </row>
    <row r="790" spans="1:16" x14ac:dyDescent="0.2">
      <c r="A790" s="3" t="s">
        <v>49</v>
      </c>
      <c r="B790" s="3" t="s">
        <v>52</v>
      </c>
      <c r="C790">
        <v>30</v>
      </c>
      <c r="D790">
        <v>14000</v>
      </c>
      <c r="E790">
        <v>499</v>
      </c>
      <c r="F790">
        <v>1</v>
      </c>
      <c r="G790">
        <v>58565.0323707059</v>
      </c>
      <c r="H790">
        <v>8.9491099999999997E-4</v>
      </c>
      <c r="I790">
        <v>11894</v>
      </c>
      <c r="J790">
        <v>2801</v>
      </c>
      <c r="K790">
        <v>9093</v>
      </c>
      <c r="L790">
        <v>500</v>
      </c>
      <c r="M790">
        <v>499</v>
      </c>
      <c r="N790">
        <v>1</v>
      </c>
      <c r="O790">
        <v>8859.5892881198997</v>
      </c>
      <c r="P790">
        <v>0</v>
      </c>
    </row>
    <row r="791" spans="1:16" x14ac:dyDescent="0.2">
      <c r="A791" s="3" t="s">
        <v>49</v>
      </c>
      <c r="B791" s="3" t="s">
        <v>52</v>
      </c>
      <c r="C791">
        <v>23</v>
      </c>
      <c r="D791">
        <v>13000</v>
      </c>
      <c r="E791">
        <v>499</v>
      </c>
      <c r="F791">
        <v>1</v>
      </c>
      <c r="G791">
        <v>53044.701099550097</v>
      </c>
      <c r="H791">
        <v>8.9462700000000005E-4</v>
      </c>
      <c r="I791">
        <v>11837</v>
      </c>
      <c r="J791">
        <v>2815</v>
      </c>
      <c r="K791">
        <v>9022</v>
      </c>
      <c r="L791">
        <v>500</v>
      </c>
      <c r="M791">
        <v>499</v>
      </c>
      <c r="N791">
        <v>1</v>
      </c>
      <c r="O791">
        <v>4731.0051594414999</v>
      </c>
      <c r="P791">
        <v>0</v>
      </c>
    </row>
    <row r="792" spans="1:16" x14ac:dyDescent="0.2">
      <c r="A792" s="3" t="s">
        <v>49</v>
      </c>
      <c r="B792" s="3" t="s">
        <v>52</v>
      </c>
      <c r="C792">
        <v>38</v>
      </c>
      <c r="D792">
        <v>13000</v>
      </c>
      <c r="E792">
        <v>499</v>
      </c>
      <c r="F792">
        <v>1</v>
      </c>
      <c r="G792">
        <v>13000</v>
      </c>
      <c r="H792">
        <v>8.9456300000000002E-4</v>
      </c>
      <c r="I792">
        <v>11834</v>
      </c>
      <c r="J792">
        <v>2783</v>
      </c>
      <c r="K792">
        <v>9051</v>
      </c>
      <c r="L792">
        <v>500</v>
      </c>
      <c r="M792">
        <v>499</v>
      </c>
      <c r="N792">
        <v>1</v>
      </c>
      <c r="O792">
        <v>1166</v>
      </c>
      <c r="P792">
        <v>1</v>
      </c>
    </row>
    <row r="793" spans="1:16" x14ac:dyDescent="0.2">
      <c r="A793" s="3" t="s">
        <v>49</v>
      </c>
      <c r="B793" s="3" t="s">
        <v>52</v>
      </c>
      <c r="C793">
        <v>11</v>
      </c>
      <c r="D793">
        <v>15000</v>
      </c>
      <c r="E793">
        <v>499</v>
      </c>
      <c r="F793">
        <v>1</v>
      </c>
      <c r="G793">
        <v>60572.237308582698</v>
      </c>
      <c r="H793">
        <v>8.9451699999999995E-4</v>
      </c>
      <c r="I793">
        <v>11864</v>
      </c>
      <c r="J793">
        <v>2879</v>
      </c>
      <c r="K793">
        <v>8985</v>
      </c>
      <c r="L793">
        <v>500</v>
      </c>
      <c r="M793">
        <v>499</v>
      </c>
      <c r="N793">
        <v>1</v>
      </c>
      <c r="O793">
        <v>12721.594490031301</v>
      </c>
      <c r="P793">
        <v>0</v>
      </c>
    </row>
    <row r="794" spans="1:16" x14ac:dyDescent="0.2">
      <c r="A794" s="3" t="s">
        <v>49</v>
      </c>
      <c r="B794" s="3" t="s">
        <v>52</v>
      </c>
      <c r="C794">
        <v>17</v>
      </c>
      <c r="D794">
        <v>14000</v>
      </c>
      <c r="E794">
        <v>499</v>
      </c>
      <c r="F794">
        <v>1</v>
      </c>
      <c r="G794">
        <v>58565.0323707059</v>
      </c>
      <c r="H794">
        <v>8.9448100000000003E-4</v>
      </c>
      <c r="I794">
        <v>11915</v>
      </c>
      <c r="J794">
        <v>2841</v>
      </c>
      <c r="K794">
        <v>9074</v>
      </c>
      <c r="L794">
        <v>500</v>
      </c>
      <c r="M794">
        <v>499</v>
      </c>
      <c r="N794">
        <v>1</v>
      </c>
      <c r="O794">
        <v>8797.2425674612005</v>
      </c>
      <c r="P794">
        <v>0</v>
      </c>
    </row>
    <row r="795" spans="1:16" x14ac:dyDescent="0.2">
      <c r="A795" s="3" t="s">
        <v>49</v>
      </c>
      <c r="B795" s="3" t="s">
        <v>52</v>
      </c>
      <c r="C795">
        <v>21</v>
      </c>
      <c r="D795">
        <v>15000</v>
      </c>
      <c r="E795">
        <v>499</v>
      </c>
      <c r="F795">
        <v>1</v>
      </c>
      <c r="G795">
        <v>60572.237308582698</v>
      </c>
      <c r="H795">
        <v>8.9437900000000005E-4</v>
      </c>
      <c r="I795">
        <v>11861</v>
      </c>
      <c r="J795">
        <v>2873</v>
      </c>
      <c r="K795">
        <v>8988</v>
      </c>
      <c r="L795">
        <v>500</v>
      </c>
      <c r="M795">
        <v>499</v>
      </c>
      <c r="N795">
        <v>1</v>
      </c>
      <c r="O795">
        <v>12735.484037226501</v>
      </c>
      <c r="P795">
        <v>0</v>
      </c>
    </row>
    <row r="796" spans="1:16" x14ac:dyDescent="0.2">
      <c r="A796" s="3" t="s">
        <v>49</v>
      </c>
      <c r="B796" s="3" t="s">
        <v>52</v>
      </c>
      <c r="C796">
        <v>11</v>
      </c>
      <c r="D796">
        <v>14000</v>
      </c>
      <c r="E796">
        <v>499</v>
      </c>
      <c r="F796">
        <v>1</v>
      </c>
      <c r="G796">
        <v>58565.0323707059</v>
      </c>
      <c r="H796">
        <v>8.9435199999999995E-4</v>
      </c>
      <c r="I796">
        <v>11887</v>
      </c>
      <c r="J796">
        <v>2794</v>
      </c>
      <c r="K796">
        <v>9093</v>
      </c>
      <c r="L796">
        <v>500</v>
      </c>
      <c r="M796">
        <v>499</v>
      </c>
      <c r="N796">
        <v>1</v>
      </c>
      <c r="O796">
        <v>8887.1590398981007</v>
      </c>
      <c r="P796">
        <v>0</v>
      </c>
    </row>
    <row r="797" spans="1:16" x14ac:dyDescent="0.2">
      <c r="A797" s="3" t="s">
        <v>49</v>
      </c>
      <c r="B797" s="3" t="s">
        <v>52</v>
      </c>
      <c r="C797">
        <v>27</v>
      </c>
      <c r="D797">
        <v>15000</v>
      </c>
      <c r="E797">
        <v>499</v>
      </c>
      <c r="F797">
        <v>1</v>
      </c>
      <c r="G797">
        <v>60572.237308582698</v>
      </c>
      <c r="H797">
        <v>8.9383900000000001E-4</v>
      </c>
      <c r="I797">
        <v>11870</v>
      </c>
      <c r="J797">
        <v>2901</v>
      </c>
      <c r="K797">
        <v>8969</v>
      </c>
      <c r="L797">
        <v>500</v>
      </c>
      <c r="M797">
        <v>499</v>
      </c>
      <c r="N797">
        <v>1</v>
      </c>
      <c r="O797">
        <v>12688.231636787899</v>
      </c>
      <c r="P797">
        <v>0</v>
      </c>
    </row>
    <row r="798" spans="1:16" x14ac:dyDescent="0.2">
      <c r="A798" s="3" t="s">
        <v>49</v>
      </c>
      <c r="B798" s="3" t="s">
        <v>52</v>
      </c>
      <c r="C798">
        <v>33</v>
      </c>
      <c r="D798">
        <v>14000</v>
      </c>
      <c r="E798">
        <v>499</v>
      </c>
      <c r="F798">
        <v>1</v>
      </c>
      <c r="G798">
        <v>58565.0323707059</v>
      </c>
      <c r="H798">
        <v>8.9323400000000002E-4</v>
      </c>
      <c r="I798">
        <v>11861</v>
      </c>
      <c r="J798">
        <v>2816</v>
      </c>
      <c r="K798">
        <v>9045</v>
      </c>
      <c r="L798">
        <v>500</v>
      </c>
      <c r="M798">
        <v>499</v>
      </c>
      <c r="N798">
        <v>1</v>
      </c>
      <c r="O798">
        <v>8976.2079494164991</v>
      </c>
      <c r="P798">
        <v>0</v>
      </c>
    </row>
    <row r="799" spans="1:16" x14ac:dyDescent="0.2">
      <c r="A799" s="3" t="s">
        <v>49</v>
      </c>
      <c r="B799" s="3" t="s">
        <v>52</v>
      </c>
      <c r="C799">
        <v>21</v>
      </c>
      <c r="D799">
        <v>14000</v>
      </c>
      <c r="E799">
        <v>499</v>
      </c>
      <c r="F799">
        <v>1</v>
      </c>
      <c r="G799">
        <v>14000</v>
      </c>
      <c r="H799">
        <v>8.9296799999999995E-4</v>
      </c>
      <c r="I799">
        <v>11906</v>
      </c>
      <c r="J799">
        <v>2803</v>
      </c>
      <c r="K799">
        <v>9103</v>
      </c>
      <c r="L799">
        <v>500</v>
      </c>
      <c r="M799">
        <v>499</v>
      </c>
      <c r="N799">
        <v>1</v>
      </c>
      <c r="O799">
        <v>2094</v>
      </c>
      <c r="P799">
        <v>1</v>
      </c>
    </row>
    <row r="800" spans="1:16" x14ac:dyDescent="0.2">
      <c r="A800" s="3" t="s">
        <v>49</v>
      </c>
      <c r="B800" s="3" t="s">
        <v>52</v>
      </c>
      <c r="C800">
        <v>23</v>
      </c>
      <c r="D800">
        <v>14000</v>
      </c>
      <c r="E800">
        <v>499</v>
      </c>
      <c r="F800">
        <v>1</v>
      </c>
      <c r="G800">
        <v>58565.0323707059</v>
      </c>
      <c r="H800">
        <v>8.9280299999999996E-4</v>
      </c>
      <c r="I800">
        <v>11891</v>
      </c>
      <c r="J800">
        <v>2827</v>
      </c>
      <c r="K800">
        <v>9064</v>
      </c>
      <c r="L800">
        <v>500</v>
      </c>
      <c r="M800">
        <v>499</v>
      </c>
      <c r="N800">
        <v>1</v>
      </c>
      <c r="O800">
        <v>8876.7402421592997</v>
      </c>
      <c r="P800">
        <v>0</v>
      </c>
    </row>
    <row r="801" spans="1:16" x14ac:dyDescent="0.2">
      <c r="A801" s="3" t="s">
        <v>49</v>
      </c>
      <c r="B801" s="3" t="s">
        <v>52</v>
      </c>
      <c r="C801">
        <v>27</v>
      </c>
      <c r="D801">
        <v>14000</v>
      </c>
      <c r="E801">
        <v>499</v>
      </c>
      <c r="F801">
        <v>1</v>
      </c>
      <c r="G801">
        <v>58565.0323707059</v>
      </c>
      <c r="H801">
        <v>8.9266499999999995E-4</v>
      </c>
      <c r="I801">
        <v>11900</v>
      </c>
      <c r="J801">
        <v>2831</v>
      </c>
      <c r="K801">
        <v>9069</v>
      </c>
      <c r="L801">
        <v>500</v>
      </c>
      <c r="M801">
        <v>499</v>
      </c>
      <c r="N801">
        <v>1</v>
      </c>
      <c r="O801">
        <v>8856.2101779066998</v>
      </c>
      <c r="P801">
        <v>0</v>
      </c>
    </row>
    <row r="802" spans="1:16" x14ac:dyDescent="0.2">
      <c r="A802" s="3" t="s">
        <v>49</v>
      </c>
      <c r="B802" s="3" t="s">
        <v>52</v>
      </c>
      <c r="C802">
        <v>23</v>
      </c>
      <c r="D802">
        <v>14000</v>
      </c>
      <c r="E802">
        <v>499</v>
      </c>
      <c r="F802">
        <v>1</v>
      </c>
      <c r="G802">
        <v>14000</v>
      </c>
      <c r="H802">
        <v>8.9164799999999998E-4</v>
      </c>
      <c r="I802">
        <v>11883</v>
      </c>
      <c r="J802">
        <v>2816</v>
      </c>
      <c r="K802">
        <v>9067</v>
      </c>
      <c r="L802">
        <v>500</v>
      </c>
      <c r="M802">
        <v>499</v>
      </c>
      <c r="N802">
        <v>1</v>
      </c>
      <c r="O802">
        <v>2117</v>
      </c>
      <c r="P802">
        <v>1</v>
      </c>
    </row>
    <row r="803" spans="1:16" x14ac:dyDescent="0.2">
      <c r="A803" s="3" t="s">
        <v>49</v>
      </c>
      <c r="B803" s="3" t="s">
        <v>52</v>
      </c>
      <c r="C803">
        <v>46</v>
      </c>
      <c r="D803">
        <v>14000</v>
      </c>
      <c r="E803">
        <v>499</v>
      </c>
      <c r="F803">
        <v>1</v>
      </c>
      <c r="G803">
        <v>14000</v>
      </c>
      <c r="H803">
        <v>8.9158399999999995E-4</v>
      </c>
      <c r="I803">
        <v>11898</v>
      </c>
      <c r="J803">
        <v>2835</v>
      </c>
      <c r="K803">
        <v>9063</v>
      </c>
      <c r="L803">
        <v>500</v>
      </c>
      <c r="M803">
        <v>499</v>
      </c>
      <c r="N803">
        <v>1</v>
      </c>
      <c r="O803">
        <v>2102</v>
      </c>
      <c r="P803">
        <v>1</v>
      </c>
    </row>
    <row r="804" spans="1:16" x14ac:dyDescent="0.2">
      <c r="A804" s="3" t="s">
        <v>49</v>
      </c>
      <c r="B804" s="3" t="s">
        <v>52</v>
      </c>
      <c r="C804">
        <v>30</v>
      </c>
      <c r="D804">
        <v>12000</v>
      </c>
      <c r="E804">
        <v>499</v>
      </c>
      <c r="F804">
        <v>1</v>
      </c>
      <c r="G804">
        <v>12000</v>
      </c>
      <c r="H804">
        <v>8.9143700000000002E-4</v>
      </c>
      <c r="I804">
        <v>11881</v>
      </c>
      <c r="J804">
        <v>2756</v>
      </c>
      <c r="K804">
        <v>9125</v>
      </c>
      <c r="L804">
        <v>500</v>
      </c>
      <c r="M804">
        <v>499</v>
      </c>
      <c r="N804">
        <v>1</v>
      </c>
      <c r="O804">
        <v>119</v>
      </c>
      <c r="P804">
        <v>1</v>
      </c>
    </row>
    <row r="805" spans="1:16" x14ac:dyDescent="0.2">
      <c r="A805" s="3" t="s">
        <v>49</v>
      </c>
      <c r="B805" s="3" t="s">
        <v>52</v>
      </c>
      <c r="C805">
        <v>31</v>
      </c>
      <c r="D805">
        <v>14000</v>
      </c>
      <c r="E805">
        <v>499</v>
      </c>
      <c r="F805">
        <v>1</v>
      </c>
      <c r="G805">
        <v>14000</v>
      </c>
      <c r="H805">
        <v>8.9069400000000003E-4</v>
      </c>
      <c r="I805">
        <v>11912</v>
      </c>
      <c r="J805">
        <v>2844</v>
      </c>
      <c r="K805">
        <v>9068</v>
      </c>
      <c r="L805">
        <v>500</v>
      </c>
      <c r="M805">
        <v>499</v>
      </c>
      <c r="N805">
        <v>1</v>
      </c>
      <c r="O805">
        <v>2088</v>
      </c>
      <c r="P805">
        <v>1</v>
      </c>
    </row>
    <row r="806" spans="1:16" x14ac:dyDescent="0.2">
      <c r="A806" s="3" t="s">
        <v>49</v>
      </c>
      <c r="B806" s="3" t="s">
        <v>52</v>
      </c>
      <c r="C806">
        <v>2</v>
      </c>
      <c r="D806">
        <v>15000</v>
      </c>
      <c r="E806">
        <v>499</v>
      </c>
      <c r="F806">
        <v>1</v>
      </c>
      <c r="G806">
        <v>60572.237308582698</v>
      </c>
      <c r="H806">
        <v>8.9066799999999995E-4</v>
      </c>
      <c r="I806">
        <v>11837</v>
      </c>
      <c r="J806">
        <v>2858</v>
      </c>
      <c r="K806">
        <v>8979</v>
      </c>
      <c r="L806">
        <v>500</v>
      </c>
      <c r="M806">
        <v>499</v>
      </c>
      <c r="N806">
        <v>1</v>
      </c>
      <c r="O806">
        <v>12807.536392337601</v>
      </c>
      <c r="P806">
        <v>0</v>
      </c>
    </row>
    <row r="807" spans="1:16" x14ac:dyDescent="0.2">
      <c r="A807" s="3" t="s">
        <v>49</v>
      </c>
      <c r="B807" s="3" t="s">
        <v>52</v>
      </c>
      <c r="C807">
        <v>47</v>
      </c>
      <c r="D807">
        <v>12000</v>
      </c>
      <c r="E807">
        <v>499</v>
      </c>
      <c r="F807">
        <v>1</v>
      </c>
      <c r="G807">
        <v>50533.323552418398</v>
      </c>
      <c r="H807">
        <v>8.90575E-4</v>
      </c>
      <c r="I807">
        <v>11913</v>
      </c>
      <c r="J807">
        <v>2775</v>
      </c>
      <c r="K807">
        <v>9138</v>
      </c>
      <c r="L807">
        <v>500</v>
      </c>
      <c r="M807">
        <v>499</v>
      </c>
      <c r="N807">
        <v>1</v>
      </c>
      <c r="O807">
        <v>398.42076255760003</v>
      </c>
      <c r="P807">
        <v>0</v>
      </c>
    </row>
    <row r="808" spans="1:16" x14ac:dyDescent="0.2">
      <c r="A808" s="3" t="s">
        <v>49</v>
      </c>
      <c r="B808" s="3" t="s">
        <v>52</v>
      </c>
      <c r="C808">
        <v>42</v>
      </c>
      <c r="D808">
        <v>15000</v>
      </c>
      <c r="E808">
        <v>499</v>
      </c>
      <c r="F808">
        <v>1</v>
      </c>
      <c r="G808">
        <v>60572.237308582698</v>
      </c>
      <c r="H808">
        <v>8.9035500000000001E-4</v>
      </c>
      <c r="I808">
        <v>11859</v>
      </c>
      <c r="J808">
        <v>2863</v>
      </c>
      <c r="K808">
        <v>8996</v>
      </c>
      <c r="L808">
        <v>500</v>
      </c>
      <c r="M808">
        <v>499</v>
      </c>
      <c r="N808">
        <v>1</v>
      </c>
      <c r="O808">
        <v>12722.233241140601</v>
      </c>
      <c r="P808">
        <v>0</v>
      </c>
    </row>
    <row r="809" spans="1:16" x14ac:dyDescent="0.2">
      <c r="A809" s="3" t="s">
        <v>49</v>
      </c>
      <c r="B809" s="3" t="s">
        <v>52</v>
      </c>
      <c r="C809">
        <v>31</v>
      </c>
      <c r="D809">
        <v>15000</v>
      </c>
      <c r="E809">
        <v>499</v>
      </c>
      <c r="F809">
        <v>1</v>
      </c>
      <c r="G809">
        <v>60572.237308582698</v>
      </c>
      <c r="H809">
        <v>8.8994300000000003E-4</v>
      </c>
      <c r="I809">
        <v>11853</v>
      </c>
      <c r="J809">
        <v>2855</v>
      </c>
      <c r="K809">
        <v>8998</v>
      </c>
      <c r="L809">
        <v>500</v>
      </c>
      <c r="M809">
        <v>499</v>
      </c>
      <c r="N809">
        <v>1</v>
      </c>
      <c r="O809">
        <v>12727.4741082583</v>
      </c>
      <c r="P809">
        <v>0</v>
      </c>
    </row>
    <row r="810" spans="1:16" x14ac:dyDescent="0.2">
      <c r="A810" s="3" t="s">
        <v>49</v>
      </c>
      <c r="B810" s="3" t="s">
        <v>52</v>
      </c>
      <c r="C810">
        <v>25</v>
      </c>
      <c r="D810">
        <v>13000</v>
      </c>
      <c r="E810">
        <v>499</v>
      </c>
      <c r="F810">
        <v>1</v>
      </c>
      <c r="G810">
        <v>13000</v>
      </c>
      <c r="H810">
        <v>8.89714E-4</v>
      </c>
      <c r="I810">
        <v>11862</v>
      </c>
      <c r="J810">
        <v>2819</v>
      </c>
      <c r="K810">
        <v>9043</v>
      </c>
      <c r="L810">
        <v>500</v>
      </c>
      <c r="M810">
        <v>499</v>
      </c>
      <c r="N810">
        <v>1</v>
      </c>
      <c r="O810">
        <v>1138</v>
      </c>
      <c r="P810">
        <v>1</v>
      </c>
    </row>
    <row r="811" spans="1:16" x14ac:dyDescent="0.2">
      <c r="A811" s="3" t="s">
        <v>49</v>
      </c>
      <c r="B811" s="3" t="s">
        <v>52</v>
      </c>
      <c r="C811">
        <v>15</v>
      </c>
      <c r="D811">
        <v>14000</v>
      </c>
      <c r="E811">
        <v>499</v>
      </c>
      <c r="F811">
        <v>1</v>
      </c>
      <c r="G811">
        <v>58565.0323707059</v>
      </c>
      <c r="H811">
        <v>8.89411E-4</v>
      </c>
      <c r="I811">
        <v>11896</v>
      </c>
      <c r="J811">
        <v>2813</v>
      </c>
      <c r="K811">
        <v>9083</v>
      </c>
      <c r="L811">
        <v>500</v>
      </c>
      <c r="M811">
        <v>499</v>
      </c>
      <c r="N811">
        <v>1</v>
      </c>
      <c r="O811">
        <v>8865.5124439220999</v>
      </c>
      <c r="P811">
        <v>0</v>
      </c>
    </row>
    <row r="812" spans="1:16" x14ac:dyDescent="0.2">
      <c r="A812" s="3" t="s">
        <v>49</v>
      </c>
      <c r="B812" s="3" t="s">
        <v>52</v>
      </c>
      <c r="C812">
        <v>13</v>
      </c>
      <c r="D812">
        <v>14000</v>
      </c>
      <c r="E812">
        <v>499</v>
      </c>
      <c r="F812">
        <v>1</v>
      </c>
      <c r="G812">
        <v>14000</v>
      </c>
      <c r="H812">
        <v>8.8940199999999997E-4</v>
      </c>
      <c r="I812">
        <v>11906</v>
      </c>
      <c r="J812">
        <v>2799</v>
      </c>
      <c r="K812">
        <v>9107</v>
      </c>
      <c r="L812">
        <v>500</v>
      </c>
      <c r="M812">
        <v>499</v>
      </c>
      <c r="N812">
        <v>1</v>
      </c>
      <c r="O812">
        <v>2094</v>
      </c>
      <c r="P812">
        <v>1</v>
      </c>
    </row>
    <row r="813" spans="1:16" x14ac:dyDescent="0.2">
      <c r="A813" s="3" t="s">
        <v>49</v>
      </c>
      <c r="B813" s="3" t="s">
        <v>52</v>
      </c>
      <c r="C813">
        <v>34</v>
      </c>
      <c r="D813">
        <v>14000</v>
      </c>
      <c r="E813">
        <v>499</v>
      </c>
      <c r="F813">
        <v>1</v>
      </c>
      <c r="G813">
        <v>58565.0323707059</v>
      </c>
      <c r="H813">
        <v>8.8897100000000001E-4</v>
      </c>
      <c r="I813">
        <v>11911</v>
      </c>
      <c r="J813">
        <v>2832</v>
      </c>
      <c r="K813">
        <v>9079</v>
      </c>
      <c r="L813">
        <v>500</v>
      </c>
      <c r="M813">
        <v>499</v>
      </c>
      <c r="N813">
        <v>1</v>
      </c>
      <c r="O813">
        <v>8801.2101887275003</v>
      </c>
      <c r="P813">
        <v>0</v>
      </c>
    </row>
    <row r="814" spans="1:16" x14ac:dyDescent="0.2">
      <c r="A814" s="3" t="s">
        <v>49</v>
      </c>
      <c r="B814" s="3" t="s">
        <v>52</v>
      </c>
      <c r="C814">
        <v>1</v>
      </c>
      <c r="D814">
        <v>15000</v>
      </c>
      <c r="E814">
        <v>499</v>
      </c>
      <c r="F814">
        <v>1</v>
      </c>
      <c r="G814">
        <v>60572.237308582698</v>
      </c>
      <c r="H814">
        <v>8.8885199999999998E-4</v>
      </c>
      <c r="I814">
        <v>11853</v>
      </c>
      <c r="J814">
        <v>2844</v>
      </c>
      <c r="K814">
        <v>9009</v>
      </c>
      <c r="L814">
        <v>500</v>
      </c>
      <c r="M814">
        <v>499</v>
      </c>
      <c r="N814">
        <v>1</v>
      </c>
      <c r="O814">
        <v>12733.6289502746</v>
      </c>
      <c r="P814">
        <v>0</v>
      </c>
    </row>
    <row r="815" spans="1:16" x14ac:dyDescent="0.2">
      <c r="A815" s="3" t="s">
        <v>49</v>
      </c>
      <c r="B815" s="3" t="s">
        <v>52</v>
      </c>
      <c r="C815">
        <v>48</v>
      </c>
      <c r="D815">
        <v>15000</v>
      </c>
      <c r="E815">
        <v>499</v>
      </c>
      <c r="F815">
        <v>1</v>
      </c>
      <c r="G815">
        <v>60572.237308582698</v>
      </c>
      <c r="H815">
        <v>8.8867700000000004E-4</v>
      </c>
      <c r="I815">
        <v>11828</v>
      </c>
      <c r="J815">
        <v>2854</v>
      </c>
      <c r="K815">
        <v>8974</v>
      </c>
      <c r="L815">
        <v>500</v>
      </c>
      <c r="M815">
        <v>499</v>
      </c>
      <c r="N815">
        <v>1</v>
      </c>
      <c r="O815">
        <v>12843.611222138201</v>
      </c>
      <c r="P815">
        <v>0</v>
      </c>
    </row>
    <row r="816" spans="1:16" x14ac:dyDescent="0.2">
      <c r="A816" s="3" t="s">
        <v>49</v>
      </c>
      <c r="B816" s="3" t="s">
        <v>52</v>
      </c>
      <c r="C816">
        <v>5</v>
      </c>
      <c r="D816">
        <v>14000</v>
      </c>
      <c r="E816">
        <v>499</v>
      </c>
      <c r="F816">
        <v>1</v>
      </c>
      <c r="G816">
        <v>58565.0323707059</v>
      </c>
      <c r="H816">
        <v>8.8866900000000003E-4</v>
      </c>
      <c r="I816">
        <v>11900</v>
      </c>
      <c r="J816">
        <v>2814</v>
      </c>
      <c r="K816">
        <v>9086</v>
      </c>
      <c r="L816">
        <v>500</v>
      </c>
      <c r="M816">
        <v>499</v>
      </c>
      <c r="N816">
        <v>1</v>
      </c>
      <c r="O816">
        <v>8849.1814018040004</v>
      </c>
      <c r="P816">
        <v>0</v>
      </c>
    </row>
    <row r="817" spans="1:16" x14ac:dyDescent="0.2">
      <c r="A817" s="3" t="s">
        <v>49</v>
      </c>
      <c r="B817" s="3" t="s">
        <v>52</v>
      </c>
      <c r="C817">
        <v>3</v>
      </c>
      <c r="D817">
        <v>12000</v>
      </c>
      <c r="E817">
        <v>499</v>
      </c>
      <c r="F817">
        <v>1</v>
      </c>
      <c r="G817">
        <v>12000</v>
      </c>
      <c r="H817">
        <v>8.8841199999999999E-4</v>
      </c>
      <c r="I817">
        <v>11880</v>
      </c>
      <c r="J817">
        <v>2748</v>
      </c>
      <c r="K817">
        <v>9132</v>
      </c>
      <c r="L817">
        <v>500</v>
      </c>
      <c r="M817">
        <v>499</v>
      </c>
      <c r="N817">
        <v>1</v>
      </c>
      <c r="O817">
        <v>120</v>
      </c>
      <c r="P817">
        <v>1</v>
      </c>
    </row>
    <row r="818" spans="1:16" x14ac:dyDescent="0.2">
      <c r="A818" s="3" t="s">
        <v>49</v>
      </c>
      <c r="B818" s="3" t="s">
        <v>52</v>
      </c>
      <c r="C818">
        <v>20</v>
      </c>
      <c r="D818">
        <v>14000</v>
      </c>
      <c r="E818">
        <v>499</v>
      </c>
      <c r="F818">
        <v>1</v>
      </c>
      <c r="G818">
        <v>14000</v>
      </c>
      <c r="H818">
        <v>8.8836600000000003E-4</v>
      </c>
      <c r="I818">
        <v>11943</v>
      </c>
      <c r="J818">
        <v>2869</v>
      </c>
      <c r="K818">
        <v>9074</v>
      </c>
      <c r="L818">
        <v>500</v>
      </c>
      <c r="M818">
        <v>499</v>
      </c>
      <c r="N818">
        <v>1</v>
      </c>
      <c r="O818">
        <v>2057</v>
      </c>
      <c r="P818">
        <v>1</v>
      </c>
    </row>
    <row r="819" spans="1:16" x14ac:dyDescent="0.2">
      <c r="A819" s="3" t="s">
        <v>49</v>
      </c>
      <c r="B819" s="3" t="s">
        <v>52</v>
      </c>
      <c r="C819">
        <v>24</v>
      </c>
      <c r="D819">
        <v>13000</v>
      </c>
      <c r="E819">
        <v>499</v>
      </c>
      <c r="F819">
        <v>1</v>
      </c>
      <c r="G819">
        <v>53044.701099550097</v>
      </c>
      <c r="H819">
        <v>8.8823799999999996E-4</v>
      </c>
      <c r="I819">
        <v>11830</v>
      </c>
      <c r="J819">
        <v>2789</v>
      </c>
      <c r="K819">
        <v>9041</v>
      </c>
      <c r="L819">
        <v>500</v>
      </c>
      <c r="M819">
        <v>499</v>
      </c>
      <c r="N819">
        <v>1</v>
      </c>
      <c r="O819">
        <v>4763.2058280293004</v>
      </c>
      <c r="P819">
        <v>0</v>
      </c>
    </row>
    <row r="820" spans="1:16" x14ac:dyDescent="0.2">
      <c r="A820" s="3" t="s">
        <v>49</v>
      </c>
      <c r="B820" s="3" t="s">
        <v>52</v>
      </c>
      <c r="C820">
        <v>6</v>
      </c>
      <c r="D820">
        <v>13000</v>
      </c>
      <c r="E820">
        <v>499</v>
      </c>
      <c r="F820">
        <v>1</v>
      </c>
      <c r="G820">
        <v>53044.701099550097</v>
      </c>
      <c r="H820">
        <v>8.8803600000000003E-4</v>
      </c>
      <c r="I820">
        <v>11825</v>
      </c>
      <c r="J820">
        <v>2802</v>
      </c>
      <c r="K820">
        <v>9023</v>
      </c>
      <c r="L820">
        <v>500</v>
      </c>
      <c r="M820">
        <v>499</v>
      </c>
      <c r="N820">
        <v>1</v>
      </c>
      <c r="O820">
        <v>4784.3592881402001</v>
      </c>
      <c r="P820">
        <v>0</v>
      </c>
    </row>
    <row r="821" spans="1:16" x14ac:dyDescent="0.2">
      <c r="A821" s="3" t="s">
        <v>49</v>
      </c>
      <c r="B821" s="3" t="s">
        <v>52</v>
      </c>
      <c r="C821">
        <v>22</v>
      </c>
      <c r="D821">
        <v>14000</v>
      </c>
      <c r="E821">
        <v>499</v>
      </c>
      <c r="F821">
        <v>1</v>
      </c>
      <c r="G821">
        <v>14000</v>
      </c>
      <c r="H821">
        <v>8.8797300000000002E-4</v>
      </c>
      <c r="I821">
        <v>11902</v>
      </c>
      <c r="J821">
        <v>2856</v>
      </c>
      <c r="K821">
        <v>9046</v>
      </c>
      <c r="L821">
        <v>500</v>
      </c>
      <c r="M821">
        <v>499</v>
      </c>
      <c r="N821">
        <v>1</v>
      </c>
      <c r="O821">
        <v>2098</v>
      </c>
      <c r="P821">
        <v>1</v>
      </c>
    </row>
    <row r="822" spans="1:16" x14ac:dyDescent="0.2">
      <c r="A822" s="3" t="s">
        <v>49</v>
      </c>
      <c r="B822" s="3" t="s">
        <v>52</v>
      </c>
      <c r="C822">
        <v>14</v>
      </c>
      <c r="D822">
        <v>14000</v>
      </c>
      <c r="E822">
        <v>499</v>
      </c>
      <c r="F822">
        <v>1</v>
      </c>
      <c r="G822">
        <v>14000</v>
      </c>
      <c r="H822">
        <v>8.8756000000000002E-4</v>
      </c>
      <c r="I822">
        <v>11894</v>
      </c>
      <c r="J822">
        <v>2813</v>
      </c>
      <c r="K822">
        <v>9081</v>
      </c>
      <c r="L822">
        <v>500</v>
      </c>
      <c r="M822">
        <v>499</v>
      </c>
      <c r="N822">
        <v>1</v>
      </c>
      <c r="O822">
        <v>2106</v>
      </c>
      <c r="P822">
        <v>1</v>
      </c>
    </row>
    <row r="823" spans="1:16" x14ac:dyDescent="0.2">
      <c r="A823" s="3" t="s">
        <v>49</v>
      </c>
      <c r="B823" s="3" t="s">
        <v>52</v>
      </c>
      <c r="C823">
        <v>40</v>
      </c>
      <c r="D823">
        <v>14000</v>
      </c>
      <c r="E823">
        <v>499</v>
      </c>
      <c r="F823">
        <v>1</v>
      </c>
      <c r="G823">
        <v>58565.0323707059</v>
      </c>
      <c r="H823">
        <v>8.8754999999999997E-4</v>
      </c>
      <c r="I823">
        <v>11851</v>
      </c>
      <c r="J823">
        <v>2781</v>
      </c>
      <c r="K823">
        <v>9070</v>
      </c>
      <c r="L823">
        <v>500</v>
      </c>
      <c r="M823">
        <v>499</v>
      </c>
      <c r="N823">
        <v>1</v>
      </c>
      <c r="O823">
        <v>9037.7089246658998</v>
      </c>
      <c r="P823">
        <v>0</v>
      </c>
    </row>
    <row r="824" spans="1:16" x14ac:dyDescent="0.2">
      <c r="A824" s="3" t="s">
        <v>49</v>
      </c>
      <c r="B824" s="3" t="s">
        <v>52</v>
      </c>
      <c r="C824">
        <v>20</v>
      </c>
      <c r="D824">
        <v>13000</v>
      </c>
      <c r="E824">
        <v>499</v>
      </c>
      <c r="F824">
        <v>1</v>
      </c>
      <c r="G824">
        <v>13000</v>
      </c>
      <c r="H824">
        <v>8.8668799999999995E-4</v>
      </c>
      <c r="I824">
        <v>11827</v>
      </c>
      <c r="J824">
        <v>2801</v>
      </c>
      <c r="K824">
        <v>9026</v>
      </c>
      <c r="L824">
        <v>500</v>
      </c>
      <c r="M824">
        <v>499</v>
      </c>
      <c r="N824">
        <v>1</v>
      </c>
      <c r="O824">
        <v>1173</v>
      </c>
      <c r="P824">
        <v>1</v>
      </c>
    </row>
    <row r="825" spans="1:16" x14ac:dyDescent="0.2">
      <c r="A825" s="3" t="s">
        <v>49</v>
      </c>
      <c r="B825" s="3" t="s">
        <v>52</v>
      </c>
      <c r="C825">
        <v>49</v>
      </c>
      <c r="D825">
        <v>14000</v>
      </c>
      <c r="E825">
        <v>499</v>
      </c>
      <c r="F825">
        <v>1</v>
      </c>
      <c r="G825">
        <v>58565.0323707059</v>
      </c>
      <c r="H825">
        <v>8.8663399999999997E-4</v>
      </c>
      <c r="I825">
        <v>11901</v>
      </c>
      <c r="J825">
        <v>2814</v>
      </c>
      <c r="K825">
        <v>9087</v>
      </c>
      <c r="L825">
        <v>500</v>
      </c>
      <c r="M825">
        <v>499</v>
      </c>
      <c r="N825">
        <v>1</v>
      </c>
      <c r="O825">
        <v>8848.1554614626002</v>
      </c>
      <c r="P825">
        <v>0</v>
      </c>
    </row>
    <row r="826" spans="1:16" x14ac:dyDescent="0.2">
      <c r="A826" s="3" t="s">
        <v>49</v>
      </c>
      <c r="B826" s="3" t="s">
        <v>52</v>
      </c>
      <c r="C826">
        <v>7</v>
      </c>
      <c r="D826">
        <v>15000</v>
      </c>
      <c r="E826">
        <v>499</v>
      </c>
      <c r="F826">
        <v>1</v>
      </c>
      <c r="G826">
        <v>60572.237308582698</v>
      </c>
      <c r="H826">
        <v>8.8625800000000001E-4</v>
      </c>
      <c r="I826">
        <v>11827</v>
      </c>
      <c r="J826">
        <v>2837</v>
      </c>
      <c r="K826">
        <v>8990</v>
      </c>
      <c r="L826">
        <v>500</v>
      </c>
      <c r="M826">
        <v>499</v>
      </c>
      <c r="N826">
        <v>1</v>
      </c>
      <c r="O826">
        <v>12856.1111686488</v>
      </c>
      <c r="P826">
        <v>0</v>
      </c>
    </row>
    <row r="827" spans="1:16" x14ac:dyDescent="0.2">
      <c r="A827" s="3" t="s">
        <v>49</v>
      </c>
      <c r="B827" s="3" t="s">
        <v>52</v>
      </c>
      <c r="C827">
        <v>38</v>
      </c>
      <c r="D827">
        <v>15000</v>
      </c>
      <c r="E827">
        <v>499</v>
      </c>
      <c r="F827">
        <v>1</v>
      </c>
      <c r="G827">
        <v>15000</v>
      </c>
      <c r="H827">
        <v>8.8594599999999998E-4</v>
      </c>
      <c r="I827">
        <v>11843</v>
      </c>
      <c r="J827">
        <v>2931</v>
      </c>
      <c r="K827">
        <v>8912</v>
      </c>
      <c r="L827">
        <v>500</v>
      </c>
      <c r="M827">
        <v>499</v>
      </c>
      <c r="N827">
        <v>1</v>
      </c>
      <c r="O827">
        <v>3157</v>
      </c>
      <c r="P827">
        <v>1</v>
      </c>
    </row>
    <row r="828" spans="1:16" x14ac:dyDescent="0.2">
      <c r="A828" s="3" t="s">
        <v>49</v>
      </c>
      <c r="B828" s="3" t="s">
        <v>52</v>
      </c>
      <c r="C828">
        <v>44</v>
      </c>
      <c r="D828">
        <v>15000</v>
      </c>
      <c r="E828">
        <v>499</v>
      </c>
      <c r="F828">
        <v>1</v>
      </c>
      <c r="G828">
        <v>60572.237308582698</v>
      </c>
      <c r="H828">
        <v>8.8583599999999998E-4</v>
      </c>
      <c r="I828">
        <v>11868</v>
      </c>
      <c r="J828">
        <v>2937</v>
      </c>
      <c r="K828">
        <v>8931</v>
      </c>
      <c r="L828">
        <v>500</v>
      </c>
      <c r="M828">
        <v>499</v>
      </c>
      <c r="N828">
        <v>1</v>
      </c>
      <c r="O828">
        <v>12692.6035519777</v>
      </c>
      <c r="P828">
        <v>0</v>
      </c>
    </row>
    <row r="829" spans="1:16" x14ac:dyDescent="0.2">
      <c r="A829" s="3" t="s">
        <v>49</v>
      </c>
      <c r="B829" s="3" t="s">
        <v>52</v>
      </c>
      <c r="C829">
        <v>39</v>
      </c>
      <c r="D829">
        <v>14000</v>
      </c>
      <c r="E829">
        <v>499</v>
      </c>
      <c r="F829">
        <v>1</v>
      </c>
      <c r="G829">
        <v>58565.0323707059</v>
      </c>
      <c r="H829">
        <v>8.8565300000000003E-4</v>
      </c>
      <c r="I829">
        <v>11877</v>
      </c>
      <c r="J829">
        <v>2795</v>
      </c>
      <c r="K829">
        <v>9082</v>
      </c>
      <c r="L829">
        <v>500</v>
      </c>
      <c r="M829">
        <v>499</v>
      </c>
      <c r="N829">
        <v>1</v>
      </c>
      <c r="O829">
        <v>8919.4417260443006</v>
      </c>
      <c r="P829">
        <v>0</v>
      </c>
    </row>
    <row r="830" spans="1:16" x14ac:dyDescent="0.2">
      <c r="A830" s="3" t="s">
        <v>49</v>
      </c>
      <c r="B830" s="3" t="s">
        <v>52</v>
      </c>
      <c r="C830">
        <v>22</v>
      </c>
      <c r="D830">
        <v>13000</v>
      </c>
      <c r="E830">
        <v>499</v>
      </c>
      <c r="F830">
        <v>1</v>
      </c>
      <c r="G830">
        <v>13000</v>
      </c>
      <c r="H830">
        <v>8.8465400000000002E-4</v>
      </c>
      <c r="I830">
        <v>11855</v>
      </c>
      <c r="J830">
        <v>2813</v>
      </c>
      <c r="K830">
        <v>9042</v>
      </c>
      <c r="L830">
        <v>500</v>
      </c>
      <c r="M830">
        <v>499</v>
      </c>
      <c r="N830">
        <v>1</v>
      </c>
      <c r="O830">
        <v>1145</v>
      </c>
      <c r="P830">
        <v>1</v>
      </c>
    </row>
    <row r="831" spans="1:16" x14ac:dyDescent="0.2">
      <c r="A831" s="3" t="s">
        <v>49</v>
      </c>
      <c r="B831" s="3" t="s">
        <v>52</v>
      </c>
      <c r="C831">
        <v>27</v>
      </c>
      <c r="D831">
        <v>14000</v>
      </c>
      <c r="E831">
        <v>499</v>
      </c>
      <c r="F831">
        <v>1</v>
      </c>
      <c r="G831">
        <v>14000</v>
      </c>
      <c r="H831">
        <v>8.8448800000000001E-4</v>
      </c>
      <c r="I831">
        <v>11882</v>
      </c>
      <c r="J831">
        <v>2825</v>
      </c>
      <c r="K831">
        <v>9057</v>
      </c>
      <c r="L831">
        <v>500</v>
      </c>
      <c r="M831">
        <v>499</v>
      </c>
      <c r="N831">
        <v>1</v>
      </c>
      <c r="O831">
        <v>2118</v>
      </c>
      <c r="P831">
        <v>1</v>
      </c>
    </row>
    <row r="832" spans="1:16" x14ac:dyDescent="0.2">
      <c r="A832" s="3" t="s">
        <v>49</v>
      </c>
      <c r="B832" s="3" t="s">
        <v>52</v>
      </c>
      <c r="C832">
        <v>41</v>
      </c>
      <c r="D832">
        <v>15000</v>
      </c>
      <c r="E832">
        <v>499</v>
      </c>
      <c r="F832">
        <v>1</v>
      </c>
      <c r="G832">
        <v>60572.237308582698</v>
      </c>
      <c r="H832">
        <v>8.8442499999999999E-4</v>
      </c>
      <c r="I832">
        <v>11827</v>
      </c>
      <c r="J832">
        <v>2821</v>
      </c>
      <c r="K832">
        <v>9006</v>
      </c>
      <c r="L832">
        <v>500</v>
      </c>
      <c r="M832">
        <v>499</v>
      </c>
      <c r="N832">
        <v>1</v>
      </c>
      <c r="O832">
        <v>12855.457735196</v>
      </c>
      <c r="P832">
        <v>0</v>
      </c>
    </row>
    <row r="833" spans="1:16" x14ac:dyDescent="0.2">
      <c r="A833" s="3" t="s">
        <v>49</v>
      </c>
      <c r="B833" s="3" t="s">
        <v>52</v>
      </c>
      <c r="C833">
        <v>18</v>
      </c>
      <c r="D833">
        <v>14000</v>
      </c>
      <c r="E833">
        <v>499</v>
      </c>
      <c r="F833">
        <v>1</v>
      </c>
      <c r="G833">
        <v>58565.0323707059</v>
      </c>
      <c r="H833">
        <v>8.8378399999999998E-4</v>
      </c>
      <c r="I833">
        <v>11896</v>
      </c>
      <c r="J833">
        <v>2822</v>
      </c>
      <c r="K833">
        <v>9074</v>
      </c>
      <c r="L833">
        <v>500</v>
      </c>
      <c r="M833">
        <v>499</v>
      </c>
      <c r="N833">
        <v>1</v>
      </c>
      <c r="O833">
        <v>8852.5379254888994</v>
      </c>
      <c r="P833">
        <v>0</v>
      </c>
    </row>
    <row r="834" spans="1:16" x14ac:dyDescent="0.2">
      <c r="A834" s="3" t="s">
        <v>49</v>
      </c>
      <c r="B834" s="3" t="s">
        <v>52</v>
      </c>
      <c r="C834">
        <v>20</v>
      </c>
      <c r="D834">
        <v>14000</v>
      </c>
      <c r="E834">
        <v>499</v>
      </c>
      <c r="F834">
        <v>1</v>
      </c>
      <c r="G834">
        <v>58565.0323707059</v>
      </c>
      <c r="H834">
        <v>8.8359899999999999E-4</v>
      </c>
      <c r="I834">
        <v>11895</v>
      </c>
      <c r="J834">
        <v>2836</v>
      </c>
      <c r="K834">
        <v>9059</v>
      </c>
      <c r="L834">
        <v>500</v>
      </c>
      <c r="M834">
        <v>499</v>
      </c>
      <c r="N834">
        <v>1</v>
      </c>
      <c r="O834">
        <v>8853.1856929178994</v>
      </c>
      <c r="P834">
        <v>0</v>
      </c>
    </row>
    <row r="835" spans="1:16" x14ac:dyDescent="0.2">
      <c r="A835" s="3" t="s">
        <v>49</v>
      </c>
      <c r="B835" s="3" t="s">
        <v>52</v>
      </c>
      <c r="C835">
        <v>35</v>
      </c>
      <c r="D835">
        <v>15000</v>
      </c>
      <c r="E835">
        <v>499</v>
      </c>
      <c r="F835">
        <v>1</v>
      </c>
      <c r="G835">
        <v>60572.237308582698</v>
      </c>
      <c r="H835">
        <v>8.8358999999999996E-4</v>
      </c>
      <c r="I835">
        <v>11878</v>
      </c>
      <c r="J835">
        <v>2898</v>
      </c>
      <c r="K835">
        <v>8980</v>
      </c>
      <c r="L835">
        <v>500</v>
      </c>
      <c r="M835">
        <v>499</v>
      </c>
      <c r="N835">
        <v>1</v>
      </c>
      <c r="O835">
        <v>12670.8220426061</v>
      </c>
      <c r="P835">
        <v>0</v>
      </c>
    </row>
    <row r="836" spans="1:16" x14ac:dyDescent="0.2">
      <c r="A836" s="3" t="s">
        <v>49</v>
      </c>
      <c r="B836" s="3" t="s">
        <v>52</v>
      </c>
      <c r="C836">
        <v>45</v>
      </c>
      <c r="D836">
        <v>15000</v>
      </c>
      <c r="E836">
        <v>499</v>
      </c>
      <c r="F836">
        <v>1</v>
      </c>
      <c r="G836">
        <v>60572.237308582698</v>
      </c>
      <c r="H836">
        <v>8.8325100000000004E-4</v>
      </c>
      <c r="I836">
        <v>11869</v>
      </c>
      <c r="J836">
        <v>2866</v>
      </c>
      <c r="K836">
        <v>9003</v>
      </c>
      <c r="L836">
        <v>500</v>
      </c>
      <c r="M836">
        <v>499</v>
      </c>
      <c r="N836">
        <v>1</v>
      </c>
      <c r="O836">
        <v>12692.6735356193</v>
      </c>
      <c r="P836">
        <v>0</v>
      </c>
    </row>
    <row r="837" spans="1:16" x14ac:dyDescent="0.2">
      <c r="A837" s="3" t="s">
        <v>49</v>
      </c>
      <c r="B837" s="3" t="s">
        <v>52</v>
      </c>
      <c r="C837">
        <v>6</v>
      </c>
      <c r="D837">
        <v>14000</v>
      </c>
      <c r="E837">
        <v>499</v>
      </c>
      <c r="F837">
        <v>1</v>
      </c>
      <c r="G837">
        <v>58565.0323707059</v>
      </c>
      <c r="H837">
        <v>8.8307700000000002E-4</v>
      </c>
      <c r="I837">
        <v>11878</v>
      </c>
      <c r="J837">
        <v>2827</v>
      </c>
      <c r="K837">
        <v>9051</v>
      </c>
      <c r="L837">
        <v>500</v>
      </c>
      <c r="M837">
        <v>499</v>
      </c>
      <c r="N837">
        <v>1</v>
      </c>
      <c r="O837">
        <v>8934.5958796862997</v>
      </c>
      <c r="P837">
        <v>0</v>
      </c>
    </row>
    <row r="838" spans="1:16" x14ac:dyDescent="0.2">
      <c r="A838" s="3" t="s">
        <v>49</v>
      </c>
      <c r="B838" s="3" t="s">
        <v>52</v>
      </c>
      <c r="C838">
        <v>46</v>
      </c>
      <c r="D838">
        <v>14000</v>
      </c>
      <c r="E838">
        <v>499</v>
      </c>
      <c r="F838">
        <v>1</v>
      </c>
      <c r="G838">
        <v>58565.0323707059</v>
      </c>
      <c r="H838">
        <v>8.8287499999999998E-4</v>
      </c>
      <c r="I838">
        <v>11908</v>
      </c>
      <c r="J838">
        <v>2814</v>
      </c>
      <c r="K838">
        <v>9094</v>
      </c>
      <c r="L838">
        <v>500</v>
      </c>
      <c r="M838">
        <v>499</v>
      </c>
      <c r="N838">
        <v>1</v>
      </c>
      <c r="O838">
        <v>8813.6245768198005</v>
      </c>
      <c r="P838">
        <v>0</v>
      </c>
    </row>
    <row r="839" spans="1:16" x14ac:dyDescent="0.2">
      <c r="A839" s="3" t="s">
        <v>49</v>
      </c>
      <c r="B839" s="3" t="s">
        <v>52</v>
      </c>
      <c r="C839">
        <v>8</v>
      </c>
      <c r="D839">
        <v>14000</v>
      </c>
      <c r="E839">
        <v>499</v>
      </c>
      <c r="F839">
        <v>1</v>
      </c>
      <c r="G839">
        <v>58565.0323707059</v>
      </c>
      <c r="H839">
        <v>8.8269200000000003E-4</v>
      </c>
      <c r="I839">
        <v>11952</v>
      </c>
      <c r="J839">
        <v>2842</v>
      </c>
      <c r="K839">
        <v>9110</v>
      </c>
      <c r="L839">
        <v>500</v>
      </c>
      <c r="M839">
        <v>499</v>
      </c>
      <c r="N839">
        <v>1</v>
      </c>
      <c r="O839">
        <v>8635.6686289000008</v>
      </c>
      <c r="P839">
        <v>0</v>
      </c>
    </row>
    <row r="840" spans="1:16" x14ac:dyDescent="0.2">
      <c r="A840" s="3" t="s">
        <v>49</v>
      </c>
      <c r="B840" s="3" t="s">
        <v>52</v>
      </c>
      <c r="C840">
        <v>23</v>
      </c>
      <c r="D840">
        <v>12000</v>
      </c>
      <c r="E840">
        <v>499</v>
      </c>
      <c r="F840">
        <v>1</v>
      </c>
      <c r="G840">
        <v>12000</v>
      </c>
      <c r="H840">
        <v>8.8265499999999998E-4</v>
      </c>
      <c r="I840">
        <v>11884</v>
      </c>
      <c r="J840">
        <v>2764</v>
      </c>
      <c r="K840">
        <v>9120</v>
      </c>
      <c r="L840">
        <v>500</v>
      </c>
      <c r="M840">
        <v>499</v>
      </c>
      <c r="N840">
        <v>1</v>
      </c>
      <c r="O840">
        <v>116</v>
      </c>
      <c r="P840">
        <v>1</v>
      </c>
    </row>
    <row r="841" spans="1:16" x14ac:dyDescent="0.2">
      <c r="A841" s="3" t="s">
        <v>49</v>
      </c>
      <c r="B841" s="3" t="s">
        <v>52</v>
      </c>
      <c r="C841">
        <v>30</v>
      </c>
      <c r="D841">
        <v>14000</v>
      </c>
      <c r="E841">
        <v>499</v>
      </c>
      <c r="F841">
        <v>1</v>
      </c>
      <c r="G841">
        <v>14000</v>
      </c>
      <c r="H841">
        <v>8.82298E-4</v>
      </c>
      <c r="I841">
        <v>11887</v>
      </c>
      <c r="J841">
        <v>2799</v>
      </c>
      <c r="K841">
        <v>9088</v>
      </c>
      <c r="L841">
        <v>500</v>
      </c>
      <c r="M841">
        <v>499</v>
      </c>
      <c r="N841">
        <v>1</v>
      </c>
      <c r="O841">
        <v>2113</v>
      </c>
      <c r="P841">
        <v>1</v>
      </c>
    </row>
    <row r="842" spans="1:16" x14ac:dyDescent="0.2">
      <c r="A842" s="3" t="s">
        <v>49</v>
      </c>
      <c r="B842" s="3" t="s">
        <v>52</v>
      </c>
      <c r="C842">
        <v>16</v>
      </c>
      <c r="D842">
        <v>13000</v>
      </c>
      <c r="E842">
        <v>499</v>
      </c>
      <c r="F842">
        <v>1</v>
      </c>
      <c r="G842">
        <v>53044.701099550097</v>
      </c>
      <c r="H842">
        <v>8.8211400000000003E-4</v>
      </c>
      <c r="I842">
        <v>11817</v>
      </c>
      <c r="J842">
        <v>2762</v>
      </c>
      <c r="K842">
        <v>9055</v>
      </c>
      <c r="L842">
        <v>500</v>
      </c>
      <c r="M842">
        <v>499</v>
      </c>
      <c r="N842">
        <v>1</v>
      </c>
      <c r="O842">
        <v>4827.7892209574002</v>
      </c>
      <c r="P842">
        <v>0</v>
      </c>
    </row>
    <row r="843" spans="1:16" x14ac:dyDescent="0.2">
      <c r="A843" s="3" t="s">
        <v>49</v>
      </c>
      <c r="B843" s="3" t="s">
        <v>52</v>
      </c>
      <c r="C843">
        <v>38</v>
      </c>
      <c r="D843">
        <v>11000</v>
      </c>
      <c r="E843">
        <v>499</v>
      </c>
      <c r="F843">
        <v>1</v>
      </c>
      <c r="G843">
        <v>44062.122210792702</v>
      </c>
      <c r="H843">
        <v>8.81024E-4</v>
      </c>
      <c r="I843">
        <v>11000</v>
      </c>
      <c r="J843">
        <v>2765</v>
      </c>
      <c r="K843">
        <v>8235</v>
      </c>
      <c r="L843">
        <v>500</v>
      </c>
      <c r="M843">
        <v>499</v>
      </c>
      <c r="N843">
        <v>1</v>
      </c>
      <c r="O843">
        <v>0</v>
      </c>
      <c r="P843">
        <v>0</v>
      </c>
    </row>
    <row r="844" spans="1:16" x14ac:dyDescent="0.2">
      <c r="A844" s="3" t="s">
        <v>49</v>
      </c>
      <c r="B844" s="3" t="s">
        <v>52</v>
      </c>
      <c r="C844">
        <v>25</v>
      </c>
      <c r="D844">
        <v>12000</v>
      </c>
      <c r="E844">
        <v>499</v>
      </c>
      <c r="F844">
        <v>1</v>
      </c>
      <c r="G844">
        <v>12000</v>
      </c>
      <c r="H844">
        <v>8.8074900000000001E-4</v>
      </c>
      <c r="I844">
        <v>11897</v>
      </c>
      <c r="J844">
        <v>2782</v>
      </c>
      <c r="K844">
        <v>9115</v>
      </c>
      <c r="L844">
        <v>500</v>
      </c>
      <c r="M844">
        <v>499</v>
      </c>
      <c r="N844">
        <v>1</v>
      </c>
      <c r="O844">
        <v>103</v>
      </c>
      <c r="P844">
        <v>1</v>
      </c>
    </row>
    <row r="845" spans="1:16" x14ac:dyDescent="0.2">
      <c r="A845" s="3" t="s">
        <v>49</v>
      </c>
      <c r="B845" s="3" t="s">
        <v>52</v>
      </c>
      <c r="C845">
        <v>42</v>
      </c>
      <c r="D845">
        <v>12000</v>
      </c>
      <c r="E845">
        <v>499</v>
      </c>
      <c r="F845">
        <v>1</v>
      </c>
      <c r="G845">
        <v>50533.323552418398</v>
      </c>
      <c r="H845">
        <v>8.8040099999999995E-4</v>
      </c>
      <c r="I845">
        <v>11886</v>
      </c>
      <c r="J845">
        <v>2764</v>
      </c>
      <c r="K845">
        <v>9122</v>
      </c>
      <c r="L845">
        <v>500</v>
      </c>
      <c r="M845">
        <v>499</v>
      </c>
      <c r="N845">
        <v>1</v>
      </c>
      <c r="O845">
        <v>528.26082541009998</v>
      </c>
      <c r="P845">
        <v>0</v>
      </c>
    </row>
    <row r="846" spans="1:16" x14ac:dyDescent="0.2">
      <c r="A846" s="3" t="s">
        <v>49</v>
      </c>
      <c r="B846" s="3" t="s">
        <v>52</v>
      </c>
      <c r="C846">
        <v>37</v>
      </c>
      <c r="D846">
        <v>11000</v>
      </c>
      <c r="E846">
        <v>499</v>
      </c>
      <c r="F846">
        <v>1</v>
      </c>
      <c r="G846">
        <v>44062.122210792702</v>
      </c>
      <c r="H846">
        <v>8.7985099999999996E-4</v>
      </c>
      <c r="I846">
        <v>11000</v>
      </c>
      <c r="J846">
        <v>2777</v>
      </c>
      <c r="K846">
        <v>8223</v>
      </c>
      <c r="L846">
        <v>500</v>
      </c>
      <c r="M846">
        <v>499</v>
      </c>
      <c r="N846">
        <v>1</v>
      </c>
      <c r="O846">
        <v>0</v>
      </c>
      <c r="P846">
        <v>0</v>
      </c>
    </row>
    <row r="847" spans="1:16" x14ac:dyDescent="0.2">
      <c r="A847" s="3" t="s">
        <v>49</v>
      </c>
      <c r="B847" s="3" t="s">
        <v>52</v>
      </c>
      <c r="C847">
        <v>27</v>
      </c>
      <c r="D847">
        <v>13000</v>
      </c>
      <c r="E847">
        <v>499</v>
      </c>
      <c r="F847">
        <v>1</v>
      </c>
      <c r="G847">
        <v>13000</v>
      </c>
      <c r="H847">
        <v>8.79557E-4</v>
      </c>
      <c r="I847">
        <v>11818</v>
      </c>
      <c r="J847">
        <v>2783</v>
      </c>
      <c r="K847">
        <v>9035</v>
      </c>
      <c r="L847">
        <v>500</v>
      </c>
      <c r="M847">
        <v>499</v>
      </c>
      <c r="N847">
        <v>1</v>
      </c>
      <c r="O847">
        <v>1182</v>
      </c>
      <c r="P847">
        <v>1</v>
      </c>
    </row>
    <row r="848" spans="1:16" x14ac:dyDescent="0.2">
      <c r="A848" s="3" t="s">
        <v>49</v>
      </c>
      <c r="B848" s="3" t="s">
        <v>52</v>
      </c>
      <c r="C848">
        <v>26</v>
      </c>
      <c r="D848">
        <v>12000</v>
      </c>
      <c r="E848">
        <v>499</v>
      </c>
      <c r="F848">
        <v>1</v>
      </c>
      <c r="G848">
        <v>50533.323552418398</v>
      </c>
      <c r="H848">
        <v>8.7952899999999999E-4</v>
      </c>
      <c r="I848">
        <v>11902</v>
      </c>
      <c r="J848">
        <v>2809</v>
      </c>
      <c r="K848">
        <v>9093</v>
      </c>
      <c r="L848">
        <v>500</v>
      </c>
      <c r="M848">
        <v>499</v>
      </c>
      <c r="N848">
        <v>1</v>
      </c>
      <c r="O848">
        <v>442.38858383809998</v>
      </c>
      <c r="P848">
        <v>0</v>
      </c>
    </row>
    <row r="849" spans="1:16" x14ac:dyDescent="0.2">
      <c r="A849" s="3" t="s">
        <v>49</v>
      </c>
      <c r="B849" s="3" t="s">
        <v>52</v>
      </c>
      <c r="C849">
        <v>4</v>
      </c>
      <c r="D849">
        <v>14000</v>
      </c>
      <c r="E849">
        <v>499</v>
      </c>
      <c r="F849">
        <v>1</v>
      </c>
      <c r="G849">
        <v>14000</v>
      </c>
      <c r="H849">
        <v>8.79447E-4</v>
      </c>
      <c r="I849">
        <v>11880</v>
      </c>
      <c r="J849">
        <v>2830</v>
      </c>
      <c r="K849">
        <v>9050</v>
      </c>
      <c r="L849">
        <v>500</v>
      </c>
      <c r="M849">
        <v>499</v>
      </c>
      <c r="N849">
        <v>1</v>
      </c>
      <c r="O849">
        <v>2120</v>
      </c>
      <c r="P849">
        <v>1</v>
      </c>
    </row>
    <row r="850" spans="1:16" x14ac:dyDescent="0.2">
      <c r="A850" s="3" t="s">
        <v>49</v>
      </c>
      <c r="B850" s="3" t="s">
        <v>52</v>
      </c>
      <c r="C850">
        <v>24</v>
      </c>
      <c r="D850">
        <v>14000</v>
      </c>
      <c r="E850">
        <v>499</v>
      </c>
      <c r="F850">
        <v>1</v>
      </c>
      <c r="G850">
        <v>58565.0323707059</v>
      </c>
      <c r="H850">
        <v>8.7935599999999997E-4</v>
      </c>
      <c r="I850">
        <v>11890</v>
      </c>
      <c r="J850">
        <v>2829</v>
      </c>
      <c r="K850">
        <v>9061</v>
      </c>
      <c r="L850">
        <v>500</v>
      </c>
      <c r="M850">
        <v>499</v>
      </c>
      <c r="N850">
        <v>1</v>
      </c>
      <c r="O850">
        <v>8879.1964522718008</v>
      </c>
      <c r="P850">
        <v>0</v>
      </c>
    </row>
    <row r="851" spans="1:16" x14ac:dyDescent="0.2">
      <c r="A851" s="3" t="s">
        <v>49</v>
      </c>
      <c r="B851" s="3" t="s">
        <v>52</v>
      </c>
      <c r="C851">
        <v>36</v>
      </c>
      <c r="D851">
        <v>14000</v>
      </c>
      <c r="E851">
        <v>499</v>
      </c>
      <c r="F851">
        <v>1</v>
      </c>
      <c r="G851">
        <v>14000</v>
      </c>
      <c r="H851">
        <v>8.7918999999999996E-4</v>
      </c>
      <c r="I851">
        <v>11894</v>
      </c>
      <c r="J851">
        <v>2795</v>
      </c>
      <c r="K851">
        <v>9099</v>
      </c>
      <c r="L851">
        <v>500</v>
      </c>
      <c r="M851">
        <v>499</v>
      </c>
      <c r="N851">
        <v>1</v>
      </c>
      <c r="O851">
        <v>2106</v>
      </c>
      <c r="P851">
        <v>1</v>
      </c>
    </row>
    <row r="852" spans="1:16" x14ac:dyDescent="0.2">
      <c r="A852" s="3" t="s">
        <v>49</v>
      </c>
      <c r="B852" s="3" t="s">
        <v>52</v>
      </c>
      <c r="C852">
        <v>39</v>
      </c>
      <c r="D852">
        <v>12000</v>
      </c>
      <c r="E852">
        <v>499</v>
      </c>
      <c r="F852">
        <v>1</v>
      </c>
      <c r="G852">
        <v>50533.323552418398</v>
      </c>
      <c r="H852">
        <v>8.7815500000000004E-4</v>
      </c>
      <c r="I852">
        <v>11886</v>
      </c>
      <c r="J852">
        <v>2770</v>
      </c>
      <c r="K852">
        <v>9116</v>
      </c>
      <c r="L852">
        <v>500</v>
      </c>
      <c r="M852">
        <v>499</v>
      </c>
      <c r="N852">
        <v>1</v>
      </c>
      <c r="O852">
        <v>519.81889223789995</v>
      </c>
      <c r="P852">
        <v>0</v>
      </c>
    </row>
    <row r="853" spans="1:16" x14ac:dyDescent="0.2">
      <c r="A853" s="3" t="s">
        <v>49</v>
      </c>
      <c r="B853" s="3" t="s">
        <v>52</v>
      </c>
      <c r="C853">
        <v>37</v>
      </c>
      <c r="D853">
        <v>13000</v>
      </c>
      <c r="E853">
        <v>499</v>
      </c>
      <c r="F853">
        <v>1</v>
      </c>
      <c r="G853">
        <v>53044.701099550097</v>
      </c>
      <c r="H853">
        <v>8.7815400000000002E-4</v>
      </c>
      <c r="I853">
        <v>11846</v>
      </c>
      <c r="J853">
        <v>2815</v>
      </c>
      <c r="K853">
        <v>9031</v>
      </c>
      <c r="L853">
        <v>500</v>
      </c>
      <c r="M853">
        <v>499</v>
      </c>
      <c r="N853">
        <v>1</v>
      </c>
      <c r="O853">
        <v>4706.8382658648998</v>
      </c>
      <c r="P853">
        <v>0</v>
      </c>
    </row>
    <row r="854" spans="1:16" x14ac:dyDescent="0.2">
      <c r="A854" s="3" t="s">
        <v>49</v>
      </c>
      <c r="B854" s="3" t="s">
        <v>52</v>
      </c>
      <c r="C854">
        <v>9</v>
      </c>
      <c r="D854">
        <v>13000</v>
      </c>
      <c r="E854">
        <v>499</v>
      </c>
      <c r="F854">
        <v>1</v>
      </c>
      <c r="G854">
        <v>53044.701099550097</v>
      </c>
      <c r="H854">
        <v>8.7804400000000002E-4</v>
      </c>
      <c r="I854">
        <v>11829</v>
      </c>
      <c r="J854">
        <v>2804</v>
      </c>
      <c r="K854">
        <v>9025</v>
      </c>
      <c r="L854">
        <v>500</v>
      </c>
      <c r="M854">
        <v>499</v>
      </c>
      <c r="N854">
        <v>1</v>
      </c>
      <c r="O854">
        <v>4768.3771049344004</v>
      </c>
      <c r="P854">
        <v>0</v>
      </c>
    </row>
    <row r="855" spans="1:16" x14ac:dyDescent="0.2">
      <c r="A855" s="3" t="s">
        <v>49</v>
      </c>
      <c r="B855" s="3" t="s">
        <v>52</v>
      </c>
      <c r="C855">
        <v>36</v>
      </c>
      <c r="D855">
        <v>13000</v>
      </c>
      <c r="E855">
        <v>499</v>
      </c>
      <c r="F855">
        <v>1</v>
      </c>
      <c r="G855">
        <v>53044.701099550097</v>
      </c>
      <c r="H855">
        <v>8.7799799999999995E-4</v>
      </c>
      <c r="I855">
        <v>11861</v>
      </c>
      <c r="J855">
        <v>2819</v>
      </c>
      <c r="K855">
        <v>9042</v>
      </c>
      <c r="L855">
        <v>500</v>
      </c>
      <c r="M855">
        <v>499</v>
      </c>
      <c r="N855">
        <v>1</v>
      </c>
      <c r="O855">
        <v>4622.0349571707002</v>
      </c>
      <c r="P855">
        <v>0</v>
      </c>
    </row>
    <row r="856" spans="1:16" x14ac:dyDescent="0.2">
      <c r="A856" s="3" t="s">
        <v>49</v>
      </c>
      <c r="B856" s="3" t="s">
        <v>52</v>
      </c>
      <c r="C856">
        <v>35</v>
      </c>
      <c r="D856">
        <v>14000</v>
      </c>
      <c r="E856">
        <v>499</v>
      </c>
      <c r="F856">
        <v>1</v>
      </c>
      <c r="G856">
        <v>14000</v>
      </c>
      <c r="H856">
        <v>8.77843E-4</v>
      </c>
      <c r="I856">
        <v>11867</v>
      </c>
      <c r="J856">
        <v>2794</v>
      </c>
      <c r="K856">
        <v>9073</v>
      </c>
      <c r="L856">
        <v>500</v>
      </c>
      <c r="M856">
        <v>499</v>
      </c>
      <c r="N856">
        <v>1</v>
      </c>
      <c r="O856">
        <v>2133</v>
      </c>
      <c r="P856">
        <v>1</v>
      </c>
    </row>
    <row r="857" spans="1:16" x14ac:dyDescent="0.2">
      <c r="A857" s="3" t="s">
        <v>49</v>
      </c>
      <c r="B857" s="3" t="s">
        <v>52</v>
      </c>
      <c r="C857">
        <v>27</v>
      </c>
      <c r="D857">
        <v>13000</v>
      </c>
      <c r="E857">
        <v>499</v>
      </c>
      <c r="F857">
        <v>1</v>
      </c>
      <c r="G857">
        <v>53044.701099550097</v>
      </c>
      <c r="H857">
        <v>8.7780699999999998E-4</v>
      </c>
      <c r="I857">
        <v>11824</v>
      </c>
      <c r="J857">
        <v>2819</v>
      </c>
      <c r="K857">
        <v>9005</v>
      </c>
      <c r="L857">
        <v>500</v>
      </c>
      <c r="M857">
        <v>499</v>
      </c>
      <c r="N857">
        <v>1</v>
      </c>
      <c r="O857">
        <v>4786.6536041360996</v>
      </c>
      <c r="P857">
        <v>0</v>
      </c>
    </row>
    <row r="858" spans="1:16" x14ac:dyDescent="0.2">
      <c r="A858" s="3" t="s">
        <v>49</v>
      </c>
      <c r="B858" s="3" t="s">
        <v>52</v>
      </c>
      <c r="C858">
        <v>12</v>
      </c>
      <c r="D858">
        <v>15000</v>
      </c>
      <c r="E858">
        <v>499</v>
      </c>
      <c r="F858">
        <v>1</v>
      </c>
      <c r="G858">
        <v>60572.237308582698</v>
      </c>
      <c r="H858">
        <v>8.7765900000000003E-4</v>
      </c>
      <c r="I858">
        <v>11830</v>
      </c>
      <c r="J858">
        <v>2855</v>
      </c>
      <c r="K858">
        <v>8975</v>
      </c>
      <c r="L858">
        <v>500</v>
      </c>
      <c r="M858">
        <v>499</v>
      </c>
      <c r="N858">
        <v>1</v>
      </c>
      <c r="O858">
        <v>12821.9555321834</v>
      </c>
      <c r="P858">
        <v>0</v>
      </c>
    </row>
    <row r="859" spans="1:16" x14ac:dyDescent="0.2">
      <c r="A859" s="3" t="s">
        <v>49</v>
      </c>
      <c r="B859" s="3" t="s">
        <v>52</v>
      </c>
      <c r="C859">
        <v>38</v>
      </c>
      <c r="D859">
        <v>14000</v>
      </c>
      <c r="E859">
        <v>499</v>
      </c>
      <c r="F859">
        <v>1</v>
      </c>
      <c r="G859">
        <v>58565.0323707059</v>
      </c>
      <c r="H859">
        <v>8.7716499999999995E-4</v>
      </c>
      <c r="I859">
        <v>11884</v>
      </c>
      <c r="J859">
        <v>2776</v>
      </c>
      <c r="K859">
        <v>9108</v>
      </c>
      <c r="L859">
        <v>500</v>
      </c>
      <c r="M859">
        <v>499</v>
      </c>
      <c r="N859">
        <v>1</v>
      </c>
      <c r="O859">
        <v>8879.2553573548994</v>
      </c>
      <c r="P859">
        <v>0</v>
      </c>
    </row>
    <row r="860" spans="1:16" x14ac:dyDescent="0.2">
      <c r="A860" s="3" t="s">
        <v>49</v>
      </c>
      <c r="B860" s="3" t="s">
        <v>52</v>
      </c>
      <c r="C860">
        <v>25</v>
      </c>
      <c r="D860">
        <v>13000</v>
      </c>
      <c r="E860">
        <v>499</v>
      </c>
      <c r="F860">
        <v>1</v>
      </c>
      <c r="G860">
        <v>53044.701099550097</v>
      </c>
      <c r="H860">
        <v>8.7687099999999999E-4</v>
      </c>
      <c r="I860">
        <v>11812</v>
      </c>
      <c r="J860">
        <v>2787</v>
      </c>
      <c r="K860">
        <v>9025</v>
      </c>
      <c r="L860">
        <v>500</v>
      </c>
      <c r="M860">
        <v>499</v>
      </c>
      <c r="N860">
        <v>1</v>
      </c>
      <c r="O860">
        <v>4837.3592182233997</v>
      </c>
      <c r="P860">
        <v>0</v>
      </c>
    </row>
    <row r="861" spans="1:16" x14ac:dyDescent="0.2">
      <c r="A861" s="3" t="s">
        <v>49</v>
      </c>
      <c r="B861" s="3" t="s">
        <v>52</v>
      </c>
      <c r="C861">
        <v>42</v>
      </c>
      <c r="D861">
        <v>14000</v>
      </c>
      <c r="E861">
        <v>499</v>
      </c>
      <c r="F861">
        <v>1</v>
      </c>
      <c r="G861">
        <v>58565.0323707059</v>
      </c>
      <c r="H861">
        <v>8.7637700000000002E-4</v>
      </c>
      <c r="I861">
        <v>11905</v>
      </c>
      <c r="J861">
        <v>2828</v>
      </c>
      <c r="K861">
        <v>9077</v>
      </c>
      <c r="L861">
        <v>500</v>
      </c>
      <c r="M861">
        <v>499</v>
      </c>
      <c r="N861">
        <v>1</v>
      </c>
      <c r="O861">
        <v>8818.9470704381001</v>
      </c>
      <c r="P861">
        <v>0</v>
      </c>
    </row>
    <row r="862" spans="1:16" x14ac:dyDescent="0.2">
      <c r="A862" s="3" t="s">
        <v>49</v>
      </c>
      <c r="B862" s="3" t="s">
        <v>52</v>
      </c>
      <c r="C862">
        <v>19</v>
      </c>
      <c r="D862">
        <v>12000</v>
      </c>
      <c r="E862">
        <v>499</v>
      </c>
      <c r="F862">
        <v>1</v>
      </c>
      <c r="G862">
        <v>50533.323552418398</v>
      </c>
      <c r="H862">
        <v>8.7589899999999997E-4</v>
      </c>
      <c r="I862">
        <v>11878</v>
      </c>
      <c r="J862">
        <v>2770</v>
      </c>
      <c r="K862">
        <v>9108</v>
      </c>
      <c r="L862">
        <v>500</v>
      </c>
      <c r="M862">
        <v>499</v>
      </c>
      <c r="N862">
        <v>1</v>
      </c>
      <c r="O862">
        <v>552.15318766430005</v>
      </c>
      <c r="P862">
        <v>0</v>
      </c>
    </row>
    <row r="863" spans="1:16" x14ac:dyDescent="0.2">
      <c r="A863" s="3" t="s">
        <v>49</v>
      </c>
      <c r="B863" s="3" t="s">
        <v>52</v>
      </c>
      <c r="C863">
        <v>16</v>
      </c>
      <c r="D863">
        <v>14000</v>
      </c>
      <c r="E863">
        <v>499</v>
      </c>
      <c r="F863">
        <v>1</v>
      </c>
      <c r="G863">
        <v>58565.0323707059</v>
      </c>
      <c r="H863">
        <v>8.7533999999999995E-4</v>
      </c>
      <c r="I863">
        <v>11908</v>
      </c>
      <c r="J863">
        <v>2833</v>
      </c>
      <c r="K863">
        <v>9075</v>
      </c>
      <c r="L863">
        <v>500</v>
      </c>
      <c r="M863">
        <v>499</v>
      </c>
      <c r="N863">
        <v>1</v>
      </c>
      <c r="O863">
        <v>8819.6752541692003</v>
      </c>
      <c r="P863">
        <v>0</v>
      </c>
    </row>
    <row r="864" spans="1:16" x14ac:dyDescent="0.2">
      <c r="A864" s="3" t="s">
        <v>49</v>
      </c>
      <c r="B864" s="3" t="s">
        <v>52</v>
      </c>
      <c r="C864">
        <v>37</v>
      </c>
      <c r="D864">
        <v>12000</v>
      </c>
      <c r="E864">
        <v>499</v>
      </c>
      <c r="F864">
        <v>1</v>
      </c>
      <c r="G864">
        <v>50533.323552418398</v>
      </c>
      <c r="H864">
        <v>8.7507399999999999E-4</v>
      </c>
      <c r="I864">
        <v>11930</v>
      </c>
      <c r="J864">
        <v>2811</v>
      </c>
      <c r="K864">
        <v>9119</v>
      </c>
      <c r="L864">
        <v>500</v>
      </c>
      <c r="M864">
        <v>499</v>
      </c>
      <c r="N864">
        <v>1</v>
      </c>
      <c r="O864">
        <v>318.68063983180002</v>
      </c>
      <c r="P864">
        <v>0</v>
      </c>
    </row>
    <row r="865" spans="1:16" x14ac:dyDescent="0.2">
      <c r="A865" s="3" t="s">
        <v>49</v>
      </c>
      <c r="B865" s="3" t="s">
        <v>52</v>
      </c>
      <c r="C865">
        <v>14</v>
      </c>
      <c r="D865">
        <v>13000</v>
      </c>
      <c r="E865">
        <v>499</v>
      </c>
      <c r="F865">
        <v>1</v>
      </c>
      <c r="G865">
        <v>53044.701099550097</v>
      </c>
      <c r="H865">
        <v>8.7505700000000005E-4</v>
      </c>
      <c r="I865">
        <v>11799</v>
      </c>
      <c r="J865">
        <v>2799</v>
      </c>
      <c r="K865">
        <v>9000</v>
      </c>
      <c r="L865">
        <v>500</v>
      </c>
      <c r="M865">
        <v>499</v>
      </c>
      <c r="N865">
        <v>1</v>
      </c>
      <c r="O865">
        <v>4883.9116189069</v>
      </c>
      <c r="P865">
        <v>0</v>
      </c>
    </row>
    <row r="866" spans="1:16" x14ac:dyDescent="0.2">
      <c r="A866" s="3" t="s">
        <v>49</v>
      </c>
      <c r="B866" s="3" t="s">
        <v>52</v>
      </c>
      <c r="C866">
        <v>29</v>
      </c>
      <c r="D866">
        <v>13000</v>
      </c>
      <c r="E866">
        <v>499</v>
      </c>
      <c r="F866">
        <v>1</v>
      </c>
      <c r="G866">
        <v>53044.701099550097</v>
      </c>
      <c r="H866">
        <v>8.75047E-4</v>
      </c>
      <c r="I866">
        <v>11847</v>
      </c>
      <c r="J866">
        <v>2839</v>
      </c>
      <c r="K866">
        <v>9008</v>
      </c>
      <c r="L866">
        <v>500</v>
      </c>
      <c r="M866">
        <v>499</v>
      </c>
      <c r="N866">
        <v>1</v>
      </c>
      <c r="O866">
        <v>4705.4379650635001</v>
      </c>
      <c r="P866">
        <v>0</v>
      </c>
    </row>
    <row r="867" spans="1:16" x14ac:dyDescent="0.2">
      <c r="A867" s="3" t="s">
        <v>49</v>
      </c>
      <c r="B867" s="3" t="s">
        <v>52</v>
      </c>
      <c r="C867">
        <v>12</v>
      </c>
      <c r="D867">
        <v>14000</v>
      </c>
      <c r="E867">
        <v>499</v>
      </c>
      <c r="F867">
        <v>1</v>
      </c>
      <c r="G867">
        <v>14000</v>
      </c>
      <c r="H867">
        <v>8.75047E-4</v>
      </c>
      <c r="I867">
        <v>11887</v>
      </c>
      <c r="J867">
        <v>2790</v>
      </c>
      <c r="K867">
        <v>9097</v>
      </c>
      <c r="L867">
        <v>500</v>
      </c>
      <c r="M867">
        <v>499</v>
      </c>
      <c r="N867">
        <v>1</v>
      </c>
      <c r="O867">
        <v>2113</v>
      </c>
      <c r="P867">
        <v>1</v>
      </c>
    </row>
    <row r="868" spans="1:16" x14ac:dyDescent="0.2">
      <c r="A868" s="3" t="s">
        <v>49</v>
      </c>
      <c r="B868" s="3" t="s">
        <v>52</v>
      </c>
      <c r="C868">
        <v>49</v>
      </c>
      <c r="D868">
        <v>12000</v>
      </c>
      <c r="E868">
        <v>499</v>
      </c>
      <c r="F868">
        <v>1</v>
      </c>
      <c r="G868">
        <v>12000</v>
      </c>
      <c r="H868">
        <v>8.7447899999999995E-4</v>
      </c>
      <c r="I868">
        <v>11878</v>
      </c>
      <c r="J868">
        <v>2771</v>
      </c>
      <c r="K868">
        <v>9107</v>
      </c>
      <c r="L868">
        <v>500</v>
      </c>
      <c r="M868">
        <v>499</v>
      </c>
      <c r="N868">
        <v>1</v>
      </c>
      <c r="O868">
        <v>122</v>
      </c>
      <c r="P868">
        <v>1</v>
      </c>
    </row>
    <row r="869" spans="1:16" x14ac:dyDescent="0.2">
      <c r="A869" s="3" t="s">
        <v>49</v>
      </c>
      <c r="B869" s="3" t="s">
        <v>52</v>
      </c>
      <c r="C869">
        <v>28</v>
      </c>
      <c r="D869">
        <v>13000</v>
      </c>
      <c r="E869">
        <v>499</v>
      </c>
      <c r="F869">
        <v>1</v>
      </c>
      <c r="G869">
        <v>13000</v>
      </c>
      <c r="H869">
        <v>8.7430500000000003E-4</v>
      </c>
      <c r="I869">
        <v>11829</v>
      </c>
      <c r="J869">
        <v>2847</v>
      </c>
      <c r="K869">
        <v>8982</v>
      </c>
      <c r="L869">
        <v>500</v>
      </c>
      <c r="M869">
        <v>499</v>
      </c>
      <c r="N869">
        <v>1</v>
      </c>
      <c r="O869">
        <v>1171</v>
      </c>
      <c r="P869">
        <v>1</v>
      </c>
    </row>
    <row r="870" spans="1:16" x14ac:dyDescent="0.2">
      <c r="A870" s="3" t="s">
        <v>49</v>
      </c>
      <c r="B870" s="3" t="s">
        <v>52</v>
      </c>
      <c r="C870">
        <v>36</v>
      </c>
      <c r="D870">
        <v>14000</v>
      </c>
      <c r="E870">
        <v>499</v>
      </c>
      <c r="F870">
        <v>1</v>
      </c>
      <c r="G870">
        <v>58565.0323707059</v>
      </c>
      <c r="H870">
        <v>8.7425000000000003E-4</v>
      </c>
      <c r="I870">
        <v>11912</v>
      </c>
      <c r="J870">
        <v>2844</v>
      </c>
      <c r="K870">
        <v>9068</v>
      </c>
      <c r="L870">
        <v>500</v>
      </c>
      <c r="M870">
        <v>499</v>
      </c>
      <c r="N870">
        <v>1</v>
      </c>
      <c r="O870">
        <v>8789.2377698155997</v>
      </c>
      <c r="P870">
        <v>0</v>
      </c>
    </row>
    <row r="871" spans="1:16" x14ac:dyDescent="0.2">
      <c r="A871" s="3" t="s">
        <v>49</v>
      </c>
      <c r="B871" s="3" t="s">
        <v>52</v>
      </c>
      <c r="C871">
        <v>5</v>
      </c>
      <c r="D871">
        <v>15000</v>
      </c>
      <c r="E871">
        <v>499</v>
      </c>
      <c r="F871">
        <v>1</v>
      </c>
      <c r="G871">
        <v>60572.237308582698</v>
      </c>
      <c r="H871">
        <v>8.7422200000000002E-4</v>
      </c>
      <c r="I871">
        <v>11877</v>
      </c>
      <c r="J871">
        <v>2902</v>
      </c>
      <c r="K871">
        <v>8975</v>
      </c>
      <c r="L871">
        <v>500</v>
      </c>
      <c r="M871">
        <v>499</v>
      </c>
      <c r="N871">
        <v>1</v>
      </c>
      <c r="O871">
        <v>12656.721084959299</v>
      </c>
      <c r="P871">
        <v>0</v>
      </c>
    </row>
    <row r="872" spans="1:16" x14ac:dyDescent="0.2">
      <c r="A872" s="3" t="s">
        <v>49</v>
      </c>
      <c r="B872" s="3" t="s">
        <v>52</v>
      </c>
      <c r="C872">
        <v>21</v>
      </c>
      <c r="D872">
        <v>13000</v>
      </c>
      <c r="E872">
        <v>499</v>
      </c>
      <c r="F872">
        <v>1</v>
      </c>
      <c r="G872">
        <v>13000</v>
      </c>
      <c r="H872">
        <v>8.7390199999999997E-4</v>
      </c>
      <c r="I872">
        <v>11821</v>
      </c>
      <c r="J872">
        <v>2815</v>
      </c>
      <c r="K872">
        <v>9006</v>
      </c>
      <c r="L872">
        <v>500</v>
      </c>
      <c r="M872">
        <v>499</v>
      </c>
      <c r="N872">
        <v>1</v>
      </c>
      <c r="O872">
        <v>1179</v>
      </c>
      <c r="P872">
        <v>1</v>
      </c>
    </row>
    <row r="873" spans="1:16" x14ac:dyDescent="0.2">
      <c r="A873" s="3" t="s">
        <v>49</v>
      </c>
      <c r="B873" s="3" t="s">
        <v>52</v>
      </c>
      <c r="C873">
        <v>3</v>
      </c>
      <c r="D873">
        <v>14000</v>
      </c>
      <c r="E873">
        <v>499</v>
      </c>
      <c r="F873">
        <v>1</v>
      </c>
      <c r="G873">
        <v>58565.0323707059</v>
      </c>
      <c r="H873">
        <v>8.7311300000000001E-4</v>
      </c>
      <c r="I873">
        <v>11873</v>
      </c>
      <c r="J873">
        <v>2872</v>
      </c>
      <c r="K873">
        <v>9001</v>
      </c>
      <c r="L873">
        <v>500</v>
      </c>
      <c r="M873">
        <v>499</v>
      </c>
      <c r="N873">
        <v>1</v>
      </c>
      <c r="O873">
        <v>8941.5356283806996</v>
      </c>
      <c r="P873">
        <v>0</v>
      </c>
    </row>
    <row r="874" spans="1:16" x14ac:dyDescent="0.2">
      <c r="A874" s="3" t="s">
        <v>49</v>
      </c>
      <c r="B874" s="3" t="s">
        <v>52</v>
      </c>
      <c r="C874">
        <v>10</v>
      </c>
      <c r="D874">
        <v>14000</v>
      </c>
      <c r="E874">
        <v>499</v>
      </c>
      <c r="F874">
        <v>1</v>
      </c>
      <c r="G874">
        <v>58565.0323707059</v>
      </c>
      <c r="H874">
        <v>8.7288399999999999E-4</v>
      </c>
      <c r="I874">
        <v>11911</v>
      </c>
      <c r="J874">
        <v>2874</v>
      </c>
      <c r="K874">
        <v>9037</v>
      </c>
      <c r="L874">
        <v>500</v>
      </c>
      <c r="M874">
        <v>499</v>
      </c>
      <c r="N874">
        <v>1</v>
      </c>
      <c r="O874">
        <v>8796.1317973495006</v>
      </c>
      <c r="P874">
        <v>0</v>
      </c>
    </row>
    <row r="875" spans="1:16" x14ac:dyDescent="0.2">
      <c r="A875" s="3" t="s">
        <v>49</v>
      </c>
      <c r="B875" s="3" t="s">
        <v>52</v>
      </c>
      <c r="C875">
        <v>16</v>
      </c>
      <c r="D875">
        <v>14000</v>
      </c>
      <c r="E875">
        <v>499</v>
      </c>
      <c r="F875">
        <v>1</v>
      </c>
      <c r="G875">
        <v>14000</v>
      </c>
      <c r="H875">
        <v>8.7277399999999999E-4</v>
      </c>
      <c r="I875">
        <v>11868</v>
      </c>
      <c r="J875">
        <v>2797</v>
      </c>
      <c r="K875">
        <v>9071</v>
      </c>
      <c r="L875">
        <v>500</v>
      </c>
      <c r="M875">
        <v>499</v>
      </c>
      <c r="N875">
        <v>1</v>
      </c>
      <c r="O875">
        <v>2132</v>
      </c>
      <c r="P875">
        <v>1</v>
      </c>
    </row>
    <row r="876" spans="1:16" x14ac:dyDescent="0.2">
      <c r="A876" s="3" t="s">
        <v>49</v>
      </c>
      <c r="B876" s="3" t="s">
        <v>52</v>
      </c>
      <c r="C876">
        <v>4</v>
      </c>
      <c r="D876">
        <v>14000</v>
      </c>
      <c r="E876">
        <v>499</v>
      </c>
      <c r="F876">
        <v>1</v>
      </c>
      <c r="G876">
        <v>58565.0323707059</v>
      </c>
      <c r="H876">
        <v>8.7217900000000005E-4</v>
      </c>
      <c r="I876">
        <v>11904</v>
      </c>
      <c r="J876">
        <v>2869</v>
      </c>
      <c r="K876">
        <v>9035</v>
      </c>
      <c r="L876">
        <v>500</v>
      </c>
      <c r="M876">
        <v>499</v>
      </c>
      <c r="N876">
        <v>1</v>
      </c>
      <c r="O876">
        <v>8835.0830423330008</v>
      </c>
      <c r="P876">
        <v>0</v>
      </c>
    </row>
    <row r="877" spans="1:16" x14ac:dyDescent="0.2">
      <c r="A877" s="3" t="s">
        <v>49</v>
      </c>
      <c r="B877" s="3" t="s">
        <v>52</v>
      </c>
      <c r="C877">
        <v>1</v>
      </c>
      <c r="D877">
        <v>13000</v>
      </c>
      <c r="E877">
        <v>499</v>
      </c>
      <c r="F877">
        <v>1</v>
      </c>
      <c r="G877">
        <v>53044.701099550097</v>
      </c>
      <c r="H877">
        <v>8.7195800000000004E-4</v>
      </c>
      <c r="I877">
        <v>11834</v>
      </c>
      <c r="J877">
        <v>2817</v>
      </c>
      <c r="K877">
        <v>9017</v>
      </c>
      <c r="L877">
        <v>500</v>
      </c>
      <c r="M877">
        <v>499</v>
      </c>
      <c r="N877">
        <v>1</v>
      </c>
      <c r="O877">
        <v>4747.7790023183998</v>
      </c>
      <c r="P877">
        <v>0</v>
      </c>
    </row>
    <row r="878" spans="1:16" x14ac:dyDescent="0.2">
      <c r="A878" s="3" t="s">
        <v>49</v>
      </c>
      <c r="B878" s="3" t="s">
        <v>52</v>
      </c>
      <c r="C878">
        <v>37</v>
      </c>
      <c r="D878">
        <v>14000</v>
      </c>
      <c r="E878">
        <v>499</v>
      </c>
      <c r="F878">
        <v>1</v>
      </c>
      <c r="G878">
        <v>58565.0323707059</v>
      </c>
      <c r="H878">
        <v>8.7193999999999998E-4</v>
      </c>
      <c r="I878">
        <v>11916</v>
      </c>
      <c r="J878">
        <v>2808</v>
      </c>
      <c r="K878">
        <v>9108</v>
      </c>
      <c r="L878">
        <v>500</v>
      </c>
      <c r="M878">
        <v>499</v>
      </c>
      <c r="N878">
        <v>1</v>
      </c>
      <c r="O878">
        <v>8781.6824618249993</v>
      </c>
      <c r="P878">
        <v>0</v>
      </c>
    </row>
    <row r="879" spans="1:16" x14ac:dyDescent="0.2">
      <c r="A879" s="3" t="s">
        <v>49</v>
      </c>
      <c r="B879" s="3" t="s">
        <v>52</v>
      </c>
      <c r="C879">
        <v>48</v>
      </c>
      <c r="D879">
        <v>14000</v>
      </c>
      <c r="E879">
        <v>499</v>
      </c>
      <c r="F879">
        <v>1</v>
      </c>
      <c r="G879">
        <v>58565.0323707059</v>
      </c>
      <c r="H879">
        <v>8.7178400000000001E-4</v>
      </c>
      <c r="I879">
        <v>11915</v>
      </c>
      <c r="J879">
        <v>2829</v>
      </c>
      <c r="K879">
        <v>9086</v>
      </c>
      <c r="L879">
        <v>500</v>
      </c>
      <c r="M879">
        <v>499</v>
      </c>
      <c r="N879">
        <v>1</v>
      </c>
      <c r="O879">
        <v>8775.8692796175001</v>
      </c>
      <c r="P879">
        <v>0</v>
      </c>
    </row>
    <row r="880" spans="1:16" x14ac:dyDescent="0.2">
      <c r="A880" s="3" t="s">
        <v>49</v>
      </c>
      <c r="B880" s="3" t="s">
        <v>52</v>
      </c>
      <c r="C880">
        <v>28</v>
      </c>
      <c r="D880">
        <v>15000</v>
      </c>
      <c r="E880">
        <v>499</v>
      </c>
      <c r="F880">
        <v>1</v>
      </c>
      <c r="G880">
        <v>60572.237308582698</v>
      </c>
      <c r="H880">
        <v>8.7176599999999995E-4</v>
      </c>
      <c r="I880">
        <v>11853</v>
      </c>
      <c r="J880">
        <v>2891</v>
      </c>
      <c r="K880">
        <v>8962</v>
      </c>
      <c r="L880">
        <v>500</v>
      </c>
      <c r="M880">
        <v>499</v>
      </c>
      <c r="N880">
        <v>1</v>
      </c>
      <c r="O880">
        <v>12737.4511864662</v>
      </c>
      <c r="P880">
        <v>0</v>
      </c>
    </row>
    <row r="881" spans="1:16" x14ac:dyDescent="0.2">
      <c r="A881" s="3" t="s">
        <v>49</v>
      </c>
      <c r="B881" s="3" t="s">
        <v>52</v>
      </c>
      <c r="C881">
        <v>49</v>
      </c>
      <c r="D881">
        <v>15000</v>
      </c>
      <c r="E881">
        <v>499</v>
      </c>
      <c r="F881">
        <v>1</v>
      </c>
      <c r="G881">
        <v>60572.237308582698</v>
      </c>
      <c r="H881">
        <v>8.7156400000000002E-4</v>
      </c>
      <c r="I881">
        <v>11845</v>
      </c>
      <c r="J881">
        <v>2876</v>
      </c>
      <c r="K881">
        <v>8969</v>
      </c>
      <c r="L881">
        <v>500</v>
      </c>
      <c r="M881">
        <v>499</v>
      </c>
      <c r="N881">
        <v>1</v>
      </c>
      <c r="O881">
        <v>12778.583212330799</v>
      </c>
      <c r="P881">
        <v>0</v>
      </c>
    </row>
    <row r="882" spans="1:16" x14ac:dyDescent="0.2">
      <c r="A882" s="3" t="s">
        <v>49</v>
      </c>
      <c r="B882" s="3" t="s">
        <v>52</v>
      </c>
      <c r="C882">
        <v>5</v>
      </c>
      <c r="D882">
        <v>13000</v>
      </c>
      <c r="E882">
        <v>499</v>
      </c>
      <c r="F882">
        <v>1</v>
      </c>
      <c r="G882">
        <v>53044.701099550097</v>
      </c>
      <c r="H882">
        <v>8.7133399999999998E-4</v>
      </c>
      <c r="I882">
        <v>11797</v>
      </c>
      <c r="J882">
        <v>2751</v>
      </c>
      <c r="K882">
        <v>9046</v>
      </c>
      <c r="L882">
        <v>500</v>
      </c>
      <c r="M882">
        <v>499</v>
      </c>
      <c r="N882">
        <v>1</v>
      </c>
      <c r="O882">
        <v>4893.2236440589004</v>
      </c>
      <c r="P882">
        <v>0</v>
      </c>
    </row>
    <row r="883" spans="1:16" x14ac:dyDescent="0.2">
      <c r="A883" s="3" t="s">
        <v>49</v>
      </c>
      <c r="B883" s="3" t="s">
        <v>52</v>
      </c>
      <c r="C883">
        <v>47</v>
      </c>
      <c r="D883">
        <v>13000</v>
      </c>
      <c r="E883">
        <v>499</v>
      </c>
      <c r="F883">
        <v>1</v>
      </c>
      <c r="G883">
        <v>53044.701099550097</v>
      </c>
      <c r="H883">
        <v>8.7126100000000002E-4</v>
      </c>
      <c r="I883">
        <v>11818</v>
      </c>
      <c r="J883">
        <v>2788</v>
      </c>
      <c r="K883">
        <v>9030</v>
      </c>
      <c r="L883">
        <v>500</v>
      </c>
      <c r="M883">
        <v>499</v>
      </c>
      <c r="N883">
        <v>1</v>
      </c>
      <c r="O883">
        <v>4816.0628646162004</v>
      </c>
      <c r="P883">
        <v>0</v>
      </c>
    </row>
    <row r="884" spans="1:16" x14ac:dyDescent="0.2">
      <c r="A884" s="3" t="s">
        <v>49</v>
      </c>
      <c r="B884" s="3" t="s">
        <v>52</v>
      </c>
      <c r="C884">
        <v>13</v>
      </c>
      <c r="D884">
        <v>13000</v>
      </c>
      <c r="E884">
        <v>499</v>
      </c>
      <c r="F884">
        <v>1</v>
      </c>
      <c r="G884">
        <v>53044.701099550097</v>
      </c>
      <c r="H884">
        <v>8.7120600000000002E-4</v>
      </c>
      <c r="I884">
        <v>11832</v>
      </c>
      <c r="J884">
        <v>2787</v>
      </c>
      <c r="K884">
        <v>9045</v>
      </c>
      <c r="L884">
        <v>500</v>
      </c>
      <c r="M884">
        <v>499</v>
      </c>
      <c r="N884">
        <v>1</v>
      </c>
      <c r="O884">
        <v>4747.5395937139001</v>
      </c>
      <c r="P884">
        <v>0</v>
      </c>
    </row>
    <row r="885" spans="1:16" x14ac:dyDescent="0.2">
      <c r="A885" s="3" t="s">
        <v>49</v>
      </c>
      <c r="B885" s="3" t="s">
        <v>52</v>
      </c>
      <c r="C885">
        <v>3</v>
      </c>
      <c r="D885">
        <v>13000</v>
      </c>
      <c r="E885">
        <v>499</v>
      </c>
      <c r="F885">
        <v>1</v>
      </c>
      <c r="G885">
        <v>53044.701099550097</v>
      </c>
      <c r="H885">
        <v>8.6856599999999998E-4</v>
      </c>
      <c r="I885">
        <v>11832</v>
      </c>
      <c r="J885">
        <v>2843</v>
      </c>
      <c r="K885">
        <v>8989</v>
      </c>
      <c r="L885">
        <v>500</v>
      </c>
      <c r="M885">
        <v>499</v>
      </c>
      <c r="N885">
        <v>1</v>
      </c>
      <c r="O885">
        <v>4756.5340706925999</v>
      </c>
      <c r="P885">
        <v>0</v>
      </c>
    </row>
    <row r="886" spans="1:16" x14ac:dyDescent="0.2">
      <c r="A886" s="3" t="s">
        <v>49</v>
      </c>
      <c r="B886" s="3" t="s">
        <v>52</v>
      </c>
      <c r="C886">
        <v>43</v>
      </c>
      <c r="D886">
        <v>13000</v>
      </c>
      <c r="E886">
        <v>499</v>
      </c>
      <c r="F886">
        <v>1</v>
      </c>
      <c r="G886">
        <v>53044.701099550097</v>
      </c>
      <c r="H886">
        <v>8.6840099999999998E-4</v>
      </c>
      <c r="I886">
        <v>11841</v>
      </c>
      <c r="J886">
        <v>2798</v>
      </c>
      <c r="K886">
        <v>9043</v>
      </c>
      <c r="L886">
        <v>500</v>
      </c>
      <c r="M886">
        <v>499</v>
      </c>
      <c r="N886">
        <v>1</v>
      </c>
      <c r="O886">
        <v>4708.3961673566</v>
      </c>
      <c r="P886">
        <v>0</v>
      </c>
    </row>
    <row r="887" spans="1:16" x14ac:dyDescent="0.2">
      <c r="A887" s="3" t="s">
        <v>49</v>
      </c>
      <c r="B887" s="3" t="s">
        <v>52</v>
      </c>
      <c r="C887">
        <v>24</v>
      </c>
      <c r="D887">
        <v>13000</v>
      </c>
      <c r="E887">
        <v>499</v>
      </c>
      <c r="F887">
        <v>1</v>
      </c>
      <c r="G887">
        <v>13000</v>
      </c>
      <c r="H887">
        <v>8.6786999999999997E-4</v>
      </c>
      <c r="I887">
        <v>11824</v>
      </c>
      <c r="J887">
        <v>2781</v>
      </c>
      <c r="K887">
        <v>9043</v>
      </c>
      <c r="L887">
        <v>500</v>
      </c>
      <c r="M887">
        <v>499</v>
      </c>
      <c r="N887">
        <v>1</v>
      </c>
      <c r="O887">
        <v>1176</v>
      </c>
      <c r="P887">
        <v>1</v>
      </c>
    </row>
    <row r="888" spans="1:16" x14ac:dyDescent="0.2">
      <c r="A888" s="3" t="s">
        <v>49</v>
      </c>
      <c r="B888" s="3" t="s">
        <v>52</v>
      </c>
      <c r="C888">
        <v>41</v>
      </c>
      <c r="D888">
        <v>12000</v>
      </c>
      <c r="E888">
        <v>499</v>
      </c>
      <c r="F888">
        <v>1</v>
      </c>
      <c r="G888">
        <v>50533.323552418398</v>
      </c>
      <c r="H888">
        <v>8.6741100000000001E-4</v>
      </c>
      <c r="I888">
        <v>11884</v>
      </c>
      <c r="J888">
        <v>2791</v>
      </c>
      <c r="K888">
        <v>9093</v>
      </c>
      <c r="L888">
        <v>500</v>
      </c>
      <c r="M888">
        <v>499</v>
      </c>
      <c r="N888">
        <v>1</v>
      </c>
      <c r="O888">
        <v>525.62599258609998</v>
      </c>
      <c r="P888">
        <v>0</v>
      </c>
    </row>
    <row r="889" spans="1:16" x14ac:dyDescent="0.2">
      <c r="A889" s="3" t="s">
        <v>49</v>
      </c>
      <c r="B889" s="3" t="s">
        <v>52</v>
      </c>
      <c r="C889">
        <v>19</v>
      </c>
      <c r="D889">
        <v>14000</v>
      </c>
      <c r="E889">
        <v>499</v>
      </c>
      <c r="F889">
        <v>1</v>
      </c>
      <c r="G889">
        <v>58565.0323707059</v>
      </c>
      <c r="H889">
        <v>8.6734699999999997E-4</v>
      </c>
      <c r="I889">
        <v>11901</v>
      </c>
      <c r="J889">
        <v>2807</v>
      </c>
      <c r="K889">
        <v>9094</v>
      </c>
      <c r="L889">
        <v>500</v>
      </c>
      <c r="M889">
        <v>499</v>
      </c>
      <c r="N889">
        <v>1</v>
      </c>
      <c r="O889">
        <v>8838.3159022269992</v>
      </c>
      <c r="P889">
        <v>0</v>
      </c>
    </row>
    <row r="890" spans="1:16" x14ac:dyDescent="0.2">
      <c r="A890" s="3" t="s">
        <v>49</v>
      </c>
      <c r="B890" s="3" t="s">
        <v>52</v>
      </c>
      <c r="C890">
        <v>12</v>
      </c>
      <c r="D890">
        <v>12000</v>
      </c>
      <c r="E890">
        <v>499</v>
      </c>
      <c r="F890">
        <v>1</v>
      </c>
      <c r="G890">
        <v>50533.323552418398</v>
      </c>
      <c r="H890">
        <v>8.6716400000000002E-4</v>
      </c>
      <c r="I890">
        <v>11890</v>
      </c>
      <c r="J890">
        <v>2744</v>
      </c>
      <c r="K890">
        <v>9146</v>
      </c>
      <c r="L890">
        <v>500</v>
      </c>
      <c r="M890">
        <v>499</v>
      </c>
      <c r="N890">
        <v>1</v>
      </c>
      <c r="O890">
        <v>488.67630005519999</v>
      </c>
      <c r="P890">
        <v>0</v>
      </c>
    </row>
    <row r="891" spans="1:16" x14ac:dyDescent="0.2">
      <c r="A891" s="3" t="s">
        <v>49</v>
      </c>
      <c r="B891" s="3" t="s">
        <v>52</v>
      </c>
      <c r="C891">
        <v>42</v>
      </c>
      <c r="D891">
        <v>11000</v>
      </c>
      <c r="E891">
        <v>499</v>
      </c>
      <c r="F891">
        <v>1</v>
      </c>
      <c r="G891">
        <v>11000</v>
      </c>
      <c r="H891">
        <v>8.6639400000000004E-4</v>
      </c>
      <c r="I891">
        <v>11000</v>
      </c>
      <c r="J891">
        <v>2776</v>
      </c>
      <c r="K891">
        <v>8224</v>
      </c>
      <c r="L891">
        <v>500</v>
      </c>
      <c r="M891">
        <v>499</v>
      </c>
      <c r="N891">
        <v>1</v>
      </c>
      <c r="O891">
        <v>0</v>
      </c>
      <c r="P891">
        <v>1</v>
      </c>
    </row>
    <row r="892" spans="1:16" x14ac:dyDescent="0.2">
      <c r="A892" s="3" t="s">
        <v>49</v>
      </c>
      <c r="B892" s="3" t="s">
        <v>52</v>
      </c>
      <c r="C892">
        <v>43</v>
      </c>
      <c r="D892">
        <v>12000</v>
      </c>
      <c r="E892">
        <v>499</v>
      </c>
      <c r="F892">
        <v>1</v>
      </c>
      <c r="G892">
        <v>50533.323552418398</v>
      </c>
      <c r="H892">
        <v>8.6589800000000004E-4</v>
      </c>
      <c r="I892">
        <v>11875</v>
      </c>
      <c r="J892">
        <v>2757</v>
      </c>
      <c r="K892">
        <v>9118</v>
      </c>
      <c r="L892">
        <v>500</v>
      </c>
      <c r="M892">
        <v>499</v>
      </c>
      <c r="N892">
        <v>1</v>
      </c>
      <c r="O892">
        <v>560.68517298660004</v>
      </c>
      <c r="P892">
        <v>0</v>
      </c>
    </row>
    <row r="893" spans="1:16" x14ac:dyDescent="0.2">
      <c r="A893" s="3" t="s">
        <v>49</v>
      </c>
      <c r="B893" s="3" t="s">
        <v>52</v>
      </c>
      <c r="C893">
        <v>49</v>
      </c>
      <c r="D893">
        <v>13000</v>
      </c>
      <c r="E893">
        <v>499</v>
      </c>
      <c r="F893">
        <v>1</v>
      </c>
      <c r="G893">
        <v>53044.701099550097</v>
      </c>
      <c r="H893">
        <v>8.6572400000000001E-4</v>
      </c>
      <c r="I893">
        <v>11809</v>
      </c>
      <c r="J893">
        <v>2776</v>
      </c>
      <c r="K893">
        <v>9033</v>
      </c>
      <c r="L893">
        <v>500</v>
      </c>
      <c r="M893">
        <v>499</v>
      </c>
      <c r="N893">
        <v>1</v>
      </c>
      <c r="O893">
        <v>4866.5971315770003</v>
      </c>
      <c r="P893">
        <v>0</v>
      </c>
    </row>
    <row r="894" spans="1:16" x14ac:dyDescent="0.2">
      <c r="A894" s="3" t="s">
        <v>49</v>
      </c>
      <c r="B894" s="3" t="s">
        <v>52</v>
      </c>
      <c r="C894">
        <v>35</v>
      </c>
      <c r="D894">
        <v>12000</v>
      </c>
      <c r="E894">
        <v>499</v>
      </c>
      <c r="F894">
        <v>1</v>
      </c>
      <c r="G894">
        <v>50533.323552418398</v>
      </c>
      <c r="H894">
        <v>8.6568799999999998E-4</v>
      </c>
      <c r="I894">
        <v>11909</v>
      </c>
      <c r="J894">
        <v>2796</v>
      </c>
      <c r="K894">
        <v>9113</v>
      </c>
      <c r="L894">
        <v>500</v>
      </c>
      <c r="M894">
        <v>499</v>
      </c>
      <c r="N894">
        <v>1</v>
      </c>
      <c r="O894">
        <v>417.26382577330003</v>
      </c>
      <c r="P894">
        <v>0</v>
      </c>
    </row>
    <row r="895" spans="1:16" x14ac:dyDescent="0.2">
      <c r="A895" s="3" t="s">
        <v>49</v>
      </c>
      <c r="B895" s="3" t="s">
        <v>52</v>
      </c>
      <c r="C895">
        <v>50</v>
      </c>
      <c r="D895">
        <v>12000</v>
      </c>
      <c r="E895">
        <v>499</v>
      </c>
      <c r="F895">
        <v>1</v>
      </c>
      <c r="G895">
        <v>50533.323552418398</v>
      </c>
      <c r="H895">
        <v>8.65221E-4</v>
      </c>
      <c r="I895">
        <v>11884</v>
      </c>
      <c r="J895">
        <v>2778</v>
      </c>
      <c r="K895">
        <v>9106</v>
      </c>
      <c r="L895">
        <v>500</v>
      </c>
      <c r="M895">
        <v>499</v>
      </c>
      <c r="N895">
        <v>1</v>
      </c>
      <c r="O895">
        <v>529.81462999960002</v>
      </c>
      <c r="P895">
        <v>0</v>
      </c>
    </row>
    <row r="896" spans="1:16" x14ac:dyDescent="0.2">
      <c r="A896" s="3" t="s">
        <v>49</v>
      </c>
      <c r="B896" s="3" t="s">
        <v>52</v>
      </c>
      <c r="C896">
        <v>32</v>
      </c>
      <c r="D896">
        <v>12000</v>
      </c>
      <c r="E896">
        <v>499</v>
      </c>
      <c r="F896">
        <v>1</v>
      </c>
      <c r="G896">
        <v>50533.323552418398</v>
      </c>
      <c r="H896">
        <v>8.6444099999999997E-4</v>
      </c>
      <c r="I896">
        <v>11878</v>
      </c>
      <c r="J896">
        <v>2776</v>
      </c>
      <c r="K896">
        <v>9102</v>
      </c>
      <c r="L896">
        <v>500</v>
      </c>
      <c r="M896">
        <v>499</v>
      </c>
      <c r="N896">
        <v>1</v>
      </c>
      <c r="O896">
        <v>549.78080357809995</v>
      </c>
      <c r="P896">
        <v>0</v>
      </c>
    </row>
    <row r="897" spans="1:16" x14ac:dyDescent="0.2">
      <c r="A897" s="3" t="s">
        <v>49</v>
      </c>
      <c r="B897" s="3" t="s">
        <v>52</v>
      </c>
      <c r="C897">
        <v>1</v>
      </c>
      <c r="D897">
        <v>11000</v>
      </c>
      <c r="E897">
        <v>499</v>
      </c>
      <c r="F897">
        <v>1</v>
      </c>
      <c r="G897">
        <v>11000</v>
      </c>
      <c r="H897">
        <v>8.6427599999999998E-4</v>
      </c>
      <c r="I897">
        <v>11000</v>
      </c>
      <c r="J897">
        <v>2736</v>
      </c>
      <c r="K897">
        <v>8264</v>
      </c>
      <c r="L897">
        <v>500</v>
      </c>
      <c r="M897">
        <v>499</v>
      </c>
      <c r="N897">
        <v>1</v>
      </c>
      <c r="O897">
        <v>0</v>
      </c>
      <c r="P897">
        <v>1</v>
      </c>
    </row>
    <row r="898" spans="1:16" x14ac:dyDescent="0.2">
      <c r="A898" s="3" t="s">
        <v>49</v>
      </c>
      <c r="B898" s="3" t="s">
        <v>52</v>
      </c>
      <c r="C898">
        <v>8</v>
      </c>
      <c r="D898">
        <v>11000</v>
      </c>
      <c r="E898">
        <v>499</v>
      </c>
      <c r="F898">
        <v>1</v>
      </c>
      <c r="G898">
        <v>44062.122210792702</v>
      </c>
      <c r="H898">
        <v>8.6412000000000001E-4</v>
      </c>
      <c r="I898">
        <v>11000</v>
      </c>
      <c r="J898">
        <v>2785</v>
      </c>
      <c r="K898">
        <v>8215</v>
      </c>
      <c r="L898">
        <v>500</v>
      </c>
      <c r="M898">
        <v>499</v>
      </c>
      <c r="N898">
        <v>1</v>
      </c>
      <c r="O898">
        <v>0</v>
      </c>
      <c r="P898">
        <v>0</v>
      </c>
    </row>
    <row r="899" spans="1:16" x14ac:dyDescent="0.2">
      <c r="A899" s="3" t="s">
        <v>49</v>
      </c>
      <c r="B899" s="3" t="s">
        <v>52</v>
      </c>
      <c r="C899">
        <v>20</v>
      </c>
      <c r="D899">
        <v>12000</v>
      </c>
      <c r="E899">
        <v>499</v>
      </c>
      <c r="F899">
        <v>1</v>
      </c>
      <c r="G899">
        <v>50533.323552418398</v>
      </c>
      <c r="H899">
        <v>8.6187500000000001E-4</v>
      </c>
      <c r="I899">
        <v>11886</v>
      </c>
      <c r="J899">
        <v>2762</v>
      </c>
      <c r="K899">
        <v>9124</v>
      </c>
      <c r="L899">
        <v>500</v>
      </c>
      <c r="M899">
        <v>499</v>
      </c>
      <c r="N899">
        <v>1</v>
      </c>
      <c r="O899">
        <v>513.74407871280005</v>
      </c>
      <c r="P899">
        <v>0</v>
      </c>
    </row>
    <row r="900" spans="1:16" x14ac:dyDescent="0.2">
      <c r="A900" s="3" t="s">
        <v>49</v>
      </c>
      <c r="B900" s="3" t="s">
        <v>52</v>
      </c>
      <c r="C900">
        <v>26</v>
      </c>
      <c r="D900">
        <v>14000</v>
      </c>
      <c r="E900">
        <v>499</v>
      </c>
      <c r="F900">
        <v>1</v>
      </c>
      <c r="G900">
        <v>58565.0323707059</v>
      </c>
      <c r="H900">
        <v>8.6187500000000001E-4</v>
      </c>
      <c r="I900">
        <v>11925</v>
      </c>
      <c r="J900">
        <v>2843</v>
      </c>
      <c r="K900">
        <v>9082</v>
      </c>
      <c r="L900">
        <v>500</v>
      </c>
      <c r="M900">
        <v>499</v>
      </c>
      <c r="N900">
        <v>1</v>
      </c>
      <c r="O900">
        <v>8738.1956566508998</v>
      </c>
      <c r="P900">
        <v>0</v>
      </c>
    </row>
    <row r="901" spans="1:16" x14ac:dyDescent="0.2">
      <c r="A901" s="3" t="s">
        <v>49</v>
      </c>
      <c r="B901" s="3" t="s">
        <v>52</v>
      </c>
      <c r="C901">
        <v>32</v>
      </c>
      <c r="D901">
        <v>14000</v>
      </c>
      <c r="E901">
        <v>499</v>
      </c>
      <c r="F901">
        <v>1</v>
      </c>
      <c r="G901">
        <v>58565.0323707059</v>
      </c>
      <c r="H901">
        <v>8.6158100000000004E-4</v>
      </c>
      <c r="I901">
        <v>11911</v>
      </c>
      <c r="J901">
        <v>2811</v>
      </c>
      <c r="K901">
        <v>9100</v>
      </c>
      <c r="L901">
        <v>500</v>
      </c>
      <c r="M901">
        <v>499</v>
      </c>
      <c r="N901">
        <v>1</v>
      </c>
      <c r="O901">
        <v>8804.1000704916005</v>
      </c>
      <c r="P901">
        <v>0</v>
      </c>
    </row>
    <row r="902" spans="1:16" x14ac:dyDescent="0.2">
      <c r="A902" s="3" t="s">
        <v>49</v>
      </c>
      <c r="B902" s="3" t="s">
        <v>52</v>
      </c>
      <c r="C902">
        <v>31</v>
      </c>
      <c r="D902">
        <v>12000</v>
      </c>
      <c r="E902">
        <v>499</v>
      </c>
      <c r="F902">
        <v>1</v>
      </c>
      <c r="G902">
        <v>50533.323552418398</v>
      </c>
      <c r="H902">
        <v>8.61041E-4</v>
      </c>
      <c r="I902">
        <v>11865</v>
      </c>
      <c r="J902">
        <v>2768</v>
      </c>
      <c r="K902">
        <v>9097</v>
      </c>
      <c r="L902">
        <v>500</v>
      </c>
      <c r="M902">
        <v>499</v>
      </c>
      <c r="N902">
        <v>1</v>
      </c>
      <c r="O902">
        <v>619.34228235909995</v>
      </c>
      <c r="P902">
        <v>0</v>
      </c>
    </row>
    <row r="903" spans="1:16" x14ac:dyDescent="0.2">
      <c r="A903" s="3" t="s">
        <v>49</v>
      </c>
      <c r="B903" s="3" t="s">
        <v>52</v>
      </c>
      <c r="C903">
        <v>19</v>
      </c>
      <c r="D903">
        <v>13000</v>
      </c>
      <c r="E903">
        <v>499</v>
      </c>
      <c r="F903">
        <v>1</v>
      </c>
      <c r="G903">
        <v>53044.701099550097</v>
      </c>
      <c r="H903">
        <v>8.6095799999999999E-4</v>
      </c>
      <c r="I903">
        <v>11822</v>
      </c>
      <c r="J903">
        <v>2797</v>
      </c>
      <c r="K903">
        <v>9025</v>
      </c>
      <c r="L903">
        <v>500</v>
      </c>
      <c r="M903">
        <v>499</v>
      </c>
      <c r="N903">
        <v>1</v>
      </c>
      <c r="O903">
        <v>4796.0587172076002</v>
      </c>
      <c r="P903">
        <v>0</v>
      </c>
    </row>
    <row r="904" spans="1:16" x14ac:dyDescent="0.2">
      <c r="A904" s="3" t="s">
        <v>49</v>
      </c>
      <c r="B904" s="3" t="s">
        <v>52</v>
      </c>
      <c r="C904">
        <v>7</v>
      </c>
      <c r="D904">
        <v>13000</v>
      </c>
      <c r="E904">
        <v>499</v>
      </c>
      <c r="F904">
        <v>1</v>
      </c>
      <c r="G904">
        <v>53044.701099550097</v>
      </c>
      <c r="H904">
        <v>8.6024300000000001E-4</v>
      </c>
      <c r="I904">
        <v>11833</v>
      </c>
      <c r="J904">
        <v>2813</v>
      </c>
      <c r="K904">
        <v>9020</v>
      </c>
      <c r="L904">
        <v>500</v>
      </c>
      <c r="M904">
        <v>499</v>
      </c>
      <c r="N904">
        <v>1</v>
      </c>
      <c r="O904">
        <v>4758.5266467949996</v>
      </c>
      <c r="P904">
        <v>0</v>
      </c>
    </row>
    <row r="905" spans="1:16" x14ac:dyDescent="0.2">
      <c r="A905" s="3" t="s">
        <v>49</v>
      </c>
      <c r="B905" s="3" t="s">
        <v>52</v>
      </c>
      <c r="C905">
        <v>9</v>
      </c>
      <c r="D905">
        <v>12000</v>
      </c>
      <c r="E905">
        <v>499</v>
      </c>
      <c r="F905">
        <v>1</v>
      </c>
      <c r="G905">
        <v>50533.323552418398</v>
      </c>
      <c r="H905">
        <v>8.6005999999999995E-4</v>
      </c>
      <c r="I905">
        <v>11917</v>
      </c>
      <c r="J905">
        <v>2786</v>
      </c>
      <c r="K905">
        <v>9131</v>
      </c>
      <c r="L905">
        <v>500</v>
      </c>
      <c r="M905">
        <v>499</v>
      </c>
      <c r="N905">
        <v>1</v>
      </c>
      <c r="O905">
        <v>380.43249183429998</v>
      </c>
      <c r="P905">
        <v>0</v>
      </c>
    </row>
    <row r="906" spans="1:16" x14ac:dyDescent="0.2">
      <c r="A906" s="3" t="s">
        <v>49</v>
      </c>
      <c r="B906" s="3" t="s">
        <v>52</v>
      </c>
      <c r="C906">
        <v>45</v>
      </c>
      <c r="D906">
        <v>14000</v>
      </c>
      <c r="E906">
        <v>499</v>
      </c>
      <c r="F906">
        <v>1</v>
      </c>
      <c r="G906">
        <v>58565.0323707059</v>
      </c>
      <c r="H906">
        <v>8.5994999999999995E-4</v>
      </c>
      <c r="I906">
        <v>11889</v>
      </c>
      <c r="J906">
        <v>2814</v>
      </c>
      <c r="K906">
        <v>9075</v>
      </c>
      <c r="L906">
        <v>500</v>
      </c>
      <c r="M906">
        <v>499</v>
      </c>
      <c r="N906">
        <v>1</v>
      </c>
      <c r="O906">
        <v>8854.2372535716004</v>
      </c>
      <c r="P906">
        <v>0</v>
      </c>
    </row>
    <row r="907" spans="1:16" x14ac:dyDescent="0.2">
      <c r="A907" s="3" t="s">
        <v>49</v>
      </c>
      <c r="B907" s="3" t="s">
        <v>52</v>
      </c>
      <c r="C907">
        <v>49</v>
      </c>
      <c r="D907">
        <v>11000</v>
      </c>
      <c r="E907">
        <v>499</v>
      </c>
      <c r="F907">
        <v>1</v>
      </c>
      <c r="G907">
        <v>44062.122210792702</v>
      </c>
      <c r="H907">
        <v>8.59409E-4</v>
      </c>
      <c r="I907">
        <v>11000</v>
      </c>
      <c r="J907">
        <v>2774</v>
      </c>
      <c r="K907">
        <v>8226</v>
      </c>
      <c r="L907">
        <v>500</v>
      </c>
      <c r="M907">
        <v>499</v>
      </c>
      <c r="N907">
        <v>1</v>
      </c>
      <c r="O907">
        <v>0</v>
      </c>
      <c r="P907">
        <v>0</v>
      </c>
    </row>
    <row r="908" spans="1:16" x14ac:dyDescent="0.2">
      <c r="A908" s="3" t="s">
        <v>49</v>
      </c>
      <c r="B908" s="3" t="s">
        <v>52</v>
      </c>
      <c r="C908">
        <v>23</v>
      </c>
      <c r="D908">
        <v>13000</v>
      </c>
      <c r="E908">
        <v>499</v>
      </c>
      <c r="F908">
        <v>1</v>
      </c>
      <c r="G908">
        <v>13000</v>
      </c>
      <c r="H908">
        <v>8.5882299999999999E-4</v>
      </c>
      <c r="I908">
        <v>11829</v>
      </c>
      <c r="J908">
        <v>2781</v>
      </c>
      <c r="K908">
        <v>9048</v>
      </c>
      <c r="L908">
        <v>500</v>
      </c>
      <c r="M908">
        <v>499</v>
      </c>
      <c r="N908">
        <v>1</v>
      </c>
      <c r="O908">
        <v>1171</v>
      </c>
      <c r="P908">
        <v>1</v>
      </c>
    </row>
    <row r="909" spans="1:16" x14ac:dyDescent="0.2">
      <c r="A909" s="3" t="s">
        <v>49</v>
      </c>
      <c r="B909" s="3" t="s">
        <v>52</v>
      </c>
      <c r="C909">
        <v>34</v>
      </c>
      <c r="D909">
        <v>12000</v>
      </c>
      <c r="E909">
        <v>499</v>
      </c>
      <c r="F909">
        <v>1</v>
      </c>
      <c r="G909">
        <v>50533.323552418398</v>
      </c>
      <c r="H909">
        <v>8.5821699999999999E-4</v>
      </c>
      <c r="I909">
        <v>11882</v>
      </c>
      <c r="J909">
        <v>2781</v>
      </c>
      <c r="K909">
        <v>9101</v>
      </c>
      <c r="L909">
        <v>500</v>
      </c>
      <c r="M909">
        <v>499</v>
      </c>
      <c r="N909">
        <v>1</v>
      </c>
      <c r="O909">
        <v>530.2880210843</v>
      </c>
      <c r="P909">
        <v>0</v>
      </c>
    </row>
    <row r="910" spans="1:16" x14ac:dyDescent="0.2">
      <c r="A910" s="3" t="s">
        <v>49</v>
      </c>
      <c r="B910" s="3" t="s">
        <v>52</v>
      </c>
      <c r="C910">
        <v>50</v>
      </c>
      <c r="D910">
        <v>13000</v>
      </c>
      <c r="E910">
        <v>499</v>
      </c>
      <c r="F910">
        <v>1</v>
      </c>
      <c r="G910">
        <v>53044.701099550097</v>
      </c>
      <c r="H910">
        <v>8.5804299999999996E-4</v>
      </c>
      <c r="I910">
        <v>11801</v>
      </c>
      <c r="J910">
        <v>2796</v>
      </c>
      <c r="K910">
        <v>9005</v>
      </c>
      <c r="L910">
        <v>500</v>
      </c>
      <c r="M910">
        <v>499</v>
      </c>
      <c r="N910">
        <v>1</v>
      </c>
      <c r="O910">
        <v>4884.0987493997</v>
      </c>
      <c r="P910">
        <v>0</v>
      </c>
    </row>
    <row r="911" spans="1:16" x14ac:dyDescent="0.2">
      <c r="A911" s="3" t="s">
        <v>49</v>
      </c>
      <c r="B911" s="3" t="s">
        <v>52</v>
      </c>
      <c r="C911">
        <v>10</v>
      </c>
      <c r="D911">
        <v>13000</v>
      </c>
      <c r="E911">
        <v>499</v>
      </c>
      <c r="F911">
        <v>1</v>
      </c>
      <c r="G911">
        <v>53044.701099550097</v>
      </c>
      <c r="H911">
        <v>8.5702599999999999E-4</v>
      </c>
      <c r="I911">
        <v>11804</v>
      </c>
      <c r="J911">
        <v>2795</v>
      </c>
      <c r="K911">
        <v>9009</v>
      </c>
      <c r="L911">
        <v>500</v>
      </c>
      <c r="M911">
        <v>499</v>
      </c>
      <c r="N911">
        <v>1</v>
      </c>
      <c r="O911">
        <v>4858.7172468141998</v>
      </c>
      <c r="P911">
        <v>0</v>
      </c>
    </row>
    <row r="912" spans="1:16" x14ac:dyDescent="0.2">
      <c r="A912" s="3" t="s">
        <v>49</v>
      </c>
      <c r="B912" s="3" t="s">
        <v>52</v>
      </c>
      <c r="C912">
        <v>48</v>
      </c>
      <c r="D912">
        <v>13000</v>
      </c>
      <c r="E912">
        <v>499</v>
      </c>
      <c r="F912">
        <v>1</v>
      </c>
      <c r="G912">
        <v>53044.701099550097</v>
      </c>
      <c r="H912">
        <v>8.5676899999999996E-4</v>
      </c>
      <c r="I912">
        <v>11830</v>
      </c>
      <c r="J912">
        <v>2788</v>
      </c>
      <c r="K912">
        <v>9042</v>
      </c>
      <c r="L912">
        <v>500</v>
      </c>
      <c r="M912">
        <v>499</v>
      </c>
      <c r="N912">
        <v>1</v>
      </c>
      <c r="O912">
        <v>4769.7604607593003</v>
      </c>
      <c r="P912">
        <v>0</v>
      </c>
    </row>
    <row r="913" spans="1:16" x14ac:dyDescent="0.2">
      <c r="A913" s="3" t="s">
        <v>49</v>
      </c>
      <c r="B913" s="3" t="s">
        <v>52</v>
      </c>
      <c r="C913">
        <v>16</v>
      </c>
      <c r="D913">
        <v>12000</v>
      </c>
      <c r="E913">
        <v>499</v>
      </c>
      <c r="F913">
        <v>1</v>
      </c>
      <c r="G913">
        <v>50533.323552418398</v>
      </c>
      <c r="H913">
        <v>8.5634700000000003E-4</v>
      </c>
      <c r="I913">
        <v>11877</v>
      </c>
      <c r="J913">
        <v>2753</v>
      </c>
      <c r="K913">
        <v>9124</v>
      </c>
      <c r="L913">
        <v>500</v>
      </c>
      <c r="M913">
        <v>499</v>
      </c>
      <c r="N913">
        <v>1</v>
      </c>
      <c r="O913">
        <v>559.80795335840003</v>
      </c>
      <c r="P913">
        <v>0</v>
      </c>
    </row>
    <row r="914" spans="1:16" x14ac:dyDescent="0.2">
      <c r="A914" s="3" t="s">
        <v>49</v>
      </c>
      <c r="B914" s="3" t="s">
        <v>52</v>
      </c>
      <c r="C914">
        <v>43</v>
      </c>
      <c r="D914">
        <v>14000</v>
      </c>
      <c r="E914">
        <v>499</v>
      </c>
      <c r="F914">
        <v>1</v>
      </c>
      <c r="G914">
        <v>58565.0323707059</v>
      </c>
      <c r="H914">
        <v>8.5576999999999995E-4</v>
      </c>
      <c r="I914">
        <v>11913</v>
      </c>
      <c r="J914">
        <v>2887</v>
      </c>
      <c r="K914">
        <v>9026</v>
      </c>
      <c r="L914">
        <v>500</v>
      </c>
      <c r="M914">
        <v>499</v>
      </c>
      <c r="N914">
        <v>1</v>
      </c>
      <c r="O914">
        <v>8796.3927431766006</v>
      </c>
      <c r="P914">
        <v>0</v>
      </c>
    </row>
    <row r="915" spans="1:16" x14ac:dyDescent="0.2">
      <c r="A915" s="3" t="s">
        <v>49</v>
      </c>
      <c r="B915" s="3" t="s">
        <v>52</v>
      </c>
      <c r="C915">
        <v>21</v>
      </c>
      <c r="D915">
        <v>12000</v>
      </c>
      <c r="E915">
        <v>499</v>
      </c>
      <c r="F915">
        <v>1</v>
      </c>
      <c r="G915">
        <v>50533.323552418398</v>
      </c>
      <c r="H915">
        <v>8.5471500000000003E-4</v>
      </c>
      <c r="I915">
        <v>11909</v>
      </c>
      <c r="J915">
        <v>2799</v>
      </c>
      <c r="K915">
        <v>9110</v>
      </c>
      <c r="L915">
        <v>500</v>
      </c>
      <c r="M915">
        <v>499</v>
      </c>
      <c r="N915">
        <v>1</v>
      </c>
      <c r="O915">
        <v>421.1642042121</v>
      </c>
      <c r="P915">
        <v>0</v>
      </c>
    </row>
    <row r="916" spans="1:16" x14ac:dyDescent="0.2">
      <c r="A916" s="3" t="s">
        <v>49</v>
      </c>
      <c r="B916" s="3" t="s">
        <v>52</v>
      </c>
      <c r="C916">
        <v>17</v>
      </c>
      <c r="D916">
        <v>13000</v>
      </c>
      <c r="E916">
        <v>499</v>
      </c>
      <c r="F916">
        <v>1</v>
      </c>
      <c r="G916">
        <v>53044.701099550097</v>
      </c>
      <c r="H916">
        <v>8.5444000000000004E-4</v>
      </c>
      <c r="I916">
        <v>11790</v>
      </c>
      <c r="J916">
        <v>2751</v>
      </c>
      <c r="K916">
        <v>9039</v>
      </c>
      <c r="L916">
        <v>500</v>
      </c>
      <c r="M916">
        <v>499</v>
      </c>
      <c r="N916">
        <v>1</v>
      </c>
      <c r="O916">
        <v>4925.9668847057001</v>
      </c>
      <c r="P916">
        <v>0</v>
      </c>
    </row>
    <row r="917" spans="1:16" x14ac:dyDescent="0.2">
      <c r="A917" s="3" t="s">
        <v>49</v>
      </c>
      <c r="B917" s="3" t="s">
        <v>52</v>
      </c>
      <c r="C917">
        <v>2</v>
      </c>
      <c r="D917">
        <v>12000</v>
      </c>
      <c r="E917">
        <v>499</v>
      </c>
      <c r="F917">
        <v>1</v>
      </c>
      <c r="G917">
        <v>50533.323552418398</v>
      </c>
      <c r="H917">
        <v>8.5340399999999999E-4</v>
      </c>
      <c r="I917">
        <v>11868</v>
      </c>
      <c r="J917">
        <v>2750</v>
      </c>
      <c r="K917">
        <v>9118</v>
      </c>
      <c r="L917">
        <v>500</v>
      </c>
      <c r="M917">
        <v>499</v>
      </c>
      <c r="N917">
        <v>1</v>
      </c>
      <c r="O917">
        <v>590.16101226089995</v>
      </c>
      <c r="P917">
        <v>0</v>
      </c>
    </row>
    <row r="918" spans="1:16" x14ac:dyDescent="0.2">
      <c r="A918" s="3" t="s">
        <v>49</v>
      </c>
      <c r="B918" s="3" t="s">
        <v>52</v>
      </c>
      <c r="C918">
        <v>44</v>
      </c>
      <c r="D918">
        <v>12000</v>
      </c>
      <c r="E918">
        <v>499</v>
      </c>
      <c r="F918">
        <v>1</v>
      </c>
      <c r="G918">
        <v>50533.323552418398</v>
      </c>
      <c r="H918">
        <v>8.5256100000000005E-4</v>
      </c>
      <c r="I918">
        <v>11917</v>
      </c>
      <c r="J918">
        <v>2781</v>
      </c>
      <c r="K918">
        <v>9136</v>
      </c>
      <c r="L918">
        <v>500</v>
      </c>
      <c r="M918">
        <v>499</v>
      </c>
      <c r="N918">
        <v>1</v>
      </c>
      <c r="O918">
        <v>377.22677830980001</v>
      </c>
      <c r="P918">
        <v>0</v>
      </c>
    </row>
    <row r="919" spans="1:16" x14ac:dyDescent="0.2">
      <c r="A919" s="3" t="s">
        <v>49</v>
      </c>
      <c r="B919" s="3" t="s">
        <v>52</v>
      </c>
      <c r="C919">
        <v>4</v>
      </c>
      <c r="D919">
        <v>12000</v>
      </c>
      <c r="E919">
        <v>499</v>
      </c>
      <c r="F919">
        <v>1</v>
      </c>
      <c r="G919">
        <v>50533.323552418398</v>
      </c>
      <c r="H919">
        <v>8.5172700000000004E-4</v>
      </c>
      <c r="I919">
        <v>11882</v>
      </c>
      <c r="J919">
        <v>2758</v>
      </c>
      <c r="K919">
        <v>9124</v>
      </c>
      <c r="L919">
        <v>500</v>
      </c>
      <c r="M919">
        <v>499</v>
      </c>
      <c r="N919">
        <v>1</v>
      </c>
      <c r="O919">
        <v>535.66618320110001</v>
      </c>
      <c r="P919">
        <v>0</v>
      </c>
    </row>
    <row r="920" spans="1:16" x14ac:dyDescent="0.2">
      <c r="A920" s="3" t="s">
        <v>49</v>
      </c>
      <c r="B920" s="3" t="s">
        <v>52</v>
      </c>
      <c r="C920">
        <v>33</v>
      </c>
      <c r="D920">
        <v>12000</v>
      </c>
      <c r="E920">
        <v>499</v>
      </c>
      <c r="F920">
        <v>1</v>
      </c>
      <c r="G920">
        <v>50533.323552418398</v>
      </c>
      <c r="H920">
        <v>8.5105800000000002E-4</v>
      </c>
      <c r="I920">
        <v>11891</v>
      </c>
      <c r="J920">
        <v>2767</v>
      </c>
      <c r="K920">
        <v>9124</v>
      </c>
      <c r="L920">
        <v>500</v>
      </c>
      <c r="M920">
        <v>499</v>
      </c>
      <c r="N920">
        <v>1</v>
      </c>
      <c r="O920">
        <v>497.38319415860002</v>
      </c>
      <c r="P920">
        <v>0</v>
      </c>
    </row>
    <row r="921" spans="1:16" x14ac:dyDescent="0.2">
      <c r="A921" s="3" t="s">
        <v>49</v>
      </c>
      <c r="B921" s="3" t="s">
        <v>52</v>
      </c>
      <c r="C921">
        <v>48</v>
      </c>
      <c r="D921">
        <v>12000</v>
      </c>
      <c r="E921">
        <v>499</v>
      </c>
      <c r="F921">
        <v>1</v>
      </c>
      <c r="G921">
        <v>50533.323552418398</v>
      </c>
      <c r="H921">
        <v>8.5101199999999995E-4</v>
      </c>
      <c r="I921">
        <v>11872</v>
      </c>
      <c r="J921">
        <v>2764</v>
      </c>
      <c r="K921">
        <v>9108</v>
      </c>
      <c r="L921">
        <v>500</v>
      </c>
      <c r="M921">
        <v>499</v>
      </c>
      <c r="N921">
        <v>1</v>
      </c>
      <c r="O921">
        <v>576.70554017680001</v>
      </c>
      <c r="P921">
        <v>0</v>
      </c>
    </row>
    <row r="922" spans="1:16" x14ac:dyDescent="0.2">
      <c r="A922" s="3" t="s">
        <v>49</v>
      </c>
      <c r="B922" s="3" t="s">
        <v>52</v>
      </c>
      <c r="C922">
        <v>35</v>
      </c>
      <c r="D922">
        <v>13000</v>
      </c>
      <c r="E922">
        <v>499</v>
      </c>
      <c r="F922">
        <v>1</v>
      </c>
      <c r="G922">
        <v>53044.701099550097</v>
      </c>
      <c r="H922">
        <v>8.5062699999999996E-4</v>
      </c>
      <c r="I922">
        <v>11839</v>
      </c>
      <c r="J922">
        <v>2794</v>
      </c>
      <c r="K922">
        <v>9045</v>
      </c>
      <c r="L922">
        <v>500</v>
      </c>
      <c r="M922">
        <v>499</v>
      </c>
      <c r="N922">
        <v>1</v>
      </c>
      <c r="O922">
        <v>4714.0403707945998</v>
      </c>
      <c r="P922">
        <v>0</v>
      </c>
    </row>
    <row r="923" spans="1:16" x14ac:dyDescent="0.2">
      <c r="A923" s="3" t="s">
        <v>49</v>
      </c>
      <c r="B923" s="3" t="s">
        <v>52</v>
      </c>
      <c r="C923">
        <v>38</v>
      </c>
      <c r="D923">
        <v>13000</v>
      </c>
      <c r="E923">
        <v>499</v>
      </c>
      <c r="F923">
        <v>1</v>
      </c>
      <c r="G923">
        <v>53044.701099550097</v>
      </c>
      <c r="H923">
        <v>8.5058099999999999E-4</v>
      </c>
      <c r="I923">
        <v>11834</v>
      </c>
      <c r="J923">
        <v>2775</v>
      </c>
      <c r="K923">
        <v>9059</v>
      </c>
      <c r="L923">
        <v>500</v>
      </c>
      <c r="M923">
        <v>499</v>
      </c>
      <c r="N923">
        <v>1</v>
      </c>
      <c r="O923">
        <v>4752.2360188938001</v>
      </c>
      <c r="P923">
        <v>0</v>
      </c>
    </row>
    <row r="924" spans="1:16" x14ac:dyDescent="0.2">
      <c r="A924" s="3" t="s">
        <v>49</v>
      </c>
      <c r="B924" s="3" t="s">
        <v>52</v>
      </c>
      <c r="C924">
        <v>13</v>
      </c>
      <c r="D924">
        <v>12000</v>
      </c>
      <c r="E924">
        <v>499</v>
      </c>
      <c r="F924">
        <v>1</v>
      </c>
      <c r="G924">
        <v>50533.323552418398</v>
      </c>
      <c r="H924">
        <v>8.5048899999999995E-4</v>
      </c>
      <c r="I924">
        <v>11875</v>
      </c>
      <c r="J924">
        <v>2772</v>
      </c>
      <c r="K924">
        <v>9103</v>
      </c>
      <c r="L924">
        <v>500</v>
      </c>
      <c r="M924">
        <v>499</v>
      </c>
      <c r="N924">
        <v>1</v>
      </c>
      <c r="O924">
        <v>563.39639144709997</v>
      </c>
      <c r="P924">
        <v>0</v>
      </c>
    </row>
    <row r="925" spans="1:16" x14ac:dyDescent="0.2">
      <c r="A925" s="3" t="s">
        <v>49</v>
      </c>
      <c r="B925" s="3" t="s">
        <v>52</v>
      </c>
      <c r="C925">
        <v>15</v>
      </c>
      <c r="D925">
        <v>13000</v>
      </c>
      <c r="E925">
        <v>499</v>
      </c>
      <c r="F925">
        <v>1</v>
      </c>
      <c r="G925">
        <v>53044.701099550097</v>
      </c>
      <c r="H925">
        <v>8.5043499999999997E-4</v>
      </c>
      <c r="I925">
        <v>11843</v>
      </c>
      <c r="J925">
        <v>2819</v>
      </c>
      <c r="K925">
        <v>9024</v>
      </c>
      <c r="L925">
        <v>500</v>
      </c>
      <c r="M925">
        <v>499</v>
      </c>
      <c r="N925">
        <v>1</v>
      </c>
      <c r="O925">
        <v>4685.2677608406002</v>
      </c>
      <c r="P925">
        <v>0</v>
      </c>
    </row>
    <row r="926" spans="1:16" x14ac:dyDescent="0.2">
      <c r="A926" s="3" t="s">
        <v>49</v>
      </c>
      <c r="B926" s="3" t="s">
        <v>52</v>
      </c>
      <c r="C926">
        <v>3</v>
      </c>
      <c r="D926">
        <v>12000</v>
      </c>
      <c r="E926">
        <v>499</v>
      </c>
      <c r="F926">
        <v>1</v>
      </c>
      <c r="G926">
        <v>50533.323552418398</v>
      </c>
      <c r="H926">
        <v>8.5039800000000004E-4</v>
      </c>
      <c r="I926">
        <v>11935</v>
      </c>
      <c r="J926">
        <v>2803</v>
      </c>
      <c r="K926">
        <v>9132</v>
      </c>
      <c r="L926">
        <v>500</v>
      </c>
      <c r="M926">
        <v>499</v>
      </c>
      <c r="N926">
        <v>1</v>
      </c>
      <c r="O926">
        <v>290.15023122399998</v>
      </c>
      <c r="P926">
        <v>0</v>
      </c>
    </row>
    <row r="927" spans="1:16" x14ac:dyDescent="0.2">
      <c r="A927" s="3" t="s">
        <v>49</v>
      </c>
      <c r="B927" s="3" t="s">
        <v>52</v>
      </c>
      <c r="C927">
        <v>3</v>
      </c>
      <c r="D927">
        <v>11000</v>
      </c>
      <c r="E927">
        <v>499</v>
      </c>
      <c r="F927">
        <v>1</v>
      </c>
      <c r="G927">
        <v>11000</v>
      </c>
      <c r="H927">
        <v>8.5034300000000004E-4</v>
      </c>
      <c r="I927">
        <v>11000</v>
      </c>
      <c r="J927">
        <v>2809</v>
      </c>
      <c r="K927">
        <v>8191</v>
      </c>
      <c r="L927">
        <v>500</v>
      </c>
      <c r="M927">
        <v>499</v>
      </c>
      <c r="N927">
        <v>1</v>
      </c>
      <c r="O927">
        <v>0</v>
      </c>
      <c r="P927">
        <v>1</v>
      </c>
    </row>
    <row r="928" spans="1:16" x14ac:dyDescent="0.2">
      <c r="A928" s="3" t="s">
        <v>49</v>
      </c>
      <c r="B928" s="3" t="s">
        <v>52</v>
      </c>
      <c r="C928">
        <v>45</v>
      </c>
      <c r="D928">
        <v>13000</v>
      </c>
      <c r="E928">
        <v>499</v>
      </c>
      <c r="F928">
        <v>1</v>
      </c>
      <c r="G928">
        <v>53044.701099550097</v>
      </c>
      <c r="H928">
        <v>8.5000400000000002E-4</v>
      </c>
      <c r="I928">
        <v>11852</v>
      </c>
      <c r="J928">
        <v>2796</v>
      </c>
      <c r="K928">
        <v>9056</v>
      </c>
      <c r="L928">
        <v>500</v>
      </c>
      <c r="M928">
        <v>499</v>
      </c>
      <c r="N928">
        <v>1</v>
      </c>
      <c r="O928">
        <v>4647.7956495037997</v>
      </c>
      <c r="P928">
        <v>0</v>
      </c>
    </row>
    <row r="929" spans="1:16" x14ac:dyDescent="0.2">
      <c r="A929" s="3" t="s">
        <v>49</v>
      </c>
      <c r="B929" s="3" t="s">
        <v>52</v>
      </c>
      <c r="C929">
        <v>5</v>
      </c>
      <c r="D929">
        <v>11000</v>
      </c>
      <c r="E929">
        <v>499</v>
      </c>
      <c r="F929">
        <v>1</v>
      </c>
      <c r="G929">
        <v>11000</v>
      </c>
      <c r="H929">
        <v>8.4973799999999995E-4</v>
      </c>
      <c r="I929">
        <v>11000</v>
      </c>
      <c r="J929">
        <v>2761</v>
      </c>
      <c r="K929">
        <v>8239</v>
      </c>
      <c r="L929">
        <v>500</v>
      </c>
      <c r="M929">
        <v>499</v>
      </c>
      <c r="N929">
        <v>1</v>
      </c>
      <c r="O929">
        <v>0</v>
      </c>
      <c r="P929">
        <v>1</v>
      </c>
    </row>
    <row r="930" spans="1:16" x14ac:dyDescent="0.2">
      <c r="A930" s="3" t="s">
        <v>49</v>
      </c>
      <c r="B930" s="3" t="s">
        <v>52</v>
      </c>
      <c r="C930">
        <v>34</v>
      </c>
      <c r="D930">
        <v>11000</v>
      </c>
      <c r="E930">
        <v>499</v>
      </c>
      <c r="F930">
        <v>1</v>
      </c>
      <c r="G930">
        <v>44062.122210792702</v>
      </c>
      <c r="H930">
        <v>8.4939900000000003E-4</v>
      </c>
      <c r="I930">
        <v>11000</v>
      </c>
      <c r="J930">
        <v>2779</v>
      </c>
      <c r="K930">
        <v>8221</v>
      </c>
      <c r="L930">
        <v>500</v>
      </c>
      <c r="M930">
        <v>499</v>
      </c>
      <c r="N930">
        <v>1</v>
      </c>
      <c r="O930">
        <v>0</v>
      </c>
      <c r="P930">
        <v>0</v>
      </c>
    </row>
    <row r="931" spans="1:16" x14ac:dyDescent="0.2">
      <c r="A931" s="3" t="s">
        <v>49</v>
      </c>
      <c r="B931" s="3" t="s">
        <v>52</v>
      </c>
      <c r="C931">
        <v>45</v>
      </c>
      <c r="D931">
        <v>12000</v>
      </c>
      <c r="E931">
        <v>499</v>
      </c>
      <c r="F931">
        <v>1</v>
      </c>
      <c r="G931">
        <v>50533.323552418398</v>
      </c>
      <c r="H931">
        <v>8.4917E-4</v>
      </c>
      <c r="I931">
        <v>11892</v>
      </c>
      <c r="J931">
        <v>2799</v>
      </c>
      <c r="K931">
        <v>9093</v>
      </c>
      <c r="L931">
        <v>500</v>
      </c>
      <c r="M931">
        <v>499</v>
      </c>
      <c r="N931">
        <v>1</v>
      </c>
      <c r="O931">
        <v>484.40205064209999</v>
      </c>
      <c r="P931">
        <v>0</v>
      </c>
    </row>
    <row r="932" spans="1:16" x14ac:dyDescent="0.2">
      <c r="A932" s="3" t="s">
        <v>49</v>
      </c>
      <c r="B932" s="3" t="s">
        <v>52</v>
      </c>
      <c r="C932">
        <v>23</v>
      </c>
      <c r="D932">
        <v>12000</v>
      </c>
      <c r="E932">
        <v>499</v>
      </c>
      <c r="F932">
        <v>1</v>
      </c>
      <c r="G932">
        <v>50533.323552418398</v>
      </c>
      <c r="H932">
        <v>8.4888499999999996E-4</v>
      </c>
      <c r="I932">
        <v>11920</v>
      </c>
      <c r="J932">
        <v>2805</v>
      </c>
      <c r="K932">
        <v>9115</v>
      </c>
      <c r="L932">
        <v>500</v>
      </c>
      <c r="M932">
        <v>499</v>
      </c>
      <c r="N932">
        <v>1</v>
      </c>
      <c r="O932">
        <v>366.3312095654</v>
      </c>
      <c r="P932">
        <v>0</v>
      </c>
    </row>
    <row r="933" spans="1:16" x14ac:dyDescent="0.2">
      <c r="A933" s="3" t="s">
        <v>49</v>
      </c>
      <c r="B933" s="3" t="s">
        <v>52</v>
      </c>
      <c r="C933">
        <v>1</v>
      </c>
      <c r="D933">
        <v>12000</v>
      </c>
      <c r="E933">
        <v>499</v>
      </c>
      <c r="F933">
        <v>1</v>
      </c>
      <c r="G933">
        <v>50533.323552418398</v>
      </c>
      <c r="H933">
        <v>8.4819799999999999E-4</v>
      </c>
      <c r="I933">
        <v>11875</v>
      </c>
      <c r="J933">
        <v>2805</v>
      </c>
      <c r="K933">
        <v>9070</v>
      </c>
      <c r="L933">
        <v>500</v>
      </c>
      <c r="M933">
        <v>499</v>
      </c>
      <c r="N933">
        <v>1</v>
      </c>
      <c r="O933">
        <v>567.29888215339997</v>
      </c>
      <c r="P933">
        <v>0</v>
      </c>
    </row>
    <row r="934" spans="1:16" x14ac:dyDescent="0.2">
      <c r="A934" s="3" t="s">
        <v>49</v>
      </c>
      <c r="B934" s="3" t="s">
        <v>52</v>
      </c>
      <c r="C934">
        <v>16</v>
      </c>
      <c r="D934">
        <v>11000</v>
      </c>
      <c r="E934">
        <v>499</v>
      </c>
      <c r="F934">
        <v>1</v>
      </c>
      <c r="G934">
        <v>11000</v>
      </c>
      <c r="H934">
        <v>8.47648E-4</v>
      </c>
      <c r="I934">
        <v>11000</v>
      </c>
      <c r="J934">
        <v>2750</v>
      </c>
      <c r="K934">
        <v>8250</v>
      </c>
      <c r="L934">
        <v>500</v>
      </c>
      <c r="M934">
        <v>499</v>
      </c>
      <c r="N934">
        <v>1</v>
      </c>
      <c r="O934">
        <v>0</v>
      </c>
      <c r="P934">
        <v>1</v>
      </c>
    </row>
    <row r="935" spans="1:16" x14ac:dyDescent="0.2">
      <c r="A935" s="3" t="s">
        <v>49</v>
      </c>
      <c r="B935" s="3" t="s">
        <v>52</v>
      </c>
      <c r="C935">
        <v>6</v>
      </c>
      <c r="D935">
        <v>12000</v>
      </c>
      <c r="E935">
        <v>499</v>
      </c>
      <c r="F935">
        <v>1</v>
      </c>
      <c r="G935">
        <v>50533.323552418398</v>
      </c>
      <c r="H935">
        <v>8.4722699999999998E-4</v>
      </c>
      <c r="I935">
        <v>11884</v>
      </c>
      <c r="J935">
        <v>2803</v>
      </c>
      <c r="K935">
        <v>9081</v>
      </c>
      <c r="L935">
        <v>500</v>
      </c>
      <c r="M935">
        <v>499</v>
      </c>
      <c r="N935">
        <v>1</v>
      </c>
      <c r="O935">
        <v>528.30458404700005</v>
      </c>
      <c r="P935">
        <v>0</v>
      </c>
    </row>
    <row r="936" spans="1:16" x14ac:dyDescent="0.2">
      <c r="A936" s="3" t="s">
        <v>49</v>
      </c>
      <c r="B936" s="3" t="s">
        <v>52</v>
      </c>
      <c r="C936">
        <v>22</v>
      </c>
      <c r="D936">
        <v>12000</v>
      </c>
      <c r="E936">
        <v>499</v>
      </c>
      <c r="F936">
        <v>1</v>
      </c>
      <c r="G936">
        <v>50533.323552418398</v>
      </c>
      <c r="H936">
        <v>8.4704300000000001E-4</v>
      </c>
      <c r="I936">
        <v>11864</v>
      </c>
      <c r="J936">
        <v>2777</v>
      </c>
      <c r="K936">
        <v>9087</v>
      </c>
      <c r="L936">
        <v>500</v>
      </c>
      <c r="M936">
        <v>499</v>
      </c>
      <c r="N936">
        <v>1</v>
      </c>
      <c r="O936">
        <v>613.20694094129999</v>
      </c>
      <c r="P936">
        <v>0</v>
      </c>
    </row>
    <row r="937" spans="1:16" x14ac:dyDescent="0.2">
      <c r="A937" s="3" t="s">
        <v>49</v>
      </c>
      <c r="B937" s="3" t="s">
        <v>52</v>
      </c>
      <c r="C937">
        <v>24</v>
      </c>
      <c r="D937">
        <v>12000</v>
      </c>
      <c r="E937">
        <v>499</v>
      </c>
      <c r="F937">
        <v>1</v>
      </c>
      <c r="G937">
        <v>50533.323552418398</v>
      </c>
      <c r="H937">
        <v>8.4699700000000005E-4</v>
      </c>
      <c r="I937">
        <v>11903</v>
      </c>
      <c r="J937">
        <v>2781</v>
      </c>
      <c r="K937">
        <v>9122</v>
      </c>
      <c r="L937">
        <v>500</v>
      </c>
      <c r="M937">
        <v>499</v>
      </c>
      <c r="N937">
        <v>1</v>
      </c>
      <c r="O937">
        <v>439.2574518756</v>
      </c>
      <c r="P937">
        <v>0</v>
      </c>
    </row>
    <row r="938" spans="1:16" x14ac:dyDescent="0.2">
      <c r="A938" s="3" t="s">
        <v>49</v>
      </c>
      <c r="B938" s="3" t="s">
        <v>52</v>
      </c>
      <c r="C938">
        <v>30</v>
      </c>
      <c r="D938">
        <v>11000</v>
      </c>
      <c r="E938">
        <v>499</v>
      </c>
      <c r="F938">
        <v>1</v>
      </c>
      <c r="G938">
        <v>44062.122210792702</v>
      </c>
      <c r="H938">
        <v>8.4674900000000005E-4</v>
      </c>
      <c r="I938">
        <v>11000</v>
      </c>
      <c r="J938">
        <v>2809</v>
      </c>
      <c r="K938">
        <v>8191</v>
      </c>
      <c r="L938">
        <v>500</v>
      </c>
      <c r="M938">
        <v>499</v>
      </c>
      <c r="N938">
        <v>1</v>
      </c>
      <c r="O938">
        <v>0</v>
      </c>
      <c r="P938">
        <v>0</v>
      </c>
    </row>
    <row r="939" spans="1:16" x14ac:dyDescent="0.2">
      <c r="A939" s="3" t="s">
        <v>49</v>
      </c>
      <c r="B939" s="3" t="s">
        <v>52</v>
      </c>
      <c r="C939">
        <v>7</v>
      </c>
      <c r="D939">
        <v>12000</v>
      </c>
      <c r="E939">
        <v>499</v>
      </c>
      <c r="F939">
        <v>1</v>
      </c>
      <c r="G939">
        <v>50533.323552418398</v>
      </c>
      <c r="H939">
        <v>8.4622699999999996E-4</v>
      </c>
      <c r="I939">
        <v>11864</v>
      </c>
      <c r="J939">
        <v>2792</v>
      </c>
      <c r="K939">
        <v>9072</v>
      </c>
      <c r="L939">
        <v>500</v>
      </c>
      <c r="M939">
        <v>499</v>
      </c>
      <c r="N939">
        <v>1</v>
      </c>
      <c r="O939">
        <v>605.99422291530004</v>
      </c>
      <c r="P939">
        <v>0</v>
      </c>
    </row>
    <row r="940" spans="1:16" x14ac:dyDescent="0.2">
      <c r="A940" s="3" t="s">
        <v>49</v>
      </c>
      <c r="B940" s="3" t="s">
        <v>52</v>
      </c>
      <c r="C940">
        <v>49</v>
      </c>
      <c r="D940">
        <v>11000</v>
      </c>
      <c r="E940">
        <v>499</v>
      </c>
      <c r="F940">
        <v>1</v>
      </c>
      <c r="G940">
        <v>11000</v>
      </c>
      <c r="H940">
        <v>8.4608999999999997E-4</v>
      </c>
      <c r="I940">
        <v>11000</v>
      </c>
      <c r="J940">
        <v>2768</v>
      </c>
      <c r="K940">
        <v>8232</v>
      </c>
      <c r="L940">
        <v>500</v>
      </c>
      <c r="M940">
        <v>499</v>
      </c>
      <c r="N940">
        <v>1</v>
      </c>
      <c r="O940">
        <v>0</v>
      </c>
      <c r="P940">
        <v>1</v>
      </c>
    </row>
    <row r="941" spans="1:16" x14ac:dyDescent="0.2">
      <c r="A941" s="3" t="s">
        <v>49</v>
      </c>
      <c r="B941" s="3" t="s">
        <v>52</v>
      </c>
      <c r="C941">
        <v>42</v>
      </c>
      <c r="D941">
        <v>13000</v>
      </c>
      <c r="E941">
        <v>499</v>
      </c>
      <c r="F941">
        <v>1</v>
      </c>
      <c r="G941">
        <v>53044.701099550097</v>
      </c>
      <c r="H941">
        <v>8.4595299999999998E-4</v>
      </c>
      <c r="I941">
        <v>11811</v>
      </c>
      <c r="J941">
        <v>2803</v>
      </c>
      <c r="K941">
        <v>9008</v>
      </c>
      <c r="L941">
        <v>500</v>
      </c>
      <c r="M941">
        <v>499</v>
      </c>
      <c r="N941">
        <v>1</v>
      </c>
      <c r="O941">
        <v>4850.9107622376996</v>
      </c>
      <c r="P941">
        <v>0</v>
      </c>
    </row>
    <row r="942" spans="1:16" x14ac:dyDescent="0.2">
      <c r="A942" s="3" t="s">
        <v>49</v>
      </c>
      <c r="B942" s="3" t="s">
        <v>52</v>
      </c>
      <c r="C942">
        <v>40</v>
      </c>
      <c r="D942">
        <v>10000</v>
      </c>
      <c r="E942">
        <v>499</v>
      </c>
      <c r="F942">
        <v>1</v>
      </c>
      <c r="G942">
        <v>10000</v>
      </c>
      <c r="H942">
        <v>8.4586100000000005E-4</v>
      </c>
      <c r="I942">
        <v>10000</v>
      </c>
      <c r="J942">
        <v>2663</v>
      </c>
      <c r="K942">
        <v>7337</v>
      </c>
      <c r="L942">
        <v>500</v>
      </c>
      <c r="M942">
        <v>499</v>
      </c>
      <c r="N942">
        <v>1</v>
      </c>
      <c r="O942">
        <v>0</v>
      </c>
      <c r="P942">
        <v>1</v>
      </c>
    </row>
    <row r="943" spans="1:16" x14ac:dyDescent="0.2">
      <c r="A943" s="3" t="s">
        <v>49</v>
      </c>
      <c r="B943" s="3" t="s">
        <v>52</v>
      </c>
      <c r="C943">
        <v>2</v>
      </c>
      <c r="D943">
        <v>13000</v>
      </c>
      <c r="E943">
        <v>499</v>
      </c>
      <c r="F943">
        <v>1</v>
      </c>
      <c r="G943">
        <v>53044.701099550097</v>
      </c>
      <c r="H943">
        <v>8.4584199999999997E-4</v>
      </c>
      <c r="I943">
        <v>11830</v>
      </c>
      <c r="J943">
        <v>2785</v>
      </c>
      <c r="K943">
        <v>9045</v>
      </c>
      <c r="L943">
        <v>500</v>
      </c>
      <c r="M943">
        <v>499</v>
      </c>
      <c r="N943">
        <v>1</v>
      </c>
      <c r="O943">
        <v>4766.9880430461999</v>
      </c>
      <c r="P943">
        <v>0</v>
      </c>
    </row>
    <row r="944" spans="1:16" x14ac:dyDescent="0.2">
      <c r="A944" s="3" t="s">
        <v>49</v>
      </c>
      <c r="B944" s="3" t="s">
        <v>52</v>
      </c>
      <c r="C944">
        <v>1</v>
      </c>
      <c r="D944">
        <v>10000</v>
      </c>
      <c r="E944">
        <v>499</v>
      </c>
      <c r="F944">
        <v>1</v>
      </c>
      <c r="G944">
        <v>39482.677260513999</v>
      </c>
      <c r="H944">
        <v>8.4558599999999995E-4</v>
      </c>
      <c r="I944">
        <v>10000</v>
      </c>
      <c r="J944">
        <v>2685</v>
      </c>
      <c r="K944">
        <v>7315</v>
      </c>
      <c r="L944">
        <v>500</v>
      </c>
      <c r="M944">
        <v>499</v>
      </c>
      <c r="N944">
        <v>1</v>
      </c>
      <c r="O944">
        <v>0</v>
      </c>
      <c r="P944">
        <v>0</v>
      </c>
    </row>
    <row r="945" spans="1:16" x14ac:dyDescent="0.2">
      <c r="A945" s="3" t="s">
        <v>49</v>
      </c>
      <c r="B945" s="3" t="s">
        <v>52</v>
      </c>
      <c r="C945">
        <v>13</v>
      </c>
      <c r="D945">
        <v>11000</v>
      </c>
      <c r="E945">
        <v>499</v>
      </c>
      <c r="F945">
        <v>1</v>
      </c>
      <c r="G945">
        <v>44062.122210792702</v>
      </c>
      <c r="H945">
        <v>8.4524600000000002E-4</v>
      </c>
      <c r="I945">
        <v>11000</v>
      </c>
      <c r="J945">
        <v>2787</v>
      </c>
      <c r="K945">
        <v>8213</v>
      </c>
      <c r="L945">
        <v>500</v>
      </c>
      <c r="M945">
        <v>499</v>
      </c>
      <c r="N945">
        <v>1</v>
      </c>
      <c r="O945">
        <v>0</v>
      </c>
      <c r="P945">
        <v>0</v>
      </c>
    </row>
    <row r="946" spans="1:16" x14ac:dyDescent="0.2">
      <c r="A946" s="3" t="s">
        <v>49</v>
      </c>
      <c r="B946" s="3" t="s">
        <v>52</v>
      </c>
      <c r="C946">
        <v>14</v>
      </c>
      <c r="D946">
        <v>12000</v>
      </c>
      <c r="E946">
        <v>499</v>
      </c>
      <c r="F946">
        <v>1</v>
      </c>
      <c r="G946">
        <v>50533.323552418398</v>
      </c>
      <c r="H946">
        <v>8.4487099999999997E-4</v>
      </c>
      <c r="I946">
        <v>11898</v>
      </c>
      <c r="J946">
        <v>2798</v>
      </c>
      <c r="K946">
        <v>9100</v>
      </c>
      <c r="L946">
        <v>500</v>
      </c>
      <c r="M946">
        <v>499</v>
      </c>
      <c r="N946">
        <v>1</v>
      </c>
      <c r="O946">
        <v>464.73882976739998</v>
      </c>
      <c r="P946">
        <v>0</v>
      </c>
    </row>
    <row r="947" spans="1:16" x14ac:dyDescent="0.2">
      <c r="A947" s="3" t="s">
        <v>49</v>
      </c>
      <c r="B947" s="3" t="s">
        <v>52</v>
      </c>
      <c r="C947">
        <v>40</v>
      </c>
      <c r="D947">
        <v>13000</v>
      </c>
      <c r="E947">
        <v>499</v>
      </c>
      <c r="F947">
        <v>1</v>
      </c>
      <c r="G947">
        <v>53044.701099550097</v>
      </c>
      <c r="H947">
        <v>8.4473299999999996E-4</v>
      </c>
      <c r="I947">
        <v>11842</v>
      </c>
      <c r="J947">
        <v>2770</v>
      </c>
      <c r="K947">
        <v>9072</v>
      </c>
      <c r="L947">
        <v>500</v>
      </c>
      <c r="M947">
        <v>499</v>
      </c>
      <c r="N947">
        <v>1</v>
      </c>
      <c r="O947">
        <v>4727.0403625037998</v>
      </c>
      <c r="P947">
        <v>0</v>
      </c>
    </row>
    <row r="948" spans="1:16" x14ac:dyDescent="0.2">
      <c r="A948" s="3" t="s">
        <v>49</v>
      </c>
      <c r="B948" s="3" t="s">
        <v>52</v>
      </c>
      <c r="C948">
        <v>24</v>
      </c>
      <c r="D948">
        <v>11000</v>
      </c>
      <c r="E948">
        <v>499</v>
      </c>
      <c r="F948">
        <v>1</v>
      </c>
      <c r="G948">
        <v>11000</v>
      </c>
      <c r="H948">
        <v>8.4415599999999999E-4</v>
      </c>
      <c r="I948">
        <v>11000</v>
      </c>
      <c r="J948">
        <v>2772</v>
      </c>
      <c r="K948">
        <v>8228</v>
      </c>
      <c r="L948">
        <v>500</v>
      </c>
      <c r="M948">
        <v>499</v>
      </c>
      <c r="N948">
        <v>1</v>
      </c>
      <c r="O948">
        <v>0</v>
      </c>
      <c r="P948">
        <v>1</v>
      </c>
    </row>
    <row r="949" spans="1:16" x14ac:dyDescent="0.2">
      <c r="A949" s="3" t="s">
        <v>49</v>
      </c>
      <c r="B949" s="3" t="s">
        <v>52</v>
      </c>
      <c r="C949">
        <v>29</v>
      </c>
      <c r="D949">
        <v>12000</v>
      </c>
      <c r="E949">
        <v>499</v>
      </c>
      <c r="F949">
        <v>1</v>
      </c>
      <c r="G949">
        <v>50533.323552418398</v>
      </c>
      <c r="H949">
        <v>8.4413700000000001E-4</v>
      </c>
      <c r="I949">
        <v>11882</v>
      </c>
      <c r="J949">
        <v>2767</v>
      </c>
      <c r="K949">
        <v>9115</v>
      </c>
      <c r="L949">
        <v>500</v>
      </c>
      <c r="M949">
        <v>499</v>
      </c>
      <c r="N949">
        <v>1</v>
      </c>
      <c r="O949">
        <v>532.77271694420006</v>
      </c>
      <c r="P949">
        <v>0</v>
      </c>
    </row>
    <row r="950" spans="1:16" x14ac:dyDescent="0.2">
      <c r="A950" s="3" t="s">
        <v>49</v>
      </c>
      <c r="B950" s="3" t="s">
        <v>52</v>
      </c>
      <c r="C950">
        <v>18</v>
      </c>
      <c r="D950">
        <v>11000</v>
      </c>
      <c r="E950">
        <v>499</v>
      </c>
      <c r="F950">
        <v>1</v>
      </c>
      <c r="G950">
        <v>11000</v>
      </c>
      <c r="H950">
        <v>8.4408200000000001E-4</v>
      </c>
      <c r="I950">
        <v>11000</v>
      </c>
      <c r="J950">
        <v>2802</v>
      </c>
      <c r="K950">
        <v>8198</v>
      </c>
      <c r="L950">
        <v>500</v>
      </c>
      <c r="M950">
        <v>499</v>
      </c>
      <c r="N950">
        <v>1</v>
      </c>
      <c r="O950">
        <v>0</v>
      </c>
      <c r="P950">
        <v>1</v>
      </c>
    </row>
    <row r="951" spans="1:16" x14ac:dyDescent="0.2">
      <c r="A951" s="3" t="s">
        <v>49</v>
      </c>
      <c r="B951" s="3" t="s">
        <v>52</v>
      </c>
      <c r="C951">
        <v>11</v>
      </c>
      <c r="D951">
        <v>11000</v>
      </c>
      <c r="E951">
        <v>499</v>
      </c>
      <c r="F951">
        <v>1</v>
      </c>
      <c r="G951">
        <v>44062.122210792702</v>
      </c>
      <c r="H951">
        <v>8.4387100000000005E-4</v>
      </c>
      <c r="I951">
        <v>11000</v>
      </c>
      <c r="J951">
        <v>2796</v>
      </c>
      <c r="K951">
        <v>8204</v>
      </c>
      <c r="L951">
        <v>500</v>
      </c>
      <c r="M951">
        <v>499</v>
      </c>
      <c r="N951">
        <v>1</v>
      </c>
      <c r="O951">
        <v>0</v>
      </c>
      <c r="P951">
        <v>0</v>
      </c>
    </row>
    <row r="952" spans="1:16" x14ac:dyDescent="0.2">
      <c r="A952" s="3" t="s">
        <v>49</v>
      </c>
      <c r="B952" s="3" t="s">
        <v>52</v>
      </c>
      <c r="C952">
        <v>18</v>
      </c>
      <c r="D952">
        <v>12000</v>
      </c>
      <c r="E952">
        <v>499</v>
      </c>
      <c r="F952">
        <v>1</v>
      </c>
      <c r="G952">
        <v>50533.323552418398</v>
      </c>
      <c r="H952">
        <v>8.43551E-4</v>
      </c>
      <c r="I952">
        <v>11897</v>
      </c>
      <c r="J952">
        <v>2752</v>
      </c>
      <c r="K952">
        <v>9145</v>
      </c>
      <c r="L952">
        <v>500</v>
      </c>
      <c r="M952">
        <v>499</v>
      </c>
      <c r="N952">
        <v>1</v>
      </c>
      <c r="O952">
        <v>472.11651158320001</v>
      </c>
      <c r="P952">
        <v>0</v>
      </c>
    </row>
    <row r="953" spans="1:16" x14ac:dyDescent="0.2">
      <c r="A953" s="3" t="s">
        <v>49</v>
      </c>
      <c r="B953" s="3" t="s">
        <v>52</v>
      </c>
      <c r="C953">
        <v>25</v>
      </c>
      <c r="D953">
        <v>11000</v>
      </c>
      <c r="E953">
        <v>499</v>
      </c>
      <c r="F953">
        <v>1</v>
      </c>
      <c r="G953">
        <v>44062.122210792702</v>
      </c>
      <c r="H953">
        <v>8.4336800000000005E-4</v>
      </c>
      <c r="I953">
        <v>11000</v>
      </c>
      <c r="J953">
        <v>2765</v>
      </c>
      <c r="K953">
        <v>8235</v>
      </c>
      <c r="L953">
        <v>500</v>
      </c>
      <c r="M953">
        <v>499</v>
      </c>
      <c r="N953">
        <v>1</v>
      </c>
      <c r="O953">
        <v>0</v>
      </c>
      <c r="P953">
        <v>0</v>
      </c>
    </row>
    <row r="954" spans="1:16" x14ac:dyDescent="0.2">
      <c r="A954" s="3" t="s">
        <v>49</v>
      </c>
      <c r="B954" s="3" t="s">
        <v>52</v>
      </c>
      <c r="C954">
        <v>3</v>
      </c>
      <c r="D954">
        <v>11000</v>
      </c>
      <c r="E954">
        <v>499</v>
      </c>
      <c r="F954">
        <v>1</v>
      </c>
      <c r="G954">
        <v>44062.122210792702</v>
      </c>
      <c r="H954">
        <v>8.4304599999999996E-4</v>
      </c>
      <c r="I954">
        <v>11000</v>
      </c>
      <c r="J954">
        <v>2768</v>
      </c>
      <c r="K954">
        <v>8232</v>
      </c>
      <c r="L954">
        <v>500</v>
      </c>
      <c r="M954">
        <v>499</v>
      </c>
      <c r="N954">
        <v>1</v>
      </c>
      <c r="O954">
        <v>0</v>
      </c>
      <c r="P954">
        <v>0</v>
      </c>
    </row>
    <row r="955" spans="1:16" x14ac:dyDescent="0.2">
      <c r="A955" s="3" t="s">
        <v>49</v>
      </c>
      <c r="B955" s="3" t="s">
        <v>52</v>
      </c>
      <c r="C955">
        <v>46</v>
      </c>
      <c r="D955">
        <v>12000</v>
      </c>
      <c r="E955">
        <v>499</v>
      </c>
      <c r="F955">
        <v>1</v>
      </c>
      <c r="G955">
        <v>50533.323552418398</v>
      </c>
      <c r="H955">
        <v>8.3919699999999997E-4</v>
      </c>
      <c r="I955">
        <v>11881</v>
      </c>
      <c r="J955">
        <v>2783</v>
      </c>
      <c r="K955">
        <v>9098</v>
      </c>
      <c r="L955">
        <v>500</v>
      </c>
      <c r="M955">
        <v>499</v>
      </c>
      <c r="N955">
        <v>1</v>
      </c>
      <c r="O955">
        <v>536.36697237789997</v>
      </c>
      <c r="P955">
        <v>0</v>
      </c>
    </row>
    <row r="956" spans="1:16" x14ac:dyDescent="0.2">
      <c r="A956" s="3" t="s">
        <v>49</v>
      </c>
      <c r="B956" s="3" t="s">
        <v>52</v>
      </c>
      <c r="C956">
        <v>28</v>
      </c>
      <c r="D956">
        <v>12000</v>
      </c>
      <c r="E956">
        <v>499</v>
      </c>
      <c r="F956">
        <v>1</v>
      </c>
      <c r="G956">
        <v>50533.323552418398</v>
      </c>
      <c r="H956">
        <v>8.3785800000000003E-4</v>
      </c>
      <c r="I956">
        <v>11886</v>
      </c>
      <c r="J956">
        <v>2778</v>
      </c>
      <c r="K956">
        <v>9108</v>
      </c>
      <c r="L956">
        <v>500</v>
      </c>
      <c r="M956">
        <v>499</v>
      </c>
      <c r="N956">
        <v>1</v>
      </c>
      <c r="O956">
        <v>511.30769887700001</v>
      </c>
      <c r="P956">
        <v>0</v>
      </c>
    </row>
    <row r="957" spans="1:16" x14ac:dyDescent="0.2">
      <c r="A957" s="3" t="s">
        <v>49</v>
      </c>
      <c r="B957" s="3" t="s">
        <v>52</v>
      </c>
      <c r="C957">
        <v>4</v>
      </c>
      <c r="D957">
        <v>13000</v>
      </c>
      <c r="E957">
        <v>499</v>
      </c>
      <c r="F957">
        <v>1</v>
      </c>
      <c r="G957">
        <v>53044.701099550097</v>
      </c>
      <c r="H957">
        <v>8.3700599999999995E-4</v>
      </c>
      <c r="I957">
        <v>11838</v>
      </c>
      <c r="J957">
        <v>2806</v>
      </c>
      <c r="K957">
        <v>9032</v>
      </c>
      <c r="L957">
        <v>500</v>
      </c>
      <c r="M957">
        <v>499</v>
      </c>
      <c r="N957">
        <v>1</v>
      </c>
      <c r="O957">
        <v>4715.6445355615997</v>
      </c>
      <c r="P957">
        <v>0</v>
      </c>
    </row>
    <row r="958" spans="1:16" x14ac:dyDescent="0.2">
      <c r="A958" s="3" t="s">
        <v>49</v>
      </c>
      <c r="B958" s="3" t="s">
        <v>52</v>
      </c>
      <c r="C958">
        <v>49</v>
      </c>
      <c r="D958">
        <v>12000</v>
      </c>
      <c r="E958">
        <v>499</v>
      </c>
      <c r="F958">
        <v>1</v>
      </c>
      <c r="G958">
        <v>50533.323552418398</v>
      </c>
      <c r="H958">
        <v>8.3632800000000001E-4</v>
      </c>
      <c r="I958">
        <v>11882</v>
      </c>
      <c r="J958">
        <v>2755</v>
      </c>
      <c r="K958">
        <v>9127</v>
      </c>
      <c r="L958">
        <v>500</v>
      </c>
      <c r="M958">
        <v>499</v>
      </c>
      <c r="N958">
        <v>1</v>
      </c>
      <c r="O958">
        <v>533.97825854090001</v>
      </c>
      <c r="P958">
        <v>0</v>
      </c>
    </row>
    <row r="959" spans="1:16" x14ac:dyDescent="0.2">
      <c r="A959" s="3" t="s">
        <v>49</v>
      </c>
      <c r="B959" s="3" t="s">
        <v>52</v>
      </c>
      <c r="C959">
        <v>7</v>
      </c>
      <c r="D959">
        <v>11000</v>
      </c>
      <c r="E959">
        <v>499</v>
      </c>
      <c r="F959">
        <v>1</v>
      </c>
      <c r="G959">
        <v>11000</v>
      </c>
      <c r="H959">
        <v>8.3545699999999995E-4</v>
      </c>
      <c r="I959">
        <v>11000</v>
      </c>
      <c r="J959">
        <v>2786</v>
      </c>
      <c r="K959">
        <v>8214</v>
      </c>
      <c r="L959">
        <v>500</v>
      </c>
      <c r="M959">
        <v>499</v>
      </c>
      <c r="N959">
        <v>1</v>
      </c>
      <c r="O959">
        <v>0</v>
      </c>
      <c r="P959">
        <v>1</v>
      </c>
    </row>
    <row r="960" spans="1:16" x14ac:dyDescent="0.2">
      <c r="A960" s="3" t="s">
        <v>49</v>
      </c>
      <c r="B960" s="3" t="s">
        <v>52</v>
      </c>
      <c r="C960">
        <v>45</v>
      </c>
      <c r="D960">
        <v>10000</v>
      </c>
      <c r="E960">
        <v>499</v>
      </c>
      <c r="F960">
        <v>1</v>
      </c>
      <c r="G960">
        <v>10000</v>
      </c>
      <c r="H960">
        <v>8.3543799999999998E-4</v>
      </c>
      <c r="I960">
        <v>10000</v>
      </c>
      <c r="J960">
        <v>2717</v>
      </c>
      <c r="K960">
        <v>7283</v>
      </c>
      <c r="L960">
        <v>500</v>
      </c>
      <c r="M960">
        <v>499</v>
      </c>
      <c r="N960">
        <v>1</v>
      </c>
      <c r="O960">
        <v>0</v>
      </c>
      <c r="P960">
        <v>1</v>
      </c>
    </row>
    <row r="961" spans="1:16" x14ac:dyDescent="0.2">
      <c r="A961" s="3" t="s">
        <v>49</v>
      </c>
      <c r="B961" s="3" t="s">
        <v>52</v>
      </c>
      <c r="C961">
        <v>43</v>
      </c>
      <c r="D961">
        <v>11000</v>
      </c>
      <c r="E961">
        <v>499</v>
      </c>
      <c r="F961">
        <v>1</v>
      </c>
      <c r="G961">
        <v>11000</v>
      </c>
      <c r="H961">
        <v>8.3478700000000003E-4</v>
      </c>
      <c r="I961">
        <v>11000</v>
      </c>
      <c r="J961">
        <v>2772</v>
      </c>
      <c r="K961">
        <v>8228</v>
      </c>
      <c r="L961">
        <v>500</v>
      </c>
      <c r="M961">
        <v>499</v>
      </c>
      <c r="N961">
        <v>1</v>
      </c>
      <c r="O961">
        <v>0</v>
      </c>
      <c r="P961">
        <v>1</v>
      </c>
    </row>
    <row r="962" spans="1:16" x14ac:dyDescent="0.2">
      <c r="A962" s="3" t="s">
        <v>49</v>
      </c>
      <c r="B962" s="3" t="s">
        <v>52</v>
      </c>
      <c r="C962">
        <v>31</v>
      </c>
      <c r="D962">
        <v>11000</v>
      </c>
      <c r="E962">
        <v>499</v>
      </c>
      <c r="F962">
        <v>1</v>
      </c>
      <c r="G962">
        <v>44062.122210792702</v>
      </c>
      <c r="H962">
        <v>8.3452999999999999E-4</v>
      </c>
      <c r="I962">
        <v>11000</v>
      </c>
      <c r="J962">
        <v>2733</v>
      </c>
      <c r="K962">
        <v>8267</v>
      </c>
      <c r="L962">
        <v>500</v>
      </c>
      <c r="M962">
        <v>499</v>
      </c>
      <c r="N962">
        <v>1</v>
      </c>
      <c r="O962">
        <v>0</v>
      </c>
      <c r="P962">
        <v>0</v>
      </c>
    </row>
    <row r="963" spans="1:16" x14ac:dyDescent="0.2">
      <c r="A963" s="3" t="s">
        <v>49</v>
      </c>
      <c r="B963" s="3" t="s">
        <v>52</v>
      </c>
      <c r="C963">
        <v>9</v>
      </c>
      <c r="D963">
        <v>11000</v>
      </c>
      <c r="E963">
        <v>499</v>
      </c>
      <c r="F963">
        <v>1</v>
      </c>
      <c r="G963">
        <v>11000</v>
      </c>
      <c r="H963">
        <v>8.3121300000000003E-4</v>
      </c>
      <c r="I963">
        <v>11000</v>
      </c>
      <c r="J963">
        <v>2765</v>
      </c>
      <c r="K963">
        <v>8235</v>
      </c>
      <c r="L963">
        <v>500</v>
      </c>
      <c r="M963">
        <v>499</v>
      </c>
      <c r="N963">
        <v>1</v>
      </c>
      <c r="O963">
        <v>0</v>
      </c>
      <c r="P963">
        <v>1</v>
      </c>
    </row>
    <row r="964" spans="1:16" x14ac:dyDescent="0.2">
      <c r="A964" s="3" t="s">
        <v>49</v>
      </c>
      <c r="B964" s="3" t="s">
        <v>52</v>
      </c>
      <c r="C964">
        <v>47</v>
      </c>
      <c r="D964">
        <v>11000</v>
      </c>
      <c r="E964">
        <v>499</v>
      </c>
      <c r="F964">
        <v>1</v>
      </c>
      <c r="G964">
        <v>11000</v>
      </c>
      <c r="H964">
        <v>8.2973599999999997E-4</v>
      </c>
      <c r="I964">
        <v>11000</v>
      </c>
      <c r="J964">
        <v>2784</v>
      </c>
      <c r="K964">
        <v>8216</v>
      </c>
      <c r="L964">
        <v>500</v>
      </c>
      <c r="M964">
        <v>499</v>
      </c>
      <c r="N964">
        <v>1</v>
      </c>
      <c r="O964">
        <v>0</v>
      </c>
      <c r="P964">
        <v>1</v>
      </c>
    </row>
    <row r="965" spans="1:16" x14ac:dyDescent="0.2">
      <c r="A965" s="3" t="s">
        <v>49</v>
      </c>
      <c r="B965" s="3" t="s">
        <v>52</v>
      </c>
      <c r="C965">
        <v>30</v>
      </c>
      <c r="D965">
        <v>11000</v>
      </c>
      <c r="E965">
        <v>499</v>
      </c>
      <c r="F965">
        <v>1</v>
      </c>
      <c r="G965">
        <v>11000</v>
      </c>
      <c r="H965">
        <v>8.28471E-4</v>
      </c>
      <c r="I965">
        <v>11000</v>
      </c>
      <c r="J965">
        <v>2747</v>
      </c>
      <c r="K965">
        <v>8253</v>
      </c>
      <c r="L965">
        <v>500</v>
      </c>
      <c r="M965">
        <v>499</v>
      </c>
      <c r="N965">
        <v>1</v>
      </c>
      <c r="O965">
        <v>0</v>
      </c>
      <c r="P965">
        <v>1</v>
      </c>
    </row>
    <row r="966" spans="1:16" x14ac:dyDescent="0.2">
      <c r="A966" s="3" t="s">
        <v>49</v>
      </c>
      <c r="B966" s="3" t="s">
        <v>52</v>
      </c>
      <c r="C966">
        <v>28</v>
      </c>
      <c r="D966">
        <v>11000</v>
      </c>
      <c r="E966">
        <v>499</v>
      </c>
      <c r="F966">
        <v>1</v>
      </c>
      <c r="G966">
        <v>44062.122210792702</v>
      </c>
      <c r="H966">
        <v>8.2780199999999999E-4</v>
      </c>
      <c r="I966">
        <v>11000</v>
      </c>
      <c r="J966">
        <v>2754</v>
      </c>
      <c r="K966">
        <v>8246</v>
      </c>
      <c r="L966">
        <v>500</v>
      </c>
      <c r="M966">
        <v>499</v>
      </c>
      <c r="N966">
        <v>1</v>
      </c>
      <c r="O966">
        <v>0</v>
      </c>
      <c r="P966">
        <v>0</v>
      </c>
    </row>
    <row r="967" spans="1:16" x14ac:dyDescent="0.2">
      <c r="A967" s="3" t="s">
        <v>49</v>
      </c>
      <c r="B967" s="3" t="s">
        <v>52</v>
      </c>
      <c r="C967">
        <v>37</v>
      </c>
      <c r="D967">
        <v>10000</v>
      </c>
      <c r="E967">
        <v>499</v>
      </c>
      <c r="F967">
        <v>1</v>
      </c>
      <c r="G967">
        <v>10000</v>
      </c>
      <c r="H967">
        <v>8.2772900000000003E-4</v>
      </c>
      <c r="I967">
        <v>10000</v>
      </c>
      <c r="J967">
        <v>2678</v>
      </c>
      <c r="K967">
        <v>7322</v>
      </c>
      <c r="L967">
        <v>500</v>
      </c>
      <c r="M967">
        <v>499</v>
      </c>
      <c r="N967">
        <v>1</v>
      </c>
      <c r="O967">
        <v>0</v>
      </c>
      <c r="P967">
        <v>1</v>
      </c>
    </row>
    <row r="968" spans="1:16" x14ac:dyDescent="0.2">
      <c r="A968" s="3" t="s">
        <v>49</v>
      </c>
      <c r="B968" s="3" t="s">
        <v>52</v>
      </c>
      <c r="C968">
        <v>6</v>
      </c>
      <c r="D968">
        <v>10000</v>
      </c>
      <c r="E968">
        <v>499</v>
      </c>
      <c r="F968">
        <v>1</v>
      </c>
      <c r="G968">
        <v>10000</v>
      </c>
      <c r="H968">
        <v>8.2563899999999997E-4</v>
      </c>
      <c r="I968">
        <v>10000</v>
      </c>
      <c r="J968">
        <v>2670</v>
      </c>
      <c r="K968">
        <v>7330</v>
      </c>
      <c r="L968">
        <v>500</v>
      </c>
      <c r="M968">
        <v>499</v>
      </c>
      <c r="N968">
        <v>1</v>
      </c>
      <c r="O968">
        <v>0</v>
      </c>
      <c r="P968">
        <v>1</v>
      </c>
    </row>
    <row r="969" spans="1:16" x14ac:dyDescent="0.2">
      <c r="A969" s="3" t="s">
        <v>49</v>
      </c>
      <c r="B969" s="3" t="s">
        <v>52</v>
      </c>
      <c r="C969">
        <v>14</v>
      </c>
      <c r="D969">
        <v>11000</v>
      </c>
      <c r="E969">
        <v>499</v>
      </c>
      <c r="F969">
        <v>1</v>
      </c>
      <c r="G969">
        <v>44062.122210792702</v>
      </c>
      <c r="H969">
        <v>8.2493300000000002E-4</v>
      </c>
      <c r="I969">
        <v>11000</v>
      </c>
      <c r="J969">
        <v>2790</v>
      </c>
      <c r="K969">
        <v>8210</v>
      </c>
      <c r="L969">
        <v>500</v>
      </c>
      <c r="M969">
        <v>499</v>
      </c>
      <c r="N969">
        <v>1</v>
      </c>
      <c r="O969">
        <v>0</v>
      </c>
      <c r="P969">
        <v>0</v>
      </c>
    </row>
    <row r="970" spans="1:16" x14ac:dyDescent="0.2">
      <c r="A970" s="3" t="s">
        <v>49</v>
      </c>
      <c r="B970" s="3" t="s">
        <v>52</v>
      </c>
      <c r="C970">
        <v>33</v>
      </c>
      <c r="D970">
        <v>11000</v>
      </c>
      <c r="E970">
        <v>499</v>
      </c>
      <c r="F970">
        <v>1</v>
      </c>
      <c r="G970">
        <v>11000</v>
      </c>
      <c r="H970">
        <v>8.2351199999999999E-4</v>
      </c>
      <c r="I970">
        <v>11000</v>
      </c>
      <c r="J970">
        <v>2766</v>
      </c>
      <c r="K970">
        <v>8234</v>
      </c>
      <c r="L970">
        <v>500</v>
      </c>
      <c r="M970">
        <v>499</v>
      </c>
      <c r="N970">
        <v>1</v>
      </c>
      <c r="O970">
        <v>0</v>
      </c>
      <c r="P970">
        <v>1</v>
      </c>
    </row>
    <row r="971" spans="1:16" x14ac:dyDescent="0.2">
      <c r="A971" s="3" t="s">
        <v>49</v>
      </c>
      <c r="B971" s="3" t="s">
        <v>52</v>
      </c>
      <c r="C971">
        <v>17</v>
      </c>
      <c r="D971">
        <v>11000</v>
      </c>
      <c r="E971">
        <v>499</v>
      </c>
      <c r="F971">
        <v>1</v>
      </c>
      <c r="G971">
        <v>11000</v>
      </c>
      <c r="H971">
        <v>8.2323800000000001E-4</v>
      </c>
      <c r="I971">
        <v>11000</v>
      </c>
      <c r="J971">
        <v>2750</v>
      </c>
      <c r="K971">
        <v>8250</v>
      </c>
      <c r="L971">
        <v>500</v>
      </c>
      <c r="M971">
        <v>499</v>
      </c>
      <c r="N971">
        <v>1</v>
      </c>
      <c r="O971">
        <v>0</v>
      </c>
      <c r="P971">
        <v>1</v>
      </c>
    </row>
    <row r="972" spans="1:16" x14ac:dyDescent="0.2">
      <c r="A972" s="3" t="s">
        <v>49</v>
      </c>
      <c r="B972" s="3" t="s">
        <v>52</v>
      </c>
      <c r="C972">
        <v>32</v>
      </c>
      <c r="D972">
        <v>11000</v>
      </c>
      <c r="E972">
        <v>499</v>
      </c>
      <c r="F972">
        <v>1</v>
      </c>
      <c r="G972">
        <v>11000</v>
      </c>
      <c r="H972">
        <v>8.2070699999999995E-4</v>
      </c>
      <c r="I972">
        <v>11000</v>
      </c>
      <c r="J972">
        <v>2769</v>
      </c>
      <c r="K972">
        <v>8231</v>
      </c>
      <c r="L972">
        <v>500</v>
      </c>
      <c r="M972">
        <v>499</v>
      </c>
      <c r="N972">
        <v>1</v>
      </c>
      <c r="O972">
        <v>0</v>
      </c>
      <c r="P972">
        <v>1</v>
      </c>
    </row>
    <row r="973" spans="1:16" x14ac:dyDescent="0.2">
      <c r="A973" s="3" t="s">
        <v>49</v>
      </c>
      <c r="B973" s="3" t="s">
        <v>52</v>
      </c>
      <c r="C973">
        <v>36</v>
      </c>
      <c r="D973">
        <v>11000</v>
      </c>
      <c r="E973">
        <v>499</v>
      </c>
      <c r="F973">
        <v>1</v>
      </c>
      <c r="G973">
        <v>11000</v>
      </c>
      <c r="H973">
        <v>8.1950600000000001E-4</v>
      </c>
      <c r="I973">
        <v>11000</v>
      </c>
      <c r="J973">
        <v>2776</v>
      </c>
      <c r="K973">
        <v>8224</v>
      </c>
      <c r="L973">
        <v>500</v>
      </c>
      <c r="M973">
        <v>499</v>
      </c>
      <c r="N973">
        <v>1</v>
      </c>
      <c r="O973">
        <v>0</v>
      </c>
      <c r="P973">
        <v>1</v>
      </c>
    </row>
    <row r="974" spans="1:16" x14ac:dyDescent="0.2">
      <c r="A974" s="3" t="s">
        <v>49</v>
      </c>
      <c r="B974" s="3" t="s">
        <v>52</v>
      </c>
      <c r="C974">
        <v>1</v>
      </c>
      <c r="D974">
        <v>11000</v>
      </c>
      <c r="E974">
        <v>499</v>
      </c>
      <c r="F974">
        <v>1</v>
      </c>
      <c r="G974">
        <v>44062.122210792702</v>
      </c>
      <c r="H974">
        <v>8.1893799999999996E-4</v>
      </c>
      <c r="I974">
        <v>11000</v>
      </c>
      <c r="J974">
        <v>2768</v>
      </c>
      <c r="K974">
        <v>8232</v>
      </c>
      <c r="L974">
        <v>500</v>
      </c>
      <c r="M974">
        <v>499</v>
      </c>
      <c r="N974">
        <v>1</v>
      </c>
      <c r="O974">
        <v>0</v>
      </c>
      <c r="P974">
        <v>0</v>
      </c>
    </row>
    <row r="975" spans="1:16" x14ac:dyDescent="0.2">
      <c r="A975" s="3" t="s">
        <v>49</v>
      </c>
      <c r="B975" s="3" t="s">
        <v>52</v>
      </c>
      <c r="C975">
        <v>29</v>
      </c>
      <c r="D975">
        <v>11000</v>
      </c>
      <c r="E975">
        <v>499</v>
      </c>
      <c r="F975">
        <v>1</v>
      </c>
      <c r="G975">
        <v>11000</v>
      </c>
      <c r="H975">
        <v>8.1893799999999996E-4</v>
      </c>
      <c r="I975">
        <v>11000</v>
      </c>
      <c r="J975">
        <v>2752</v>
      </c>
      <c r="K975">
        <v>8248</v>
      </c>
      <c r="L975">
        <v>500</v>
      </c>
      <c r="M975">
        <v>499</v>
      </c>
      <c r="N975">
        <v>1</v>
      </c>
      <c r="O975">
        <v>0</v>
      </c>
      <c r="P975">
        <v>1</v>
      </c>
    </row>
    <row r="976" spans="1:16" x14ac:dyDescent="0.2">
      <c r="A976" s="3" t="s">
        <v>49</v>
      </c>
      <c r="B976" s="3" t="s">
        <v>52</v>
      </c>
      <c r="C976">
        <v>44</v>
      </c>
      <c r="D976">
        <v>10000</v>
      </c>
      <c r="E976">
        <v>499</v>
      </c>
      <c r="F976">
        <v>1</v>
      </c>
      <c r="G976">
        <v>10000</v>
      </c>
      <c r="H976">
        <v>8.1881900000000004E-4</v>
      </c>
      <c r="I976">
        <v>10000</v>
      </c>
      <c r="J976">
        <v>2704</v>
      </c>
      <c r="K976">
        <v>7296</v>
      </c>
      <c r="L976">
        <v>500</v>
      </c>
      <c r="M976">
        <v>499</v>
      </c>
      <c r="N976">
        <v>1</v>
      </c>
      <c r="O976">
        <v>0</v>
      </c>
      <c r="P976">
        <v>1</v>
      </c>
    </row>
    <row r="977" spans="1:16" x14ac:dyDescent="0.2">
      <c r="A977" s="3" t="s">
        <v>49</v>
      </c>
      <c r="B977" s="3" t="s">
        <v>52</v>
      </c>
      <c r="C977">
        <v>41</v>
      </c>
      <c r="D977">
        <v>11000</v>
      </c>
      <c r="E977">
        <v>499</v>
      </c>
      <c r="F977">
        <v>1</v>
      </c>
      <c r="G977">
        <v>11000</v>
      </c>
      <c r="H977">
        <v>8.1859900000000004E-4</v>
      </c>
      <c r="I977">
        <v>11000</v>
      </c>
      <c r="J977">
        <v>2794</v>
      </c>
      <c r="K977">
        <v>8206</v>
      </c>
      <c r="L977">
        <v>500</v>
      </c>
      <c r="M977">
        <v>499</v>
      </c>
      <c r="N977">
        <v>1</v>
      </c>
      <c r="O977">
        <v>0</v>
      </c>
      <c r="P977">
        <v>1</v>
      </c>
    </row>
    <row r="978" spans="1:16" x14ac:dyDescent="0.2">
      <c r="A978" s="3" t="s">
        <v>49</v>
      </c>
      <c r="B978" s="3" t="s">
        <v>52</v>
      </c>
      <c r="C978">
        <v>16</v>
      </c>
      <c r="D978">
        <v>11000</v>
      </c>
      <c r="E978">
        <v>499</v>
      </c>
      <c r="F978">
        <v>1</v>
      </c>
      <c r="G978">
        <v>44062.122210792702</v>
      </c>
      <c r="H978">
        <v>8.1830599999999998E-4</v>
      </c>
      <c r="I978">
        <v>11000</v>
      </c>
      <c r="J978">
        <v>2753</v>
      </c>
      <c r="K978">
        <v>8247</v>
      </c>
      <c r="L978">
        <v>500</v>
      </c>
      <c r="M978">
        <v>499</v>
      </c>
      <c r="N978">
        <v>1</v>
      </c>
      <c r="O978">
        <v>0</v>
      </c>
      <c r="P978">
        <v>0</v>
      </c>
    </row>
    <row r="979" spans="1:16" x14ac:dyDescent="0.2">
      <c r="A979" s="3" t="s">
        <v>49</v>
      </c>
      <c r="B979" s="3" t="s">
        <v>52</v>
      </c>
      <c r="C979">
        <v>46</v>
      </c>
      <c r="D979">
        <v>11000</v>
      </c>
      <c r="E979">
        <v>499</v>
      </c>
      <c r="F979">
        <v>1</v>
      </c>
      <c r="G979">
        <v>11000</v>
      </c>
      <c r="H979">
        <v>8.1703199999999998E-4</v>
      </c>
      <c r="I979">
        <v>11000</v>
      </c>
      <c r="J979">
        <v>2740</v>
      </c>
      <c r="K979">
        <v>8260</v>
      </c>
      <c r="L979">
        <v>500</v>
      </c>
      <c r="M979">
        <v>499</v>
      </c>
      <c r="N979">
        <v>1</v>
      </c>
      <c r="O979">
        <v>0</v>
      </c>
      <c r="P979">
        <v>1</v>
      </c>
    </row>
    <row r="980" spans="1:16" x14ac:dyDescent="0.2">
      <c r="A980" s="3" t="s">
        <v>49</v>
      </c>
      <c r="B980" s="3" t="s">
        <v>52</v>
      </c>
      <c r="C980">
        <v>45</v>
      </c>
      <c r="D980">
        <v>11000</v>
      </c>
      <c r="E980">
        <v>499</v>
      </c>
      <c r="F980">
        <v>1</v>
      </c>
      <c r="G980">
        <v>11000</v>
      </c>
      <c r="H980">
        <v>8.1684800000000001E-4</v>
      </c>
      <c r="I980">
        <v>11000</v>
      </c>
      <c r="J980">
        <v>2738</v>
      </c>
      <c r="K980">
        <v>8262</v>
      </c>
      <c r="L980">
        <v>500</v>
      </c>
      <c r="M980">
        <v>499</v>
      </c>
      <c r="N980">
        <v>1</v>
      </c>
      <c r="O980">
        <v>0</v>
      </c>
      <c r="P980">
        <v>1</v>
      </c>
    </row>
    <row r="981" spans="1:16" x14ac:dyDescent="0.2">
      <c r="A981" s="3" t="s">
        <v>49</v>
      </c>
      <c r="B981" s="3" t="s">
        <v>52</v>
      </c>
      <c r="C981">
        <v>45</v>
      </c>
      <c r="D981">
        <v>11000</v>
      </c>
      <c r="E981">
        <v>499</v>
      </c>
      <c r="F981">
        <v>1</v>
      </c>
      <c r="G981">
        <v>44062.122210792702</v>
      </c>
      <c r="H981">
        <v>8.1616999999999996E-4</v>
      </c>
      <c r="I981">
        <v>11000</v>
      </c>
      <c r="J981">
        <v>2782</v>
      </c>
      <c r="K981">
        <v>8218</v>
      </c>
      <c r="L981">
        <v>500</v>
      </c>
      <c r="M981">
        <v>499</v>
      </c>
      <c r="N981">
        <v>1</v>
      </c>
      <c r="O981">
        <v>0</v>
      </c>
      <c r="P981">
        <v>0</v>
      </c>
    </row>
    <row r="982" spans="1:16" x14ac:dyDescent="0.2">
      <c r="A982" s="3" t="s">
        <v>49</v>
      </c>
      <c r="B982" s="3" t="s">
        <v>52</v>
      </c>
      <c r="C982">
        <v>4</v>
      </c>
      <c r="D982">
        <v>11000</v>
      </c>
      <c r="E982">
        <v>499</v>
      </c>
      <c r="F982">
        <v>1</v>
      </c>
      <c r="G982">
        <v>11000</v>
      </c>
      <c r="H982">
        <v>8.1538200000000002E-4</v>
      </c>
      <c r="I982">
        <v>11000</v>
      </c>
      <c r="J982">
        <v>2793</v>
      </c>
      <c r="K982">
        <v>8207</v>
      </c>
      <c r="L982">
        <v>500</v>
      </c>
      <c r="M982">
        <v>499</v>
      </c>
      <c r="N982">
        <v>1</v>
      </c>
      <c r="O982">
        <v>0</v>
      </c>
      <c r="P982">
        <v>1</v>
      </c>
    </row>
    <row r="983" spans="1:16" x14ac:dyDescent="0.2">
      <c r="A983" s="3" t="s">
        <v>49</v>
      </c>
      <c r="B983" s="3" t="s">
        <v>52</v>
      </c>
      <c r="C983">
        <v>47</v>
      </c>
      <c r="D983">
        <v>11000</v>
      </c>
      <c r="E983">
        <v>499</v>
      </c>
      <c r="F983">
        <v>1</v>
      </c>
      <c r="G983">
        <v>44062.122210792702</v>
      </c>
      <c r="H983">
        <v>8.1438300000000001E-4</v>
      </c>
      <c r="I983">
        <v>11000</v>
      </c>
      <c r="J983">
        <v>2749</v>
      </c>
      <c r="K983">
        <v>8251</v>
      </c>
      <c r="L983">
        <v>500</v>
      </c>
      <c r="M983">
        <v>499</v>
      </c>
      <c r="N983">
        <v>1</v>
      </c>
      <c r="O983">
        <v>0</v>
      </c>
      <c r="P983">
        <v>0</v>
      </c>
    </row>
    <row r="984" spans="1:16" x14ac:dyDescent="0.2">
      <c r="A984" s="3" t="s">
        <v>49</v>
      </c>
      <c r="B984" s="3" t="s">
        <v>52</v>
      </c>
      <c r="C984">
        <v>48</v>
      </c>
      <c r="D984">
        <v>11000</v>
      </c>
      <c r="E984">
        <v>499</v>
      </c>
      <c r="F984">
        <v>1</v>
      </c>
      <c r="G984">
        <v>11000</v>
      </c>
      <c r="H984">
        <v>8.1374099999999999E-4</v>
      </c>
      <c r="I984">
        <v>11000</v>
      </c>
      <c r="J984">
        <v>2773</v>
      </c>
      <c r="K984">
        <v>8227</v>
      </c>
      <c r="L984">
        <v>500</v>
      </c>
      <c r="M984">
        <v>499</v>
      </c>
      <c r="N984">
        <v>1</v>
      </c>
      <c r="O984">
        <v>0</v>
      </c>
      <c r="P984">
        <v>1</v>
      </c>
    </row>
    <row r="985" spans="1:16" x14ac:dyDescent="0.2">
      <c r="A985" s="3" t="s">
        <v>49</v>
      </c>
      <c r="B985" s="3" t="s">
        <v>52</v>
      </c>
      <c r="C985">
        <v>26</v>
      </c>
      <c r="D985">
        <v>11000</v>
      </c>
      <c r="E985">
        <v>499</v>
      </c>
      <c r="F985">
        <v>1</v>
      </c>
      <c r="G985">
        <v>44062.122210792702</v>
      </c>
      <c r="H985">
        <v>8.1323599999999995E-4</v>
      </c>
      <c r="I985">
        <v>11000</v>
      </c>
      <c r="J985">
        <v>2771</v>
      </c>
      <c r="K985">
        <v>8229</v>
      </c>
      <c r="L985">
        <v>500</v>
      </c>
      <c r="M985">
        <v>499</v>
      </c>
      <c r="N985">
        <v>1</v>
      </c>
      <c r="O985">
        <v>0</v>
      </c>
      <c r="P985">
        <v>0</v>
      </c>
    </row>
    <row r="986" spans="1:16" x14ac:dyDescent="0.2">
      <c r="A986" s="3" t="s">
        <v>49</v>
      </c>
      <c r="B986" s="3" t="s">
        <v>52</v>
      </c>
      <c r="C986">
        <v>27</v>
      </c>
      <c r="D986">
        <v>11000</v>
      </c>
      <c r="E986">
        <v>499</v>
      </c>
      <c r="F986">
        <v>1</v>
      </c>
      <c r="G986">
        <v>44062.122210792702</v>
      </c>
      <c r="H986">
        <v>8.1111900000000001E-4</v>
      </c>
      <c r="I986">
        <v>11000</v>
      </c>
      <c r="J986">
        <v>2798</v>
      </c>
      <c r="K986">
        <v>8202</v>
      </c>
      <c r="L986">
        <v>500</v>
      </c>
      <c r="M986">
        <v>499</v>
      </c>
      <c r="N986">
        <v>1</v>
      </c>
      <c r="O986">
        <v>0</v>
      </c>
      <c r="P986">
        <v>0</v>
      </c>
    </row>
    <row r="987" spans="1:16" x14ac:dyDescent="0.2">
      <c r="A987" s="3" t="s">
        <v>49</v>
      </c>
      <c r="B987" s="3" t="s">
        <v>52</v>
      </c>
      <c r="C987">
        <v>35</v>
      </c>
      <c r="D987">
        <v>11000</v>
      </c>
      <c r="E987">
        <v>499</v>
      </c>
      <c r="F987">
        <v>1</v>
      </c>
      <c r="G987">
        <v>44062.122210792702</v>
      </c>
      <c r="H987">
        <v>8.1088000000000004E-4</v>
      </c>
      <c r="I987">
        <v>11000</v>
      </c>
      <c r="J987">
        <v>2730</v>
      </c>
      <c r="K987">
        <v>8270</v>
      </c>
      <c r="L987">
        <v>500</v>
      </c>
      <c r="M987">
        <v>499</v>
      </c>
      <c r="N987">
        <v>1</v>
      </c>
      <c r="O987">
        <v>0</v>
      </c>
      <c r="P987">
        <v>0</v>
      </c>
    </row>
    <row r="988" spans="1:16" x14ac:dyDescent="0.2">
      <c r="A988" s="3" t="s">
        <v>49</v>
      </c>
      <c r="B988" s="3" t="s">
        <v>52</v>
      </c>
      <c r="C988">
        <v>27</v>
      </c>
      <c r="D988">
        <v>11000</v>
      </c>
      <c r="E988">
        <v>499</v>
      </c>
      <c r="F988">
        <v>1</v>
      </c>
      <c r="G988">
        <v>11000</v>
      </c>
      <c r="H988">
        <v>8.1068799999999995E-4</v>
      </c>
      <c r="I988">
        <v>11000</v>
      </c>
      <c r="J988">
        <v>2760</v>
      </c>
      <c r="K988">
        <v>8240</v>
      </c>
      <c r="L988">
        <v>500</v>
      </c>
      <c r="M988">
        <v>499</v>
      </c>
      <c r="N988">
        <v>1</v>
      </c>
      <c r="O988">
        <v>0</v>
      </c>
      <c r="P988">
        <v>1</v>
      </c>
    </row>
    <row r="989" spans="1:16" x14ac:dyDescent="0.2">
      <c r="A989" s="3" t="s">
        <v>49</v>
      </c>
      <c r="B989" s="3" t="s">
        <v>52</v>
      </c>
      <c r="C989">
        <v>40</v>
      </c>
      <c r="D989">
        <v>11000</v>
      </c>
      <c r="E989">
        <v>499</v>
      </c>
      <c r="F989">
        <v>1</v>
      </c>
      <c r="G989">
        <v>11000</v>
      </c>
      <c r="H989">
        <v>8.1028399999999998E-4</v>
      </c>
      <c r="I989">
        <v>11000</v>
      </c>
      <c r="J989">
        <v>2765</v>
      </c>
      <c r="K989">
        <v>8235</v>
      </c>
      <c r="L989">
        <v>500</v>
      </c>
      <c r="M989">
        <v>499</v>
      </c>
      <c r="N989">
        <v>1</v>
      </c>
      <c r="O989">
        <v>0</v>
      </c>
      <c r="P989">
        <v>1</v>
      </c>
    </row>
    <row r="990" spans="1:16" x14ac:dyDescent="0.2">
      <c r="A990" s="3" t="s">
        <v>49</v>
      </c>
      <c r="B990" s="3" t="s">
        <v>52</v>
      </c>
      <c r="C990">
        <v>31</v>
      </c>
      <c r="D990">
        <v>11000</v>
      </c>
      <c r="E990">
        <v>499</v>
      </c>
      <c r="F990">
        <v>1</v>
      </c>
      <c r="G990">
        <v>11000</v>
      </c>
      <c r="H990">
        <v>8.1014699999999999E-4</v>
      </c>
      <c r="I990">
        <v>11000</v>
      </c>
      <c r="J990">
        <v>2812</v>
      </c>
      <c r="K990">
        <v>8188</v>
      </c>
      <c r="L990">
        <v>500</v>
      </c>
      <c r="M990">
        <v>499</v>
      </c>
      <c r="N990">
        <v>1</v>
      </c>
      <c r="O990">
        <v>0</v>
      </c>
      <c r="P990">
        <v>1</v>
      </c>
    </row>
    <row r="991" spans="1:16" x14ac:dyDescent="0.2">
      <c r="A991" s="3" t="s">
        <v>49</v>
      </c>
      <c r="B991" s="3" t="s">
        <v>52</v>
      </c>
      <c r="C991">
        <v>6</v>
      </c>
      <c r="D991">
        <v>11000</v>
      </c>
      <c r="E991">
        <v>499</v>
      </c>
      <c r="F991">
        <v>1</v>
      </c>
      <c r="G991">
        <v>44062.122210792702</v>
      </c>
      <c r="H991">
        <v>8.0944199999999995E-4</v>
      </c>
      <c r="I991">
        <v>11000</v>
      </c>
      <c r="J991">
        <v>2773</v>
      </c>
      <c r="K991">
        <v>8227</v>
      </c>
      <c r="L991">
        <v>500</v>
      </c>
      <c r="M991">
        <v>499</v>
      </c>
      <c r="N991">
        <v>1</v>
      </c>
      <c r="O991">
        <v>0</v>
      </c>
      <c r="P991">
        <v>0</v>
      </c>
    </row>
    <row r="992" spans="1:16" x14ac:dyDescent="0.2">
      <c r="A992" s="3" t="s">
        <v>49</v>
      </c>
      <c r="B992" s="3" t="s">
        <v>52</v>
      </c>
      <c r="C992">
        <v>7</v>
      </c>
      <c r="D992">
        <v>11000</v>
      </c>
      <c r="E992">
        <v>499</v>
      </c>
      <c r="F992">
        <v>1</v>
      </c>
      <c r="G992">
        <v>44062.122210792702</v>
      </c>
      <c r="H992">
        <v>8.0712199999999996E-4</v>
      </c>
      <c r="I992">
        <v>11000</v>
      </c>
      <c r="J992">
        <v>2768</v>
      </c>
      <c r="K992">
        <v>8232</v>
      </c>
      <c r="L992">
        <v>500</v>
      </c>
      <c r="M992">
        <v>499</v>
      </c>
      <c r="N992">
        <v>1</v>
      </c>
      <c r="O992">
        <v>0</v>
      </c>
      <c r="P992">
        <v>0</v>
      </c>
    </row>
    <row r="993" spans="1:16" x14ac:dyDescent="0.2">
      <c r="A993" s="3" t="s">
        <v>49</v>
      </c>
      <c r="B993" s="3" t="s">
        <v>52</v>
      </c>
      <c r="C993">
        <v>12</v>
      </c>
      <c r="D993">
        <v>11000</v>
      </c>
      <c r="E993">
        <v>499</v>
      </c>
      <c r="F993">
        <v>1</v>
      </c>
      <c r="G993">
        <v>11000</v>
      </c>
      <c r="H993">
        <v>8.0690299999999998E-4</v>
      </c>
      <c r="I993">
        <v>11000</v>
      </c>
      <c r="J993">
        <v>2779</v>
      </c>
      <c r="K993">
        <v>8221</v>
      </c>
      <c r="L993">
        <v>500</v>
      </c>
      <c r="M993">
        <v>499</v>
      </c>
      <c r="N993">
        <v>1</v>
      </c>
      <c r="O993">
        <v>0</v>
      </c>
      <c r="P993">
        <v>1</v>
      </c>
    </row>
    <row r="994" spans="1:16" x14ac:dyDescent="0.2">
      <c r="A994" s="3" t="s">
        <v>49</v>
      </c>
      <c r="B994" s="3" t="s">
        <v>52</v>
      </c>
      <c r="C994">
        <v>50</v>
      </c>
      <c r="D994">
        <v>11000</v>
      </c>
      <c r="E994">
        <v>499</v>
      </c>
      <c r="F994">
        <v>1</v>
      </c>
      <c r="G994">
        <v>11000</v>
      </c>
      <c r="H994">
        <v>8.0550000000000001E-4</v>
      </c>
      <c r="I994">
        <v>11000</v>
      </c>
      <c r="J994">
        <v>2759</v>
      </c>
      <c r="K994">
        <v>8241</v>
      </c>
      <c r="L994">
        <v>500</v>
      </c>
      <c r="M994">
        <v>499</v>
      </c>
      <c r="N994">
        <v>1</v>
      </c>
      <c r="O994">
        <v>0</v>
      </c>
      <c r="P994">
        <v>1</v>
      </c>
    </row>
    <row r="995" spans="1:16" x14ac:dyDescent="0.2">
      <c r="A995" s="3" t="s">
        <v>49</v>
      </c>
      <c r="B995" s="3" t="s">
        <v>52</v>
      </c>
      <c r="C995">
        <v>14</v>
      </c>
      <c r="D995">
        <v>11000</v>
      </c>
      <c r="E995">
        <v>499</v>
      </c>
      <c r="F995">
        <v>1</v>
      </c>
      <c r="G995">
        <v>11000</v>
      </c>
      <c r="H995">
        <v>8.0538099999999998E-4</v>
      </c>
      <c r="I995">
        <v>11000</v>
      </c>
      <c r="J995">
        <v>2786</v>
      </c>
      <c r="K995">
        <v>8214</v>
      </c>
      <c r="L995">
        <v>500</v>
      </c>
      <c r="M995">
        <v>499</v>
      </c>
      <c r="N995">
        <v>1</v>
      </c>
      <c r="O995">
        <v>0</v>
      </c>
      <c r="P995">
        <v>1</v>
      </c>
    </row>
    <row r="996" spans="1:16" x14ac:dyDescent="0.2">
      <c r="A996" s="3" t="s">
        <v>49</v>
      </c>
      <c r="B996" s="3" t="s">
        <v>52</v>
      </c>
      <c r="C996">
        <v>9</v>
      </c>
      <c r="D996">
        <v>11000</v>
      </c>
      <c r="E996">
        <v>499</v>
      </c>
      <c r="F996">
        <v>1</v>
      </c>
      <c r="G996">
        <v>44062.122210792702</v>
      </c>
      <c r="H996">
        <v>8.0495899999999995E-4</v>
      </c>
      <c r="I996">
        <v>11000</v>
      </c>
      <c r="J996">
        <v>2755</v>
      </c>
      <c r="K996">
        <v>8245</v>
      </c>
      <c r="L996">
        <v>500</v>
      </c>
      <c r="M996">
        <v>499</v>
      </c>
      <c r="N996">
        <v>1</v>
      </c>
      <c r="O996">
        <v>0</v>
      </c>
      <c r="P996">
        <v>0</v>
      </c>
    </row>
    <row r="997" spans="1:16" x14ac:dyDescent="0.2">
      <c r="A997" s="3" t="s">
        <v>49</v>
      </c>
      <c r="B997" s="3" t="s">
        <v>52</v>
      </c>
      <c r="C997">
        <v>38</v>
      </c>
      <c r="D997">
        <v>11000</v>
      </c>
      <c r="E997">
        <v>499</v>
      </c>
      <c r="F997">
        <v>1</v>
      </c>
      <c r="G997">
        <v>11000</v>
      </c>
      <c r="H997">
        <v>8.0484000000000003E-4</v>
      </c>
      <c r="I997">
        <v>11000</v>
      </c>
      <c r="J997">
        <v>2697</v>
      </c>
      <c r="K997">
        <v>8303</v>
      </c>
      <c r="L997">
        <v>500</v>
      </c>
      <c r="M997">
        <v>499</v>
      </c>
      <c r="N997">
        <v>1</v>
      </c>
      <c r="O997">
        <v>0</v>
      </c>
      <c r="P997">
        <v>1</v>
      </c>
    </row>
    <row r="998" spans="1:16" x14ac:dyDescent="0.2">
      <c r="A998" s="3" t="s">
        <v>49</v>
      </c>
      <c r="B998" s="3" t="s">
        <v>52</v>
      </c>
      <c r="C998">
        <v>17</v>
      </c>
      <c r="D998">
        <v>11000</v>
      </c>
      <c r="E998">
        <v>499</v>
      </c>
      <c r="F998">
        <v>1</v>
      </c>
      <c r="G998">
        <v>44062.122210792702</v>
      </c>
      <c r="H998">
        <v>8.0421699999999997E-4</v>
      </c>
      <c r="I998">
        <v>11000</v>
      </c>
      <c r="J998">
        <v>2795</v>
      </c>
      <c r="K998">
        <v>8205</v>
      </c>
      <c r="L998">
        <v>500</v>
      </c>
      <c r="M998">
        <v>499</v>
      </c>
      <c r="N998">
        <v>1</v>
      </c>
      <c r="O998">
        <v>0</v>
      </c>
      <c r="P998">
        <v>0</v>
      </c>
    </row>
    <row r="999" spans="1:16" x14ac:dyDescent="0.2">
      <c r="A999" s="3" t="s">
        <v>49</v>
      </c>
      <c r="B999" s="3" t="s">
        <v>52</v>
      </c>
      <c r="C999">
        <v>6</v>
      </c>
      <c r="D999">
        <v>11000</v>
      </c>
      <c r="E999">
        <v>499</v>
      </c>
      <c r="F999">
        <v>1</v>
      </c>
      <c r="G999">
        <v>11000</v>
      </c>
      <c r="H999">
        <v>8.0416999999999999E-4</v>
      </c>
      <c r="I999">
        <v>11000</v>
      </c>
      <c r="J999">
        <v>2763</v>
      </c>
      <c r="K999">
        <v>8237</v>
      </c>
      <c r="L999">
        <v>500</v>
      </c>
      <c r="M999">
        <v>499</v>
      </c>
      <c r="N999">
        <v>1</v>
      </c>
      <c r="O999">
        <v>0</v>
      </c>
      <c r="P999">
        <v>1</v>
      </c>
    </row>
    <row r="1000" spans="1:16" x14ac:dyDescent="0.2">
      <c r="A1000" s="3" t="s">
        <v>49</v>
      </c>
      <c r="B1000" s="3" t="s">
        <v>52</v>
      </c>
      <c r="C1000">
        <v>28</v>
      </c>
      <c r="D1000">
        <v>11000</v>
      </c>
      <c r="E1000">
        <v>499</v>
      </c>
      <c r="F1000">
        <v>1</v>
      </c>
      <c r="G1000">
        <v>11000</v>
      </c>
      <c r="H1000">
        <v>8.0350199999999999E-4</v>
      </c>
      <c r="I1000">
        <v>11000</v>
      </c>
      <c r="J1000">
        <v>2746</v>
      </c>
      <c r="K1000">
        <v>8254</v>
      </c>
      <c r="L1000">
        <v>500</v>
      </c>
      <c r="M1000">
        <v>499</v>
      </c>
      <c r="N1000">
        <v>1</v>
      </c>
      <c r="O1000">
        <v>0</v>
      </c>
      <c r="P1000">
        <v>1</v>
      </c>
    </row>
    <row r="1001" spans="1:16" x14ac:dyDescent="0.2">
      <c r="A1001" s="3" t="s">
        <v>49</v>
      </c>
      <c r="B1001" s="3" t="s">
        <v>52</v>
      </c>
      <c r="C1001">
        <v>32</v>
      </c>
      <c r="D1001">
        <v>11000</v>
      </c>
      <c r="E1001">
        <v>499</v>
      </c>
      <c r="F1001">
        <v>1</v>
      </c>
      <c r="G1001">
        <v>44062.122210792702</v>
      </c>
      <c r="H1001">
        <v>8.0340999999999995E-4</v>
      </c>
      <c r="I1001">
        <v>11000</v>
      </c>
      <c r="J1001">
        <v>2770</v>
      </c>
      <c r="K1001">
        <v>8230</v>
      </c>
      <c r="L1001">
        <v>500</v>
      </c>
      <c r="M1001">
        <v>499</v>
      </c>
      <c r="N1001">
        <v>1</v>
      </c>
      <c r="O1001">
        <v>0</v>
      </c>
      <c r="P1001">
        <v>0</v>
      </c>
    </row>
    <row r="1002" spans="1:16" x14ac:dyDescent="0.2">
      <c r="A1002" s="3" t="s">
        <v>49</v>
      </c>
      <c r="B1002" s="3" t="s">
        <v>52</v>
      </c>
      <c r="C1002">
        <v>10</v>
      </c>
      <c r="D1002">
        <v>11000</v>
      </c>
      <c r="E1002">
        <v>499</v>
      </c>
      <c r="F1002">
        <v>1</v>
      </c>
      <c r="G1002">
        <v>44062.122210792702</v>
      </c>
      <c r="H1002">
        <v>8.03282E-4</v>
      </c>
      <c r="I1002">
        <v>11000</v>
      </c>
      <c r="J1002">
        <v>2745</v>
      </c>
      <c r="K1002">
        <v>8255</v>
      </c>
      <c r="L1002">
        <v>500</v>
      </c>
      <c r="M1002">
        <v>499</v>
      </c>
      <c r="N1002">
        <v>1</v>
      </c>
      <c r="O1002">
        <v>0</v>
      </c>
      <c r="P1002">
        <v>0</v>
      </c>
    </row>
    <row r="1003" spans="1:16" x14ac:dyDescent="0.2">
      <c r="A1003" s="3" t="s">
        <v>49</v>
      </c>
      <c r="B1003" s="3" t="s">
        <v>52</v>
      </c>
      <c r="C1003">
        <v>39</v>
      </c>
      <c r="D1003">
        <v>11000</v>
      </c>
      <c r="E1003">
        <v>499</v>
      </c>
      <c r="F1003">
        <v>1</v>
      </c>
      <c r="G1003">
        <v>44062.122210792702</v>
      </c>
      <c r="H1003">
        <v>8.0262200000000001E-4</v>
      </c>
      <c r="I1003">
        <v>11000</v>
      </c>
      <c r="J1003">
        <v>2791</v>
      </c>
      <c r="K1003">
        <v>8209</v>
      </c>
      <c r="L1003">
        <v>500</v>
      </c>
      <c r="M1003">
        <v>499</v>
      </c>
      <c r="N1003">
        <v>1</v>
      </c>
      <c r="O1003">
        <v>0</v>
      </c>
      <c r="P1003">
        <v>0</v>
      </c>
    </row>
    <row r="1004" spans="1:16" x14ac:dyDescent="0.2">
      <c r="A1004" s="3" t="s">
        <v>49</v>
      </c>
      <c r="B1004" s="3" t="s">
        <v>52</v>
      </c>
      <c r="C1004">
        <v>35</v>
      </c>
      <c r="D1004">
        <v>11000</v>
      </c>
      <c r="E1004">
        <v>499</v>
      </c>
      <c r="F1004">
        <v>1</v>
      </c>
      <c r="G1004">
        <v>11000</v>
      </c>
      <c r="H1004">
        <v>8.0259400000000001E-4</v>
      </c>
      <c r="I1004">
        <v>11000</v>
      </c>
      <c r="J1004">
        <v>2764</v>
      </c>
      <c r="K1004">
        <v>8236</v>
      </c>
      <c r="L1004">
        <v>500</v>
      </c>
      <c r="M1004">
        <v>499</v>
      </c>
      <c r="N1004">
        <v>1</v>
      </c>
      <c r="O1004">
        <v>0</v>
      </c>
      <c r="P1004">
        <v>1</v>
      </c>
    </row>
    <row r="1005" spans="1:16" x14ac:dyDescent="0.2">
      <c r="A1005" s="3" t="s">
        <v>49</v>
      </c>
      <c r="B1005" s="3" t="s">
        <v>52</v>
      </c>
      <c r="C1005">
        <v>36</v>
      </c>
      <c r="D1005">
        <v>11000</v>
      </c>
      <c r="E1005">
        <v>499</v>
      </c>
      <c r="F1005">
        <v>1</v>
      </c>
      <c r="G1005">
        <v>44062.122210792702</v>
      </c>
      <c r="H1005">
        <v>8.0121000000000001E-4</v>
      </c>
      <c r="I1005">
        <v>11000</v>
      </c>
      <c r="J1005">
        <v>2762</v>
      </c>
      <c r="K1005">
        <v>8238</v>
      </c>
      <c r="L1005">
        <v>500</v>
      </c>
      <c r="M1005">
        <v>499</v>
      </c>
      <c r="N1005">
        <v>1</v>
      </c>
      <c r="O1005">
        <v>0</v>
      </c>
      <c r="P1005">
        <v>0</v>
      </c>
    </row>
    <row r="1006" spans="1:16" x14ac:dyDescent="0.2">
      <c r="A1006" s="3" t="s">
        <v>49</v>
      </c>
      <c r="B1006" s="3" t="s">
        <v>52</v>
      </c>
      <c r="C1006">
        <v>34</v>
      </c>
      <c r="D1006">
        <v>11000</v>
      </c>
      <c r="E1006">
        <v>499</v>
      </c>
      <c r="F1006">
        <v>1</v>
      </c>
      <c r="G1006">
        <v>11000</v>
      </c>
      <c r="H1006">
        <v>8.0034799999999999E-4</v>
      </c>
      <c r="I1006">
        <v>11000</v>
      </c>
      <c r="J1006">
        <v>2744</v>
      </c>
      <c r="K1006">
        <v>8256</v>
      </c>
      <c r="L1006">
        <v>500</v>
      </c>
      <c r="M1006">
        <v>499</v>
      </c>
      <c r="N1006">
        <v>1</v>
      </c>
      <c r="O1006">
        <v>0</v>
      </c>
      <c r="P1006">
        <v>1</v>
      </c>
    </row>
    <row r="1007" spans="1:16" x14ac:dyDescent="0.2">
      <c r="A1007" s="3" t="s">
        <v>49</v>
      </c>
      <c r="B1007" s="3" t="s">
        <v>52</v>
      </c>
      <c r="C1007">
        <v>37</v>
      </c>
      <c r="D1007">
        <v>11000</v>
      </c>
      <c r="E1007">
        <v>499</v>
      </c>
      <c r="F1007">
        <v>1</v>
      </c>
      <c r="G1007">
        <v>11000</v>
      </c>
      <c r="H1007">
        <v>7.99853E-4</v>
      </c>
      <c r="I1007">
        <v>11000</v>
      </c>
      <c r="J1007">
        <v>2786</v>
      </c>
      <c r="K1007">
        <v>8214</v>
      </c>
      <c r="L1007">
        <v>500</v>
      </c>
      <c r="M1007">
        <v>499</v>
      </c>
      <c r="N1007">
        <v>1</v>
      </c>
      <c r="O1007">
        <v>0</v>
      </c>
      <c r="P1007">
        <v>1</v>
      </c>
    </row>
    <row r="1008" spans="1:16" x14ac:dyDescent="0.2">
      <c r="A1008" s="3" t="s">
        <v>49</v>
      </c>
      <c r="B1008" s="3" t="s">
        <v>52</v>
      </c>
      <c r="C1008">
        <v>7</v>
      </c>
      <c r="D1008">
        <v>10000</v>
      </c>
      <c r="E1008">
        <v>499</v>
      </c>
      <c r="F1008">
        <v>1</v>
      </c>
      <c r="G1008">
        <v>39482.677260513999</v>
      </c>
      <c r="H1008">
        <v>7.9941300000000001E-4</v>
      </c>
      <c r="I1008">
        <v>10000</v>
      </c>
      <c r="J1008">
        <v>2763</v>
      </c>
      <c r="K1008">
        <v>7237</v>
      </c>
      <c r="L1008">
        <v>500</v>
      </c>
      <c r="M1008">
        <v>499</v>
      </c>
      <c r="N1008">
        <v>1</v>
      </c>
      <c r="O1008">
        <v>0</v>
      </c>
      <c r="P1008">
        <v>0</v>
      </c>
    </row>
    <row r="1009" spans="1:16" x14ac:dyDescent="0.2">
      <c r="A1009" s="3" t="s">
        <v>49</v>
      </c>
      <c r="B1009" s="3" t="s">
        <v>52</v>
      </c>
      <c r="C1009">
        <v>39</v>
      </c>
      <c r="D1009">
        <v>11000</v>
      </c>
      <c r="E1009">
        <v>499</v>
      </c>
      <c r="F1009">
        <v>1</v>
      </c>
      <c r="G1009">
        <v>11000</v>
      </c>
      <c r="H1009">
        <v>7.9862499999999996E-4</v>
      </c>
      <c r="I1009">
        <v>11000</v>
      </c>
      <c r="J1009">
        <v>2802</v>
      </c>
      <c r="K1009">
        <v>8198</v>
      </c>
      <c r="L1009">
        <v>500</v>
      </c>
      <c r="M1009">
        <v>499</v>
      </c>
      <c r="N1009">
        <v>1</v>
      </c>
      <c r="O1009">
        <v>0</v>
      </c>
      <c r="P1009">
        <v>1</v>
      </c>
    </row>
    <row r="1010" spans="1:16" x14ac:dyDescent="0.2">
      <c r="A1010" s="3" t="s">
        <v>49</v>
      </c>
      <c r="B1010" s="3" t="s">
        <v>52</v>
      </c>
      <c r="C1010">
        <v>13</v>
      </c>
      <c r="D1010">
        <v>11000</v>
      </c>
      <c r="E1010">
        <v>499</v>
      </c>
      <c r="F1010">
        <v>1</v>
      </c>
      <c r="G1010">
        <v>11000</v>
      </c>
      <c r="H1010">
        <v>7.9792899999999996E-4</v>
      </c>
      <c r="I1010">
        <v>11000</v>
      </c>
      <c r="J1010">
        <v>2801</v>
      </c>
      <c r="K1010">
        <v>8199</v>
      </c>
      <c r="L1010">
        <v>500</v>
      </c>
      <c r="M1010">
        <v>499</v>
      </c>
      <c r="N1010">
        <v>1</v>
      </c>
      <c r="O1010">
        <v>0</v>
      </c>
      <c r="P1010">
        <v>1</v>
      </c>
    </row>
    <row r="1011" spans="1:16" x14ac:dyDescent="0.2">
      <c r="A1011" s="3" t="s">
        <v>49</v>
      </c>
      <c r="B1011" s="3" t="s">
        <v>52</v>
      </c>
      <c r="C1011">
        <v>39</v>
      </c>
      <c r="D1011">
        <v>10000</v>
      </c>
      <c r="E1011">
        <v>499</v>
      </c>
      <c r="F1011">
        <v>1</v>
      </c>
      <c r="G1011">
        <v>10000</v>
      </c>
      <c r="H1011">
        <v>7.9782699999999998E-4</v>
      </c>
      <c r="I1011">
        <v>10000</v>
      </c>
      <c r="J1011">
        <v>2687</v>
      </c>
      <c r="K1011">
        <v>7313</v>
      </c>
      <c r="L1011">
        <v>500</v>
      </c>
      <c r="M1011">
        <v>499</v>
      </c>
      <c r="N1011">
        <v>1</v>
      </c>
      <c r="O1011">
        <v>0</v>
      </c>
      <c r="P1011">
        <v>1</v>
      </c>
    </row>
    <row r="1012" spans="1:16" x14ac:dyDescent="0.2">
      <c r="A1012" s="3" t="s">
        <v>49</v>
      </c>
      <c r="B1012" s="3" t="s">
        <v>52</v>
      </c>
      <c r="C1012">
        <v>50</v>
      </c>
      <c r="D1012">
        <v>10000</v>
      </c>
      <c r="E1012">
        <v>499</v>
      </c>
      <c r="F1012">
        <v>1</v>
      </c>
      <c r="G1012">
        <v>10000</v>
      </c>
      <c r="H1012">
        <v>7.9751599999999996E-4</v>
      </c>
      <c r="I1012">
        <v>10000</v>
      </c>
      <c r="J1012">
        <v>2680</v>
      </c>
      <c r="K1012">
        <v>7320</v>
      </c>
      <c r="L1012">
        <v>500</v>
      </c>
      <c r="M1012">
        <v>499</v>
      </c>
      <c r="N1012">
        <v>1</v>
      </c>
      <c r="O1012">
        <v>0</v>
      </c>
      <c r="P1012">
        <v>1</v>
      </c>
    </row>
    <row r="1013" spans="1:16" x14ac:dyDescent="0.2">
      <c r="A1013" s="3" t="s">
        <v>49</v>
      </c>
      <c r="B1013" s="3" t="s">
        <v>52</v>
      </c>
      <c r="C1013">
        <v>21</v>
      </c>
      <c r="D1013">
        <v>11000</v>
      </c>
      <c r="E1013">
        <v>499</v>
      </c>
      <c r="F1013">
        <v>1</v>
      </c>
      <c r="G1013">
        <v>44062.122210792702</v>
      </c>
      <c r="H1013">
        <v>7.9750700000000003E-4</v>
      </c>
      <c r="I1013">
        <v>11000</v>
      </c>
      <c r="J1013">
        <v>2775</v>
      </c>
      <c r="K1013">
        <v>8225</v>
      </c>
      <c r="L1013">
        <v>500</v>
      </c>
      <c r="M1013">
        <v>499</v>
      </c>
      <c r="N1013">
        <v>1</v>
      </c>
      <c r="O1013">
        <v>0</v>
      </c>
      <c r="P1013">
        <v>0</v>
      </c>
    </row>
    <row r="1014" spans="1:16" x14ac:dyDescent="0.2">
      <c r="A1014" s="3" t="s">
        <v>49</v>
      </c>
      <c r="B1014" s="3" t="s">
        <v>52</v>
      </c>
      <c r="C1014">
        <v>23</v>
      </c>
      <c r="D1014">
        <v>11000</v>
      </c>
      <c r="E1014">
        <v>499</v>
      </c>
      <c r="F1014">
        <v>1</v>
      </c>
      <c r="G1014">
        <v>44062.122210792702</v>
      </c>
      <c r="H1014">
        <v>7.9720400000000003E-4</v>
      </c>
      <c r="I1014">
        <v>11000</v>
      </c>
      <c r="J1014">
        <v>2731</v>
      </c>
      <c r="K1014">
        <v>8269</v>
      </c>
      <c r="L1014">
        <v>500</v>
      </c>
      <c r="M1014">
        <v>499</v>
      </c>
      <c r="N1014">
        <v>1</v>
      </c>
      <c r="O1014">
        <v>0</v>
      </c>
      <c r="P1014">
        <v>0</v>
      </c>
    </row>
    <row r="1015" spans="1:16" x14ac:dyDescent="0.2">
      <c r="A1015" s="3" t="s">
        <v>49</v>
      </c>
      <c r="B1015" s="3" t="s">
        <v>52</v>
      </c>
      <c r="C1015">
        <v>3</v>
      </c>
      <c r="D1015">
        <v>10000</v>
      </c>
      <c r="E1015">
        <v>499</v>
      </c>
      <c r="F1015">
        <v>1</v>
      </c>
      <c r="G1015">
        <v>10000</v>
      </c>
      <c r="H1015">
        <v>7.9696599999999997E-4</v>
      </c>
      <c r="I1015">
        <v>10000</v>
      </c>
      <c r="J1015">
        <v>2664</v>
      </c>
      <c r="K1015">
        <v>7336</v>
      </c>
      <c r="L1015">
        <v>500</v>
      </c>
      <c r="M1015">
        <v>499</v>
      </c>
      <c r="N1015">
        <v>1</v>
      </c>
      <c r="O1015">
        <v>0</v>
      </c>
      <c r="P1015">
        <v>1</v>
      </c>
    </row>
    <row r="1016" spans="1:16" x14ac:dyDescent="0.2">
      <c r="A1016" s="3" t="s">
        <v>49</v>
      </c>
      <c r="B1016" s="3" t="s">
        <v>52</v>
      </c>
      <c r="C1016">
        <v>20</v>
      </c>
      <c r="D1016">
        <v>10000</v>
      </c>
      <c r="E1016">
        <v>499</v>
      </c>
      <c r="F1016">
        <v>1</v>
      </c>
      <c r="G1016">
        <v>39482.677260513999</v>
      </c>
      <c r="H1016">
        <v>7.9692800000000002E-4</v>
      </c>
      <c r="I1016">
        <v>10000</v>
      </c>
      <c r="J1016">
        <v>2680</v>
      </c>
      <c r="K1016">
        <v>7320</v>
      </c>
      <c r="L1016">
        <v>500</v>
      </c>
      <c r="M1016">
        <v>499</v>
      </c>
      <c r="N1016">
        <v>1</v>
      </c>
      <c r="O1016">
        <v>0</v>
      </c>
      <c r="P1016">
        <v>0</v>
      </c>
    </row>
    <row r="1017" spans="1:16" x14ac:dyDescent="0.2">
      <c r="A1017" s="3" t="s">
        <v>49</v>
      </c>
      <c r="B1017" s="3" t="s">
        <v>52</v>
      </c>
      <c r="C1017">
        <v>48</v>
      </c>
      <c r="D1017">
        <v>11000</v>
      </c>
      <c r="E1017">
        <v>499</v>
      </c>
      <c r="F1017">
        <v>1</v>
      </c>
      <c r="G1017">
        <v>44062.122210792702</v>
      </c>
      <c r="H1017">
        <v>7.9469199999999995E-4</v>
      </c>
      <c r="I1017">
        <v>11000</v>
      </c>
      <c r="J1017">
        <v>2740</v>
      </c>
      <c r="K1017">
        <v>8260</v>
      </c>
      <c r="L1017">
        <v>500</v>
      </c>
      <c r="M1017">
        <v>499</v>
      </c>
      <c r="N1017">
        <v>1</v>
      </c>
      <c r="O1017">
        <v>0</v>
      </c>
      <c r="P1017">
        <v>0</v>
      </c>
    </row>
    <row r="1018" spans="1:16" x14ac:dyDescent="0.2">
      <c r="A1018" s="3" t="s">
        <v>49</v>
      </c>
      <c r="B1018" s="3" t="s">
        <v>52</v>
      </c>
      <c r="C1018">
        <v>2</v>
      </c>
      <c r="D1018">
        <v>11000</v>
      </c>
      <c r="E1018">
        <v>499</v>
      </c>
      <c r="F1018">
        <v>1</v>
      </c>
      <c r="G1018">
        <v>11000</v>
      </c>
      <c r="H1018">
        <v>7.9452799999999997E-4</v>
      </c>
      <c r="I1018">
        <v>11000</v>
      </c>
      <c r="J1018">
        <v>2749</v>
      </c>
      <c r="K1018">
        <v>8251</v>
      </c>
      <c r="L1018">
        <v>500</v>
      </c>
      <c r="M1018">
        <v>499</v>
      </c>
      <c r="N1018">
        <v>1</v>
      </c>
      <c r="O1018">
        <v>0</v>
      </c>
      <c r="P1018">
        <v>1</v>
      </c>
    </row>
    <row r="1019" spans="1:16" x14ac:dyDescent="0.2">
      <c r="A1019" s="3" t="s">
        <v>49</v>
      </c>
      <c r="B1019" s="3" t="s">
        <v>52</v>
      </c>
      <c r="C1019">
        <v>22</v>
      </c>
      <c r="D1019">
        <v>11000</v>
      </c>
      <c r="E1019">
        <v>499</v>
      </c>
      <c r="F1019">
        <v>1</v>
      </c>
      <c r="G1019">
        <v>44062.122210792702</v>
      </c>
      <c r="H1019">
        <v>7.9441799999999997E-4</v>
      </c>
      <c r="I1019">
        <v>11000</v>
      </c>
      <c r="J1019">
        <v>2743</v>
      </c>
      <c r="K1019">
        <v>8257</v>
      </c>
      <c r="L1019">
        <v>500</v>
      </c>
      <c r="M1019">
        <v>499</v>
      </c>
      <c r="N1019">
        <v>1</v>
      </c>
      <c r="O1019">
        <v>0</v>
      </c>
      <c r="P1019">
        <v>0</v>
      </c>
    </row>
    <row r="1020" spans="1:16" x14ac:dyDescent="0.2">
      <c r="A1020" s="3" t="s">
        <v>49</v>
      </c>
      <c r="B1020" s="3" t="s">
        <v>52</v>
      </c>
      <c r="C1020">
        <v>42</v>
      </c>
      <c r="D1020">
        <v>11000</v>
      </c>
      <c r="E1020">
        <v>499</v>
      </c>
      <c r="F1020">
        <v>1</v>
      </c>
      <c r="G1020">
        <v>44062.122210792702</v>
      </c>
      <c r="H1020">
        <v>7.9237299999999997E-4</v>
      </c>
      <c r="I1020">
        <v>11000</v>
      </c>
      <c r="J1020">
        <v>2753</v>
      </c>
      <c r="K1020">
        <v>8247</v>
      </c>
      <c r="L1020">
        <v>500</v>
      </c>
      <c r="M1020">
        <v>499</v>
      </c>
      <c r="N1020">
        <v>1</v>
      </c>
      <c r="O1020">
        <v>0</v>
      </c>
      <c r="P1020">
        <v>0</v>
      </c>
    </row>
    <row r="1021" spans="1:16" x14ac:dyDescent="0.2">
      <c r="A1021" s="3" t="s">
        <v>49</v>
      </c>
      <c r="B1021" s="3" t="s">
        <v>52</v>
      </c>
      <c r="C1021">
        <v>12</v>
      </c>
      <c r="D1021">
        <v>11000</v>
      </c>
      <c r="E1021">
        <v>499</v>
      </c>
      <c r="F1021">
        <v>1</v>
      </c>
      <c r="G1021">
        <v>44062.122210792702</v>
      </c>
      <c r="H1021">
        <v>7.9230000000000001E-4</v>
      </c>
      <c r="I1021">
        <v>11000</v>
      </c>
      <c r="J1021">
        <v>2776</v>
      </c>
      <c r="K1021">
        <v>8224</v>
      </c>
      <c r="L1021">
        <v>500</v>
      </c>
      <c r="M1021">
        <v>499</v>
      </c>
      <c r="N1021">
        <v>1</v>
      </c>
      <c r="O1021">
        <v>0</v>
      </c>
      <c r="P1021">
        <v>0</v>
      </c>
    </row>
    <row r="1022" spans="1:16" x14ac:dyDescent="0.2">
      <c r="A1022" s="3" t="s">
        <v>49</v>
      </c>
      <c r="B1022" s="3" t="s">
        <v>52</v>
      </c>
      <c r="C1022">
        <v>2</v>
      </c>
      <c r="D1022">
        <v>11000</v>
      </c>
      <c r="E1022">
        <v>499</v>
      </c>
      <c r="F1022">
        <v>1</v>
      </c>
      <c r="G1022">
        <v>44062.122210792702</v>
      </c>
      <c r="H1022">
        <v>7.89421E-4</v>
      </c>
      <c r="I1022">
        <v>11000</v>
      </c>
      <c r="J1022">
        <v>2744</v>
      </c>
      <c r="K1022">
        <v>8256</v>
      </c>
      <c r="L1022">
        <v>500</v>
      </c>
      <c r="M1022">
        <v>499</v>
      </c>
      <c r="N1022">
        <v>1</v>
      </c>
      <c r="O1022">
        <v>0</v>
      </c>
      <c r="P1022">
        <v>0</v>
      </c>
    </row>
    <row r="1023" spans="1:16" x14ac:dyDescent="0.2">
      <c r="A1023" s="3" t="s">
        <v>49</v>
      </c>
      <c r="B1023" s="3" t="s">
        <v>52</v>
      </c>
      <c r="C1023">
        <v>31</v>
      </c>
      <c r="D1023">
        <v>10000</v>
      </c>
      <c r="E1023">
        <v>499</v>
      </c>
      <c r="F1023">
        <v>1</v>
      </c>
      <c r="G1023">
        <v>10000</v>
      </c>
      <c r="H1023">
        <v>7.8829400000000004E-4</v>
      </c>
      <c r="I1023">
        <v>10000</v>
      </c>
      <c r="J1023">
        <v>2709</v>
      </c>
      <c r="K1023">
        <v>7291</v>
      </c>
      <c r="L1023">
        <v>500</v>
      </c>
      <c r="M1023">
        <v>499</v>
      </c>
      <c r="N1023">
        <v>1</v>
      </c>
      <c r="O1023">
        <v>0</v>
      </c>
      <c r="P1023">
        <v>1</v>
      </c>
    </row>
    <row r="1024" spans="1:16" x14ac:dyDescent="0.2">
      <c r="A1024" s="3" t="s">
        <v>49</v>
      </c>
      <c r="B1024" s="3" t="s">
        <v>52</v>
      </c>
      <c r="C1024">
        <v>20</v>
      </c>
      <c r="D1024">
        <v>10000</v>
      </c>
      <c r="E1024">
        <v>499</v>
      </c>
      <c r="F1024">
        <v>1</v>
      </c>
      <c r="G1024">
        <v>10000</v>
      </c>
      <c r="H1024">
        <v>7.8735000000000003E-4</v>
      </c>
      <c r="I1024">
        <v>10000</v>
      </c>
      <c r="J1024">
        <v>2676</v>
      </c>
      <c r="K1024">
        <v>7324</v>
      </c>
      <c r="L1024">
        <v>500</v>
      </c>
      <c r="M1024">
        <v>499</v>
      </c>
      <c r="N1024">
        <v>1</v>
      </c>
      <c r="O1024">
        <v>0</v>
      </c>
      <c r="P1024">
        <v>1</v>
      </c>
    </row>
    <row r="1025" spans="1:16" x14ac:dyDescent="0.2">
      <c r="A1025" s="3" t="s">
        <v>49</v>
      </c>
      <c r="B1025" s="3" t="s">
        <v>52</v>
      </c>
      <c r="C1025">
        <v>24</v>
      </c>
      <c r="D1025">
        <v>10000</v>
      </c>
      <c r="E1025">
        <v>499</v>
      </c>
      <c r="F1025">
        <v>1</v>
      </c>
      <c r="G1025">
        <v>39482.677260513999</v>
      </c>
      <c r="H1025">
        <v>7.8674500000000004E-4</v>
      </c>
      <c r="I1025">
        <v>10000</v>
      </c>
      <c r="J1025">
        <v>2673</v>
      </c>
      <c r="K1025">
        <v>7327</v>
      </c>
      <c r="L1025">
        <v>500</v>
      </c>
      <c r="M1025">
        <v>499</v>
      </c>
      <c r="N1025">
        <v>1</v>
      </c>
      <c r="O1025">
        <v>0</v>
      </c>
      <c r="P1025">
        <v>0</v>
      </c>
    </row>
    <row r="1026" spans="1:16" x14ac:dyDescent="0.2">
      <c r="A1026" s="3" t="s">
        <v>49</v>
      </c>
      <c r="B1026" s="3" t="s">
        <v>52</v>
      </c>
      <c r="C1026">
        <v>24</v>
      </c>
      <c r="D1026">
        <v>11000</v>
      </c>
      <c r="E1026">
        <v>499</v>
      </c>
      <c r="F1026">
        <v>1</v>
      </c>
      <c r="G1026">
        <v>44062.122210792702</v>
      </c>
      <c r="H1026">
        <v>7.8566300000000003E-4</v>
      </c>
      <c r="I1026">
        <v>11000</v>
      </c>
      <c r="J1026">
        <v>2800</v>
      </c>
      <c r="K1026">
        <v>8200</v>
      </c>
      <c r="L1026">
        <v>500</v>
      </c>
      <c r="M1026">
        <v>499</v>
      </c>
      <c r="N1026">
        <v>1</v>
      </c>
      <c r="O1026">
        <v>0</v>
      </c>
      <c r="P1026">
        <v>0</v>
      </c>
    </row>
    <row r="1027" spans="1:16" x14ac:dyDescent="0.2">
      <c r="A1027" s="3" t="s">
        <v>49</v>
      </c>
      <c r="B1027" s="3" t="s">
        <v>52</v>
      </c>
      <c r="C1027">
        <v>20</v>
      </c>
      <c r="D1027">
        <v>11000</v>
      </c>
      <c r="E1027">
        <v>499</v>
      </c>
      <c r="F1027">
        <v>1</v>
      </c>
      <c r="G1027">
        <v>44062.122210792702</v>
      </c>
      <c r="H1027">
        <v>7.8536999999999997E-4</v>
      </c>
      <c r="I1027">
        <v>11000</v>
      </c>
      <c r="J1027">
        <v>2736</v>
      </c>
      <c r="K1027">
        <v>8264</v>
      </c>
      <c r="L1027">
        <v>500</v>
      </c>
      <c r="M1027">
        <v>499</v>
      </c>
      <c r="N1027">
        <v>1</v>
      </c>
      <c r="O1027">
        <v>0</v>
      </c>
      <c r="P1027">
        <v>0</v>
      </c>
    </row>
    <row r="1028" spans="1:16" x14ac:dyDescent="0.2">
      <c r="A1028" s="3" t="s">
        <v>49</v>
      </c>
      <c r="B1028" s="3" t="s">
        <v>52</v>
      </c>
      <c r="C1028">
        <v>15</v>
      </c>
      <c r="D1028">
        <v>10000</v>
      </c>
      <c r="E1028">
        <v>499</v>
      </c>
      <c r="F1028">
        <v>1</v>
      </c>
      <c r="G1028">
        <v>39482.677260513999</v>
      </c>
      <c r="H1028">
        <v>7.8366500000000001E-4</v>
      </c>
      <c r="I1028">
        <v>10000</v>
      </c>
      <c r="J1028">
        <v>2720</v>
      </c>
      <c r="K1028">
        <v>7280</v>
      </c>
      <c r="L1028">
        <v>500</v>
      </c>
      <c r="M1028">
        <v>499</v>
      </c>
      <c r="N1028">
        <v>1</v>
      </c>
      <c r="O1028">
        <v>0</v>
      </c>
      <c r="P1028">
        <v>0</v>
      </c>
    </row>
    <row r="1029" spans="1:16" x14ac:dyDescent="0.2">
      <c r="A1029" s="3" t="s">
        <v>49</v>
      </c>
      <c r="B1029" s="3" t="s">
        <v>52</v>
      </c>
      <c r="C1029">
        <v>19</v>
      </c>
      <c r="D1029">
        <v>11000</v>
      </c>
      <c r="E1029">
        <v>499</v>
      </c>
      <c r="F1029">
        <v>1</v>
      </c>
      <c r="G1029">
        <v>44062.122210792702</v>
      </c>
      <c r="H1029">
        <v>7.8156600000000003E-4</v>
      </c>
      <c r="I1029">
        <v>11000</v>
      </c>
      <c r="J1029">
        <v>2788</v>
      </c>
      <c r="K1029">
        <v>8212</v>
      </c>
      <c r="L1029">
        <v>500</v>
      </c>
      <c r="M1029">
        <v>499</v>
      </c>
      <c r="N1029">
        <v>1</v>
      </c>
      <c r="O1029">
        <v>0</v>
      </c>
      <c r="P1029">
        <v>0</v>
      </c>
    </row>
    <row r="1030" spans="1:16" x14ac:dyDescent="0.2">
      <c r="A1030" s="3" t="s">
        <v>49</v>
      </c>
      <c r="B1030" s="3" t="s">
        <v>52</v>
      </c>
      <c r="C1030">
        <v>18</v>
      </c>
      <c r="D1030">
        <v>11000</v>
      </c>
      <c r="E1030">
        <v>499</v>
      </c>
      <c r="F1030">
        <v>1</v>
      </c>
      <c r="G1030">
        <v>44062.122210792702</v>
      </c>
      <c r="H1030">
        <v>7.7975099999999997E-4</v>
      </c>
      <c r="I1030">
        <v>11000</v>
      </c>
      <c r="J1030">
        <v>2764</v>
      </c>
      <c r="K1030">
        <v>8236</v>
      </c>
      <c r="L1030">
        <v>500</v>
      </c>
      <c r="M1030">
        <v>499</v>
      </c>
      <c r="N1030">
        <v>1</v>
      </c>
      <c r="O1030">
        <v>0</v>
      </c>
      <c r="P1030">
        <v>0</v>
      </c>
    </row>
    <row r="1031" spans="1:16" x14ac:dyDescent="0.2">
      <c r="A1031" s="3" t="s">
        <v>49</v>
      </c>
      <c r="B1031" s="3" t="s">
        <v>52</v>
      </c>
      <c r="C1031">
        <v>15</v>
      </c>
      <c r="D1031">
        <v>10000</v>
      </c>
      <c r="E1031">
        <v>499</v>
      </c>
      <c r="F1031">
        <v>1</v>
      </c>
      <c r="G1031">
        <v>10000</v>
      </c>
      <c r="H1031">
        <v>7.7975099999999997E-4</v>
      </c>
      <c r="I1031">
        <v>10000</v>
      </c>
      <c r="J1031">
        <v>2727</v>
      </c>
      <c r="K1031">
        <v>7273</v>
      </c>
      <c r="L1031">
        <v>500</v>
      </c>
      <c r="M1031">
        <v>499</v>
      </c>
      <c r="N1031">
        <v>1</v>
      </c>
      <c r="O1031">
        <v>0</v>
      </c>
      <c r="P1031">
        <v>1</v>
      </c>
    </row>
    <row r="1032" spans="1:16" x14ac:dyDescent="0.2">
      <c r="A1032" s="3" t="s">
        <v>49</v>
      </c>
      <c r="B1032" s="3" t="s">
        <v>52</v>
      </c>
      <c r="C1032">
        <v>20</v>
      </c>
      <c r="D1032">
        <v>11000</v>
      </c>
      <c r="E1032">
        <v>499</v>
      </c>
      <c r="F1032">
        <v>1</v>
      </c>
      <c r="G1032">
        <v>11000</v>
      </c>
      <c r="H1032">
        <v>7.7969499999999995E-4</v>
      </c>
      <c r="I1032">
        <v>11000</v>
      </c>
      <c r="J1032">
        <v>2775</v>
      </c>
      <c r="K1032">
        <v>8225</v>
      </c>
      <c r="L1032">
        <v>500</v>
      </c>
      <c r="M1032">
        <v>499</v>
      </c>
      <c r="N1032">
        <v>1</v>
      </c>
      <c r="O1032">
        <v>0</v>
      </c>
      <c r="P1032">
        <v>1</v>
      </c>
    </row>
    <row r="1033" spans="1:16" x14ac:dyDescent="0.2">
      <c r="A1033" s="3" t="s">
        <v>49</v>
      </c>
      <c r="B1033" s="3" t="s">
        <v>52</v>
      </c>
      <c r="C1033">
        <v>44</v>
      </c>
      <c r="D1033">
        <v>11000</v>
      </c>
      <c r="E1033">
        <v>499</v>
      </c>
      <c r="F1033">
        <v>1</v>
      </c>
      <c r="G1033">
        <v>11000</v>
      </c>
      <c r="H1033">
        <v>7.7828399999999996E-4</v>
      </c>
      <c r="I1033">
        <v>11000</v>
      </c>
      <c r="J1033">
        <v>2772</v>
      </c>
      <c r="K1033">
        <v>8228</v>
      </c>
      <c r="L1033">
        <v>500</v>
      </c>
      <c r="M1033">
        <v>499</v>
      </c>
      <c r="N1033">
        <v>1</v>
      </c>
      <c r="O1033">
        <v>0</v>
      </c>
      <c r="P1033">
        <v>1</v>
      </c>
    </row>
    <row r="1034" spans="1:16" x14ac:dyDescent="0.2">
      <c r="A1034" s="3" t="s">
        <v>49</v>
      </c>
      <c r="B1034" s="3" t="s">
        <v>52</v>
      </c>
      <c r="C1034">
        <v>4</v>
      </c>
      <c r="D1034">
        <v>11000</v>
      </c>
      <c r="E1034">
        <v>499</v>
      </c>
      <c r="F1034">
        <v>1</v>
      </c>
      <c r="G1034">
        <v>44062.122210792702</v>
      </c>
      <c r="H1034">
        <v>7.7370100000000001E-4</v>
      </c>
      <c r="I1034">
        <v>11000</v>
      </c>
      <c r="J1034">
        <v>2739</v>
      </c>
      <c r="K1034">
        <v>8261</v>
      </c>
      <c r="L1034">
        <v>500</v>
      </c>
      <c r="M1034">
        <v>499</v>
      </c>
      <c r="N1034">
        <v>1</v>
      </c>
      <c r="O1034">
        <v>0</v>
      </c>
      <c r="P1034">
        <v>0</v>
      </c>
    </row>
    <row r="1035" spans="1:16" x14ac:dyDescent="0.2">
      <c r="A1035" s="3" t="s">
        <v>49</v>
      </c>
      <c r="B1035" s="3" t="s">
        <v>52</v>
      </c>
      <c r="C1035">
        <v>5</v>
      </c>
      <c r="D1035">
        <v>11000</v>
      </c>
      <c r="E1035">
        <v>499</v>
      </c>
      <c r="F1035">
        <v>1</v>
      </c>
      <c r="G1035">
        <v>44062.122210792702</v>
      </c>
      <c r="H1035">
        <v>7.7332500000000005E-4</v>
      </c>
      <c r="I1035">
        <v>11000</v>
      </c>
      <c r="J1035">
        <v>2764</v>
      </c>
      <c r="K1035">
        <v>8236</v>
      </c>
      <c r="L1035">
        <v>500</v>
      </c>
      <c r="M1035">
        <v>499</v>
      </c>
      <c r="N1035">
        <v>1</v>
      </c>
      <c r="O1035">
        <v>0</v>
      </c>
      <c r="P1035">
        <v>0</v>
      </c>
    </row>
    <row r="1036" spans="1:16" x14ac:dyDescent="0.2">
      <c r="A1036" s="3" t="s">
        <v>49</v>
      </c>
      <c r="B1036" s="3" t="s">
        <v>52</v>
      </c>
      <c r="C1036">
        <v>33</v>
      </c>
      <c r="D1036">
        <v>11000</v>
      </c>
      <c r="E1036">
        <v>499</v>
      </c>
      <c r="F1036">
        <v>1</v>
      </c>
      <c r="G1036">
        <v>44062.122210792702</v>
      </c>
      <c r="H1036">
        <v>7.7325199999999999E-4</v>
      </c>
      <c r="I1036">
        <v>11000</v>
      </c>
      <c r="J1036">
        <v>2773</v>
      </c>
      <c r="K1036">
        <v>8227</v>
      </c>
      <c r="L1036">
        <v>500</v>
      </c>
      <c r="M1036">
        <v>499</v>
      </c>
      <c r="N1036">
        <v>1</v>
      </c>
      <c r="O1036">
        <v>0</v>
      </c>
      <c r="P1036">
        <v>0</v>
      </c>
    </row>
    <row r="1037" spans="1:16" x14ac:dyDescent="0.2">
      <c r="A1037" s="3" t="s">
        <v>49</v>
      </c>
      <c r="B1037" s="3" t="s">
        <v>52</v>
      </c>
      <c r="C1037">
        <v>47</v>
      </c>
      <c r="D1037">
        <v>10000</v>
      </c>
      <c r="E1037">
        <v>499</v>
      </c>
      <c r="F1037">
        <v>1</v>
      </c>
      <c r="G1037">
        <v>39482.677260513999</v>
      </c>
      <c r="H1037">
        <v>7.7223400000000001E-4</v>
      </c>
      <c r="I1037">
        <v>10000</v>
      </c>
      <c r="J1037">
        <v>2700</v>
      </c>
      <c r="K1037">
        <v>7300</v>
      </c>
      <c r="L1037">
        <v>500</v>
      </c>
      <c r="M1037">
        <v>499</v>
      </c>
      <c r="N1037">
        <v>1</v>
      </c>
      <c r="O1037">
        <v>0</v>
      </c>
      <c r="P1037">
        <v>0</v>
      </c>
    </row>
    <row r="1038" spans="1:16" x14ac:dyDescent="0.2">
      <c r="A1038" s="3" t="s">
        <v>49</v>
      </c>
      <c r="B1038" s="3" t="s">
        <v>52</v>
      </c>
      <c r="C1038">
        <v>41</v>
      </c>
      <c r="D1038">
        <v>10000</v>
      </c>
      <c r="E1038">
        <v>499</v>
      </c>
      <c r="F1038">
        <v>1</v>
      </c>
      <c r="G1038">
        <v>10000</v>
      </c>
      <c r="H1038">
        <v>7.7017100000000005E-4</v>
      </c>
      <c r="I1038">
        <v>10000</v>
      </c>
      <c r="J1038">
        <v>2724</v>
      </c>
      <c r="K1038">
        <v>7276</v>
      </c>
      <c r="L1038">
        <v>500</v>
      </c>
      <c r="M1038">
        <v>499</v>
      </c>
      <c r="N1038">
        <v>1</v>
      </c>
      <c r="O1038">
        <v>0</v>
      </c>
      <c r="P1038">
        <v>1</v>
      </c>
    </row>
    <row r="1039" spans="1:16" x14ac:dyDescent="0.2">
      <c r="A1039" s="3" t="s">
        <v>49</v>
      </c>
      <c r="B1039" s="3" t="s">
        <v>52</v>
      </c>
      <c r="C1039">
        <v>46</v>
      </c>
      <c r="D1039">
        <v>11000</v>
      </c>
      <c r="E1039">
        <v>499</v>
      </c>
      <c r="F1039">
        <v>1</v>
      </c>
      <c r="G1039">
        <v>44062.122210792702</v>
      </c>
      <c r="H1039">
        <v>7.6957499999999999E-4</v>
      </c>
      <c r="I1039">
        <v>11000</v>
      </c>
      <c r="J1039">
        <v>2802</v>
      </c>
      <c r="K1039">
        <v>8198</v>
      </c>
      <c r="L1039">
        <v>500</v>
      </c>
      <c r="M1039">
        <v>499</v>
      </c>
      <c r="N1039">
        <v>1</v>
      </c>
      <c r="O1039">
        <v>0</v>
      </c>
      <c r="P1039">
        <v>0</v>
      </c>
    </row>
    <row r="1040" spans="1:16" x14ac:dyDescent="0.2">
      <c r="A1040" s="3" t="s">
        <v>49</v>
      </c>
      <c r="B1040" s="3" t="s">
        <v>52</v>
      </c>
      <c r="C1040">
        <v>2</v>
      </c>
      <c r="D1040">
        <v>10000</v>
      </c>
      <c r="E1040">
        <v>499</v>
      </c>
      <c r="F1040">
        <v>1</v>
      </c>
      <c r="G1040">
        <v>10000</v>
      </c>
      <c r="H1040">
        <v>7.6947500000000004E-4</v>
      </c>
      <c r="I1040">
        <v>10000</v>
      </c>
      <c r="J1040">
        <v>2742</v>
      </c>
      <c r="K1040">
        <v>7258</v>
      </c>
      <c r="L1040">
        <v>500</v>
      </c>
      <c r="M1040">
        <v>499</v>
      </c>
      <c r="N1040">
        <v>1</v>
      </c>
      <c r="O1040">
        <v>0</v>
      </c>
      <c r="P1040">
        <v>1</v>
      </c>
    </row>
    <row r="1041" spans="1:16" x14ac:dyDescent="0.2">
      <c r="A1041" s="3" t="s">
        <v>49</v>
      </c>
      <c r="B1041" s="3" t="s">
        <v>52</v>
      </c>
      <c r="C1041">
        <v>9</v>
      </c>
      <c r="D1041">
        <v>10000</v>
      </c>
      <c r="E1041">
        <v>499</v>
      </c>
      <c r="F1041">
        <v>1</v>
      </c>
      <c r="G1041">
        <v>10000</v>
      </c>
      <c r="H1041">
        <v>7.6926399999999997E-4</v>
      </c>
      <c r="I1041">
        <v>10000</v>
      </c>
      <c r="J1041">
        <v>2687</v>
      </c>
      <c r="K1041">
        <v>7313</v>
      </c>
      <c r="L1041">
        <v>500</v>
      </c>
      <c r="M1041">
        <v>499</v>
      </c>
      <c r="N1041">
        <v>1</v>
      </c>
      <c r="O1041">
        <v>0</v>
      </c>
      <c r="P1041">
        <v>1</v>
      </c>
    </row>
    <row r="1042" spans="1:16" x14ac:dyDescent="0.2">
      <c r="A1042" s="3" t="s">
        <v>49</v>
      </c>
      <c r="B1042" s="3" t="s">
        <v>52</v>
      </c>
      <c r="C1042">
        <v>29</v>
      </c>
      <c r="D1042">
        <v>11000</v>
      </c>
      <c r="E1042">
        <v>499</v>
      </c>
      <c r="F1042">
        <v>1</v>
      </c>
      <c r="G1042">
        <v>44062.122210792702</v>
      </c>
      <c r="H1042">
        <v>7.68715E-4</v>
      </c>
      <c r="I1042">
        <v>11000</v>
      </c>
      <c r="J1042">
        <v>2782</v>
      </c>
      <c r="K1042">
        <v>8218</v>
      </c>
      <c r="L1042">
        <v>500</v>
      </c>
      <c r="M1042">
        <v>499</v>
      </c>
      <c r="N1042">
        <v>1</v>
      </c>
      <c r="O1042">
        <v>0</v>
      </c>
      <c r="P1042">
        <v>0</v>
      </c>
    </row>
    <row r="1043" spans="1:16" x14ac:dyDescent="0.2">
      <c r="A1043" s="3" t="s">
        <v>49</v>
      </c>
      <c r="B1043" s="3" t="s">
        <v>52</v>
      </c>
      <c r="C1043">
        <v>32</v>
      </c>
      <c r="D1043">
        <v>10000</v>
      </c>
      <c r="E1043">
        <v>499</v>
      </c>
      <c r="F1043">
        <v>1</v>
      </c>
      <c r="G1043">
        <v>10000</v>
      </c>
      <c r="H1043">
        <v>7.6715599999999996E-4</v>
      </c>
      <c r="I1043">
        <v>10000</v>
      </c>
      <c r="J1043">
        <v>2729</v>
      </c>
      <c r="K1043">
        <v>7271</v>
      </c>
      <c r="L1043">
        <v>500</v>
      </c>
      <c r="M1043">
        <v>499</v>
      </c>
      <c r="N1043">
        <v>1</v>
      </c>
      <c r="O1043">
        <v>0</v>
      </c>
      <c r="P1043">
        <v>1</v>
      </c>
    </row>
    <row r="1044" spans="1:16" x14ac:dyDescent="0.2">
      <c r="A1044" s="3" t="s">
        <v>49</v>
      </c>
      <c r="B1044" s="3" t="s">
        <v>52</v>
      </c>
      <c r="C1044">
        <v>43</v>
      </c>
      <c r="D1044">
        <v>11000</v>
      </c>
      <c r="E1044">
        <v>499</v>
      </c>
      <c r="F1044">
        <v>1</v>
      </c>
      <c r="G1044">
        <v>44062.122210792702</v>
      </c>
      <c r="H1044">
        <v>7.6709200000000003E-4</v>
      </c>
      <c r="I1044">
        <v>11000</v>
      </c>
      <c r="J1044">
        <v>2797</v>
      </c>
      <c r="K1044">
        <v>8203</v>
      </c>
      <c r="L1044">
        <v>500</v>
      </c>
      <c r="M1044">
        <v>499</v>
      </c>
      <c r="N1044">
        <v>1</v>
      </c>
      <c r="O1044">
        <v>0</v>
      </c>
      <c r="P1044">
        <v>0</v>
      </c>
    </row>
    <row r="1045" spans="1:16" x14ac:dyDescent="0.2">
      <c r="A1045" s="3" t="s">
        <v>49</v>
      </c>
      <c r="B1045" s="3" t="s">
        <v>52</v>
      </c>
      <c r="C1045">
        <v>41</v>
      </c>
      <c r="D1045">
        <v>11000</v>
      </c>
      <c r="E1045">
        <v>499</v>
      </c>
      <c r="F1045">
        <v>1</v>
      </c>
      <c r="G1045">
        <v>44062.122210792702</v>
      </c>
      <c r="H1045">
        <v>7.6540500000000003E-4</v>
      </c>
      <c r="I1045">
        <v>11000</v>
      </c>
      <c r="J1045">
        <v>2721</v>
      </c>
      <c r="K1045">
        <v>8279</v>
      </c>
      <c r="L1045">
        <v>500</v>
      </c>
      <c r="M1045">
        <v>499</v>
      </c>
      <c r="N1045">
        <v>1</v>
      </c>
      <c r="O1045">
        <v>0</v>
      </c>
      <c r="P1045">
        <v>0</v>
      </c>
    </row>
    <row r="1046" spans="1:16" x14ac:dyDescent="0.2">
      <c r="A1046" s="3" t="s">
        <v>49</v>
      </c>
      <c r="B1046" s="3" t="s">
        <v>52</v>
      </c>
      <c r="C1046">
        <v>40</v>
      </c>
      <c r="D1046">
        <v>11000</v>
      </c>
      <c r="E1046">
        <v>499</v>
      </c>
      <c r="F1046">
        <v>1</v>
      </c>
      <c r="G1046">
        <v>44062.122210792702</v>
      </c>
      <c r="H1046">
        <v>7.6284699999999998E-4</v>
      </c>
      <c r="I1046">
        <v>11000</v>
      </c>
      <c r="J1046">
        <v>2766</v>
      </c>
      <c r="K1046">
        <v>8234</v>
      </c>
      <c r="L1046">
        <v>500</v>
      </c>
      <c r="M1046">
        <v>499</v>
      </c>
      <c r="N1046">
        <v>1</v>
      </c>
      <c r="O1046">
        <v>0</v>
      </c>
      <c r="P1046">
        <v>0</v>
      </c>
    </row>
    <row r="1047" spans="1:16" x14ac:dyDescent="0.2">
      <c r="A1047" s="3" t="s">
        <v>49</v>
      </c>
      <c r="B1047" s="3" t="s">
        <v>52</v>
      </c>
      <c r="C1047">
        <v>44</v>
      </c>
      <c r="D1047">
        <v>11000</v>
      </c>
      <c r="E1047">
        <v>499</v>
      </c>
      <c r="F1047">
        <v>1</v>
      </c>
      <c r="G1047">
        <v>44062.122210792702</v>
      </c>
      <c r="H1047">
        <v>7.6277400000000003E-4</v>
      </c>
      <c r="I1047">
        <v>11000</v>
      </c>
      <c r="J1047">
        <v>2752</v>
      </c>
      <c r="K1047">
        <v>8248</v>
      </c>
      <c r="L1047">
        <v>500</v>
      </c>
      <c r="M1047">
        <v>499</v>
      </c>
      <c r="N1047">
        <v>1</v>
      </c>
      <c r="O1047">
        <v>0</v>
      </c>
      <c r="P1047">
        <v>0</v>
      </c>
    </row>
    <row r="1048" spans="1:16" x14ac:dyDescent="0.2">
      <c r="A1048" s="3" t="s">
        <v>49</v>
      </c>
      <c r="B1048" s="3" t="s">
        <v>52</v>
      </c>
      <c r="C1048">
        <v>17</v>
      </c>
      <c r="D1048">
        <v>10000</v>
      </c>
      <c r="E1048">
        <v>499</v>
      </c>
      <c r="F1048">
        <v>1</v>
      </c>
      <c r="G1048">
        <v>39482.677260513999</v>
      </c>
      <c r="H1048">
        <v>7.6160099999999999E-4</v>
      </c>
      <c r="I1048">
        <v>10000</v>
      </c>
      <c r="J1048">
        <v>2658</v>
      </c>
      <c r="K1048">
        <v>7342</v>
      </c>
      <c r="L1048">
        <v>500</v>
      </c>
      <c r="M1048">
        <v>499</v>
      </c>
      <c r="N1048">
        <v>1</v>
      </c>
      <c r="O1048">
        <v>0</v>
      </c>
      <c r="P1048">
        <v>0</v>
      </c>
    </row>
    <row r="1049" spans="1:16" x14ac:dyDescent="0.2">
      <c r="A1049" s="3" t="s">
        <v>49</v>
      </c>
      <c r="B1049" s="3" t="s">
        <v>52</v>
      </c>
      <c r="C1049">
        <v>15</v>
      </c>
      <c r="D1049">
        <v>11000</v>
      </c>
      <c r="E1049">
        <v>499</v>
      </c>
      <c r="F1049">
        <v>1</v>
      </c>
      <c r="G1049">
        <v>44062.122210792702</v>
      </c>
      <c r="H1049">
        <v>7.6080400000000002E-4</v>
      </c>
      <c r="I1049">
        <v>11000</v>
      </c>
      <c r="J1049">
        <v>2728</v>
      </c>
      <c r="K1049">
        <v>8272</v>
      </c>
      <c r="L1049">
        <v>500</v>
      </c>
      <c r="M1049">
        <v>499</v>
      </c>
      <c r="N1049">
        <v>1</v>
      </c>
      <c r="O1049">
        <v>0</v>
      </c>
      <c r="P1049">
        <v>0</v>
      </c>
    </row>
    <row r="1050" spans="1:16" x14ac:dyDescent="0.2">
      <c r="A1050" s="3" t="s">
        <v>49</v>
      </c>
      <c r="B1050" s="3" t="s">
        <v>52</v>
      </c>
      <c r="C1050">
        <v>46</v>
      </c>
      <c r="D1050">
        <v>10000</v>
      </c>
      <c r="E1050">
        <v>499</v>
      </c>
      <c r="F1050">
        <v>1</v>
      </c>
      <c r="G1050">
        <v>10000</v>
      </c>
      <c r="H1050">
        <v>7.6062000000000005E-4</v>
      </c>
      <c r="I1050">
        <v>10000</v>
      </c>
      <c r="J1050">
        <v>2681</v>
      </c>
      <c r="K1050">
        <v>7319</v>
      </c>
      <c r="L1050">
        <v>500</v>
      </c>
      <c r="M1050">
        <v>499</v>
      </c>
      <c r="N1050">
        <v>1</v>
      </c>
      <c r="O1050">
        <v>0</v>
      </c>
      <c r="P1050">
        <v>1</v>
      </c>
    </row>
    <row r="1051" spans="1:16" x14ac:dyDescent="0.2">
      <c r="A1051" s="3" t="s">
        <v>49</v>
      </c>
      <c r="B1051" s="3" t="s">
        <v>52</v>
      </c>
      <c r="C1051">
        <v>50</v>
      </c>
      <c r="D1051">
        <v>11000</v>
      </c>
      <c r="E1051">
        <v>499</v>
      </c>
      <c r="F1051">
        <v>1</v>
      </c>
      <c r="G1051">
        <v>44062.122210792702</v>
      </c>
      <c r="H1051">
        <v>7.5986800000000002E-4</v>
      </c>
      <c r="I1051">
        <v>11000</v>
      </c>
      <c r="J1051">
        <v>2766</v>
      </c>
      <c r="K1051">
        <v>8234</v>
      </c>
      <c r="L1051">
        <v>500</v>
      </c>
      <c r="M1051">
        <v>499</v>
      </c>
      <c r="N1051">
        <v>1</v>
      </c>
      <c r="O1051">
        <v>0</v>
      </c>
      <c r="P1051">
        <v>0</v>
      </c>
    </row>
    <row r="1052" spans="1:16" x14ac:dyDescent="0.2">
      <c r="A1052" s="3" t="s">
        <v>49</v>
      </c>
      <c r="B1052" s="3" t="s">
        <v>52</v>
      </c>
      <c r="C1052">
        <v>39</v>
      </c>
      <c r="D1052">
        <v>10000</v>
      </c>
      <c r="E1052">
        <v>499</v>
      </c>
      <c r="F1052">
        <v>1</v>
      </c>
      <c r="G1052">
        <v>39482.677260513999</v>
      </c>
      <c r="H1052">
        <v>7.5873100000000001E-4</v>
      </c>
      <c r="I1052">
        <v>10000</v>
      </c>
      <c r="J1052">
        <v>2708</v>
      </c>
      <c r="K1052">
        <v>7292</v>
      </c>
      <c r="L1052">
        <v>500</v>
      </c>
      <c r="M1052">
        <v>499</v>
      </c>
      <c r="N1052">
        <v>1</v>
      </c>
      <c r="O1052">
        <v>0</v>
      </c>
      <c r="P1052">
        <v>0</v>
      </c>
    </row>
    <row r="1053" spans="1:16" x14ac:dyDescent="0.2">
      <c r="A1053" s="3" t="s">
        <v>49</v>
      </c>
      <c r="B1053" s="3" t="s">
        <v>52</v>
      </c>
      <c r="C1053">
        <v>13</v>
      </c>
      <c r="D1053">
        <v>10000</v>
      </c>
      <c r="E1053">
        <v>499</v>
      </c>
      <c r="F1053">
        <v>1</v>
      </c>
      <c r="G1053">
        <v>10000</v>
      </c>
      <c r="H1053">
        <v>7.57925E-4</v>
      </c>
      <c r="I1053">
        <v>10000</v>
      </c>
      <c r="J1053">
        <v>2688</v>
      </c>
      <c r="K1053">
        <v>7312</v>
      </c>
      <c r="L1053">
        <v>500</v>
      </c>
      <c r="M1053">
        <v>499</v>
      </c>
      <c r="N1053">
        <v>1</v>
      </c>
      <c r="O1053">
        <v>0</v>
      </c>
      <c r="P1053">
        <v>1</v>
      </c>
    </row>
    <row r="1054" spans="1:16" x14ac:dyDescent="0.2">
      <c r="A1054" s="3" t="s">
        <v>49</v>
      </c>
      <c r="B1054" s="3" t="s">
        <v>52</v>
      </c>
      <c r="C1054">
        <v>29</v>
      </c>
      <c r="D1054">
        <v>10000</v>
      </c>
      <c r="E1054">
        <v>499</v>
      </c>
      <c r="F1054">
        <v>1</v>
      </c>
      <c r="G1054">
        <v>39482.677260513999</v>
      </c>
      <c r="H1054">
        <v>7.5138899999999998E-4</v>
      </c>
      <c r="I1054">
        <v>10000</v>
      </c>
      <c r="J1054">
        <v>2710</v>
      </c>
      <c r="K1054">
        <v>7290</v>
      </c>
      <c r="L1054">
        <v>500</v>
      </c>
      <c r="M1054">
        <v>499</v>
      </c>
      <c r="N1054">
        <v>1</v>
      </c>
      <c r="O1054">
        <v>0</v>
      </c>
      <c r="P1054">
        <v>0</v>
      </c>
    </row>
    <row r="1055" spans="1:16" x14ac:dyDescent="0.2">
      <c r="A1055" s="3" t="s">
        <v>49</v>
      </c>
      <c r="B1055" s="3" t="s">
        <v>52</v>
      </c>
      <c r="C1055">
        <v>29</v>
      </c>
      <c r="D1055">
        <v>10000</v>
      </c>
      <c r="E1055">
        <v>499</v>
      </c>
      <c r="F1055">
        <v>1</v>
      </c>
      <c r="G1055">
        <v>10000</v>
      </c>
      <c r="H1055">
        <v>7.5056400000000001E-4</v>
      </c>
      <c r="I1055">
        <v>10000</v>
      </c>
      <c r="J1055">
        <v>2704</v>
      </c>
      <c r="K1055">
        <v>7296</v>
      </c>
      <c r="L1055">
        <v>500</v>
      </c>
      <c r="M1055">
        <v>499</v>
      </c>
      <c r="N1055">
        <v>1</v>
      </c>
      <c r="O1055">
        <v>0</v>
      </c>
      <c r="P1055">
        <v>1</v>
      </c>
    </row>
    <row r="1056" spans="1:16" x14ac:dyDescent="0.2">
      <c r="A1056" s="3" t="s">
        <v>49</v>
      </c>
      <c r="B1056" s="3" t="s">
        <v>52</v>
      </c>
      <c r="C1056">
        <v>17</v>
      </c>
      <c r="D1056">
        <v>10000</v>
      </c>
      <c r="E1056">
        <v>499</v>
      </c>
      <c r="F1056">
        <v>1</v>
      </c>
      <c r="G1056">
        <v>10000</v>
      </c>
      <c r="H1056">
        <v>7.4532999999999999E-4</v>
      </c>
      <c r="I1056">
        <v>10000</v>
      </c>
      <c r="J1056">
        <v>2689</v>
      </c>
      <c r="K1056">
        <v>7311</v>
      </c>
      <c r="L1056">
        <v>500</v>
      </c>
      <c r="M1056">
        <v>499</v>
      </c>
      <c r="N1056">
        <v>1</v>
      </c>
      <c r="O1056">
        <v>0</v>
      </c>
      <c r="P1056">
        <v>1</v>
      </c>
    </row>
    <row r="1057" spans="1:16" x14ac:dyDescent="0.2">
      <c r="A1057" s="3" t="s">
        <v>49</v>
      </c>
      <c r="B1057" s="3" t="s">
        <v>52</v>
      </c>
      <c r="C1057">
        <v>47</v>
      </c>
      <c r="D1057">
        <v>10000</v>
      </c>
      <c r="E1057">
        <v>499</v>
      </c>
      <c r="F1057">
        <v>1</v>
      </c>
      <c r="G1057">
        <v>10000</v>
      </c>
      <c r="H1057">
        <v>7.4375299999999999E-4</v>
      </c>
      <c r="I1057">
        <v>10000</v>
      </c>
      <c r="J1057">
        <v>2707</v>
      </c>
      <c r="K1057">
        <v>7293</v>
      </c>
      <c r="L1057">
        <v>500</v>
      </c>
      <c r="M1057">
        <v>499</v>
      </c>
      <c r="N1057">
        <v>1</v>
      </c>
      <c r="O1057">
        <v>0</v>
      </c>
      <c r="P1057">
        <v>1</v>
      </c>
    </row>
    <row r="1058" spans="1:16" x14ac:dyDescent="0.2">
      <c r="A1058" s="3" t="s">
        <v>49</v>
      </c>
      <c r="B1058" s="3" t="s">
        <v>52</v>
      </c>
      <c r="C1058">
        <v>11</v>
      </c>
      <c r="D1058">
        <v>10000</v>
      </c>
      <c r="E1058">
        <v>499</v>
      </c>
      <c r="F1058">
        <v>1</v>
      </c>
      <c r="G1058">
        <v>10000</v>
      </c>
      <c r="H1058">
        <v>7.4360699999999997E-4</v>
      </c>
      <c r="I1058">
        <v>10000</v>
      </c>
      <c r="J1058">
        <v>2693</v>
      </c>
      <c r="K1058">
        <v>7307</v>
      </c>
      <c r="L1058">
        <v>500</v>
      </c>
      <c r="M1058">
        <v>499</v>
      </c>
      <c r="N1058">
        <v>1</v>
      </c>
      <c r="O1058">
        <v>0</v>
      </c>
      <c r="P1058">
        <v>1</v>
      </c>
    </row>
    <row r="1059" spans="1:16" x14ac:dyDescent="0.2">
      <c r="A1059" s="3" t="s">
        <v>49</v>
      </c>
      <c r="B1059" s="3" t="s">
        <v>52</v>
      </c>
      <c r="C1059">
        <v>42</v>
      </c>
      <c r="D1059">
        <v>10000</v>
      </c>
      <c r="E1059">
        <v>499</v>
      </c>
      <c r="F1059">
        <v>1</v>
      </c>
      <c r="G1059">
        <v>39482.677260513999</v>
      </c>
      <c r="H1059">
        <v>7.4304799999999995E-4</v>
      </c>
      <c r="I1059">
        <v>10000</v>
      </c>
      <c r="J1059">
        <v>2682</v>
      </c>
      <c r="K1059">
        <v>7318</v>
      </c>
      <c r="L1059">
        <v>500</v>
      </c>
      <c r="M1059">
        <v>499</v>
      </c>
      <c r="N1059">
        <v>1</v>
      </c>
      <c r="O1059">
        <v>0</v>
      </c>
      <c r="P1059">
        <v>0</v>
      </c>
    </row>
    <row r="1060" spans="1:16" x14ac:dyDescent="0.2">
      <c r="A1060" s="3" t="s">
        <v>49</v>
      </c>
      <c r="B1060" s="3" t="s">
        <v>52</v>
      </c>
      <c r="C1060">
        <v>3</v>
      </c>
      <c r="D1060">
        <v>10000</v>
      </c>
      <c r="E1060">
        <v>499</v>
      </c>
      <c r="F1060">
        <v>1</v>
      </c>
      <c r="G1060">
        <v>39482.677260513999</v>
      </c>
      <c r="H1060">
        <v>7.4199300000000004E-4</v>
      </c>
      <c r="I1060">
        <v>10000</v>
      </c>
      <c r="J1060">
        <v>2694</v>
      </c>
      <c r="K1060">
        <v>7306</v>
      </c>
      <c r="L1060">
        <v>500</v>
      </c>
      <c r="M1060">
        <v>499</v>
      </c>
      <c r="N1060">
        <v>1</v>
      </c>
      <c r="O1060">
        <v>0</v>
      </c>
      <c r="P1060">
        <v>0</v>
      </c>
    </row>
    <row r="1061" spans="1:16" x14ac:dyDescent="0.2">
      <c r="A1061" s="3" t="s">
        <v>49</v>
      </c>
      <c r="B1061" s="3" t="s">
        <v>52</v>
      </c>
      <c r="C1061">
        <v>33</v>
      </c>
      <c r="D1061">
        <v>10000</v>
      </c>
      <c r="E1061">
        <v>499</v>
      </c>
      <c r="F1061">
        <v>1</v>
      </c>
      <c r="G1061">
        <v>39482.677260513999</v>
      </c>
      <c r="H1061">
        <v>7.4147999999999998E-4</v>
      </c>
      <c r="I1061">
        <v>10000</v>
      </c>
      <c r="J1061">
        <v>2742</v>
      </c>
      <c r="K1061">
        <v>7258</v>
      </c>
      <c r="L1061">
        <v>500</v>
      </c>
      <c r="M1061">
        <v>499</v>
      </c>
      <c r="N1061">
        <v>1</v>
      </c>
      <c r="O1061">
        <v>0</v>
      </c>
      <c r="P1061">
        <v>0</v>
      </c>
    </row>
    <row r="1062" spans="1:16" x14ac:dyDescent="0.2">
      <c r="A1062" s="3" t="s">
        <v>49</v>
      </c>
      <c r="B1062" s="3" t="s">
        <v>52</v>
      </c>
      <c r="C1062">
        <v>28</v>
      </c>
      <c r="D1062">
        <v>10000</v>
      </c>
      <c r="E1062">
        <v>499</v>
      </c>
      <c r="F1062">
        <v>1</v>
      </c>
      <c r="G1062">
        <v>39482.677260513999</v>
      </c>
      <c r="H1062">
        <v>7.4138800000000005E-4</v>
      </c>
      <c r="I1062">
        <v>10000</v>
      </c>
      <c r="J1062">
        <v>2729</v>
      </c>
      <c r="K1062">
        <v>7271</v>
      </c>
      <c r="L1062">
        <v>500</v>
      </c>
      <c r="M1062">
        <v>499</v>
      </c>
      <c r="N1062">
        <v>1</v>
      </c>
      <c r="O1062">
        <v>0</v>
      </c>
      <c r="P1062">
        <v>0</v>
      </c>
    </row>
    <row r="1063" spans="1:16" x14ac:dyDescent="0.2">
      <c r="A1063" s="3" t="s">
        <v>49</v>
      </c>
      <c r="B1063" s="3" t="s">
        <v>52</v>
      </c>
      <c r="C1063">
        <v>22</v>
      </c>
      <c r="D1063">
        <v>10000</v>
      </c>
      <c r="E1063">
        <v>499</v>
      </c>
      <c r="F1063">
        <v>1</v>
      </c>
      <c r="G1063">
        <v>39482.677260513999</v>
      </c>
      <c r="H1063">
        <v>7.4124200000000003E-4</v>
      </c>
      <c r="I1063">
        <v>10000</v>
      </c>
      <c r="J1063">
        <v>2683</v>
      </c>
      <c r="K1063">
        <v>7317</v>
      </c>
      <c r="L1063">
        <v>500</v>
      </c>
      <c r="M1063">
        <v>499</v>
      </c>
      <c r="N1063">
        <v>1</v>
      </c>
      <c r="O1063">
        <v>0</v>
      </c>
      <c r="P1063">
        <v>0</v>
      </c>
    </row>
    <row r="1064" spans="1:16" x14ac:dyDescent="0.2">
      <c r="A1064" s="3" t="s">
        <v>49</v>
      </c>
      <c r="B1064" s="3" t="s">
        <v>52</v>
      </c>
      <c r="C1064">
        <v>36</v>
      </c>
      <c r="D1064">
        <v>10000</v>
      </c>
      <c r="E1064">
        <v>499</v>
      </c>
      <c r="F1064">
        <v>1</v>
      </c>
      <c r="G1064">
        <v>39482.677260513999</v>
      </c>
      <c r="H1064">
        <v>7.4094899999999997E-4</v>
      </c>
      <c r="I1064">
        <v>10000</v>
      </c>
      <c r="J1064">
        <v>2687</v>
      </c>
      <c r="K1064">
        <v>7313</v>
      </c>
      <c r="L1064">
        <v>500</v>
      </c>
      <c r="M1064">
        <v>499</v>
      </c>
      <c r="N1064">
        <v>1</v>
      </c>
      <c r="O1064">
        <v>0</v>
      </c>
      <c r="P1064">
        <v>0</v>
      </c>
    </row>
    <row r="1065" spans="1:16" x14ac:dyDescent="0.2">
      <c r="A1065" s="3" t="s">
        <v>49</v>
      </c>
      <c r="B1065" s="3" t="s">
        <v>52</v>
      </c>
      <c r="C1065">
        <v>23</v>
      </c>
      <c r="D1065">
        <v>10000</v>
      </c>
      <c r="E1065">
        <v>499</v>
      </c>
      <c r="F1065">
        <v>1</v>
      </c>
      <c r="G1065">
        <v>39482.677260513999</v>
      </c>
      <c r="H1065">
        <v>7.4093E-4</v>
      </c>
      <c r="I1065">
        <v>10000</v>
      </c>
      <c r="J1065">
        <v>2675</v>
      </c>
      <c r="K1065">
        <v>7325</v>
      </c>
      <c r="L1065">
        <v>500</v>
      </c>
      <c r="M1065">
        <v>499</v>
      </c>
      <c r="N1065">
        <v>1</v>
      </c>
      <c r="O1065">
        <v>0</v>
      </c>
      <c r="P1065">
        <v>0</v>
      </c>
    </row>
    <row r="1066" spans="1:16" x14ac:dyDescent="0.2">
      <c r="A1066" s="3" t="s">
        <v>49</v>
      </c>
      <c r="B1066" s="3" t="s">
        <v>52</v>
      </c>
      <c r="C1066">
        <v>16</v>
      </c>
      <c r="D1066">
        <v>10000</v>
      </c>
      <c r="E1066">
        <v>499</v>
      </c>
      <c r="F1066">
        <v>1</v>
      </c>
      <c r="G1066">
        <v>39482.677260513999</v>
      </c>
      <c r="H1066">
        <v>7.3789600000000004E-4</v>
      </c>
      <c r="I1066">
        <v>10000</v>
      </c>
      <c r="J1066">
        <v>2683</v>
      </c>
      <c r="K1066">
        <v>7317</v>
      </c>
      <c r="L1066">
        <v>500</v>
      </c>
      <c r="M1066">
        <v>499</v>
      </c>
      <c r="N1066">
        <v>1</v>
      </c>
      <c r="O1066">
        <v>0</v>
      </c>
      <c r="P1066">
        <v>0</v>
      </c>
    </row>
    <row r="1067" spans="1:16" x14ac:dyDescent="0.2">
      <c r="A1067" s="3" t="s">
        <v>49</v>
      </c>
      <c r="B1067" s="3" t="s">
        <v>52</v>
      </c>
      <c r="C1067">
        <v>18</v>
      </c>
      <c r="D1067">
        <v>10000</v>
      </c>
      <c r="E1067">
        <v>499</v>
      </c>
      <c r="F1067">
        <v>1</v>
      </c>
      <c r="G1067">
        <v>10000</v>
      </c>
      <c r="H1067">
        <v>7.3784999999999996E-4</v>
      </c>
      <c r="I1067">
        <v>10000</v>
      </c>
      <c r="J1067">
        <v>2691</v>
      </c>
      <c r="K1067">
        <v>7309</v>
      </c>
      <c r="L1067">
        <v>500</v>
      </c>
      <c r="M1067">
        <v>499</v>
      </c>
      <c r="N1067">
        <v>1</v>
      </c>
      <c r="O1067">
        <v>0</v>
      </c>
      <c r="P1067">
        <v>1</v>
      </c>
    </row>
    <row r="1068" spans="1:16" x14ac:dyDescent="0.2">
      <c r="A1068" s="3" t="s">
        <v>49</v>
      </c>
      <c r="B1068" s="3" t="s">
        <v>52</v>
      </c>
      <c r="C1068">
        <v>30</v>
      </c>
      <c r="D1068">
        <v>10000</v>
      </c>
      <c r="E1068">
        <v>499</v>
      </c>
      <c r="F1068">
        <v>1</v>
      </c>
      <c r="G1068">
        <v>10000</v>
      </c>
      <c r="H1068">
        <v>7.3662200000000004E-4</v>
      </c>
      <c r="I1068">
        <v>10000</v>
      </c>
      <c r="J1068">
        <v>2696</v>
      </c>
      <c r="K1068">
        <v>7304</v>
      </c>
      <c r="L1068">
        <v>500</v>
      </c>
      <c r="M1068">
        <v>499</v>
      </c>
      <c r="N1068">
        <v>1</v>
      </c>
      <c r="O1068">
        <v>0</v>
      </c>
      <c r="P1068">
        <v>1</v>
      </c>
    </row>
    <row r="1069" spans="1:16" x14ac:dyDescent="0.2">
      <c r="A1069" s="3" t="s">
        <v>49</v>
      </c>
      <c r="B1069" s="3" t="s">
        <v>52</v>
      </c>
      <c r="C1069">
        <v>27</v>
      </c>
      <c r="D1069">
        <v>10000</v>
      </c>
      <c r="E1069">
        <v>499</v>
      </c>
      <c r="F1069">
        <v>1</v>
      </c>
      <c r="G1069">
        <v>39482.677260513999</v>
      </c>
      <c r="H1069">
        <v>7.3358799999999997E-4</v>
      </c>
      <c r="I1069">
        <v>10000</v>
      </c>
      <c r="J1069">
        <v>2693</v>
      </c>
      <c r="K1069">
        <v>7307</v>
      </c>
      <c r="L1069">
        <v>500</v>
      </c>
      <c r="M1069">
        <v>499</v>
      </c>
      <c r="N1069">
        <v>1</v>
      </c>
      <c r="O1069">
        <v>0</v>
      </c>
      <c r="P1069">
        <v>0</v>
      </c>
    </row>
    <row r="1070" spans="1:16" x14ac:dyDescent="0.2">
      <c r="A1070" s="3" t="s">
        <v>49</v>
      </c>
      <c r="B1070" s="3" t="s">
        <v>52</v>
      </c>
      <c r="C1070">
        <v>16</v>
      </c>
      <c r="D1070">
        <v>10000</v>
      </c>
      <c r="E1070">
        <v>499</v>
      </c>
      <c r="F1070">
        <v>1</v>
      </c>
      <c r="G1070">
        <v>10000</v>
      </c>
      <c r="H1070">
        <v>7.2840899999999996E-4</v>
      </c>
      <c r="I1070">
        <v>10000</v>
      </c>
      <c r="J1070">
        <v>2704</v>
      </c>
      <c r="K1070">
        <v>7296</v>
      </c>
      <c r="L1070">
        <v>500</v>
      </c>
      <c r="M1070">
        <v>499</v>
      </c>
      <c r="N1070">
        <v>1</v>
      </c>
      <c r="O1070">
        <v>0</v>
      </c>
      <c r="P1070">
        <v>1</v>
      </c>
    </row>
    <row r="1071" spans="1:16" x14ac:dyDescent="0.2">
      <c r="A1071" s="3" t="s">
        <v>49</v>
      </c>
      <c r="B1071" s="3" t="s">
        <v>52</v>
      </c>
      <c r="C1071">
        <v>2</v>
      </c>
      <c r="D1071">
        <v>10000</v>
      </c>
      <c r="E1071">
        <v>499</v>
      </c>
      <c r="F1071">
        <v>1</v>
      </c>
      <c r="G1071">
        <v>39482.677260513999</v>
      </c>
      <c r="H1071">
        <v>7.2643800000000004E-4</v>
      </c>
      <c r="I1071">
        <v>10000</v>
      </c>
      <c r="J1071">
        <v>2721</v>
      </c>
      <c r="K1071">
        <v>7279</v>
      </c>
      <c r="L1071">
        <v>500</v>
      </c>
      <c r="M1071">
        <v>499</v>
      </c>
      <c r="N1071">
        <v>1</v>
      </c>
      <c r="O1071">
        <v>0</v>
      </c>
      <c r="P1071">
        <v>0</v>
      </c>
    </row>
    <row r="1072" spans="1:16" x14ac:dyDescent="0.2">
      <c r="A1072" s="3" t="s">
        <v>49</v>
      </c>
      <c r="B1072" s="3" t="s">
        <v>52</v>
      </c>
      <c r="C1072">
        <v>49</v>
      </c>
      <c r="D1072">
        <v>10000</v>
      </c>
      <c r="E1072">
        <v>499</v>
      </c>
      <c r="F1072">
        <v>1</v>
      </c>
      <c r="G1072">
        <v>10000</v>
      </c>
      <c r="H1072">
        <v>7.2581399999999997E-4</v>
      </c>
      <c r="I1072">
        <v>10000</v>
      </c>
      <c r="J1072">
        <v>2727</v>
      </c>
      <c r="K1072">
        <v>7273</v>
      </c>
      <c r="L1072">
        <v>500</v>
      </c>
      <c r="M1072">
        <v>499</v>
      </c>
      <c r="N1072">
        <v>1</v>
      </c>
      <c r="O1072">
        <v>0</v>
      </c>
      <c r="P1072">
        <v>1</v>
      </c>
    </row>
    <row r="1073" spans="1:16" x14ac:dyDescent="0.2">
      <c r="A1073" s="3" t="s">
        <v>49</v>
      </c>
      <c r="B1073" s="3" t="s">
        <v>52</v>
      </c>
      <c r="C1073">
        <v>4</v>
      </c>
      <c r="D1073">
        <v>10000</v>
      </c>
      <c r="E1073">
        <v>499</v>
      </c>
      <c r="F1073">
        <v>1</v>
      </c>
      <c r="G1073">
        <v>10000</v>
      </c>
      <c r="H1073">
        <v>7.22166E-4</v>
      </c>
      <c r="I1073">
        <v>10000</v>
      </c>
      <c r="J1073">
        <v>2707</v>
      </c>
      <c r="K1073">
        <v>7293</v>
      </c>
      <c r="L1073">
        <v>500</v>
      </c>
      <c r="M1073">
        <v>499</v>
      </c>
      <c r="N1073">
        <v>1</v>
      </c>
      <c r="O1073">
        <v>0</v>
      </c>
      <c r="P1073">
        <v>1</v>
      </c>
    </row>
    <row r="1074" spans="1:16" x14ac:dyDescent="0.2">
      <c r="A1074" s="3" t="s">
        <v>49</v>
      </c>
      <c r="B1074" s="3" t="s">
        <v>52</v>
      </c>
      <c r="C1074">
        <v>7</v>
      </c>
      <c r="D1074">
        <v>10000</v>
      </c>
      <c r="E1074">
        <v>499</v>
      </c>
      <c r="F1074">
        <v>1</v>
      </c>
      <c r="G1074">
        <v>10000</v>
      </c>
      <c r="H1074">
        <v>7.2181800000000005E-4</v>
      </c>
      <c r="I1074">
        <v>10000</v>
      </c>
      <c r="J1074">
        <v>2717</v>
      </c>
      <c r="K1074">
        <v>7283</v>
      </c>
      <c r="L1074">
        <v>500</v>
      </c>
      <c r="M1074">
        <v>499</v>
      </c>
      <c r="N1074">
        <v>1</v>
      </c>
      <c r="O1074">
        <v>0</v>
      </c>
      <c r="P1074">
        <v>1</v>
      </c>
    </row>
    <row r="1075" spans="1:16" x14ac:dyDescent="0.2">
      <c r="A1075" s="3" t="s">
        <v>49</v>
      </c>
      <c r="B1075" s="3" t="s">
        <v>52</v>
      </c>
      <c r="C1075">
        <v>19</v>
      </c>
      <c r="D1075">
        <v>10000</v>
      </c>
      <c r="E1075">
        <v>499</v>
      </c>
      <c r="F1075">
        <v>1</v>
      </c>
      <c r="G1075">
        <v>10000</v>
      </c>
      <c r="H1075">
        <v>7.2128600000000002E-4</v>
      </c>
      <c r="I1075">
        <v>10000</v>
      </c>
      <c r="J1075">
        <v>2696</v>
      </c>
      <c r="K1075">
        <v>7304</v>
      </c>
      <c r="L1075">
        <v>500</v>
      </c>
      <c r="M1075">
        <v>499</v>
      </c>
      <c r="N1075">
        <v>1</v>
      </c>
      <c r="O1075">
        <v>0</v>
      </c>
      <c r="P1075">
        <v>1</v>
      </c>
    </row>
    <row r="1076" spans="1:16" x14ac:dyDescent="0.2">
      <c r="A1076" s="3" t="s">
        <v>49</v>
      </c>
      <c r="B1076" s="3" t="s">
        <v>52</v>
      </c>
      <c r="C1076">
        <v>26</v>
      </c>
      <c r="D1076">
        <v>10000</v>
      </c>
      <c r="E1076">
        <v>499</v>
      </c>
      <c r="F1076">
        <v>1</v>
      </c>
      <c r="G1076">
        <v>10000</v>
      </c>
      <c r="H1076">
        <v>7.2108399999999998E-4</v>
      </c>
      <c r="I1076">
        <v>10000</v>
      </c>
      <c r="J1076">
        <v>2711</v>
      </c>
      <c r="K1076">
        <v>7289</v>
      </c>
      <c r="L1076">
        <v>500</v>
      </c>
      <c r="M1076">
        <v>499</v>
      </c>
      <c r="N1076">
        <v>1</v>
      </c>
      <c r="O1076">
        <v>0</v>
      </c>
      <c r="P1076">
        <v>1</v>
      </c>
    </row>
    <row r="1077" spans="1:16" x14ac:dyDescent="0.2">
      <c r="A1077" s="3" t="s">
        <v>49</v>
      </c>
      <c r="B1077" s="3" t="s">
        <v>52</v>
      </c>
      <c r="C1077">
        <v>5</v>
      </c>
      <c r="D1077">
        <v>10000</v>
      </c>
      <c r="E1077">
        <v>499</v>
      </c>
      <c r="F1077">
        <v>1</v>
      </c>
      <c r="G1077">
        <v>10000</v>
      </c>
      <c r="H1077">
        <v>7.2024100000000005E-4</v>
      </c>
      <c r="I1077">
        <v>10000</v>
      </c>
      <c r="J1077">
        <v>2707</v>
      </c>
      <c r="K1077">
        <v>7293</v>
      </c>
      <c r="L1077">
        <v>500</v>
      </c>
      <c r="M1077">
        <v>499</v>
      </c>
      <c r="N1077">
        <v>1</v>
      </c>
      <c r="O1077">
        <v>0</v>
      </c>
      <c r="P1077">
        <v>1</v>
      </c>
    </row>
    <row r="1078" spans="1:16" x14ac:dyDescent="0.2">
      <c r="A1078" s="3" t="s">
        <v>49</v>
      </c>
      <c r="B1078" s="3" t="s">
        <v>52</v>
      </c>
      <c r="C1078">
        <v>28</v>
      </c>
      <c r="D1078">
        <v>10000</v>
      </c>
      <c r="E1078">
        <v>499</v>
      </c>
      <c r="F1078">
        <v>1</v>
      </c>
      <c r="G1078">
        <v>10000</v>
      </c>
      <c r="H1078">
        <v>7.2003900000000001E-4</v>
      </c>
      <c r="I1078">
        <v>10000</v>
      </c>
      <c r="J1078">
        <v>2673</v>
      </c>
      <c r="K1078">
        <v>7327</v>
      </c>
      <c r="L1078">
        <v>500</v>
      </c>
      <c r="M1078">
        <v>499</v>
      </c>
      <c r="N1078">
        <v>1</v>
      </c>
      <c r="O1078">
        <v>0</v>
      </c>
      <c r="P1078">
        <v>1</v>
      </c>
    </row>
    <row r="1079" spans="1:16" x14ac:dyDescent="0.2">
      <c r="A1079" s="3" t="s">
        <v>49</v>
      </c>
      <c r="B1079" s="3" t="s">
        <v>52</v>
      </c>
      <c r="C1079">
        <v>22</v>
      </c>
      <c r="D1079">
        <v>10000</v>
      </c>
      <c r="E1079">
        <v>499</v>
      </c>
      <c r="F1079">
        <v>1</v>
      </c>
      <c r="G1079">
        <v>10000</v>
      </c>
      <c r="H1079">
        <v>7.1860000000000001E-4</v>
      </c>
      <c r="I1079">
        <v>10000</v>
      </c>
      <c r="J1079">
        <v>2713</v>
      </c>
      <c r="K1079">
        <v>7287</v>
      </c>
      <c r="L1079">
        <v>500</v>
      </c>
      <c r="M1079">
        <v>499</v>
      </c>
      <c r="N1079">
        <v>1</v>
      </c>
      <c r="O1079">
        <v>0</v>
      </c>
      <c r="P1079">
        <v>1</v>
      </c>
    </row>
    <row r="1080" spans="1:16" x14ac:dyDescent="0.2">
      <c r="A1080" s="3" t="s">
        <v>49</v>
      </c>
      <c r="B1080" s="3" t="s">
        <v>52</v>
      </c>
      <c r="C1080">
        <v>27</v>
      </c>
      <c r="D1080">
        <v>10000</v>
      </c>
      <c r="E1080">
        <v>499</v>
      </c>
      <c r="F1080">
        <v>1</v>
      </c>
      <c r="G1080">
        <v>10000</v>
      </c>
      <c r="H1080">
        <v>7.1800399999999995E-4</v>
      </c>
      <c r="I1080">
        <v>10000</v>
      </c>
      <c r="J1080">
        <v>2675</v>
      </c>
      <c r="K1080">
        <v>7325</v>
      </c>
      <c r="L1080">
        <v>500</v>
      </c>
      <c r="M1080">
        <v>499</v>
      </c>
      <c r="N1080">
        <v>1</v>
      </c>
      <c r="O1080">
        <v>0</v>
      </c>
      <c r="P1080">
        <v>1</v>
      </c>
    </row>
    <row r="1081" spans="1:16" x14ac:dyDescent="0.2">
      <c r="A1081" s="3" t="s">
        <v>49</v>
      </c>
      <c r="B1081" s="3" t="s">
        <v>52</v>
      </c>
      <c r="C1081">
        <v>38</v>
      </c>
      <c r="D1081">
        <v>10000</v>
      </c>
      <c r="E1081">
        <v>499</v>
      </c>
      <c r="F1081">
        <v>1</v>
      </c>
      <c r="G1081">
        <v>10000</v>
      </c>
      <c r="H1081">
        <v>7.1713300000000001E-4</v>
      </c>
      <c r="I1081">
        <v>10000</v>
      </c>
      <c r="J1081">
        <v>2686</v>
      </c>
      <c r="K1081">
        <v>7314</v>
      </c>
      <c r="L1081">
        <v>500</v>
      </c>
      <c r="M1081">
        <v>499</v>
      </c>
      <c r="N1081">
        <v>1</v>
      </c>
      <c r="O1081">
        <v>0</v>
      </c>
      <c r="P1081">
        <v>1</v>
      </c>
    </row>
    <row r="1082" spans="1:16" x14ac:dyDescent="0.2">
      <c r="A1082" s="3" t="s">
        <v>49</v>
      </c>
      <c r="B1082" s="3" t="s">
        <v>52</v>
      </c>
      <c r="C1082">
        <v>23</v>
      </c>
      <c r="D1082">
        <v>10000</v>
      </c>
      <c r="E1082">
        <v>499</v>
      </c>
      <c r="F1082">
        <v>1</v>
      </c>
      <c r="G1082">
        <v>10000</v>
      </c>
      <c r="H1082">
        <v>7.1541900000000002E-4</v>
      </c>
      <c r="I1082">
        <v>10000</v>
      </c>
      <c r="J1082">
        <v>2697</v>
      </c>
      <c r="K1082">
        <v>7303</v>
      </c>
      <c r="L1082">
        <v>500</v>
      </c>
      <c r="M1082">
        <v>499</v>
      </c>
      <c r="N1082">
        <v>1</v>
      </c>
      <c r="O1082">
        <v>0</v>
      </c>
      <c r="P1082">
        <v>1</v>
      </c>
    </row>
    <row r="1083" spans="1:16" x14ac:dyDescent="0.2">
      <c r="A1083" s="3" t="s">
        <v>49</v>
      </c>
      <c r="B1083" s="3" t="s">
        <v>52</v>
      </c>
      <c r="C1083">
        <v>11</v>
      </c>
      <c r="D1083">
        <v>10000</v>
      </c>
      <c r="E1083">
        <v>499</v>
      </c>
      <c r="F1083">
        <v>1</v>
      </c>
      <c r="G1083">
        <v>39482.677260513999</v>
      </c>
      <c r="H1083">
        <v>7.14998E-4</v>
      </c>
      <c r="I1083">
        <v>10000</v>
      </c>
      <c r="J1083">
        <v>2699</v>
      </c>
      <c r="K1083">
        <v>7301</v>
      </c>
      <c r="L1083">
        <v>500</v>
      </c>
      <c r="M1083">
        <v>499</v>
      </c>
      <c r="N1083">
        <v>1</v>
      </c>
      <c r="O1083">
        <v>0</v>
      </c>
      <c r="P1083">
        <v>0</v>
      </c>
    </row>
    <row r="1084" spans="1:16" x14ac:dyDescent="0.2">
      <c r="A1084" s="3" t="s">
        <v>49</v>
      </c>
      <c r="B1084" s="3" t="s">
        <v>52</v>
      </c>
      <c r="C1084">
        <v>6</v>
      </c>
      <c r="D1084">
        <v>10000</v>
      </c>
      <c r="E1084">
        <v>499</v>
      </c>
      <c r="F1084">
        <v>1</v>
      </c>
      <c r="G1084">
        <v>39482.677260513999</v>
      </c>
      <c r="H1084">
        <v>7.1381400000000001E-4</v>
      </c>
      <c r="I1084">
        <v>10000</v>
      </c>
      <c r="J1084">
        <v>2680</v>
      </c>
      <c r="K1084">
        <v>7320</v>
      </c>
      <c r="L1084">
        <v>500</v>
      </c>
      <c r="M1084">
        <v>499</v>
      </c>
      <c r="N1084">
        <v>1</v>
      </c>
      <c r="O1084">
        <v>0</v>
      </c>
      <c r="P1084">
        <v>0</v>
      </c>
    </row>
    <row r="1085" spans="1:16" x14ac:dyDescent="0.2">
      <c r="A1085" s="3" t="s">
        <v>49</v>
      </c>
      <c r="B1085" s="3" t="s">
        <v>52</v>
      </c>
      <c r="C1085">
        <v>46</v>
      </c>
      <c r="D1085">
        <v>10000</v>
      </c>
      <c r="E1085">
        <v>499</v>
      </c>
      <c r="F1085">
        <v>1</v>
      </c>
      <c r="G1085">
        <v>39482.677260513999</v>
      </c>
      <c r="H1085">
        <v>7.1233899999999998E-4</v>
      </c>
      <c r="I1085">
        <v>10000</v>
      </c>
      <c r="J1085">
        <v>2700</v>
      </c>
      <c r="K1085">
        <v>7300</v>
      </c>
      <c r="L1085">
        <v>500</v>
      </c>
      <c r="M1085">
        <v>499</v>
      </c>
      <c r="N1085">
        <v>1</v>
      </c>
      <c r="O1085">
        <v>0</v>
      </c>
      <c r="P1085">
        <v>0</v>
      </c>
    </row>
    <row r="1086" spans="1:16" x14ac:dyDescent="0.2">
      <c r="A1086" s="3" t="s">
        <v>49</v>
      </c>
      <c r="B1086" s="3" t="s">
        <v>52</v>
      </c>
      <c r="C1086">
        <v>12</v>
      </c>
      <c r="D1086">
        <v>10000</v>
      </c>
      <c r="E1086">
        <v>499</v>
      </c>
      <c r="F1086">
        <v>1</v>
      </c>
      <c r="G1086">
        <v>10000</v>
      </c>
      <c r="H1086">
        <v>7.1118500000000003E-4</v>
      </c>
      <c r="I1086">
        <v>10000</v>
      </c>
      <c r="J1086">
        <v>2721</v>
      </c>
      <c r="K1086">
        <v>7279</v>
      </c>
      <c r="L1086">
        <v>500</v>
      </c>
      <c r="M1086">
        <v>499</v>
      </c>
      <c r="N1086">
        <v>1</v>
      </c>
      <c r="O1086">
        <v>0</v>
      </c>
      <c r="P1086">
        <v>1</v>
      </c>
    </row>
    <row r="1087" spans="1:16" x14ac:dyDescent="0.2">
      <c r="A1087" s="3" t="s">
        <v>49</v>
      </c>
      <c r="B1087" s="3" t="s">
        <v>52</v>
      </c>
      <c r="C1087">
        <v>30</v>
      </c>
      <c r="D1087">
        <v>10000</v>
      </c>
      <c r="E1087">
        <v>499</v>
      </c>
      <c r="F1087">
        <v>1</v>
      </c>
      <c r="G1087">
        <v>39482.677260513999</v>
      </c>
      <c r="H1087">
        <v>7.0843399999999997E-4</v>
      </c>
      <c r="I1087">
        <v>10000</v>
      </c>
      <c r="J1087">
        <v>2694</v>
      </c>
      <c r="K1087">
        <v>7306</v>
      </c>
      <c r="L1087">
        <v>500</v>
      </c>
      <c r="M1087">
        <v>499</v>
      </c>
      <c r="N1087">
        <v>1</v>
      </c>
      <c r="O1087">
        <v>0</v>
      </c>
      <c r="P1087">
        <v>0</v>
      </c>
    </row>
    <row r="1088" spans="1:16" x14ac:dyDescent="0.2">
      <c r="A1088" s="3" t="s">
        <v>49</v>
      </c>
      <c r="B1088" s="3" t="s">
        <v>52</v>
      </c>
      <c r="C1088">
        <v>45</v>
      </c>
      <c r="D1088">
        <v>10000</v>
      </c>
      <c r="E1088">
        <v>499</v>
      </c>
      <c r="F1088">
        <v>1</v>
      </c>
      <c r="G1088">
        <v>39482.677260513999</v>
      </c>
      <c r="H1088">
        <v>7.07692E-4</v>
      </c>
      <c r="I1088">
        <v>10000</v>
      </c>
      <c r="J1088">
        <v>2701</v>
      </c>
      <c r="K1088">
        <v>7299</v>
      </c>
      <c r="L1088">
        <v>500</v>
      </c>
      <c r="M1088">
        <v>499</v>
      </c>
      <c r="N1088">
        <v>1</v>
      </c>
      <c r="O1088">
        <v>0</v>
      </c>
      <c r="P1088">
        <v>0</v>
      </c>
    </row>
    <row r="1089" spans="1:16" x14ac:dyDescent="0.2">
      <c r="A1089" s="3" t="s">
        <v>49</v>
      </c>
      <c r="B1089" s="3" t="s">
        <v>52</v>
      </c>
      <c r="C1089">
        <v>35</v>
      </c>
      <c r="D1089">
        <v>10000</v>
      </c>
      <c r="E1089">
        <v>499</v>
      </c>
      <c r="F1089">
        <v>1</v>
      </c>
      <c r="G1089">
        <v>39482.677260513999</v>
      </c>
      <c r="H1089">
        <v>7.0679399999999996E-4</v>
      </c>
      <c r="I1089">
        <v>10000</v>
      </c>
      <c r="J1089">
        <v>2684</v>
      </c>
      <c r="K1089">
        <v>7316</v>
      </c>
      <c r="L1089">
        <v>500</v>
      </c>
      <c r="M1089">
        <v>499</v>
      </c>
      <c r="N1089">
        <v>1</v>
      </c>
      <c r="O1089">
        <v>0</v>
      </c>
      <c r="P1089">
        <v>0</v>
      </c>
    </row>
    <row r="1090" spans="1:16" x14ac:dyDescent="0.2">
      <c r="A1090" s="3" t="s">
        <v>49</v>
      </c>
      <c r="B1090" s="3" t="s">
        <v>52</v>
      </c>
      <c r="C1090">
        <v>24</v>
      </c>
      <c r="D1090">
        <v>10000</v>
      </c>
      <c r="E1090">
        <v>499</v>
      </c>
      <c r="F1090">
        <v>1</v>
      </c>
      <c r="G1090">
        <v>10000</v>
      </c>
      <c r="H1090">
        <v>7.0666499999999998E-4</v>
      </c>
      <c r="I1090">
        <v>10000</v>
      </c>
      <c r="J1090">
        <v>2648</v>
      </c>
      <c r="K1090">
        <v>7352</v>
      </c>
      <c r="L1090">
        <v>500</v>
      </c>
      <c r="M1090">
        <v>499</v>
      </c>
      <c r="N1090">
        <v>1</v>
      </c>
      <c r="O1090">
        <v>0</v>
      </c>
      <c r="P1090">
        <v>1</v>
      </c>
    </row>
    <row r="1091" spans="1:16" x14ac:dyDescent="0.2">
      <c r="A1091" s="3" t="s">
        <v>49</v>
      </c>
      <c r="B1091" s="3" t="s">
        <v>52</v>
      </c>
      <c r="C1091">
        <v>25</v>
      </c>
      <c r="D1091">
        <v>10000</v>
      </c>
      <c r="E1091">
        <v>499</v>
      </c>
      <c r="F1091">
        <v>1</v>
      </c>
      <c r="G1091">
        <v>10000</v>
      </c>
      <c r="H1091">
        <v>7.06418E-4</v>
      </c>
      <c r="I1091">
        <v>10000</v>
      </c>
      <c r="J1091">
        <v>2696</v>
      </c>
      <c r="K1091">
        <v>7304</v>
      </c>
      <c r="L1091">
        <v>500</v>
      </c>
      <c r="M1091">
        <v>499</v>
      </c>
      <c r="N1091">
        <v>1</v>
      </c>
      <c r="O1091">
        <v>0</v>
      </c>
      <c r="P1091">
        <v>1</v>
      </c>
    </row>
    <row r="1092" spans="1:16" x14ac:dyDescent="0.2">
      <c r="A1092" s="3" t="s">
        <v>49</v>
      </c>
      <c r="B1092" s="3" t="s">
        <v>52</v>
      </c>
      <c r="C1092">
        <v>41</v>
      </c>
      <c r="D1092">
        <v>10000</v>
      </c>
      <c r="E1092">
        <v>499</v>
      </c>
      <c r="F1092">
        <v>1</v>
      </c>
      <c r="G1092">
        <v>39482.677260513999</v>
      </c>
      <c r="H1092">
        <v>7.0627099999999996E-4</v>
      </c>
      <c r="I1092">
        <v>10000</v>
      </c>
      <c r="J1092">
        <v>2677</v>
      </c>
      <c r="K1092">
        <v>7323</v>
      </c>
      <c r="L1092">
        <v>500</v>
      </c>
      <c r="M1092">
        <v>499</v>
      </c>
      <c r="N1092">
        <v>1</v>
      </c>
      <c r="O1092">
        <v>0</v>
      </c>
      <c r="P1092">
        <v>0</v>
      </c>
    </row>
    <row r="1093" spans="1:16" x14ac:dyDescent="0.2">
      <c r="A1093" s="3" t="s">
        <v>49</v>
      </c>
      <c r="B1093" s="3" t="s">
        <v>52</v>
      </c>
      <c r="C1093">
        <v>35</v>
      </c>
      <c r="D1093">
        <v>10000</v>
      </c>
      <c r="E1093">
        <v>499</v>
      </c>
      <c r="F1093">
        <v>1</v>
      </c>
      <c r="G1093">
        <v>10000</v>
      </c>
      <c r="H1093">
        <v>7.0607899999999997E-4</v>
      </c>
      <c r="I1093">
        <v>10000</v>
      </c>
      <c r="J1093">
        <v>2695</v>
      </c>
      <c r="K1093">
        <v>7305</v>
      </c>
      <c r="L1093">
        <v>500</v>
      </c>
      <c r="M1093">
        <v>499</v>
      </c>
      <c r="N1093">
        <v>1</v>
      </c>
      <c r="O1093">
        <v>0</v>
      </c>
      <c r="P1093">
        <v>1</v>
      </c>
    </row>
    <row r="1094" spans="1:16" x14ac:dyDescent="0.2">
      <c r="A1094" s="3" t="s">
        <v>49</v>
      </c>
      <c r="B1094" s="3" t="s">
        <v>52</v>
      </c>
      <c r="C1094">
        <v>10</v>
      </c>
      <c r="D1094">
        <v>10000</v>
      </c>
      <c r="E1094">
        <v>499</v>
      </c>
      <c r="F1094">
        <v>1</v>
      </c>
      <c r="G1094">
        <v>39482.677260513999</v>
      </c>
      <c r="H1094">
        <v>7.0576700000000005E-4</v>
      </c>
      <c r="I1094">
        <v>10000</v>
      </c>
      <c r="J1094">
        <v>2718</v>
      </c>
      <c r="K1094">
        <v>7282</v>
      </c>
      <c r="L1094">
        <v>500</v>
      </c>
      <c r="M1094">
        <v>499</v>
      </c>
      <c r="N1094">
        <v>1</v>
      </c>
      <c r="O1094">
        <v>0</v>
      </c>
      <c r="P1094">
        <v>0</v>
      </c>
    </row>
    <row r="1095" spans="1:16" x14ac:dyDescent="0.2">
      <c r="A1095" s="3" t="s">
        <v>49</v>
      </c>
      <c r="B1095" s="3" t="s">
        <v>52</v>
      </c>
      <c r="C1095">
        <v>42</v>
      </c>
      <c r="D1095">
        <v>10000</v>
      </c>
      <c r="E1095">
        <v>499</v>
      </c>
      <c r="F1095">
        <v>1</v>
      </c>
      <c r="G1095">
        <v>10000</v>
      </c>
      <c r="H1095">
        <v>7.0563899999999998E-4</v>
      </c>
      <c r="I1095">
        <v>10000</v>
      </c>
      <c r="J1095">
        <v>2705</v>
      </c>
      <c r="K1095">
        <v>7295</v>
      </c>
      <c r="L1095">
        <v>500</v>
      </c>
      <c r="M1095">
        <v>499</v>
      </c>
      <c r="N1095">
        <v>1</v>
      </c>
      <c r="O1095">
        <v>0</v>
      </c>
      <c r="P1095">
        <v>1</v>
      </c>
    </row>
    <row r="1096" spans="1:16" x14ac:dyDescent="0.2">
      <c r="A1096" s="3" t="s">
        <v>49</v>
      </c>
      <c r="B1096" s="3" t="s">
        <v>52</v>
      </c>
      <c r="C1096">
        <v>34</v>
      </c>
      <c r="D1096">
        <v>10000</v>
      </c>
      <c r="E1096">
        <v>499</v>
      </c>
      <c r="F1096">
        <v>1</v>
      </c>
      <c r="G1096">
        <v>39482.677260513999</v>
      </c>
      <c r="H1096">
        <v>7.0440100000000001E-4</v>
      </c>
      <c r="I1096">
        <v>10000</v>
      </c>
      <c r="J1096">
        <v>2727</v>
      </c>
      <c r="K1096">
        <v>7273</v>
      </c>
      <c r="L1096">
        <v>500</v>
      </c>
      <c r="M1096">
        <v>499</v>
      </c>
      <c r="N1096">
        <v>1</v>
      </c>
      <c r="O1096">
        <v>0</v>
      </c>
      <c r="P1096">
        <v>0</v>
      </c>
    </row>
    <row r="1097" spans="1:16" x14ac:dyDescent="0.2">
      <c r="A1097" s="3" t="s">
        <v>49</v>
      </c>
      <c r="B1097" s="3" t="s">
        <v>52</v>
      </c>
      <c r="C1097">
        <v>48</v>
      </c>
      <c r="D1097">
        <v>10000</v>
      </c>
      <c r="E1097">
        <v>499</v>
      </c>
      <c r="F1097">
        <v>1</v>
      </c>
      <c r="G1097">
        <v>10000</v>
      </c>
      <c r="H1097">
        <v>7.0399700000000004E-4</v>
      </c>
      <c r="I1097">
        <v>10000</v>
      </c>
      <c r="J1097">
        <v>2695</v>
      </c>
      <c r="K1097">
        <v>7305</v>
      </c>
      <c r="L1097">
        <v>500</v>
      </c>
      <c r="M1097">
        <v>499</v>
      </c>
      <c r="N1097">
        <v>1</v>
      </c>
      <c r="O1097">
        <v>0</v>
      </c>
      <c r="P1097">
        <v>1</v>
      </c>
    </row>
    <row r="1098" spans="1:16" x14ac:dyDescent="0.2">
      <c r="A1098" s="3" t="s">
        <v>49</v>
      </c>
      <c r="B1098" s="3" t="s">
        <v>52</v>
      </c>
      <c r="C1098">
        <v>43</v>
      </c>
      <c r="D1098">
        <v>10000</v>
      </c>
      <c r="E1098">
        <v>499</v>
      </c>
      <c r="F1098">
        <v>1</v>
      </c>
      <c r="G1098">
        <v>10000</v>
      </c>
      <c r="H1098">
        <v>7.0396100000000002E-4</v>
      </c>
      <c r="I1098">
        <v>10000</v>
      </c>
      <c r="J1098">
        <v>2672</v>
      </c>
      <c r="K1098">
        <v>7328</v>
      </c>
      <c r="L1098">
        <v>500</v>
      </c>
      <c r="M1098">
        <v>499</v>
      </c>
      <c r="N1098">
        <v>1</v>
      </c>
      <c r="O1098">
        <v>0</v>
      </c>
      <c r="P1098">
        <v>1</v>
      </c>
    </row>
    <row r="1099" spans="1:16" x14ac:dyDescent="0.2">
      <c r="A1099" s="3" t="s">
        <v>49</v>
      </c>
      <c r="B1099" s="3" t="s">
        <v>52</v>
      </c>
      <c r="C1099">
        <v>12</v>
      </c>
      <c r="D1099">
        <v>10000</v>
      </c>
      <c r="E1099">
        <v>499</v>
      </c>
      <c r="F1099">
        <v>1</v>
      </c>
      <c r="G1099">
        <v>39482.677260513999</v>
      </c>
      <c r="H1099">
        <v>7.0358499999999995E-4</v>
      </c>
      <c r="I1099">
        <v>10000</v>
      </c>
      <c r="J1099">
        <v>2672</v>
      </c>
      <c r="K1099">
        <v>7328</v>
      </c>
      <c r="L1099">
        <v>500</v>
      </c>
      <c r="M1099">
        <v>499</v>
      </c>
      <c r="N1099">
        <v>1</v>
      </c>
      <c r="O1099">
        <v>0</v>
      </c>
      <c r="P1099">
        <v>0</v>
      </c>
    </row>
    <row r="1100" spans="1:16" x14ac:dyDescent="0.2">
      <c r="A1100" s="3" t="s">
        <v>49</v>
      </c>
      <c r="B1100" s="3" t="s">
        <v>52</v>
      </c>
      <c r="C1100">
        <v>43</v>
      </c>
      <c r="D1100">
        <v>10000</v>
      </c>
      <c r="E1100">
        <v>499</v>
      </c>
      <c r="F1100">
        <v>1</v>
      </c>
      <c r="G1100">
        <v>39482.677260513999</v>
      </c>
      <c r="H1100">
        <v>7.0348399999999999E-4</v>
      </c>
      <c r="I1100">
        <v>10000</v>
      </c>
      <c r="J1100">
        <v>2743</v>
      </c>
      <c r="K1100">
        <v>7257</v>
      </c>
      <c r="L1100">
        <v>500</v>
      </c>
      <c r="M1100">
        <v>499</v>
      </c>
      <c r="N1100">
        <v>1</v>
      </c>
      <c r="O1100">
        <v>0</v>
      </c>
      <c r="P1100">
        <v>0</v>
      </c>
    </row>
    <row r="1101" spans="1:16" x14ac:dyDescent="0.2">
      <c r="A1101" s="3" t="s">
        <v>49</v>
      </c>
      <c r="B1101" s="3" t="s">
        <v>52</v>
      </c>
      <c r="C1101">
        <v>21</v>
      </c>
      <c r="D1101">
        <v>10000</v>
      </c>
      <c r="E1101">
        <v>499</v>
      </c>
      <c r="F1101">
        <v>1</v>
      </c>
      <c r="G1101">
        <v>10000</v>
      </c>
      <c r="H1101">
        <v>7.0266899999999995E-4</v>
      </c>
      <c r="I1101">
        <v>10000</v>
      </c>
      <c r="J1101">
        <v>2671</v>
      </c>
      <c r="K1101">
        <v>7329</v>
      </c>
      <c r="L1101">
        <v>500</v>
      </c>
      <c r="M1101">
        <v>499</v>
      </c>
      <c r="N1101">
        <v>1</v>
      </c>
      <c r="O1101">
        <v>0</v>
      </c>
      <c r="P1101">
        <v>1</v>
      </c>
    </row>
    <row r="1102" spans="1:16" x14ac:dyDescent="0.2">
      <c r="A1102" s="3" t="s">
        <v>49</v>
      </c>
      <c r="B1102" s="3" t="s">
        <v>52</v>
      </c>
      <c r="C1102">
        <v>14</v>
      </c>
      <c r="D1102">
        <v>10000</v>
      </c>
      <c r="E1102">
        <v>499</v>
      </c>
      <c r="F1102">
        <v>1</v>
      </c>
      <c r="G1102">
        <v>10000</v>
      </c>
      <c r="H1102">
        <v>7.0260500000000003E-4</v>
      </c>
      <c r="I1102">
        <v>10000</v>
      </c>
      <c r="J1102">
        <v>2681</v>
      </c>
      <c r="K1102">
        <v>7319</v>
      </c>
      <c r="L1102">
        <v>500</v>
      </c>
      <c r="M1102">
        <v>499</v>
      </c>
      <c r="N1102">
        <v>1</v>
      </c>
      <c r="O1102">
        <v>0</v>
      </c>
      <c r="P1102">
        <v>1</v>
      </c>
    </row>
    <row r="1103" spans="1:16" x14ac:dyDescent="0.2">
      <c r="A1103" s="3" t="s">
        <v>49</v>
      </c>
      <c r="B1103" s="3" t="s">
        <v>52</v>
      </c>
      <c r="C1103">
        <v>13</v>
      </c>
      <c r="D1103">
        <v>10000</v>
      </c>
      <c r="E1103">
        <v>499</v>
      </c>
      <c r="F1103">
        <v>1</v>
      </c>
      <c r="G1103">
        <v>39482.677260513999</v>
      </c>
      <c r="H1103">
        <v>7.0245799999999999E-4</v>
      </c>
      <c r="I1103">
        <v>10000</v>
      </c>
      <c r="J1103">
        <v>2744</v>
      </c>
      <c r="K1103">
        <v>7256</v>
      </c>
      <c r="L1103">
        <v>500</v>
      </c>
      <c r="M1103">
        <v>499</v>
      </c>
      <c r="N1103">
        <v>1</v>
      </c>
      <c r="O1103">
        <v>0</v>
      </c>
      <c r="P1103">
        <v>0</v>
      </c>
    </row>
    <row r="1104" spans="1:16" x14ac:dyDescent="0.2">
      <c r="A1104" s="3" t="s">
        <v>49</v>
      </c>
      <c r="B1104" s="3" t="s">
        <v>52</v>
      </c>
      <c r="C1104">
        <v>8</v>
      </c>
      <c r="D1104">
        <v>10000</v>
      </c>
      <c r="E1104">
        <v>499</v>
      </c>
      <c r="F1104">
        <v>1</v>
      </c>
      <c r="G1104">
        <v>10000</v>
      </c>
      <c r="H1104">
        <v>7.0240299999999999E-4</v>
      </c>
      <c r="I1104">
        <v>10000</v>
      </c>
      <c r="J1104">
        <v>2694</v>
      </c>
      <c r="K1104">
        <v>7306</v>
      </c>
      <c r="L1104">
        <v>500</v>
      </c>
      <c r="M1104">
        <v>499</v>
      </c>
      <c r="N1104">
        <v>1</v>
      </c>
      <c r="O1104">
        <v>0</v>
      </c>
      <c r="P1104">
        <v>1</v>
      </c>
    </row>
    <row r="1105" spans="1:16" x14ac:dyDescent="0.2">
      <c r="A1105" s="3" t="s">
        <v>49</v>
      </c>
      <c r="B1105" s="3" t="s">
        <v>52</v>
      </c>
      <c r="C1105">
        <v>37</v>
      </c>
      <c r="D1105">
        <v>10000</v>
      </c>
      <c r="E1105">
        <v>499</v>
      </c>
      <c r="F1105">
        <v>1</v>
      </c>
      <c r="G1105">
        <v>39482.677260513999</v>
      </c>
      <c r="H1105">
        <v>7.0077099999999999E-4</v>
      </c>
      <c r="I1105">
        <v>10000</v>
      </c>
      <c r="J1105">
        <v>2708</v>
      </c>
      <c r="K1105">
        <v>7292</v>
      </c>
      <c r="L1105">
        <v>500</v>
      </c>
      <c r="M1105">
        <v>499</v>
      </c>
      <c r="N1105">
        <v>1</v>
      </c>
      <c r="O1105">
        <v>0</v>
      </c>
      <c r="P1105">
        <v>0</v>
      </c>
    </row>
    <row r="1106" spans="1:16" x14ac:dyDescent="0.2">
      <c r="A1106" s="3" t="s">
        <v>49</v>
      </c>
      <c r="B1106" s="3" t="s">
        <v>52</v>
      </c>
      <c r="C1106">
        <v>36</v>
      </c>
      <c r="D1106">
        <v>10000</v>
      </c>
      <c r="E1106">
        <v>499</v>
      </c>
      <c r="F1106">
        <v>1</v>
      </c>
      <c r="G1106">
        <v>10000</v>
      </c>
      <c r="H1106">
        <v>7.0061500000000003E-4</v>
      </c>
      <c r="I1106">
        <v>10000</v>
      </c>
      <c r="J1106">
        <v>2664</v>
      </c>
      <c r="K1106">
        <v>7336</v>
      </c>
      <c r="L1106">
        <v>500</v>
      </c>
      <c r="M1106">
        <v>499</v>
      </c>
      <c r="N1106">
        <v>1</v>
      </c>
      <c r="O1106">
        <v>0</v>
      </c>
      <c r="P1106">
        <v>1</v>
      </c>
    </row>
    <row r="1107" spans="1:16" x14ac:dyDescent="0.2">
      <c r="A1107" s="3" t="s">
        <v>49</v>
      </c>
      <c r="B1107" s="3" t="s">
        <v>52</v>
      </c>
      <c r="C1107">
        <v>50</v>
      </c>
      <c r="D1107">
        <v>10000</v>
      </c>
      <c r="E1107">
        <v>499</v>
      </c>
      <c r="F1107">
        <v>1</v>
      </c>
      <c r="G1107">
        <v>39482.677260513999</v>
      </c>
      <c r="H1107">
        <v>6.9899299999999997E-4</v>
      </c>
      <c r="I1107">
        <v>10000</v>
      </c>
      <c r="J1107">
        <v>2694</v>
      </c>
      <c r="K1107">
        <v>7306</v>
      </c>
      <c r="L1107">
        <v>500</v>
      </c>
      <c r="M1107">
        <v>499</v>
      </c>
      <c r="N1107">
        <v>1</v>
      </c>
      <c r="O1107">
        <v>0</v>
      </c>
      <c r="P1107">
        <v>0</v>
      </c>
    </row>
    <row r="1108" spans="1:16" x14ac:dyDescent="0.2">
      <c r="A1108" s="3" t="s">
        <v>49</v>
      </c>
      <c r="B1108" s="3" t="s">
        <v>52</v>
      </c>
      <c r="C1108">
        <v>25</v>
      </c>
      <c r="D1108">
        <v>10000</v>
      </c>
      <c r="E1108">
        <v>499</v>
      </c>
      <c r="F1108">
        <v>1</v>
      </c>
      <c r="G1108">
        <v>39482.677260513999</v>
      </c>
      <c r="H1108">
        <v>6.9813999999999998E-4</v>
      </c>
      <c r="I1108">
        <v>10000</v>
      </c>
      <c r="J1108">
        <v>2665</v>
      </c>
      <c r="K1108">
        <v>7335</v>
      </c>
      <c r="L1108">
        <v>500</v>
      </c>
      <c r="M1108">
        <v>499</v>
      </c>
      <c r="N1108">
        <v>1</v>
      </c>
      <c r="O1108">
        <v>0</v>
      </c>
      <c r="P1108">
        <v>0</v>
      </c>
    </row>
    <row r="1109" spans="1:16" x14ac:dyDescent="0.2">
      <c r="A1109" s="3" t="s">
        <v>49</v>
      </c>
      <c r="B1109" s="3" t="s">
        <v>52</v>
      </c>
      <c r="C1109">
        <v>9</v>
      </c>
      <c r="D1109">
        <v>10000</v>
      </c>
      <c r="E1109">
        <v>499</v>
      </c>
      <c r="F1109">
        <v>1</v>
      </c>
      <c r="G1109">
        <v>39482.677260513999</v>
      </c>
      <c r="H1109">
        <v>6.97535E-4</v>
      </c>
      <c r="I1109">
        <v>10000</v>
      </c>
      <c r="J1109">
        <v>2704</v>
      </c>
      <c r="K1109">
        <v>7296</v>
      </c>
      <c r="L1109">
        <v>500</v>
      </c>
      <c r="M1109">
        <v>499</v>
      </c>
      <c r="N1109">
        <v>1</v>
      </c>
      <c r="O1109">
        <v>0</v>
      </c>
      <c r="P1109">
        <v>0</v>
      </c>
    </row>
    <row r="1110" spans="1:16" x14ac:dyDescent="0.2">
      <c r="A1110" s="3" t="s">
        <v>49</v>
      </c>
      <c r="B1110" s="3" t="s">
        <v>52</v>
      </c>
      <c r="C1110">
        <v>32</v>
      </c>
      <c r="D1110">
        <v>10000</v>
      </c>
      <c r="E1110">
        <v>499</v>
      </c>
      <c r="F1110">
        <v>1</v>
      </c>
      <c r="G1110">
        <v>39482.677260513999</v>
      </c>
      <c r="H1110">
        <v>6.9603199999999997E-4</v>
      </c>
      <c r="I1110">
        <v>10000</v>
      </c>
      <c r="J1110">
        <v>2691</v>
      </c>
      <c r="K1110">
        <v>7309</v>
      </c>
      <c r="L1110">
        <v>500</v>
      </c>
      <c r="M1110">
        <v>499</v>
      </c>
      <c r="N1110">
        <v>1</v>
      </c>
      <c r="O1110">
        <v>0</v>
      </c>
      <c r="P1110">
        <v>0</v>
      </c>
    </row>
    <row r="1111" spans="1:16" x14ac:dyDescent="0.2">
      <c r="A1111" s="3" t="s">
        <v>49</v>
      </c>
      <c r="B1111" s="3" t="s">
        <v>52</v>
      </c>
      <c r="C1111">
        <v>33</v>
      </c>
      <c r="D1111">
        <v>10000</v>
      </c>
      <c r="E1111">
        <v>499</v>
      </c>
      <c r="F1111">
        <v>1</v>
      </c>
      <c r="G1111">
        <v>10000</v>
      </c>
      <c r="H1111">
        <v>6.9568400000000002E-4</v>
      </c>
      <c r="I1111">
        <v>10000</v>
      </c>
      <c r="J1111">
        <v>2706</v>
      </c>
      <c r="K1111">
        <v>7294</v>
      </c>
      <c r="L1111">
        <v>499</v>
      </c>
      <c r="M1111">
        <v>498</v>
      </c>
      <c r="N1111">
        <v>1</v>
      </c>
      <c r="O1111">
        <v>0</v>
      </c>
      <c r="P1111">
        <v>1</v>
      </c>
    </row>
    <row r="1112" spans="1:16" x14ac:dyDescent="0.2">
      <c r="A1112" s="3" t="s">
        <v>49</v>
      </c>
      <c r="B1112" s="3" t="s">
        <v>52</v>
      </c>
      <c r="C1112">
        <v>19</v>
      </c>
      <c r="D1112">
        <v>10000</v>
      </c>
      <c r="E1112">
        <v>499</v>
      </c>
      <c r="F1112">
        <v>1</v>
      </c>
      <c r="G1112">
        <v>39482.677260513999</v>
      </c>
      <c r="H1112">
        <v>6.9456499999999996E-4</v>
      </c>
      <c r="I1112">
        <v>10000</v>
      </c>
      <c r="J1112">
        <v>2689</v>
      </c>
      <c r="K1112">
        <v>7311</v>
      </c>
      <c r="L1112">
        <v>500</v>
      </c>
      <c r="M1112">
        <v>499</v>
      </c>
      <c r="N1112">
        <v>1</v>
      </c>
      <c r="O1112">
        <v>0</v>
      </c>
      <c r="P1112">
        <v>0</v>
      </c>
    </row>
    <row r="1113" spans="1:16" x14ac:dyDescent="0.2">
      <c r="A1113" s="3" t="s">
        <v>49</v>
      </c>
      <c r="B1113" s="3" t="s">
        <v>52</v>
      </c>
      <c r="C1113">
        <v>44</v>
      </c>
      <c r="D1113">
        <v>10000</v>
      </c>
      <c r="E1113">
        <v>499</v>
      </c>
      <c r="F1113">
        <v>1</v>
      </c>
      <c r="G1113">
        <v>39482.677260513999</v>
      </c>
      <c r="H1113">
        <v>6.9456499999999996E-4</v>
      </c>
      <c r="I1113">
        <v>10000</v>
      </c>
      <c r="J1113">
        <v>2682</v>
      </c>
      <c r="K1113">
        <v>7318</v>
      </c>
      <c r="L1113">
        <v>500</v>
      </c>
      <c r="M1113">
        <v>499</v>
      </c>
      <c r="N1113">
        <v>1</v>
      </c>
      <c r="O1113">
        <v>0</v>
      </c>
      <c r="P1113">
        <v>0</v>
      </c>
    </row>
    <row r="1114" spans="1:16" x14ac:dyDescent="0.2">
      <c r="A1114" s="3" t="s">
        <v>49</v>
      </c>
      <c r="B1114" s="3" t="s">
        <v>52</v>
      </c>
      <c r="C1114">
        <v>14</v>
      </c>
      <c r="D1114">
        <v>10000</v>
      </c>
      <c r="E1114">
        <v>499</v>
      </c>
      <c r="F1114">
        <v>1</v>
      </c>
      <c r="G1114">
        <v>39482.677260513999</v>
      </c>
      <c r="H1114">
        <v>6.9420699999999996E-4</v>
      </c>
      <c r="I1114">
        <v>10000</v>
      </c>
      <c r="J1114">
        <v>2695</v>
      </c>
      <c r="K1114">
        <v>7305</v>
      </c>
      <c r="L1114">
        <v>500</v>
      </c>
      <c r="M1114">
        <v>499</v>
      </c>
      <c r="N1114">
        <v>1</v>
      </c>
      <c r="O1114">
        <v>0</v>
      </c>
      <c r="P1114">
        <v>0</v>
      </c>
    </row>
    <row r="1115" spans="1:16" x14ac:dyDescent="0.2">
      <c r="A1115" s="3" t="s">
        <v>49</v>
      </c>
      <c r="B1115" s="3" t="s">
        <v>52</v>
      </c>
      <c r="C1115">
        <v>26</v>
      </c>
      <c r="D1115">
        <v>10000</v>
      </c>
      <c r="E1115">
        <v>499</v>
      </c>
      <c r="F1115">
        <v>1</v>
      </c>
      <c r="G1115">
        <v>39482.677260513999</v>
      </c>
      <c r="H1115">
        <v>6.9357499999999999E-4</v>
      </c>
      <c r="I1115">
        <v>10000</v>
      </c>
      <c r="J1115">
        <v>2660</v>
      </c>
      <c r="K1115">
        <v>7340</v>
      </c>
      <c r="L1115">
        <v>500</v>
      </c>
      <c r="M1115">
        <v>499</v>
      </c>
      <c r="N1115">
        <v>1</v>
      </c>
      <c r="O1115">
        <v>0</v>
      </c>
      <c r="P1115">
        <v>0</v>
      </c>
    </row>
    <row r="1116" spans="1:16" x14ac:dyDescent="0.2">
      <c r="A1116" s="3" t="s">
        <v>49</v>
      </c>
      <c r="B1116" s="3" t="s">
        <v>52</v>
      </c>
      <c r="C1116">
        <v>31</v>
      </c>
      <c r="D1116">
        <v>10000</v>
      </c>
      <c r="E1116">
        <v>499</v>
      </c>
      <c r="F1116">
        <v>1</v>
      </c>
      <c r="G1116">
        <v>39482.677260513999</v>
      </c>
      <c r="H1116">
        <v>6.9206300000000003E-4</v>
      </c>
      <c r="I1116">
        <v>10000</v>
      </c>
      <c r="J1116">
        <v>2729</v>
      </c>
      <c r="K1116">
        <v>7271</v>
      </c>
      <c r="L1116">
        <v>500</v>
      </c>
      <c r="M1116">
        <v>499</v>
      </c>
      <c r="N1116">
        <v>1</v>
      </c>
      <c r="O1116">
        <v>0</v>
      </c>
      <c r="P1116">
        <v>0</v>
      </c>
    </row>
    <row r="1117" spans="1:16" x14ac:dyDescent="0.2">
      <c r="A1117" s="3" t="s">
        <v>49</v>
      </c>
      <c r="B1117" s="3" t="s">
        <v>52</v>
      </c>
      <c r="C1117">
        <v>18</v>
      </c>
      <c r="D1117">
        <v>10000</v>
      </c>
      <c r="E1117">
        <v>499</v>
      </c>
      <c r="F1117">
        <v>1</v>
      </c>
      <c r="G1117">
        <v>39482.677260513999</v>
      </c>
      <c r="H1117">
        <v>6.90835E-4</v>
      </c>
      <c r="I1117">
        <v>10000</v>
      </c>
      <c r="J1117">
        <v>2731</v>
      </c>
      <c r="K1117">
        <v>7269</v>
      </c>
      <c r="L1117">
        <v>500</v>
      </c>
      <c r="M1117">
        <v>499</v>
      </c>
      <c r="N1117">
        <v>1</v>
      </c>
      <c r="O1117">
        <v>0</v>
      </c>
      <c r="P1117">
        <v>0</v>
      </c>
    </row>
    <row r="1118" spans="1:16" x14ac:dyDescent="0.2">
      <c r="A1118" s="3" t="s">
        <v>49</v>
      </c>
      <c r="B1118" s="3" t="s">
        <v>52</v>
      </c>
      <c r="C1118">
        <v>8</v>
      </c>
      <c r="D1118">
        <v>10000</v>
      </c>
      <c r="E1118">
        <v>499</v>
      </c>
      <c r="F1118">
        <v>1</v>
      </c>
      <c r="G1118">
        <v>39482.677260513999</v>
      </c>
      <c r="H1118">
        <v>6.9064199999999999E-4</v>
      </c>
      <c r="I1118">
        <v>10000</v>
      </c>
      <c r="J1118">
        <v>2698</v>
      </c>
      <c r="K1118">
        <v>7302</v>
      </c>
      <c r="L1118">
        <v>500</v>
      </c>
      <c r="M1118">
        <v>499</v>
      </c>
      <c r="N1118">
        <v>1</v>
      </c>
      <c r="O1118">
        <v>0</v>
      </c>
      <c r="P1118">
        <v>0</v>
      </c>
    </row>
    <row r="1119" spans="1:16" x14ac:dyDescent="0.2">
      <c r="A1119" s="3" t="s">
        <v>49</v>
      </c>
      <c r="B1119" s="3" t="s">
        <v>52</v>
      </c>
      <c r="C1119">
        <v>38</v>
      </c>
      <c r="D1119">
        <v>10000</v>
      </c>
      <c r="E1119">
        <v>499</v>
      </c>
      <c r="F1119">
        <v>1</v>
      </c>
      <c r="G1119">
        <v>39482.677260513999</v>
      </c>
      <c r="H1119">
        <v>6.8964299999999998E-4</v>
      </c>
      <c r="I1119">
        <v>10000</v>
      </c>
      <c r="J1119">
        <v>2691</v>
      </c>
      <c r="K1119">
        <v>7309</v>
      </c>
      <c r="L1119">
        <v>500</v>
      </c>
      <c r="M1119">
        <v>499</v>
      </c>
      <c r="N1119">
        <v>1</v>
      </c>
      <c r="O1119">
        <v>0</v>
      </c>
      <c r="P1119">
        <v>0</v>
      </c>
    </row>
    <row r="1120" spans="1:16" x14ac:dyDescent="0.2">
      <c r="A1120" s="3" t="s">
        <v>49</v>
      </c>
      <c r="B1120" s="3" t="s">
        <v>52</v>
      </c>
      <c r="C1120">
        <v>49</v>
      </c>
      <c r="D1120">
        <v>10000</v>
      </c>
      <c r="E1120">
        <v>499</v>
      </c>
      <c r="F1120">
        <v>1</v>
      </c>
      <c r="G1120">
        <v>39482.677260513999</v>
      </c>
      <c r="H1120">
        <v>6.8930300000000005E-4</v>
      </c>
      <c r="I1120">
        <v>10000</v>
      </c>
      <c r="J1120">
        <v>2687</v>
      </c>
      <c r="K1120">
        <v>7313</v>
      </c>
      <c r="L1120">
        <v>500</v>
      </c>
      <c r="M1120">
        <v>499</v>
      </c>
      <c r="N1120">
        <v>1</v>
      </c>
      <c r="O1120">
        <v>0</v>
      </c>
      <c r="P1120">
        <v>0</v>
      </c>
    </row>
    <row r="1121" spans="1:16" x14ac:dyDescent="0.2">
      <c r="A1121" s="3" t="s">
        <v>49</v>
      </c>
      <c r="B1121" s="3" t="s">
        <v>52</v>
      </c>
      <c r="C1121">
        <v>40</v>
      </c>
      <c r="D1121">
        <v>10000</v>
      </c>
      <c r="E1121">
        <v>499</v>
      </c>
      <c r="F1121">
        <v>1</v>
      </c>
      <c r="G1121">
        <v>39482.677260513999</v>
      </c>
      <c r="H1121">
        <v>6.8835900000000004E-4</v>
      </c>
      <c r="I1121">
        <v>10000</v>
      </c>
      <c r="J1121">
        <v>2670</v>
      </c>
      <c r="K1121">
        <v>7330</v>
      </c>
      <c r="L1121">
        <v>500</v>
      </c>
      <c r="M1121">
        <v>499</v>
      </c>
      <c r="N1121">
        <v>1</v>
      </c>
      <c r="O1121">
        <v>0</v>
      </c>
      <c r="P1121">
        <v>0</v>
      </c>
    </row>
    <row r="1122" spans="1:16" x14ac:dyDescent="0.2">
      <c r="A1122" s="3" t="s">
        <v>49</v>
      </c>
      <c r="B1122" s="3" t="s">
        <v>52</v>
      </c>
      <c r="C1122">
        <v>21</v>
      </c>
      <c r="D1122">
        <v>10000</v>
      </c>
      <c r="E1122">
        <v>499</v>
      </c>
      <c r="F1122">
        <v>1</v>
      </c>
      <c r="G1122">
        <v>39482.677260513999</v>
      </c>
      <c r="H1122">
        <v>6.8818500000000001E-4</v>
      </c>
      <c r="I1122">
        <v>10000</v>
      </c>
      <c r="J1122">
        <v>2690</v>
      </c>
      <c r="K1122">
        <v>7310</v>
      </c>
      <c r="L1122">
        <v>500</v>
      </c>
      <c r="M1122">
        <v>499</v>
      </c>
      <c r="N1122">
        <v>1</v>
      </c>
      <c r="O1122">
        <v>0</v>
      </c>
      <c r="P1122">
        <v>0</v>
      </c>
    </row>
    <row r="1123" spans="1:16" x14ac:dyDescent="0.2">
      <c r="A1123" s="3" t="s">
        <v>49</v>
      </c>
      <c r="B1123" s="3" t="s">
        <v>52</v>
      </c>
      <c r="C1123">
        <v>5</v>
      </c>
      <c r="D1123">
        <v>10000</v>
      </c>
      <c r="E1123">
        <v>499</v>
      </c>
      <c r="F1123">
        <v>1</v>
      </c>
      <c r="G1123">
        <v>39482.677260513999</v>
      </c>
      <c r="H1123">
        <v>6.8597600000000003E-4</v>
      </c>
      <c r="I1123">
        <v>10000</v>
      </c>
      <c r="J1123">
        <v>2664</v>
      </c>
      <c r="K1123">
        <v>7336</v>
      </c>
      <c r="L1123">
        <v>500</v>
      </c>
      <c r="M1123">
        <v>499</v>
      </c>
      <c r="N1123">
        <v>1</v>
      </c>
      <c r="O1123">
        <v>0</v>
      </c>
      <c r="P1123">
        <v>0</v>
      </c>
    </row>
    <row r="1124" spans="1:16" x14ac:dyDescent="0.2">
      <c r="A1124" s="3" t="s">
        <v>49</v>
      </c>
      <c r="B1124" s="3" t="s">
        <v>50</v>
      </c>
      <c r="C1124">
        <v>47</v>
      </c>
      <c r="D1124">
        <v>18000</v>
      </c>
      <c r="E1124">
        <v>499</v>
      </c>
      <c r="F1124">
        <v>1</v>
      </c>
      <c r="G1124">
        <v>18000</v>
      </c>
      <c r="H1124">
        <v>5.7333500000000001E-4</v>
      </c>
      <c r="I1124">
        <v>2952</v>
      </c>
      <c r="J1124">
        <v>2909</v>
      </c>
      <c r="K1124">
        <v>43</v>
      </c>
      <c r="L1124">
        <v>500</v>
      </c>
      <c r="M1124">
        <v>499</v>
      </c>
      <c r="N1124">
        <v>1</v>
      </c>
      <c r="O1124">
        <v>15048</v>
      </c>
      <c r="P1124">
        <v>1</v>
      </c>
    </row>
    <row r="1125" spans="1:16" x14ac:dyDescent="0.2">
      <c r="A1125" s="3" t="s">
        <v>49</v>
      </c>
      <c r="B1125" s="3" t="s">
        <v>50</v>
      </c>
      <c r="C1125">
        <v>19</v>
      </c>
      <c r="D1125">
        <v>19000</v>
      </c>
      <c r="E1125">
        <v>499</v>
      </c>
      <c r="F1125">
        <v>1</v>
      </c>
      <c r="G1125">
        <v>19000</v>
      </c>
      <c r="H1125">
        <v>5.2509200000000001E-4</v>
      </c>
      <c r="I1125">
        <v>3005</v>
      </c>
      <c r="J1125">
        <v>2953</v>
      </c>
      <c r="K1125">
        <v>52</v>
      </c>
      <c r="L1125">
        <v>500</v>
      </c>
      <c r="M1125">
        <v>499</v>
      </c>
      <c r="N1125">
        <v>1</v>
      </c>
      <c r="O1125">
        <v>15995</v>
      </c>
      <c r="P1125">
        <v>1</v>
      </c>
    </row>
    <row r="1126" spans="1:16" x14ac:dyDescent="0.2">
      <c r="A1126" s="3" t="s">
        <v>49</v>
      </c>
      <c r="B1126" s="3" t="s">
        <v>50</v>
      </c>
      <c r="C1126">
        <v>32</v>
      </c>
      <c r="D1126">
        <v>18000</v>
      </c>
      <c r="E1126">
        <v>499</v>
      </c>
      <c r="F1126">
        <v>1</v>
      </c>
      <c r="G1126">
        <v>18000</v>
      </c>
      <c r="H1126">
        <v>5.0762099999999998E-4</v>
      </c>
      <c r="I1126">
        <v>2923</v>
      </c>
      <c r="J1126">
        <v>2883</v>
      </c>
      <c r="K1126">
        <v>40</v>
      </c>
      <c r="L1126">
        <v>500</v>
      </c>
      <c r="M1126">
        <v>499</v>
      </c>
      <c r="N1126">
        <v>1</v>
      </c>
      <c r="O1126">
        <v>15077</v>
      </c>
      <c r="P1126">
        <v>1</v>
      </c>
    </row>
    <row r="1127" spans="1:16" x14ac:dyDescent="0.2">
      <c r="A1127" s="3" t="s">
        <v>49</v>
      </c>
      <c r="B1127" s="3" t="s">
        <v>50</v>
      </c>
      <c r="C1127">
        <v>29</v>
      </c>
      <c r="D1127">
        <v>20000</v>
      </c>
      <c r="E1127">
        <v>499</v>
      </c>
      <c r="F1127">
        <v>1</v>
      </c>
      <c r="G1127">
        <v>82302.7524576211</v>
      </c>
      <c r="H1127">
        <v>5.0648399999999997E-4</v>
      </c>
      <c r="I1127">
        <v>2950</v>
      </c>
      <c r="J1127">
        <v>2911</v>
      </c>
      <c r="K1127">
        <v>39</v>
      </c>
      <c r="L1127">
        <v>500</v>
      </c>
      <c r="M1127">
        <v>499</v>
      </c>
      <c r="N1127">
        <v>1</v>
      </c>
      <c r="O1127">
        <v>71538.9308583112</v>
      </c>
      <c r="P1127">
        <v>0</v>
      </c>
    </row>
    <row r="1128" spans="1:16" x14ac:dyDescent="0.2">
      <c r="A1128" s="3" t="s">
        <v>49</v>
      </c>
      <c r="B1128" s="3" t="s">
        <v>50</v>
      </c>
      <c r="C1128">
        <v>20</v>
      </c>
      <c r="D1128">
        <v>18000</v>
      </c>
      <c r="E1128">
        <v>499</v>
      </c>
      <c r="F1128">
        <v>1</v>
      </c>
      <c r="G1128">
        <v>18000</v>
      </c>
      <c r="H1128">
        <v>5.0329400000000005E-4</v>
      </c>
      <c r="I1128">
        <v>2991</v>
      </c>
      <c r="J1128">
        <v>2959</v>
      </c>
      <c r="K1128">
        <v>32</v>
      </c>
      <c r="L1128">
        <v>500</v>
      </c>
      <c r="M1128">
        <v>499</v>
      </c>
      <c r="N1128">
        <v>1</v>
      </c>
      <c r="O1128">
        <v>15009</v>
      </c>
      <c r="P1128">
        <v>1</v>
      </c>
    </row>
    <row r="1129" spans="1:16" x14ac:dyDescent="0.2">
      <c r="A1129" s="3" t="s">
        <v>49</v>
      </c>
      <c r="B1129" s="3" t="s">
        <v>50</v>
      </c>
      <c r="C1129">
        <v>34</v>
      </c>
      <c r="D1129">
        <v>19000</v>
      </c>
      <c r="E1129">
        <v>499</v>
      </c>
      <c r="F1129">
        <v>1</v>
      </c>
      <c r="G1129">
        <v>84218.384375429901</v>
      </c>
      <c r="H1129">
        <v>4.9148699999999998E-4</v>
      </c>
      <c r="I1129">
        <v>3000</v>
      </c>
      <c r="J1129">
        <v>2969</v>
      </c>
      <c r="K1129">
        <v>31</v>
      </c>
      <c r="L1129">
        <v>500</v>
      </c>
      <c r="M1129">
        <v>499</v>
      </c>
      <c r="N1129">
        <v>1</v>
      </c>
      <c r="O1129">
        <v>72736.721790618307</v>
      </c>
      <c r="P1129">
        <v>0</v>
      </c>
    </row>
    <row r="1130" spans="1:16" x14ac:dyDescent="0.2">
      <c r="A1130" s="3" t="s">
        <v>49</v>
      </c>
      <c r="B1130" s="3" t="s">
        <v>50</v>
      </c>
      <c r="C1130">
        <v>25</v>
      </c>
      <c r="D1130">
        <v>18000</v>
      </c>
      <c r="E1130">
        <v>499</v>
      </c>
      <c r="F1130">
        <v>1</v>
      </c>
      <c r="G1130">
        <v>18000</v>
      </c>
      <c r="H1130">
        <v>4.8710600000000001E-4</v>
      </c>
      <c r="I1130">
        <v>2958</v>
      </c>
      <c r="J1130">
        <v>2916</v>
      </c>
      <c r="K1130">
        <v>42</v>
      </c>
      <c r="L1130">
        <v>500</v>
      </c>
      <c r="M1130">
        <v>499</v>
      </c>
      <c r="N1130">
        <v>1</v>
      </c>
      <c r="O1130">
        <v>15042</v>
      </c>
      <c r="P1130">
        <v>1</v>
      </c>
    </row>
    <row r="1131" spans="1:16" x14ac:dyDescent="0.2">
      <c r="A1131" s="3" t="s">
        <v>49</v>
      </c>
      <c r="B1131" s="3" t="s">
        <v>50</v>
      </c>
      <c r="C1131">
        <v>6</v>
      </c>
      <c r="D1131">
        <v>18000</v>
      </c>
      <c r="E1131">
        <v>499</v>
      </c>
      <c r="F1131">
        <v>1</v>
      </c>
      <c r="G1131">
        <v>18000</v>
      </c>
      <c r="H1131">
        <v>4.8288900000000002E-4</v>
      </c>
      <c r="I1131">
        <v>2973</v>
      </c>
      <c r="J1131">
        <v>2941</v>
      </c>
      <c r="K1131">
        <v>32</v>
      </c>
      <c r="L1131">
        <v>500</v>
      </c>
      <c r="M1131">
        <v>499</v>
      </c>
      <c r="N1131">
        <v>1</v>
      </c>
      <c r="O1131">
        <v>15027</v>
      </c>
      <c r="P1131">
        <v>1</v>
      </c>
    </row>
    <row r="1132" spans="1:16" x14ac:dyDescent="0.2">
      <c r="A1132" s="3" t="s">
        <v>49</v>
      </c>
      <c r="B1132" s="3" t="s">
        <v>50</v>
      </c>
      <c r="C1132">
        <v>13</v>
      </c>
      <c r="D1132">
        <v>20000</v>
      </c>
      <c r="E1132">
        <v>499</v>
      </c>
      <c r="F1132">
        <v>1</v>
      </c>
      <c r="G1132">
        <v>20000</v>
      </c>
      <c r="H1132">
        <v>4.8257699999999998E-4</v>
      </c>
      <c r="I1132">
        <v>3003</v>
      </c>
      <c r="J1132">
        <v>2959</v>
      </c>
      <c r="K1132">
        <v>44</v>
      </c>
      <c r="L1132">
        <v>500</v>
      </c>
      <c r="M1132">
        <v>499</v>
      </c>
      <c r="N1132">
        <v>1</v>
      </c>
      <c r="O1132">
        <v>16997</v>
      </c>
      <c r="P1132">
        <v>1</v>
      </c>
    </row>
    <row r="1133" spans="1:16" x14ac:dyDescent="0.2">
      <c r="A1133" s="3" t="s">
        <v>49</v>
      </c>
      <c r="B1133" s="3" t="s">
        <v>50</v>
      </c>
      <c r="C1133">
        <v>3</v>
      </c>
      <c r="D1133">
        <v>18000</v>
      </c>
      <c r="E1133">
        <v>499</v>
      </c>
      <c r="F1133">
        <v>1</v>
      </c>
      <c r="G1133">
        <v>18000</v>
      </c>
      <c r="H1133">
        <v>4.7350300000000001E-4</v>
      </c>
      <c r="I1133">
        <v>2953</v>
      </c>
      <c r="J1133">
        <v>2917</v>
      </c>
      <c r="K1133">
        <v>36</v>
      </c>
      <c r="L1133">
        <v>500</v>
      </c>
      <c r="M1133">
        <v>499</v>
      </c>
      <c r="N1133">
        <v>1</v>
      </c>
      <c r="O1133">
        <v>15047</v>
      </c>
      <c r="P1133">
        <v>1</v>
      </c>
    </row>
    <row r="1134" spans="1:16" x14ac:dyDescent="0.2">
      <c r="A1134" s="3" t="s">
        <v>49</v>
      </c>
      <c r="B1134" s="3" t="s">
        <v>50</v>
      </c>
      <c r="C1134">
        <v>12</v>
      </c>
      <c r="D1134">
        <v>18000</v>
      </c>
      <c r="E1134">
        <v>499</v>
      </c>
      <c r="F1134">
        <v>1</v>
      </c>
      <c r="G1134">
        <v>18000</v>
      </c>
      <c r="H1134">
        <v>4.6263100000000002E-4</v>
      </c>
      <c r="I1134">
        <v>2988</v>
      </c>
      <c r="J1134">
        <v>2948</v>
      </c>
      <c r="K1134">
        <v>40</v>
      </c>
      <c r="L1134">
        <v>500</v>
      </c>
      <c r="M1134">
        <v>499</v>
      </c>
      <c r="N1134">
        <v>1</v>
      </c>
      <c r="O1134">
        <v>15012</v>
      </c>
      <c r="P1134">
        <v>1</v>
      </c>
    </row>
    <row r="1135" spans="1:16" x14ac:dyDescent="0.2">
      <c r="A1135" s="3" t="s">
        <v>49</v>
      </c>
      <c r="B1135" s="3" t="s">
        <v>50</v>
      </c>
      <c r="C1135">
        <v>5</v>
      </c>
      <c r="D1135">
        <v>19000</v>
      </c>
      <c r="E1135">
        <v>499</v>
      </c>
      <c r="F1135">
        <v>1</v>
      </c>
      <c r="G1135">
        <v>19000</v>
      </c>
      <c r="H1135">
        <v>4.6098200000000003E-4</v>
      </c>
      <c r="I1135">
        <v>3014</v>
      </c>
      <c r="J1135">
        <v>2969</v>
      </c>
      <c r="K1135">
        <v>45</v>
      </c>
      <c r="L1135">
        <v>500</v>
      </c>
      <c r="M1135">
        <v>499</v>
      </c>
      <c r="N1135">
        <v>1</v>
      </c>
      <c r="O1135">
        <v>15986</v>
      </c>
      <c r="P1135">
        <v>1</v>
      </c>
    </row>
    <row r="1136" spans="1:16" x14ac:dyDescent="0.2">
      <c r="A1136" s="3" t="s">
        <v>49</v>
      </c>
      <c r="B1136" s="3" t="s">
        <v>50</v>
      </c>
      <c r="C1136">
        <v>41</v>
      </c>
      <c r="D1136">
        <v>18000</v>
      </c>
      <c r="E1136">
        <v>499</v>
      </c>
      <c r="F1136">
        <v>1</v>
      </c>
      <c r="G1136">
        <v>18000</v>
      </c>
      <c r="H1136">
        <v>4.5986300000000003E-4</v>
      </c>
      <c r="I1136">
        <v>2924</v>
      </c>
      <c r="J1136">
        <v>2903</v>
      </c>
      <c r="K1136">
        <v>21</v>
      </c>
      <c r="L1136">
        <v>500</v>
      </c>
      <c r="M1136">
        <v>499</v>
      </c>
      <c r="N1136">
        <v>1</v>
      </c>
      <c r="O1136">
        <v>15076</v>
      </c>
      <c r="P1136">
        <v>1</v>
      </c>
    </row>
    <row r="1137" spans="1:16" x14ac:dyDescent="0.2">
      <c r="A1137" s="3" t="s">
        <v>49</v>
      </c>
      <c r="B1137" s="3" t="s">
        <v>50</v>
      </c>
      <c r="C1137">
        <v>46</v>
      </c>
      <c r="D1137">
        <v>16000</v>
      </c>
      <c r="E1137">
        <v>499</v>
      </c>
      <c r="F1137">
        <v>1</v>
      </c>
      <c r="G1137">
        <v>16000</v>
      </c>
      <c r="H1137">
        <v>4.5593899999999999E-4</v>
      </c>
      <c r="I1137">
        <v>2966</v>
      </c>
      <c r="J1137">
        <v>2935</v>
      </c>
      <c r="K1137">
        <v>31</v>
      </c>
      <c r="L1137">
        <v>500</v>
      </c>
      <c r="M1137">
        <v>499</v>
      </c>
      <c r="N1137">
        <v>1</v>
      </c>
      <c r="O1137">
        <v>13034</v>
      </c>
      <c r="P1137">
        <v>1</v>
      </c>
    </row>
    <row r="1138" spans="1:16" x14ac:dyDescent="0.2">
      <c r="A1138" s="3" t="s">
        <v>49</v>
      </c>
      <c r="B1138" s="3" t="s">
        <v>50</v>
      </c>
      <c r="C1138">
        <v>1</v>
      </c>
      <c r="D1138">
        <v>13000</v>
      </c>
      <c r="E1138">
        <v>499</v>
      </c>
      <c r="F1138">
        <v>1</v>
      </c>
      <c r="G1138">
        <v>13000</v>
      </c>
      <c r="H1138">
        <v>4.5417899999999998E-4</v>
      </c>
      <c r="I1138">
        <v>2860</v>
      </c>
      <c r="J1138">
        <v>2835</v>
      </c>
      <c r="K1138">
        <v>25</v>
      </c>
      <c r="L1138">
        <v>500</v>
      </c>
      <c r="M1138">
        <v>499</v>
      </c>
      <c r="N1138">
        <v>1</v>
      </c>
      <c r="O1138">
        <v>10140</v>
      </c>
      <c r="P1138">
        <v>1</v>
      </c>
    </row>
    <row r="1139" spans="1:16" x14ac:dyDescent="0.2">
      <c r="A1139" s="3" t="s">
        <v>49</v>
      </c>
      <c r="B1139" s="3" t="s">
        <v>50</v>
      </c>
      <c r="C1139">
        <v>19</v>
      </c>
      <c r="D1139">
        <v>18000</v>
      </c>
      <c r="E1139">
        <v>499</v>
      </c>
      <c r="F1139">
        <v>1</v>
      </c>
      <c r="G1139">
        <v>18000</v>
      </c>
      <c r="H1139">
        <v>4.5228199999999998E-4</v>
      </c>
      <c r="I1139">
        <v>2957</v>
      </c>
      <c r="J1139">
        <v>2923</v>
      </c>
      <c r="K1139">
        <v>34</v>
      </c>
      <c r="L1139">
        <v>500</v>
      </c>
      <c r="M1139">
        <v>499</v>
      </c>
      <c r="N1139">
        <v>1</v>
      </c>
      <c r="O1139">
        <v>15043</v>
      </c>
      <c r="P1139">
        <v>1</v>
      </c>
    </row>
    <row r="1140" spans="1:16" x14ac:dyDescent="0.2">
      <c r="A1140" s="3" t="s">
        <v>49</v>
      </c>
      <c r="B1140" s="3" t="s">
        <v>50</v>
      </c>
      <c r="C1140">
        <v>32</v>
      </c>
      <c r="D1140">
        <v>20000</v>
      </c>
      <c r="E1140">
        <v>499</v>
      </c>
      <c r="F1140">
        <v>1</v>
      </c>
      <c r="G1140">
        <v>82302.7524576211</v>
      </c>
      <c r="H1140">
        <v>4.5149300000000002E-4</v>
      </c>
      <c r="I1140">
        <v>3018</v>
      </c>
      <c r="J1140">
        <v>2971</v>
      </c>
      <c r="K1140">
        <v>47</v>
      </c>
      <c r="L1140">
        <v>500</v>
      </c>
      <c r="M1140">
        <v>499</v>
      </c>
      <c r="N1140">
        <v>1</v>
      </c>
      <c r="O1140">
        <v>71428.029157719997</v>
      </c>
      <c r="P1140">
        <v>0</v>
      </c>
    </row>
    <row r="1141" spans="1:16" x14ac:dyDescent="0.2">
      <c r="A1141" s="3" t="s">
        <v>49</v>
      </c>
      <c r="B1141" s="3" t="s">
        <v>50</v>
      </c>
      <c r="C1141">
        <v>28</v>
      </c>
      <c r="D1141">
        <v>17000</v>
      </c>
      <c r="E1141">
        <v>499</v>
      </c>
      <c r="F1141">
        <v>1</v>
      </c>
      <c r="G1141">
        <v>65872.258119671897</v>
      </c>
      <c r="H1141">
        <v>4.4691899999999999E-4</v>
      </c>
      <c r="I1141">
        <v>2954</v>
      </c>
      <c r="J1141">
        <v>2922</v>
      </c>
      <c r="K1141">
        <v>32</v>
      </c>
      <c r="L1141">
        <v>500</v>
      </c>
      <c r="M1141">
        <v>499</v>
      </c>
      <c r="N1141">
        <v>1</v>
      </c>
      <c r="O1141">
        <v>55588.6703417354</v>
      </c>
      <c r="P1141">
        <v>0</v>
      </c>
    </row>
    <row r="1142" spans="1:16" x14ac:dyDescent="0.2">
      <c r="A1142" s="3" t="s">
        <v>49</v>
      </c>
      <c r="B1142" s="3" t="s">
        <v>50</v>
      </c>
      <c r="C1142">
        <v>46</v>
      </c>
      <c r="D1142">
        <v>15000</v>
      </c>
      <c r="E1142">
        <v>499</v>
      </c>
      <c r="F1142">
        <v>1</v>
      </c>
      <c r="G1142">
        <v>15000</v>
      </c>
      <c r="H1142">
        <v>4.4402299999999999E-4</v>
      </c>
      <c r="I1142">
        <v>2869</v>
      </c>
      <c r="J1142">
        <v>2840</v>
      </c>
      <c r="K1142">
        <v>29</v>
      </c>
      <c r="L1142">
        <v>500</v>
      </c>
      <c r="M1142">
        <v>499</v>
      </c>
      <c r="N1142">
        <v>1</v>
      </c>
      <c r="O1142">
        <v>12131</v>
      </c>
      <c r="P1142">
        <v>1</v>
      </c>
    </row>
    <row r="1143" spans="1:16" x14ac:dyDescent="0.2">
      <c r="A1143" s="3" t="s">
        <v>49</v>
      </c>
      <c r="B1143" s="3" t="s">
        <v>50</v>
      </c>
      <c r="C1143">
        <v>13</v>
      </c>
      <c r="D1143">
        <v>18000</v>
      </c>
      <c r="E1143">
        <v>499</v>
      </c>
      <c r="F1143">
        <v>1</v>
      </c>
      <c r="G1143">
        <v>18000</v>
      </c>
      <c r="H1143">
        <v>4.4177700000000002E-4</v>
      </c>
      <c r="I1143">
        <v>2985</v>
      </c>
      <c r="J1143">
        <v>2951</v>
      </c>
      <c r="K1143">
        <v>34</v>
      </c>
      <c r="L1143">
        <v>500</v>
      </c>
      <c r="M1143">
        <v>499</v>
      </c>
      <c r="N1143">
        <v>1</v>
      </c>
      <c r="O1143">
        <v>15015</v>
      </c>
      <c r="P1143">
        <v>1</v>
      </c>
    </row>
    <row r="1144" spans="1:16" x14ac:dyDescent="0.2">
      <c r="A1144" s="3" t="s">
        <v>49</v>
      </c>
      <c r="B1144" s="3" t="s">
        <v>50</v>
      </c>
      <c r="C1144">
        <v>9</v>
      </c>
      <c r="D1144">
        <v>14000</v>
      </c>
      <c r="E1144">
        <v>499</v>
      </c>
      <c r="F1144">
        <v>1</v>
      </c>
      <c r="G1144">
        <v>14000</v>
      </c>
      <c r="H1144">
        <v>4.14387E-4</v>
      </c>
      <c r="I1144">
        <v>2858</v>
      </c>
      <c r="J1144">
        <v>2834</v>
      </c>
      <c r="K1144">
        <v>24</v>
      </c>
      <c r="L1144">
        <v>500</v>
      </c>
      <c r="M1144">
        <v>499</v>
      </c>
      <c r="N1144">
        <v>1</v>
      </c>
      <c r="O1144">
        <v>11142</v>
      </c>
      <c r="P1144">
        <v>1</v>
      </c>
    </row>
    <row r="1145" spans="1:16" x14ac:dyDescent="0.2">
      <c r="A1145" s="3" t="s">
        <v>49</v>
      </c>
      <c r="B1145" s="3" t="s">
        <v>50</v>
      </c>
      <c r="C1145">
        <v>32</v>
      </c>
      <c r="D1145">
        <v>17000</v>
      </c>
      <c r="E1145">
        <v>499</v>
      </c>
      <c r="F1145">
        <v>1</v>
      </c>
      <c r="G1145">
        <v>17000</v>
      </c>
      <c r="H1145">
        <v>4.1385499999999997E-4</v>
      </c>
      <c r="I1145">
        <v>2930</v>
      </c>
      <c r="J1145">
        <v>2898</v>
      </c>
      <c r="K1145">
        <v>32</v>
      </c>
      <c r="L1145">
        <v>500</v>
      </c>
      <c r="M1145">
        <v>499</v>
      </c>
      <c r="N1145">
        <v>1</v>
      </c>
      <c r="O1145">
        <v>14070</v>
      </c>
      <c r="P1145">
        <v>1</v>
      </c>
    </row>
    <row r="1146" spans="1:16" x14ac:dyDescent="0.2">
      <c r="A1146" s="3" t="s">
        <v>49</v>
      </c>
      <c r="B1146" s="3" t="s">
        <v>50</v>
      </c>
      <c r="C1146">
        <v>15</v>
      </c>
      <c r="D1146">
        <v>19000</v>
      </c>
      <c r="E1146">
        <v>499</v>
      </c>
      <c r="F1146">
        <v>1</v>
      </c>
      <c r="G1146">
        <v>19000</v>
      </c>
      <c r="H1146">
        <v>4.02929E-4</v>
      </c>
      <c r="I1146">
        <v>2990</v>
      </c>
      <c r="J1146">
        <v>2942</v>
      </c>
      <c r="K1146">
        <v>48</v>
      </c>
      <c r="L1146">
        <v>500</v>
      </c>
      <c r="M1146">
        <v>499</v>
      </c>
      <c r="N1146">
        <v>1</v>
      </c>
      <c r="O1146">
        <v>16010</v>
      </c>
      <c r="P1146">
        <v>1</v>
      </c>
    </row>
    <row r="1147" spans="1:16" x14ac:dyDescent="0.2">
      <c r="A1147" s="3" t="s">
        <v>49</v>
      </c>
      <c r="B1147" s="3" t="s">
        <v>50</v>
      </c>
      <c r="C1147">
        <v>12</v>
      </c>
      <c r="D1147">
        <v>15000</v>
      </c>
      <c r="E1147">
        <v>499</v>
      </c>
      <c r="F1147">
        <v>1</v>
      </c>
      <c r="G1147">
        <v>15000</v>
      </c>
      <c r="H1147">
        <v>4.0174600000000003E-4</v>
      </c>
      <c r="I1147">
        <v>2878</v>
      </c>
      <c r="J1147">
        <v>2854</v>
      </c>
      <c r="K1147">
        <v>24</v>
      </c>
      <c r="L1147">
        <v>500</v>
      </c>
      <c r="M1147">
        <v>499</v>
      </c>
      <c r="N1147">
        <v>1</v>
      </c>
      <c r="O1147">
        <v>12122</v>
      </c>
      <c r="P1147">
        <v>1</v>
      </c>
    </row>
    <row r="1148" spans="1:16" x14ac:dyDescent="0.2">
      <c r="A1148" s="3" t="s">
        <v>49</v>
      </c>
      <c r="B1148" s="3" t="s">
        <v>50</v>
      </c>
      <c r="C1148">
        <v>11</v>
      </c>
      <c r="D1148">
        <v>14000</v>
      </c>
      <c r="E1148">
        <v>499</v>
      </c>
      <c r="F1148">
        <v>1</v>
      </c>
      <c r="G1148">
        <v>14000</v>
      </c>
      <c r="H1148">
        <v>4.01572E-4</v>
      </c>
      <c r="I1148">
        <v>2834</v>
      </c>
      <c r="J1148">
        <v>2800</v>
      </c>
      <c r="K1148">
        <v>34</v>
      </c>
      <c r="L1148">
        <v>500</v>
      </c>
      <c r="M1148">
        <v>499</v>
      </c>
      <c r="N1148">
        <v>1</v>
      </c>
      <c r="O1148">
        <v>11166</v>
      </c>
      <c r="P1148">
        <v>1</v>
      </c>
    </row>
    <row r="1149" spans="1:16" x14ac:dyDescent="0.2">
      <c r="A1149" s="3" t="s">
        <v>49</v>
      </c>
      <c r="B1149" s="3" t="s">
        <v>50</v>
      </c>
      <c r="C1149">
        <v>21</v>
      </c>
      <c r="D1149">
        <v>15000</v>
      </c>
      <c r="E1149">
        <v>499</v>
      </c>
      <c r="F1149">
        <v>1</v>
      </c>
      <c r="G1149">
        <v>15000</v>
      </c>
      <c r="H1149">
        <v>4.0142500000000001E-4</v>
      </c>
      <c r="I1149">
        <v>2900</v>
      </c>
      <c r="J1149">
        <v>2868</v>
      </c>
      <c r="K1149">
        <v>32</v>
      </c>
      <c r="L1149">
        <v>500</v>
      </c>
      <c r="M1149">
        <v>499</v>
      </c>
      <c r="N1149">
        <v>1</v>
      </c>
      <c r="O1149">
        <v>12100</v>
      </c>
      <c r="P1149">
        <v>1</v>
      </c>
    </row>
    <row r="1150" spans="1:16" x14ac:dyDescent="0.2">
      <c r="A1150" s="3" t="s">
        <v>49</v>
      </c>
      <c r="B1150" s="3" t="s">
        <v>50</v>
      </c>
      <c r="C1150">
        <v>32</v>
      </c>
      <c r="D1150">
        <v>19000</v>
      </c>
      <c r="E1150">
        <v>499</v>
      </c>
      <c r="F1150">
        <v>1</v>
      </c>
      <c r="G1150">
        <v>19000</v>
      </c>
      <c r="H1150">
        <v>4.0004100000000001E-4</v>
      </c>
      <c r="I1150">
        <v>3022</v>
      </c>
      <c r="J1150">
        <v>2978</v>
      </c>
      <c r="K1150">
        <v>44</v>
      </c>
      <c r="L1150">
        <v>500</v>
      </c>
      <c r="M1150">
        <v>499</v>
      </c>
      <c r="N1150">
        <v>1</v>
      </c>
      <c r="O1150">
        <v>15978</v>
      </c>
      <c r="P1150">
        <v>1</v>
      </c>
    </row>
    <row r="1151" spans="1:16" x14ac:dyDescent="0.2">
      <c r="A1151" s="3" t="s">
        <v>49</v>
      </c>
      <c r="B1151" s="3" t="s">
        <v>50</v>
      </c>
      <c r="C1151">
        <v>4</v>
      </c>
      <c r="D1151">
        <v>20000</v>
      </c>
      <c r="E1151">
        <v>499</v>
      </c>
      <c r="F1151">
        <v>1</v>
      </c>
      <c r="G1151">
        <v>82302.7524576211</v>
      </c>
      <c r="H1151">
        <v>3.9654799999999999E-4</v>
      </c>
      <c r="I1151">
        <v>3028</v>
      </c>
      <c r="J1151">
        <v>2997</v>
      </c>
      <c r="K1151">
        <v>31</v>
      </c>
      <c r="L1151">
        <v>500</v>
      </c>
      <c r="M1151">
        <v>499</v>
      </c>
      <c r="N1151">
        <v>1</v>
      </c>
      <c r="O1151">
        <v>71423.057819869602</v>
      </c>
      <c r="P1151">
        <v>0</v>
      </c>
    </row>
    <row r="1152" spans="1:16" x14ac:dyDescent="0.2">
      <c r="A1152" s="3" t="s">
        <v>49</v>
      </c>
      <c r="B1152" s="3" t="s">
        <v>50</v>
      </c>
      <c r="C1152">
        <v>49</v>
      </c>
      <c r="D1152">
        <v>19000</v>
      </c>
      <c r="E1152">
        <v>499</v>
      </c>
      <c r="F1152">
        <v>1</v>
      </c>
      <c r="G1152">
        <v>84218.384375429901</v>
      </c>
      <c r="H1152">
        <v>3.9217599999999999E-4</v>
      </c>
      <c r="I1152">
        <v>2948</v>
      </c>
      <c r="J1152">
        <v>2918</v>
      </c>
      <c r="K1152">
        <v>30</v>
      </c>
      <c r="L1152">
        <v>500</v>
      </c>
      <c r="M1152">
        <v>499</v>
      </c>
      <c r="N1152">
        <v>1</v>
      </c>
      <c r="O1152">
        <v>72836.411686977997</v>
      </c>
      <c r="P1152">
        <v>0</v>
      </c>
    </row>
    <row r="1153" spans="1:16" x14ac:dyDescent="0.2">
      <c r="A1153" s="3" t="s">
        <v>49</v>
      </c>
      <c r="B1153" s="3" t="s">
        <v>50</v>
      </c>
      <c r="C1153">
        <v>18</v>
      </c>
      <c r="D1153">
        <v>20000</v>
      </c>
      <c r="E1153">
        <v>499</v>
      </c>
      <c r="F1153">
        <v>1</v>
      </c>
      <c r="G1153">
        <v>82302.7524576211</v>
      </c>
      <c r="H1153">
        <v>3.8821599999999998E-4</v>
      </c>
      <c r="I1153">
        <v>3025</v>
      </c>
      <c r="J1153">
        <v>2989</v>
      </c>
      <c r="K1153">
        <v>36</v>
      </c>
      <c r="L1153">
        <v>500</v>
      </c>
      <c r="M1153">
        <v>499</v>
      </c>
      <c r="N1153">
        <v>1</v>
      </c>
      <c r="O1153">
        <v>71293.100912392401</v>
      </c>
      <c r="P1153">
        <v>0</v>
      </c>
    </row>
    <row r="1154" spans="1:16" x14ac:dyDescent="0.2">
      <c r="A1154" s="3" t="s">
        <v>49</v>
      </c>
      <c r="B1154" s="3" t="s">
        <v>50</v>
      </c>
      <c r="C1154">
        <v>44</v>
      </c>
      <c r="D1154">
        <v>14000</v>
      </c>
      <c r="E1154">
        <v>499</v>
      </c>
      <c r="F1154">
        <v>1</v>
      </c>
      <c r="G1154">
        <v>14000</v>
      </c>
      <c r="H1154">
        <v>3.85311E-4</v>
      </c>
      <c r="I1154">
        <v>2881</v>
      </c>
      <c r="J1154">
        <v>2848</v>
      </c>
      <c r="K1154">
        <v>33</v>
      </c>
      <c r="L1154">
        <v>500</v>
      </c>
      <c r="M1154">
        <v>499</v>
      </c>
      <c r="N1154">
        <v>1</v>
      </c>
      <c r="O1154">
        <v>11119</v>
      </c>
      <c r="P1154">
        <v>1</v>
      </c>
    </row>
    <row r="1155" spans="1:16" x14ac:dyDescent="0.2">
      <c r="A1155" s="3" t="s">
        <v>49</v>
      </c>
      <c r="B1155" s="3" t="s">
        <v>50</v>
      </c>
      <c r="C1155">
        <v>15</v>
      </c>
      <c r="D1155">
        <v>18000</v>
      </c>
      <c r="E1155">
        <v>499</v>
      </c>
      <c r="F1155">
        <v>1</v>
      </c>
      <c r="G1155">
        <v>18000</v>
      </c>
      <c r="H1155">
        <v>3.8461399999999997E-4</v>
      </c>
      <c r="I1155">
        <v>2960</v>
      </c>
      <c r="J1155">
        <v>2927</v>
      </c>
      <c r="K1155">
        <v>33</v>
      </c>
      <c r="L1155">
        <v>500</v>
      </c>
      <c r="M1155">
        <v>499</v>
      </c>
      <c r="N1155">
        <v>1</v>
      </c>
      <c r="O1155">
        <v>15040</v>
      </c>
      <c r="P1155">
        <v>1</v>
      </c>
    </row>
    <row r="1156" spans="1:16" x14ac:dyDescent="0.2">
      <c r="A1156" s="3" t="s">
        <v>49</v>
      </c>
      <c r="B1156" s="3" t="s">
        <v>50</v>
      </c>
      <c r="C1156">
        <v>28</v>
      </c>
      <c r="D1156">
        <v>14000</v>
      </c>
      <c r="E1156">
        <v>499</v>
      </c>
      <c r="F1156">
        <v>1</v>
      </c>
      <c r="G1156">
        <v>14000</v>
      </c>
      <c r="H1156">
        <v>3.8411000000000001E-4</v>
      </c>
      <c r="I1156">
        <v>2839</v>
      </c>
      <c r="J1156">
        <v>2812</v>
      </c>
      <c r="K1156">
        <v>27</v>
      </c>
      <c r="L1156">
        <v>500</v>
      </c>
      <c r="M1156">
        <v>499</v>
      </c>
      <c r="N1156">
        <v>1</v>
      </c>
      <c r="O1156">
        <v>11161</v>
      </c>
      <c r="P1156">
        <v>1</v>
      </c>
    </row>
    <row r="1157" spans="1:16" x14ac:dyDescent="0.2">
      <c r="A1157" s="3" t="s">
        <v>49</v>
      </c>
      <c r="B1157" s="3" t="s">
        <v>50</v>
      </c>
      <c r="C1157">
        <v>41</v>
      </c>
      <c r="D1157">
        <v>20000</v>
      </c>
      <c r="E1157">
        <v>499</v>
      </c>
      <c r="F1157">
        <v>1</v>
      </c>
      <c r="G1157">
        <v>82302.7524576211</v>
      </c>
      <c r="H1157">
        <v>3.82405E-4</v>
      </c>
      <c r="I1157">
        <v>3012</v>
      </c>
      <c r="J1157">
        <v>2977</v>
      </c>
      <c r="K1157">
        <v>35</v>
      </c>
      <c r="L1157">
        <v>500</v>
      </c>
      <c r="M1157">
        <v>499</v>
      </c>
      <c r="N1157">
        <v>1</v>
      </c>
      <c r="O1157">
        <v>71372.468403072402</v>
      </c>
      <c r="P1157">
        <v>0</v>
      </c>
    </row>
    <row r="1158" spans="1:16" x14ac:dyDescent="0.2">
      <c r="A1158" s="3" t="s">
        <v>49</v>
      </c>
      <c r="B1158" s="3" t="s">
        <v>50</v>
      </c>
      <c r="C1158">
        <v>16</v>
      </c>
      <c r="D1158">
        <v>20000</v>
      </c>
      <c r="E1158">
        <v>499</v>
      </c>
      <c r="F1158">
        <v>1</v>
      </c>
      <c r="G1158">
        <v>82302.7524576211</v>
      </c>
      <c r="H1158">
        <v>3.81882E-4</v>
      </c>
      <c r="I1158">
        <v>3022</v>
      </c>
      <c r="J1158">
        <v>2981</v>
      </c>
      <c r="K1158">
        <v>41</v>
      </c>
      <c r="L1158">
        <v>500</v>
      </c>
      <c r="M1158">
        <v>499</v>
      </c>
      <c r="N1158">
        <v>1</v>
      </c>
      <c r="O1158">
        <v>71422.654893659899</v>
      </c>
      <c r="P1158">
        <v>0</v>
      </c>
    </row>
    <row r="1159" spans="1:16" x14ac:dyDescent="0.2">
      <c r="A1159" s="3" t="s">
        <v>49</v>
      </c>
      <c r="B1159" s="3" t="s">
        <v>50</v>
      </c>
      <c r="C1159">
        <v>35</v>
      </c>
      <c r="D1159">
        <v>17000</v>
      </c>
      <c r="E1159">
        <v>499</v>
      </c>
      <c r="F1159">
        <v>1</v>
      </c>
      <c r="G1159">
        <v>17000</v>
      </c>
      <c r="H1159">
        <v>3.8173500000000002E-4</v>
      </c>
      <c r="I1159">
        <v>2980</v>
      </c>
      <c r="J1159">
        <v>2947</v>
      </c>
      <c r="K1159">
        <v>33</v>
      </c>
      <c r="L1159">
        <v>500</v>
      </c>
      <c r="M1159">
        <v>499</v>
      </c>
      <c r="N1159">
        <v>1</v>
      </c>
      <c r="O1159">
        <v>14020</v>
      </c>
      <c r="P1159">
        <v>1</v>
      </c>
    </row>
    <row r="1160" spans="1:16" x14ac:dyDescent="0.2">
      <c r="A1160" s="3" t="s">
        <v>49</v>
      </c>
      <c r="B1160" s="3" t="s">
        <v>50</v>
      </c>
      <c r="C1160">
        <v>46</v>
      </c>
      <c r="D1160">
        <v>20000</v>
      </c>
      <c r="E1160">
        <v>499</v>
      </c>
      <c r="F1160">
        <v>1</v>
      </c>
      <c r="G1160">
        <v>20000</v>
      </c>
      <c r="H1160">
        <v>3.8159799999999997E-4</v>
      </c>
      <c r="I1160">
        <v>2978</v>
      </c>
      <c r="J1160">
        <v>2941</v>
      </c>
      <c r="K1160">
        <v>37</v>
      </c>
      <c r="L1160">
        <v>500</v>
      </c>
      <c r="M1160">
        <v>499</v>
      </c>
      <c r="N1160">
        <v>1</v>
      </c>
      <c r="O1160">
        <v>17022</v>
      </c>
      <c r="P1160">
        <v>1</v>
      </c>
    </row>
    <row r="1161" spans="1:16" x14ac:dyDescent="0.2">
      <c r="A1161" s="3" t="s">
        <v>49</v>
      </c>
      <c r="B1161" s="3" t="s">
        <v>50</v>
      </c>
      <c r="C1161">
        <v>30</v>
      </c>
      <c r="D1161">
        <v>20000</v>
      </c>
      <c r="E1161">
        <v>499</v>
      </c>
      <c r="F1161">
        <v>1</v>
      </c>
      <c r="G1161">
        <v>82302.7524576211</v>
      </c>
      <c r="H1161">
        <v>3.81021E-4</v>
      </c>
      <c r="I1161">
        <v>2982</v>
      </c>
      <c r="J1161">
        <v>2947</v>
      </c>
      <c r="K1161">
        <v>35</v>
      </c>
      <c r="L1161">
        <v>500</v>
      </c>
      <c r="M1161">
        <v>499</v>
      </c>
      <c r="N1161">
        <v>1</v>
      </c>
      <c r="O1161">
        <v>71504.674191435202</v>
      </c>
      <c r="P1161">
        <v>0</v>
      </c>
    </row>
    <row r="1162" spans="1:16" x14ac:dyDescent="0.2">
      <c r="A1162" s="3" t="s">
        <v>49</v>
      </c>
      <c r="B1162" s="3" t="s">
        <v>50</v>
      </c>
      <c r="C1162">
        <v>44</v>
      </c>
      <c r="D1162">
        <v>13000</v>
      </c>
      <c r="E1162">
        <v>499</v>
      </c>
      <c r="F1162">
        <v>1</v>
      </c>
      <c r="G1162">
        <v>13000</v>
      </c>
      <c r="H1162">
        <v>3.8040600000000002E-4</v>
      </c>
      <c r="I1162">
        <v>2780</v>
      </c>
      <c r="J1162">
        <v>2756</v>
      </c>
      <c r="K1162">
        <v>24</v>
      </c>
      <c r="L1162">
        <v>500</v>
      </c>
      <c r="M1162">
        <v>499</v>
      </c>
      <c r="N1162">
        <v>1</v>
      </c>
      <c r="O1162">
        <v>10220</v>
      </c>
      <c r="P1162">
        <v>1</v>
      </c>
    </row>
    <row r="1163" spans="1:16" x14ac:dyDescent="0.2">
      <c r="A1163" s="3" t="s">
        <v>49</v>
      </c>
      <c r="B1163" s="3" t="s">
        <v>50</v>
      </c>
      <c r="C1163">
        <v>46</v>
      </c>
      <c r="D1163">
        <v>14000</v>
      </c>
      <c r="E1163">
        <v>499</v>
      </c>
      <c r="F1163">
        <v>1</v>
      </c>
      <c r="G1163">
        <v>58565.0323707059</v>
      </c>
      <c r="H1163">
        <v>3.77124E-4</v>
      </c>
      <c r="I1163">
        <v>2838</v>
      </c>
      <c r="J1163">
        <v>2813</v>
      </c>
      <c r="K1163">
        <v>25</v>
      </c>
      <c r="L1163">
        <v>500</v>
      </c>
      <c r="M1163">
        <v>499</v>
      </c>
      <c r="N1163">
        <v>1</v>
      </c>
      <c r="O1163">
        <v>48254.887453715099</v>
      </c>
      <c r="P1163">
        <v>0</v>
      </c>
    </row>
    <row r="1164" spans="1:16" x14ac:dyDescent="0.2">
      <c r="A1164" s="3" t="s">
        <v>49</v>
      </c>
      <c r="B1164" s="3" t="s">
        <v>50</v>
      </c>
      <c r="C1164">
        <v>1</v>
      </c>
      <c r="D1164">
        <v>12000</v>
      </c>
      <c r="E1164">
        <v>499</v>
      </c>
      <c r="F1164">
        <v>1</v>
      </c>
      <c r="G1164">
        <v>12000</v>
      </c>
      <c r="H1164">
        <v>3.7711500000000002E-4</v>
      </c>
      <c r="I1164">
        <v>2803</v>
      </c>
      <c r="J1164">
        <v>2777</v>
      </c>
      <c r="K1164">
        <v>26</v>
      </c>
      <c r="L1164">
        <v>500</v>
      </c>
      <c r="M1164">
        <v>499</v>
      </c>
      <c r="N1164">
        <v>1</v>
      </c>
      <c r="O1164">
        <v>9197</v>
      </c>
      <c r="P1164">
        <v>1</v>
      </c>
    </row>
    <row r="1165" spans="1:16" x14ac:dyDescent="0.2">
      <c r="A1165" s="3" t="s">
        <v>49</v>
      </c>
      <c r="B1165" s="3" t="s">
        <v>50</v>
      </c>
      <c r="C1165">
        <v>36</v>
      </c>
      <c r="D1165">
        <v>20000</v>
      </c>
      <c r="E1165">
        <v>499</v>
      </c>
      <c r="F1165">
        <v>1</v>
      </c>
      <c r="G1165">
        <v>82302.7524576211</v>
      </c>
      <c r="H1165">
        <v>3.7688700000000001E-4</v>
      </c>
      <c r="I1165">
        <v>3077</v>
      </c>
      <c r="J1165">
        <v>3045</v>
      </c>
      <c r="K1165">
        <v>32</v>
      </c>
      <c r="L1165">
        <v>500</v>
      </c>
      <c r="M1165">
        <v>499</v>
      </c>
      <c r="N1165">
        <v>1</v>
      </c>
      <c r="O1165">
        <v>71263.636759497895</v>
      </c>
      <c r="P1165">
        <v>0</v>
      </c>
    </row>
    <row r="1166" spans="1:16" x14ac:dyDescent="0.2">
      <c r="A1166" s="3" t="s">
        <v>49</v>
      </c>
      <c r="B1166" s="3" t="s">
        <v>50</v>
      </c>
      <c r="C1166">
        <v>30</v>
      </c>
      <c r="D1166">
        <v>18000</v>
      </c>
      <c r="E1166">
        <v>499</v>
      </c>
      <c r="F1166">
        <v>1</v>
      </c>
      <c r="G1166">
        <v>75479.649376234796</v>
      </c>
      <c r="H1166">
        <v>3.7608800000000001E-4</v>
      </c>
      <c r="I1166">
        <v>2980</v>
      </c>
      <c r="J1166">
        <v>2949</v>
      </c>
      <c r="K1166">
        <v>31</v>
      </c>
      <c r="L1166">
        <v>500</v>
      </c>
      <c r="M1166">
        <v>499</v>
      </c>
      <c r="N1166">
        <v>1</v>
      </c>
      <c r="O1166">
        <v>64563.7974213372</v>
      </c>
      <c r="P1166">
        <v>0</v>
      </c>
    </row>
    <row r="1167" spans="1:16" x14ac:dyDescent="0.2">
      <c r="A1167" s="3" t="s">
        <v>49</v>
      </c>
      <c r="B1167" s="3" t="s">
        <v>50</v>
      </c>
      <c r="C1167">
        <v>31</v>
      </c>
      <c r="D1167">
        <v>17000</v>
      </c>
      <c r="E1167">
        <v>499</v>
      </c>
      <c r="F1167">
        <v>1</v>
      </c>
      <c r="G1167">
        <v>17000</v>
      </c>
      <c r="H1167">
        <v>3.7545599999999998E-4</v>
      </c>
      <c r="I1167">
        <v>2995</v>
      </c>
      <c r="J1167">
        <v>2958</v>
      </c>
      <c r="K1167">
        <v>37</v>
      </c>
      <c r="L1167">
        <v>500</v>
      </c>
      <c r="M1167">
        <v>499</v>
      </c>
      <c r="N1167">
        <v>1</v>
      </c>
      <c r="O1167">
        <v>14005</v>
      </c>
      <c r="P1167">
        <v>1</v>
      </c>
    </row>
    <row r="1168" spans="1:16" x14ac:dyDescent="0.2">
      <c r="A1168" s="3" t="s">
        <v>49</v>
      </c>
      <c r="B1168" s="3" t="s">
        <v>50</v>
      </c>
      <c r="C1168">
        <v>24</v>
      </c>
      <c r="D1168">
        <v>20000</v>
      </c>
      <c r="E1168">
        <v>499</v>
      </c>
      <c r="F1168">
        <v>1</v>
      </c>
      <c r="G1168">
        <v>82302.7524576211</v>
      </c>
      <c r="H1168">
        <v>3.7531000000000001E-4</v>
      </c>
      <c r="I1168">
        <v>3031</v>
      </c>
      <c r="J1168">
        <v>2989</v>
      </c>
      <c r="K1168">
        <v>42</v>
      </c>
      <c r="L1168">
        <v>500</v>
      </c>
      <c r="M1168">
        <v>499</v>
      </c>
      <c r="N1168">
        <v>1</v>
      </c>
      <c r="O1168">
        <v>71364.412329718005</v>
      </c>
      <c r="P1168">
        <v>0</v>
      </c>
    </row>
    <row r="1169" spans="1:16" x14ac:dyDescent="0.2">
      <c r="A1169" s="3" t="s">
        <v>49</v>
      </c>
      <c r="B1169" s="3" t="s">
        <v>50</v>
      </c>
      <c r="C1169">
        <v>19</v>
      </c>
      <c r="D1169">
        <v>20000</v>
      </c>
      <c r="E1169">
        <v>499</v>
      </c>
      <c r="F1169">
        <v>1</v>
      </c>
      <c r="G1169">
        <v>82302.7524576211</v>
      </c>
      <c r="H1169">
        <v>3.7430100000000001E-4</v>
      </c>
      <c r="I1169">
        <v>3022</v>
      </c>
      <c r="J1169">
        <v>2986</v>
      </c>
      <c r="K1169">
        <v>36</v>
      </c>
      <c r="L1169">
        <v>500</v>
      </c>
      <c r="M1169">
        <v>499</v>
      </c>
      <c r="N1169">
        <v>1</v>
      </c>
      <c r="O1169">
        <v>71322.476130254101</v>
      </c>
      <c r="P1169">
        <v>0</v>
      </c>
    </row>
    <row r="1170" spans="1:16" x14ac:dyDescent="0.2">
      <c r="A1170" s="3" t="s">
        <v>49</v>
      </c>
      <c r="B1170" s="3" t="s">
        <v>50</v>
      </c>
      <c r="C1170">
        <v>48</v>
      </c>
      <c r="D1170">
        <v>20000</v>
      </c>
      <c r="E1170">
        <v>499</v>
      </c>
      <c r="F1170">
        <v>1</v>
      </c>
      <c r="G1170">
        <v>82302.7524576211</v>
      </c>
      <c r="H1170">
        <v>3.73147E-4</v>
      </c>
      <c r="I1170">
        <v>2978</v>
      </c>
      <c r="J1170">
        <v>2952</v>
      </c>
      <c r="K1170">
        <v>26</v>
      </c>
      <c r="L1170">
        <v>500</v>
      </c>
      <c r="M1170">
        <v>499</v>
      </c>
      <c r="N1170">
        <v>1</v>
      </c>
      <c r="O1170">
        <v>71496.042168211905</v>
      </c>
      <c r="P1170">
        <v>0</v>
      </c>
    </row>
    <row r="1171" spans="1:16" x14ac:dyDescent="0.2">
      <c r="A1171" s="3" t="s">
        <v>49</v>
      </c>
      <c r="B1171" s="3" t="s">
        <v>50</v>
      </c>
      <c r="C1171">
        <v>32</v>
      </c>
      <c r="D1171">
        <v>15000</v>
      </c>
      <c r="E1171">
        <v>499</v>
      </c>
      <c r="F1171">
        <v>1</v>
      </c>
      <c r="G1171">
        <v>15000</v>
      </c>
      <c r="H1171">
        <v>3.7277099999999999E-4</v>
      </c>
      <c r="I1171">
        <v>2912</v>
      </c>
      <c r="J1171">
        <v>2882</v>
      </c>
      <c r="K1171">
        <v>30</v>
      </c>
      <c r="L1171">
        <v>500</v>
      </c>
      <c r="M1171">
        <v>499</v>
      </c>
      <c r="N1171">
        <v>1</v>
      </c>
      <c r="O1171">
        <v>12088</v>
      </c>
      <c r="P1171">
        <v>1</v>
      </c>
    </row>
    <row r="1172" spans="1:16" x14ac:dyDescent="0.2">
      <c r="A1172" s="3" t="s">
        <v>49</v>
      </c>
      <c r="B1172" s="3" t="s">
        <v>50</v>
      </c>
      <c r="C1172">
        <v>46</v>
      </c>
      <c r="D1172">
        <v>20000</v>
      </c>
      <c r="E1172">
        <v>499</v>
      </c>
      <c r="F1172">
        <v>1</v>
      </c>
      <c r="G1172">
        <v>82302.7524576211</v>
      </c>
      <c r="H1172">
        <v>3.7245900000000001E-4</v>
      </c>
      <c r="I1172">
        <v>2995</v>
      </c>
      <c r="J1172">
        <v>2966</v>
      </c>
      <c r="K1172">
        <v>29</v>
      </c>
      <c r="L1172">
        <v>500</v>
      </c>
      <c r="M1172">
        <v>499</v>
      </c>
      <c r="N1172">
        <v>1</v>
      </c>
      <c r="O1172">
        <v>71510.4662935667</v>
      </c>
      <c r="P1172">
        <v>0</v>
      </c>
    </row>
    <row r="1173" spans="1:16" x14ac:dyDescent="0.2">
      <c r="A1173" s="3" t="s">
        <v>49</v>
      </c>
      <c r="B1173" s="3" t="s">
        <v>50</v>
      </c>
      <c r="C1173">
        <v>7</v>
      </c>
      <c r="D1173">
        <v>13000</v>
      </c>
      <c r="E1173">
        <v>499</v>
      </c>
      <c r="F1173">
        <v>1</v>
      </c>
      <c r="G1173">
        <v>13000</v>
      </c>
      <c r="H1173">
        <v>3.7136800000000001E-4</v>
      </c>
      <c r="I1173">
        <v>2819</v>
      </c>
      <c r="J1173">
        <v>2788</v>
      </c>
      <c r="K1173">
        <v>31</v>
      </c>
      <c r="L1173">
        <v>500</v>
      </c>
      <c r="M1173">
        <v>499</v>
      </c>
      <c r="N1173">
        <v>1</v>
      </c>
      <c r="O1173">
        <v>10181</v>
      </c>
      <c r="P1173">
        <v>1</v>
      </c>
    </row>
    <row r="1174" spans="1:16" x14ac:dyDescent="0.2">
      <c r="A1174" s="3" t="s">
        <v>49</v>
      </c>
      <c r="B1174" s="3" t="s">
        <v>50</v>
      </c>
      <c r="C1174">
        <v>25</v>
      </c>
      <c r="D1174">
        <v>20000</v>
      </c>
      <c r="E1174">
        <v>499</v>
      </c>
      <c r="F1174">
        <v>1</v>
      </c>
      <c r="G1174">
        <v>82302.7524576211</v>
      </c>
      <c r="H1174">
        <v>3.71185E-4</v>
      </c>
      <c r="I1174">
        <v>3026</v>
      </c>
      <c r="J1174">
        <v>2986</v>
      </c>
      <c r="K1174">
        <v>40</v>
      </c>
      <c r="L1174">
        <v>500</v>
      </c>
      <c r="M1174">
        <v>499</v>
      </c>
      <c r="N1174">
        <v>1</v>
      </c>
      <c r="O1174">
        <v>71399.815586196593</v>
      </c>
      <c r="P1174">
        <v>0</v>
      </c>
    </row>
    <row r="1175" spans="1:16" x14ac:dyDescent="0.2">
      <c r="A1175" s="3" t="s">
        <v>49</v>
      </c>
      <c r="B1175" s="3" t="s">
        <v>50</v>
      </c>
      <c r="C1175">
        <v>40</v>
      </c>
      <c r="D1175">
        <v>19000</v>
      </c>
      <c r="E1175">
        <v>499</v>
      </c>
      <c r="F1175">
        <v>1</v>
      </c>
      <c r="G1175">
        <v>19000</v>
      </c>
      <c r="H1175">
        <v>3.7040599999999999E-4</v>
      </c>
      <c r="I1175">
        <v>2992</v>
      </c>
      <c r="J1175">
        <v>2954</v>
      </c>
      <c r="K1175">
        <v>38</v>
      </c>
      <c r="L1175">
        <v>500</v>
      </c>
      <c r="M1175">
        <v>499</v>
      </c>
      <c r="N1175">
        <v>1</v>
      </c>
      <c r="O1175">
        <v>16008</v>
      </c>
      <c r="P1175">
        <v>1</v>
      </c>
    </row>
    <row r="1176" spans="1:16" x14ac:dyDescent="0.2">
      <c r="A1176" s="3" t="s">
        <v>49</v>
      </c>
      <c r="B1176" s="3" t="s">
        <v>50</v>
      </c>
      <c r="C1176">
        <v>49</v>
      </c>
      <c r="D1176">
        <v>13000</v>
      </c>
      <c r="E1176">
        <v>499</v>
      </c>
      <c r="F1176">
        <v>1</v>
      </c>
      <c r="G1176">
        <v>13000</v>
      </c>
      <c r="H1176">
        <v>3.6973699999999997E-4</v>
      </c>
      <c r="I1176">
        <v>2830</v>
      </c>
      <c r="J1176">
        <v>2802</v>
      </c>
      <c r="K1176">
        <v>28</v>
      </c>
      <c r="L1176">
        <v>500</v>
      </c>
      <c r="M1176">
        <v>499</v>
      </c>
      <c r="N1176">
        <v>1</v>
      </c>
      <c r="O1176">
        <v>10170</v>
      </c>
      <c r="P1176">
        <v>1</v>
      </c>
    </row>
    <row r="1177" spans="1:16" x14ac:dyDescent="0.2">
      <c r="A1177" s="3" t="s">
        <v>49</v>
      </c>
      <c r="B1177" s="3" t="s">
        <v>50</v>
      </c>
      <c r="C1177">
        <v>13</v>
      </c>
      <c r="D1177">
        <v>20000</v>
      </c>
      <c r="E1177">
        <v>499</v>
      </c>
      <c r="F1177">
        <v>1</v>
      </c>
      <c r="G1177">
        <v>82302.7524576211</v>
      </c>
      <c r="H1177">
        <v>3.6944300000000001E-4</v>
      </c>
      <c r="I1177">
        <v>3023</v>
      </c>
      <c r="J1177">
        <v>2984</v>
      </c>
      <c r="K1177">
        <v>39</v>
      </c>
      <c r="L1177">
        <v>500</v>
      </c>
      <c r="M1177">
        <v>499</v>
      </c>
      <c r="N1177">
        <v>1</v>
      </c>
      <c r="O1177">
        <v>71458.392779704402</v>
      </c>
      <c r="P1177">
        <v>0</v>
      </c>
    </row>
    <row r="1178" spans="1:16" x14ac:dyDescent="0.2">
      <c r="A1178" s="3" t="s">
        <v>49</v>
      </c>
      <c r="B1178" s="3" t="s">
        <v>50</v>
      </c>
      <c r="C1178">
        <v>26</v>
      </c>
      <c r="D1178">
        <v>19000</v>
      </c>
      <c r="E1178">
        <v>499</v>
      </c>
      <c r="F1178">
        <v>1</v>
      </c>
      <c r="G1178">
        <v>19000</v>
      </c>
      <c r="H1178">
        <v>3.68444E-4</v>
      </c>
      <c r="I1178">
        <v>2990</v>
      </c>
      <c r="J1178">
        <v>2944</v>
      </c>
      <c r="K1178">
        <v>46</v>
      </c>
      <c r="L1178">
        <v>500</v>
      </c>
      <c r="M1178">
        <v>499</v>
      </c>
      <c r="N1178">
        <v>1</v>
      </c>
      <c r="O1178">
        <v>16010</v>
      </c>
      <c r="P1178">
        <v>1</v>
      </c>
    </row>
    <row r="1179" spans="1:16" x14ac:dyDescent="0.2">
      <c r="A1179" s="3" t="s">
        <v>49</v>
      </c>
      <c r="B1179" s="3" t="s">
        <v>50</v>
      </c>
      <c r="C1179">
        <v>37</v>
      </c>
      <c r="D1179">
        <v>20000</v>
      </c>
      <c r="E1179">
        <v>499</v>
      </c>
      <c r="F1179">
        <v>1</v>
      </c>
      <c r="G1179">
        <v>20000</v>
      </c>
      <c r="H1179">
        <v>3.6804999999999997E-4</v>
      </c>
      <c r="I1179">
        <v>3015</v>
      </c>
      <c r="J1179">
        <v>2970</v>
      </c>
      <c r="K1179">
        <v>45</v>
      </c>
      <c r="L1179">
        <v>500</v>
      </c>
      <c r="M1179">
        <v>499</v>
      </c>
      <c r="N1179">
        <v>1</v>
      </c>
      <c r="O1179">
        <v>16985</v>
      </c>
      <c r="P1179">
        <v>1</v>
      </c>
    </row>
    <row r="1180" spans="1:16" x14ac:dyDescent="0.2">
      <c r="A1180" s="3" t="s">
        <v>49</v>
      </c>
      <c r="B1180" s="3" t="s">
        <v>50</v>
      </c>
      <c r="C1180">
        <v>42</v>
      </c>
      <c r="D1180">
        <v>20000</v>
      </c>
      <c r="E1180">
        <v>499</v>
      </c>
      <c r="F1180">
        <v>1</v>
      </c>
      <c r="G1180">
        <v>82302.7524576211</v>
      </c>
      <c r="H1180">
        <v>3.6744399999999997E-4</v>
      </c>
      <c r="I1180">
        <v>3040</v>
      </c>
      <c r="J1180">
        <v>3003</v>
      </c>
      <c r="K1180">
        <v>37</v>
      </c>
      <c r="L1180">
        <v>500</v>
      </c>
      <c r="M1180">
        <v>499</v>
      </c>
      <c r="N1180">
        <v>1</v>
      </c>
      <c r="O1180">
        <v>71336.634720914997</v>
      </c>
      <c r="P1180">
        <v>0</v>
      </c>
    </row>
    <row r="1181" spans="1:16" x14ac:dyDescent="0.2">
      <c r="A1181" s="3" t="s">
        <v>49</v>
      </c>
      <c r="B1181" s="3" t="s">
        <v>50</v>
      </c>
      <c r="C1181">
        <v>43</v>
      </c>
      <c r="D1181">
        <v>19000</v>
      </c>
      <c r="E1181">
        <v>499</v>
      </c>
      <c r="F1181">
        <v>1</v>
      </c>
      <c r="G1181">
        <v>19000</v>
      </c>
      <c r="H1181">
        <v>3.6723399999999997E-4</v>
      </c>
      <c r="I1181">
        <v>3032</v>
      </c>
      <c r="J1181">
        <v>2994</v>
      </c>
      <c r="K1181">
        <v>38</v>
      </c>
      <c r="L1181">
        <v>500</v>
      </c>
      <c r="M1181">
        <v>499</v>
      </c>
      <c r="N1181">
        <v>1</v>
      </c>
      <c r="O1181">
        <v>15968</v>
      </c>
      <c r="P1181">
        <v>1</v>
      </c>
    </row>
    <row r="1182" spans="1:16" x14ac:dyDescent="0.2">
      <c r="A1182" s="3" t="s">
        <v>49</v>
      </c>
      <c r="B1182" s="3" t="s">
        <v>50</v>
      </c>
      <c r="C1182">
        <v>27</v>
      </c>
      <c r="D1182">
        <v>13000</v>
      </c>
      <c r="E1182">
        <v>499</v>
      </c>
      <c r="F1182">
        <v>1</v>
      </c>
      <c r="G1182">
        <v>13000</v>
      </c>
      <c r="H1182">
        <v>3.6710600000000002E-4</v>
      </c>
      <c r="I1182">
        <v>2856</v>
      </c>
      <c r="J1182">
        <v>2829</v>
      </c>
      <c r="K1182">
        <v>27</v>
      </c>
      <c r="L1182">
        <v>500</v>
      </c>
      <c r="M1182">
        <v>499</v>
      </c>
      <c r="N1182">
        <v>1</v>
      </c>
      <c r="O1182">
        <v>10144</v>
      </c>
      <c r="P1182">
        <v>1</v>
      </c>
    </row>
    <row r="1183" spans="1:16" x14ac:dyDescent="0.2">
      <c r="A1183" s="3" t="s">
        <v>49</v>
      </c>
      <c r="B1183" s="3" t="s">
        <v>50</v>
      </c>
      <c r="C1183">
        <v>49</v>
      </c>
      <c r="D1183">
        <v>20000</v>
      </c>
      <c r="E1183">
        <v>499</v>
      </c>
      <c r="F1183">
        <v>1</v>
      </c>
      <c r="G1183">
        <v>82302.7524576211</v>
      </c>
      <c r="H1183">
        <v>3.66757E-4</v>
      </c>
      <c r="I1183">
        <v>2961</v>
      </c>
      <c r="J1183">
        <v>2921</v>
      </c>
      <c r="K1183">
        <v>40</v>
      </c>
      <c r="L1183">
        <v>500</v>
      </c>
      <c r="M1183">
        <v>499</v>
      </c>
      <c r="N1183">
        <v>1</v>
      </c>
      <c r="O1183">
        <v>71529.038429064705</v>
      </c>
      <c r="P1183">
        <v>0</v>
      </c>
    </row>
    <row r="1184" spans="1:16" x14ac:dyDescent="0.2">
      <c r="A1184" s="3" t="s">
        <v>49</v>
      </c>
      <c r="B1184" s="3" t="s">
        <v>50</v>
      </c>
      <c r="C1184">
        <v>1</v>
      </c>
      <c r="D1184">
        <v>18000</v>
      </c>
      <c r="E1184">
        <v>499</v>
      </c>
      <c r="F1184">
        <v>1</v>
      </c>
      <c r="G1184">
        <v>75479.649376234796</v>
      </c>
      <c r="H1184">
        <v>3.6660099999999998E-4</v>
      </c>
      <c r="I1184">
        <v>2987</v>
      </c>
      <c r="J1184">
        <v>2956</v>
      </c>
      <c r="K1184">
        <v>31</v>
      </c>
      <c r="L1184">
        <v>500</v>
      </c>
      <c r="M1184">
        <v>499</v>
      </c>
      <c r="N1184">
        <v>1</v>
      </c>
      <c r="O1184">
        <v>64543.353308553502</v>
      </c>
      <c r="P1184">
        <v>0</v>
      </c>
    </row>
    <row r="1185" spans="1:16" x14ac:dyDescent="0.2">
      <c r="A1185" s="3" t="s">
        <v>49</v>
      </c>
      <c r="B1185" s="3" t="s">
        <v>50</v>
      </c>
      <c r="C1185">
        <v>19</v>
      </c>
      <c r="D1185">
        <v>13000</v>
      </c>
      <c r="E1185">
        <v>499</v>
      </c>
      <c r="F1185">
        <v>1</v>
      </c>
      <c r="G1185">
        <v>13000</v>
      </c>
      <c r="H1185">
        <v>3.6654599999999998E-4</v>
      </c>
      <c r="I1185">
        <v>2805</v>
      </c>
      <c r="J1185">
        <v>2782</v>
      </c>
      <c r="K1185">
        <v>23</v>
      </c>
      <c r="L1185">
        <v>500</v>
      </c>
      <c r="M1185">
        <v>499</v>
      </c>
      <c r="N1185">
        <v>1</v>
      </c>
      <c r="O1185">
        <v>10195</v>
      </c>
      <c r="P1185">
        <v>1</v>
      </c>
    </row>
    <row r="1186" spans="1:16" x14ac:dyDescent="0.2">
      <c r="A1186" s="3" t="s">
        <v>49</v>
      </c>
      <c r="B1186" s="3" t="s">
        <v>50</v>
      </c>
      <c r="C1186">
        <v>11</v>
      </c>
      <c r="D1186">
        <v>20000</v>
      </c>
      <c r="E1186">
        <v>499</v>
      </c>
      <c r="F1186">
        <v>1</v>
      </c>
      <c r="G1186">
        <v>82302.7524576211</v>
      </c>
      <c r="H1186">
        <v>3.6622500000000002E-4</v>
      </c>
      <c r="I1186">
        <v>3050</v>
      </c>
      <c r="J1186">
        <v>3013</v>
      </c>
      <c r="K1186">
        <v>37</v>
      </c>
      <c r="L1186">
        <v>500</v>
      </c>
      <c r="M1186">
        <v>499</v>
      </c>
      <c r="N1186">
        <v>1</v>
      </c>
      <c r="O1186">
        <v>71257.905236020495</v>
      </c>
      <c r="P1186">
        <v>0</v>
      </c>
    </row>
    <row r="1187" spans="1:16" x14ac:dyDescent="0.2">
      <c r="A1187" s="3" t="s">
        <v>49</v>
      </c>
      <c r="B1187" s="3" t="s">
        <v>50</v>
      </c>
      <c r="C1187">
        <v>9</v>
      </c>
      <c r="D1187">
        <v>20000</v>
      </c>
      <c r="E1187">
        <v>499</v>
      </c>
      <c r="F1187">
        <v>1</v>
      </c>
      <c r="G1187">
        <v>82302.7524576211</v>
      </c>
      <c r="H1187">
        <v>3.6618000000000002E-4</v>
      </c>
      <c r="I1187">
        <v>2970</v>
      </c>
      <c r="J1187">
        <v>2930</v>
      </c>
      <c r="K1187">
        <v>40</v>
      </c>
      <c r="L1187">
        <v>500</v>
      </c>
      <c r="M1187">
        <v>499</v>
      </c>
      <c r="N1187">
        <v>1</v>
      </c>
      <c r="O1187">
        <v>71480.491567193894</v>
      </c>
      <c r="P1187">
        <v>0</v>
      </c>
    </row>
    <row r="1188" spans="1:16" x14ac:dyDescent="0.2">
      <c r="A1188" s="3" t="s">
        <v>49</v>
      </c>
      <c r="B1188" s="3" t="s">
        <v>50</v>
      </c>
      <c r="C1188">
        <v>43</v>
      </c>
      <c r="D1188">
        <v>20000</v>
      </c>
      <c r="E1188">
        <v>499</v>
      </c>
      <c r="F1188">
        <v>1</v>
      </c>
      <c r="G1188">
        <v>20000</v>
      </c>
      <c r="H1188">
        <v>3.6591400000000001E-4</v>
      </c>
      <c r="I1188">
        <v>2985</v>
      </c>
      <c r="J1188">
        <v>2957</v>
      </c>
      <c r="K1188">
        <v>28</v>
      </c>
      <c r="L1188">
        <v>500</v>
      </c>
      <c r="M1188">
        <v>499</v>
      </c>
      <c r="N1188">
        <v>1</v>
      </c>
      <c r="O1188">
        <v>17015</v>
      </c>
      <c r="P1188">
        <v>1</v>
      </c>
    </row>
    <row r="1189" spans="1:16" x14ac:dyDescent="0.2">
      <c r="A1189" s="3" t="s">
        <v>49</v>
      </c>
      <c r="B1189" s="3" t="s">
        <v>50</v>
      </c>
      <c r="C1189">
        <v>19</v>
      </c>
      <c r="D1189">
        <v>20000</v>
      </c>
      <c r="E1189">
        <v>499</v>
      </c>
      <c r="F1189">
        <v>1</v>
      </c>
      <c r="G1189">
        <v>20000</v>
      </c>
      <c r="H1189">
        <v>3.6568499999999998E-4</v>
      </c>
      <c r="I1189">
        <v>2988</v>
      </c>
      <c r="J1189">
        <v>2948</v>
      </c>
      <c r="K1189">
        <v>40</v>
      </c>
      <c r="L1189">
        <v>500</v>
      </c>
      <c r="M1189">
        <v>499</v>
      </c>
      <c r="N1189">
        <v>1</v>
      </c>
      <c r="O1189">
        <v>17012</v>
      </c>
      <c r="P1189">
        <v>1</v>
      </c>
    </row>
    <row r="1190" spans="1:16" x14ac:dyDescent="0.2">
      <c r="A1190" s="3" t="s">
        <v>49</v>
      </c>
      <c r="B1190" s="3" t="s">
        <v>50</v>
      </c>
      <c r="C1190">
        <v>16</v>
      </c>
      <c r="D1190">
        <v>19000</v>
      </c>
      <c r="E1190">
        <v>499</v>
      </c>
      <c r="F1190">
        <v>1</v>
      </c>
      <c r="G1190">
        <v>84218.384375429901</v>
      </c>
      <c r="H1190">
        <v>3.6564799999999999E-4</v>
      </c>
      <c r="I1190">
        <v>3014</v>
      </c>
      <c r="J1190">
        <v>2973</v>
      </c>
      <c r="K1190">
        <v>41</v>
      </c>
      <c r="L1190">
        <v>500</v>
      </c>
      <c r="M1190">
        <v>499</v>
      </c>
      <c r="N1190">
        <v>1</v>
      </c>
      <c r="O1190">
        <v>72698.940215580704</v>
      </c>
      <c r="P1190">
        <v>0</v>
      </c>
    </row>
    <row r="1191" spans="1:16" x14ac:dyDescent="0.2">
      <c r="A1191" s="3" t="s">
        <v>49</v>
      </c>
      <c r="B1191" s="3" t="s">
        <v>50</v>
      </c>
      <c r="C1191">
        <v>45</v>
      </c>
      <c r="D1191">
        <v>18000</v>
      </c>
      <c r="E1191">
        <v>499</v>
      </c>
      <c r="F1191">
        <v>1</v>
      </c>
      <c r="G1191">
        <v>18000</v>
      </c>
      <c r="H1191">
        <v>3.65538E-4</v>
      </c>
      <c r="I1191">
        <v>2944</v>
      </c>
      <c r="J1191">
        <v>2915</v>
      </c>
      <c r="K1191">
        <v>29</v>
      </c>
      <c r="L1191">
        <v>500</v>
      </c>
      <c r="M1191">
        <v>499</v>
      </c>
      <c r="N1191">
        <v>1</v>
      </c>
      <c r="O1191">
        <v>15056</v>
      </c>
      <c r="P1191">
        <v>1</v>
      </c>
    </row>
    <row r="1192" spans="1:16" x14ac:dyDescent="0.2">
      <c r="A1192" s="3" t="s">
        <v>49</v>
      </c>
      <c r="B1192" s="3" t="s">
        <v>50</v>
      </c>
      <c r="C1192">
        <v>3</v>
      </c>
      <c r="D1192">
        <v>17000</v>
      </c>
      <c r="E1192">
        <v>499</v>
      </c>
      <c r="F1192">
        <v>1</v>
      </c>
      <c r="G1192">
        <v>17000</v>
      </c>
      <c r="H1192">
        <v>3.6448300000000003E-4</v>
      </c>
      <c r="I1192">
        <v>2932</v>
      </c>
      <c r="J1192">
        <v>2904</v>
      </c>
      <c r="K1192">
        <v>28</v>
      </c>
      <c r="L1192">
        <v>500</v>
      </c>
      <c r="M1192">
        <v>499</v>
      </c>
      <c r="N1192">
        <v>1</v>
      </c>
      <c r="O1192">
        <v>14068</v>
      </c>
      <c r="P1192">
        <v>1</v>
      </c>
    </row>
    <row r="1193" spans="1:16" x14ac:dyDescent="0.2">
      <c r="A1193" s="3" t="s">
        <v>49</v>
      </c>
      <c r="B1193" s="3" t="s">
        <v>50</v>
      </c>
      <c r="C1193">
        <v>18</v>
      </c>
      <c r="D1193">
        <v>15000</v>
      </c>
      <c r="E1193">
        <v>499</v>
      </c>
      <c r="F1193">
        <v>1</v>
      </c>
      <c r="G1193">
        <v>60572.237308582698</v>
      </c>
      <c r="H1193">
        <v>3.64099E-4</v>
      </c>
      <c r="I1193">
        <v>2866</v>
      </c>
      <c r="J1193">
        <v>2829</v>
      </c>
      <c r="K1193">
        <v>37</v>
      </c>
      <c r="L1193">
        <v>500</v>
      </c>
      <c r="M1193">
        <v>499</v>
      </c>
      <c r="N1193">
        <v>1</v>
      </c>
      <c r="O1193">
        <v>50272.935820419902</v>
      </c>
      <c r="P1193">
        <v>0</v>
      </c>
    </row>
    <row r="1194" spans="1:16" x14ac:dyDescent="0.2">
      <c r="A1194" s="3" t="s">
        <v>49</v>
      </c>
      <c r="B1194" s="3" t="s">
        <v>50</v>
      </c>
      <c r="C1194">
        <v>45</v>
      </c>
      <c r="D1194">
        <v>20000</v>
      </c>
      <c r="E1194">
        <v>499</v>
      </c>
      <c r="F1194">
        <v>1</v>
      </c>
      <c r="G1194">
        <v>82302.7524576211</v>
      </c>
      <c r="H1194">
        <v>3.6372299999999999E-4</v>
      </c>
      <c r="I1194">
        <v>3054</v>
      </c>
      <c r="J1194">
        <v>3010</v>
      </c>
      <c r="K1194">
        <v>44</v>
      </c>
      <c r="L1194">
        <v>500</v>
      </c>
      <c r="M1194">
        <v>499</v>
      </c>
      <c r="N1194">
        <v>1</v>
      </c>
      <c r="O1194">
        <v>71283.838327720499</v>
      </c>
      <c r="P1194">
        <v>0</v>
      </c>
    </row>
    <row r="1195" spans="1:16" x14ac:dyDescent="0.2">
      <c r="A1195" s="3" t="s">
        <v>49</v>
      </c>
      <c r="B1195" s="3" t="s">
        <v>50</v>
      </c>
      <c r="C1195">
        <v>10</v>
      </c>
      <c r="D1195">
        <v>18000</v>
      </c>
      <c r="E1195">
        <v>499</v>
      </c>
      <c r="F1195">
        <v>1</v>
      </c>
      <c r="G1195">
        <v>18000</v>
      </c>
      <c r="H1195">
        <v>3.6356700000000002E-4</v>
      </c>
      <c r="I1195">
        <v>3001</v>
      </c>
      <c r="J1195">
        <v>2956</v>
      </c>
      <c r="K1195">
        <v>45</v>
      </c>
      <c r="L1195">
        <v>500</v>
      </c>
      <c r="M1195">
        <v>499</v>
      </c>
      <c r="N1195">
        <v>1</v>
      </c>
      <c r="O1195">
        <v>14999</v>
      </c>
      <c r="P1195">
        <v>1</v>
      </c>
    </row>
    <row r="1196" spans="1:16" x14ac:dyDescent="0.2">
      <c r="A1196" s="3" t="s">
        <v>49</v>
      </c>
      <c r="B1196" s="3" t="s">
        <v>50</v>
      </c>
      <c r="C1196">
        <v>36</v>
      </c>
      <c r="D1196">
        <v>19000</v>
      </c>
      <c r="E1196">
        <v>499</v>
      </c>
      <c r="F1196">
        <v>1</v>
      </c>
      <c r="G1196">
        <v>84218.384375429901</v>
      </c>
      <c r="H1196">
        <v>3.6353900000000002E-4</v>
      </c>
      <c r="I1196">
        <v>2984</v>
      </c>
      <c r="J1196">
        <v>2952</v>
      </c>
      <c r="K1196">
        <v>32</v>
      </c>
      <c r="L1196">
        <v>500</v>
      </c>
      <c r="M1196">
        <v>499</v>
      </c>
      <c r="N1196">
        <v>1</v>
      </c>
      <c r="O1196">
        <v>72835.223567124995</v>
      </c>
      <c r="P1196">
        <v>0</v>
      </c>
    </row>
    <row r="1197" spans="1:16" x14ac:dyDescent="0.2">
      <c r="A1197" s="3" t="s">
        <v>49</v>
      </c>
      <c r="B1197" s="3" t="s">
        <v>50</v>
      </c>
      <c r="C1197">
        <v>18</v>
      </c>
      <c r="D1197">
        <v>11000</v>
      </c>
      <c r="E1197">
        <v>499</v>
      </c>
      <c r="F1197">
        <v>1</v>
      </c>
      <c r="G1197">
        <v>11000</v>
      </c>
      <c r="H1197">
        <v>3.6350299999999999E-4</v>
      </c>
      <c r="I1197">
        <v>2825</v>
      </c>
      <c r="J1197">
        <v>2803</v>
      </c>
      <c r="K1197">
        <v>22</v>
      </c>
      <c r="L1197">
        <v>500</v>
      </c>
      <c r="M1197">
        <v>499</v>
      </c>
      <c r="N1197">
        <v>1</v>
      </c>
      <c r="O1197">
        <v>8175</v>
      </c>
      <c r="P1197">
        <v>1</v>
      </c>
    </row>
    <row r="1198" spans="1:16" x14ac:dyDescent="0.2">
      <c r="A1198" s="3" t="s">
        <v>49</v>
      </c>
      <c r="B1198" s="3" t="s">
        <v>50</v>
      </c>
      <c r="C1198">
        <v>10</v>
      </c>
      <c r="D1198">
        <v>20000</v>
      </c>
      <c r="E1198">
        <v>499</v>
      </c>
      <c r="F1198">
        <v>1</v>
      </c>
      <c r="G1198">
        <v>82302.7524576211</v>
      </c>
      <c r="H1198">
        <v>3.6324600000000001E-4</v>
      </c>
      <c r="I1198">
        <v>3011</v>
      </c>
      <c r="J1198">
        <v>2964</v>
      </c>
      <c r="K1198">
        <v>47</v>
      </c>
      <c r="L1198">
        <v>500</v>
      </c>
      <c r="M1198">
        <v>499</v>
      </c>
      <c r="N1198">
        <v>1</v>
      </c>
      <c r="O1198">
        <v>71474.9088528594</v>
      </c>
      <c r="P1198">
        <v>0</v>
      </c>
    </row>
    <row r="1199" spans="1:16" x14ac:dyDescent="0.2">
      <c r="A1199" s="3" t="s">
        <v>49</v>
      </c>
      <c r="B1199" s="3" t="s">
        <v>50</v>
      </c>
      <c r="C1199">
        <v>7</v>
      </c>
      <c r="D1199">
        <v>20000</v>
      </c>
      <c r="E1199">
        <v>499</v>
      </c>
      <c r="F1199">
        <v>1</v>
      </c>
      <c r="G1199">
        <v>82302.7524576211</v>
      </c>
      <c r="H1199">
        <v>3.6234800000000002E-4</v>
      </c>
      <c r="I1199">
        <v>3049</v>
      </c>
      <c r="J1199">
        <v>3003</v>
      </c>
      <c r="K1199">
        <v>46</v>
      </c>
      <c r="L1199">
        <v>500</v>
      </c>
      <c r="M1199">
        <v>499</v>
      </c>
      <c r="N1199">
        <v>1</v>
      </c>
      <c r="O1199">
        <v>71264.481676195399</v>
      </c>
      <c r="P1199">
        <v>0</v>
      </c>
    </row>
    <row r="1200" spans="1:16" x14ac:dyDescent="0.2">
      <c r="A1200" s="3" t="s">
        <v>49</v>
      </c>
      <c r="B1200" s="3" t="s">
        <v>50</v>
      </c>
      <c r="C1200">
        <v>26</v>
      </c>
      <c r="D1200">
        <v>20000</v>
      </c>
      <c r="E1200">
        <v>499</v>
      </c>
      <c r="F1200">
        <v>1</v>
      </c>
      <c r="G1200">
        <v>20000</v>
      </c>
      <c r="H1200">
        <v>3.6172500000000002E-4</v>
      </c>
      <c r="I1200">
        <v>3060</v>
      </c>
      <c r="J1200">
        <v>3012</v>
      </c>
      <c r="K1200">
        <v>48</v>
      </c>
      <c r="L1200">
        <v>500</v>
      </c>
      <c r="M1200">
        <v>499</v>
      </c>
      <c r="N1200">
        <v>1</v>
      </c>
      <c r="O1200">
        <v>16940</v>
      </c>
      <c r="P1200">
        <v>1</v>
      </c>
    </row>
    <row r="1201" spans="1:16" x14ac:dyDescent="0.2">
      <c r="A1201" s="3" t="s">
        <v>49</v>
      </c>
      <c r="B1201" s="3" t="s">
        <v>50</v>
      </c>
      <c r="C1201">
        <v>35</v>
      </c>
      <c r="D1201">
        <v>20000</v>
      </c>
      <c r="E1201">
        <v>499</v>
      </c>
      <c r="F1201">
        <v>1</v>
      </c>
      <c r="G1201">
        <v>82302.7524576211</v>
      </c>
      <c r="H1201">
        <v>3.6164200000000002E-4</v>
      </c>
      <c r="I1201">
        <v>2964</v>
      </c>
      <c r="J1201">
        <v>2932</v>
      </c>
      <c r="K1201">
        <v>32</v>
      </c>
      <c r="L1201">
        <v>500</v>
      </c>
      <c r="M1201">
        <v>499</v>
      </c>
      <c r="N1201">
        <v>1</v>
      </c>
      <c r="O1201">
        <v>71523.047542525397</v>
      </c>
      <c r="P1201">
        <v>0</v>
      </c>
    </row>
    <row r="1202" spans="1:16" x14ac:dyDescent="0.2">
      <c r="A1202" s="3" t="s">
        <v>49</v>
      </c>
      <c r="B1202" s="3" t="s">
        <v>50</v>
      </c>
      <c r="C1202">
        <v>12</v>
      </c>
      <c r="D1202">
        <v>20000</v>
      </c>
      <c r="E1202">
        <v>499</v>
      </c>
      <c r="F1202">
        <v>1</v>
      </c>
      <c r="G1202">
        <v>20000</v>
      </c>
      <c r="H1202">
        <v>3.6143999999999998E-4</v>
      </c>
      <c r="I1202">
        <v>3000</v>
      </c>
      <c r="J1202">
        <v>2960</v>
      </c>
      <c r="K1202">
        <v>40</v>
      </c>
      <c r="L1202">
        <v>500</v>
      </c>
      <c r="M1202">
        <v>499</v>
      </c>
      <c r="N1202">
        <v>1</v>
      </c>
      <c r="O1202">
        <v>17000</v>
      </c>
      <c r="P1202">
        <v>1</v>
      </c>
    </row>
    <row r="1203" spans="1:16" x14ac:dyDescent="0.2">
      <c r="A1203" s="3" t="s">
        <v>49</v>
      </c>
      <c r="B1203" s="3" t="s">
        <v>50</v>
      </c>
      <c r="C1203">
        <v>37</v>
      </c>
      <c r="D1203">
        <v>20000</v>
      </c>
      <c r="E1203">
        <v>499</v>
      </c>
      <c r="F1203">
        <v>1</v>
      </c>
      <c r="G1203">
        <v>82302.7524576211</v>
      </c>
      <c r="H1203">
        <v>3.6098199999999998E-4</v>
      </c>
      <c r="I1203">
        <v>3005</v>
      </c>
      <c r="J1203">
        <v>2961</v>
      </c>
      <c r="K1203">
        <v>44</v>
      </c>
      <c r="L1203">
        <v>500</v>
      </c>
      <c r="M1203">
        <v>499</v>
      </c>
      <c r="N1203">
        <v>1</v>
      </c>
      <c r="O1203">
        <v>71368.562743922797</v>
      </c>
      <c r="P1203">
        <v>0</v>
      </c>
    </row>
    <row r="1204" spans="1:16" x14ac:dyDescent="0.2">
      <c r="A1204" s="3" t="s">
        <v>49</v>
      </c>
      <c r="B1204" s="3" t="s">
        <v>50</v>
      </c>
      <c r="C1204">
        <v>15</v>
      </c>
      <c r="D1204">
        <v>19000</v>
      </c>
      <c r="E1204">
        <v>499</v>
      </c>
      <c r="F1204">
        <v>1</v>
      </c>
      <c r="G1204">
        <v>84218.384375429901</v>
      </c>
      <c r="H1204">
        <v>3.6051399999999998E-4</v>
      </c>
      <c r="I1204">
        <v>3030</v>
      </c>
      <c r="J1204">
        <v>2994</v>
      </c>
      <c r="K1204">
        <v>36</v>
      </c>
      <c r="L1204">
        <v>500</v>
      </c>
      <c r="M1204">
        <v>499</v>
      </c>
      <c r="N1204">
        <v>1</v>
      </c>
      <c r="O1204">
        <v>72592.403413114705</v>
      </c>
      <c r="P1204">
        <v>0</v>
      </c>
    </row>
    <row r="1205" spans="1:16" x14ac:dyDescent="0.2">
      <c r="A1205" s="3" t="s">
        <v>49</v>
      </c>
      <c r="B1205" s="3" t="s">
        <v>50</v>
      </c>
      <c r="C1205">
        <v>12</v>
      </c>
      <c r="D1205">
        <v>11000</v>
      </c>
      <c r="E1205">
        <v>499</v>
      </c>
      <c r="F1205">
        <v>1</v>
      </c>
      <c r="G1205">
        <v>11000</v>
      </c>
      <c r="H1205">
        <v>3.60405E-4</v>
      </c>
      <c r="I1205">
        <v>2805</v>
      </c>
      <c r="J1205">
        <v>2778</v>
      </c>
      <c r="K1205">
        <v>27</v>
      </c>
      <c r="L1205">
        <v>500</v>
      </c>
      <c r="M1205">
        <v>499</v>
      </c>
      <c r="N1205">
        <v>1</v>
      </c>
      <c r="O1205">
        <v>8195</v>
      </c>
      <c r="P1205">
        <v>1</v>
      </c>
    </row>
    <row r="1206" spans="1:16" x14ac:dyDescent="0.2">
      <c r="A1206" s="3" t="s">
        <v>49</v>
      </c>
      <c r="B1206" s="3" t="s">
        <v>50</v>
      </c>
      <c r="C1206">
        <v>14</v>
      </c>
      <c r="D1206">
        <v>19000</v>
      </c>
      <c r="E1206">
        <v>499</v>
      </c>
      <c r="F1206">
        <v>1</v>
      </c>
      <c r="G1206">
        <v>84218.384375429901</v>
      </c>
      <c r="H1206">
        <v>3.6028600000000003E-4</v>
      </c>
      <c r="I1206">
        <v>2998</v>
      </c>
      <c r="J1206">
        <v>2969</v>
      </c>
      <c r="K1206">
        <v>29</v>
      </c>
      <c r="L1206">
        <v>500</v>
      </c>
      <c r="M1206">
        <v>499</v>
      </c>
      <c r="N1206">
        <v>1</v>
      </c>
      <c r="O1206">
        <v>72701.833405598707</v>
      </c>
      <c r="P1206">
        <v>0</v>
      </c>
    </row>
    <row r="1207" spans="1:16" x14ac:dyDescent="0.2">
      <c r="A1207" s="3" t="s">
        <v>49</v>
      </c>
      <c r="B1207" s="3" t="s">
        <v>50</v>
      </c>
      <c r="C1207">
        <v>15</v>
      </c>
      <c r="D1207">
        <v>20000</v>
      </c>
      <c r="E1207">
        <v>499</v>
      </c>
      <c r="F1207">
        <v>1</v>
      </c>
      <c r="G1207">
        <v>20000</v>
      </c>
      <c r="H1207">
        <v>3.6020300000000002E-4</v>
      </c>
      <c r="I1207">
        <v>3002</v>
      </c>
      <c r="J1207">
        <v>2971</v>
      </c>
      <c r="K1207">
        <v>31</v>
      </c>
      <c r="L1207">
        <v>500</v>
      </c>
      <c r="M1207">
        <v>499</v>
      </c>
      <c r="N1207">
        <v>1</v>
      </c>
      <c r="O1207">
        <v>16998</v>
      </c>
      <c r="P1207">
        <v>1</v>
      </c>
    </row>
    <row r="1208" spans="1:16" x14ac:dyDescent="0.2">
      <c r="A1208" s="3" t="s">
        <v>49</v>
      </c>
      <c r="B1208" s="3" t="s">
        <v>50</v>
      </c>
      <c r="C1208">
        <v>1</v>
      </c>
      <c r="D1208">
        <v>18000</v>
      </c>
      <c r="E1208">
        <v>499</v>
      </c>
      <c r="F1208">
        <v>1</v>
      </c>
      <c r="G1208">
        <v>18000</v>
      </c>
      <c r="H1208">
        <v>3.6006599999999998E-4</v>
      </c>
      <c r="I1208">
        <v>2937</v>
      </c>
      <c r="J1208">
        <v>2897</v>
      </c>
      <c r="K1208">
        <v>40</v>
      </c>
      <c r="L1208">
        <v>500</v>
      </c>
      <c r="M1208">
        <v>499</v>
      </c>
      <c r="N1208">
        <v>1</v>
      </c>
      <c r="O1208">
        <v>15063</v>
      </c>
      <c r="P1208">
        <v>1</v>
      </c>
    </row>
    <row r="1209" spans="1:16" x14ac:dyDescent="0.2">
      <c r="A1209" s="3" t="s">
        <v>49</v>
      </c>
      <c r="B1209" s="3" t="s">
        <v>50</v>
      </c>
      <c r="C1209">
        <v>11</v>
      </c>
      <c r="D1209">
        <v>18000</v>
      </c>
      <c r="E1209">
        <v>499</v>
      </c>
      <c r="F1209">
        <v>1</v>
      </c>
      <c r="G1209">
        <v>75479.649376234796</v>
      </c>
      <c r="H1209">
        <v>3.59076E-4</v>
      </c>
      <c r="I1209">
        <v>2977</v>
      </c>
      <c r="J1209">
        <v>2924</v>
      </c>
      <c r="K1209">
        <v>53</v>
      </c>
      <c r="L1209">
        <v>500</v>
      </c>
      <c r="M1209">
        <v>499</v>
      </c>
      <c r="N1209">
        <v>1</v>
      </c>
      <c r="O1209">
        <v>64620.542841504597</v>
      </c>
      <c r="P1209">
        <v>0</v>
      </c>
    </row>
    <row r="1210" spans="1:16" x14ac:dyDescent="0.2">
      <c r="A1210" s="3" t="s">
        <v>49</v>
      </c>
      <c r="B1210" s="3" t="s">
        <v>50</v>
      </c>
      <c r="C1210">
        <v>44</v>
      </c>
      <c r="D1210">
        <v>20000</v>
      </c>
      <c r="E1210">
        <v>499</v>
      </c>
      <c r="F1210">
        <v>1</v>
      </c>
      <c r="G1210">
        <v>82302.7524576211</v>
      </c>
      <c r="H1210">
        <v>3.5880999999999999E-4</v>
      </c>
      <c r="I1210">
        <v>2992</v>
      </c>
      <c r="J1210">
        <v>2955</v>
      </c>
      <c r="K1210">
        <v>37</v>
      </c>
      <c r="L1210">
        <v>500</v>
      </c>
      <c r="M1210">
        <v>499</v>
      </c>
      <c r="N1210">
        <v>1</v>
      </c>
      <c r="O1210">
        <v>71420.384013704999</v>
      </c>
      <c r="P1210">
        <v>0</v>
      </c>
    </row>
    <row r="1211" spans="1:16" x14ac:dyDescent="0.2">
      <c r="A1211" s="3" t="s">
        <v>49</v>
      </c>
      <c r="B1211" s="3" t="s">
        <v>50</v>
      </c>
      <c r="C1211">
        <v>13</v>
      </c>
      <c r="D1211">
        <v>19000</v>
      </c>
      <c r="E1211">
        <v>499</v>
      </c>
      <c r="F1211">
        <v>1</v>
      </c>
      <c r="G1211">
        <v>84218.384375429901</v>
      </c>
      <c r="H1211">
        <v>3.5850699999999999E-4</v>
      </c>
      <c r="I1211">
        <v>2950</v>
      </c>
      <c r="J1211">
        <v>2915</v>
      </c>
      <c r="K1211">
        <v>35</v>
      </c>
      <c r="L1211">
        <v>500</v>
      </c>
      <c r="M1211">
        <v>499</v>
      </c>
      <c r="N1211">
        <v>1</v>
      </c>
      <c r="O1211">
        <v>72784.350242151602</v>
      </c>
      <c r="P1211">
        <v>0</v>
      </c>
    </row>
    <row r="1212" spans="1:16" x14ac:dyDescent="0.2">
      <c r="A1212" s="3" t="s">
        <v>49</v>
      </c>
      <c r="B1212" s="3" t="s">
        <v>50</v>
      </c>
      <c r="C1212">
        <v>38</v>
      </c>
      <c r="D1212">
        <v>20000</v>
      </c>
      <c r="E1212">
        <v>499</v>
      </c>
      <c r="F1212">
        <v>1</v>
      </c>
      <c r="G1212">
        <v>82302.7524576211</v>
      </c>
      <c r="H1212">
        <v>3.5843399999999998E-4</v>
      </c>
      <c r="I1212">
        <v>2960</v>
      </c>
      <c r="J1212">
        <v>2918</v>
      </c>
      <c r="K1212">
        <v>42</v>
      </c>
      <c r="L1212">
        <v>500</v>
      </c>
      <c r="M1212">
        <v>499</v>
      </c>
      <c r="N1212">
        <v>1</v>
      </c>
      <c r="O1212">
        <v>71508.867015599099</v>
      </c>
      <c r="P1212">
        <v>0</v>
      </c>
    </row>
    <row r="1213" spans="1:16" x14ac:dyDescent="0.2">
      <c r="A1213" s="3" t="s">
        <v>49</v>
      </c>
      <c r="B1213" s="3" t="s">
        <v>50</v>
      </c>
      <c r="C1213">
        <v>33</v>
      </c>
      <c r="D1213">
        <v>20000</v>
      </c>
      <c r="E1213">
        <v>499</v>
      </c>
      <c r="F1213">
        <v>1</v>
      </c>
      <c r="G1213">
        <v>82302.7524576211</v>
      </c>
      <c r="H1213">
        <v>3.5799399999999999E-4</v>
      </c>
      <c r="I1213">
        <v>3026</v>
      </c>
      <c r="J1213">
        <v>2988</v>
      </c>
      <c r="K1213">
        <v>38</v>
      </c>
      <c r="L1213">
        <v>500</v>
      </c>
      <c r="M1213">
        <v>499</v>
      </c>
      <c r="N1213">
        <v>1</v>
      </c>
      <c r="O1213">
        <v>71427.333354125702</v>
      </c>
      <c r="P1213">
        <v>0</v>
      </c>
    </row>
    <row r="1214" spans="1:16" x14ac:dyDescent="0.2">
      <c r="A1214" s="3" t="s">
        <v>49</v>
      </c>
      <c r="B1214" s="3" t="s">
        <v>50</v>
      </c>
      <c r="C1214">
        <v>46</v>
      </c>
      <c r="D1214">
        <v>15000</v>
      </c>
      <c r="E1214">
        <v>499</v>
      </c>
      <c r="F1214">
        <v>1</v>
      </c>
      <c r="G1214">
        <v>60572.237308582698</v>
      </c>
      <c r="H1214">
        <v>3.57967E-4</v>
      </c>
      <c r="I1214">
        <v>2869</v>
      </c>
      <c r="J1214">
        <v>2834</v>
      </c>
      <c r="K1214">
        <v>35</v>
      </c>
      <c r="L1214">
        <v>500</v>
      </c>
      <c r="M1214">
        <v>499</v>
      </c>
      <c r="N1214">
        <v>1</v>
      </c>
      <c r="O1214">
        <v>50318.611914071698</v>
      </c>
      <c r="P1214">
        <v>0</v>
      </c>
    </row>
    <row r="1215" spans="1:16" x14ac:dyDescent="0.2">
      <c r="A1215" s="3" t="s">
        <v>49</v>
      </c>
      <c r="B1215" s="3" t="s">
        <v>50</v>
      </c>
      <c r="C1215">
        <v>37</v>
      </c>
      <c r="D1215">
        <v>19000</v>
      </c>
      <c r="E1215">
        <v>499</v>
      </c>
      <c r="F1215">
        <v>1</v>
      </c>
      <c r="G1215">
        <v>84218.384375429901</v>
      </c>
      <c r="H1215">
        <v>3.57554E-4</v>
      </c>
      <c r="I1215">
        <v>3017</v>
      </c>
      <c r="J1215">
        <v>2973</v>
      </c>
      <c r="K1215">
        <v>44</v>
      </c>
      <c r="L1215">
        <v>500</v>
      </c>
      <c r="M1215">
        <v>499</v>
      </c>
      <c r="N1215">
        <v>1</v>
      </c>
      <c r="O1215">
        <v>72635.544189332402</v>
      </c>
      <c r="P1215">
        <v>0</v>
      </c>
    </row>
    <row r="1216" spans="1:16" x14ac:dyDescent="0.2">
      <c r="A1216" s="3" t="s">
        <v>49</v>
      </c>
      <c r="B1216" s="3" t="s">
        <v>50</v>
      </c>
      <c r="C1216">
        <v>5</v>
      </c>
      <c r="D1216">
        <v>19000</v>
      </c>
      <c r="E1216">
        <v>499</v>
      </c>
      <c r="F1216">
        <v>1</v>
      </c>
      <c r="G1216">
        <v>84218.384375429901</v>
      </c>
      <c r="H1216">
        <v>3.5696700000000003E-4</v>
      </c>
      <c r="I1216">
        <v>2985</v>
      </c>
      <c r="J1216">
        <v>2945</v>
      </c>
      <c r="K1216">
        <v>40</v>
      </c>
      <c r="L1216">
        <v>500</v>
      </c>
      <c r="M1216">
        <v>499</v>
      </c>
      <c r="N1216">
        <v>1</v>
      </c>
      <c r="O1216">
        <v>72672.328247889294</v>
      </c>
      <c r="P1216">
        <v>0</v>
      </c>
    </row>
    <row r="1217" spans="1:16" x14ac:dyDescent="0.2">
      <c r="A1217" s="3" t="s">
        <v>49</v>
      </c>
      <c r="B1217" s="3" t="s">
        <v>50</v>
      </c>
      <c r="C1217">
        <v>47</v>
      </c>
      <c r="D1217">
        <v>17000</v>
      </c>
      <c r="E1217">
        <v>499</v>
      </c>
      <c r="F1217">
        <v>1</v>
      </c>
      <c r="G1217">
        <v>65872.258119671897</v>
      </c>
      <c r="H1217">
        <v>3.5677499999999998E-4</v>
      </c>
      <c r="I1217">
        <v>2955</v>
      </c>
      <c r="J1217">
        <v>2933</v>
      </c>
      <c r="K1217">
        <v>22</v>
      </c>
      <c r="L1217">
        <v>500</v>
      </c>
      <c r="M1217">
        <v>499</v>
      </c>
      <c r="N1217">
        <v>1</v>
      </c>
      <c r="O1217">
        <v>55625.864540490598</v>
      </c>
      <c r="P1217">
        <v>0</v>
      </c>
    </row>
    <row r="1218" spans="1:16" x14ac:dyDescent="0.2">
      <c r="A1218" s="3" t="s">
        <v>49</v>
      </c>
      <c r="B1218" s="3" t="s">
        <v>50</v>
      </c>
      <c r="C1218">
        <v>35</v>
      </c>
      <c r="D1218">
        <v>19000</v>
      </c>
      <c r="E1218">
        <v>499</v>
      </c>
      <c r="F1218">
        <v>1</v>
      </c>
      <c r="G1218">
        <v>84218.384375429901</v>
      </c>
      <c r="H1218">
        <v>3.5663699999999998E-4</v>
      </c>
      <c r="I1218">
        <v>2992</v>
      </c>
      <c r="J1218">
        <v>2957</v>
      </c>
      <c r="K1218">
        <v>35</v>
      </c>
      <c r="L1218">
        <v>500</v>
      </c>
      <c r="M1218">
        <v>499</v>
      </c>
      <c r="N1218">
        <v>1</v>
      </c>
      <c r="O1218">
        <v>72676.247724185203</v>
      </c>
      <c r="P1218">
        <v>0</v>
      </c>
    </row>
    <row r="1219" spans="1:16" x14ac:dyDescent="0.2">
      <c r="A1219" s="3" t="s">
        <v>49</v>
      </c>
      <c r="B1219" s="3" t="s">
        <v>50</v>
      </c>
      <c r="C1219">
        <v>7</v>
      </c>
      <c r="D1219">
        <v>20000</v>
      </c>
      <c r="E1219">
        <v>499</v>
      </c>
      <c r="F1219">
        <v>1</v>
      </c>
      <c r="G1219">
        <v>20000</v>
      </c>
      <c r="H1219">
        <v>3.5642600000000002E-4</v>
      </c>
      <c r="I1219">
        <v>3011</v>
      </c>
      <c r="J1219">
        <v>2965</v>
      </c>
      <c r="K1219">
        <v>46</v>
      </c>
      <c r="L1219">
        <v>500</v>
      </c>
      <c r="M1219">
        <v>499</v>
      </c>
      <c r="N1219">
        <v>1</v>
      </c>
      <c r="O1219">
        <v>16989</v>
      </c>
      <c r="P1219">
        <v>1</v>
      </c>
    </row>
    <row r="1220" spans="1:16" x14ac:dyDescent="0.2">
      <c r="A1220" s="3" t="s">
        <v>49</v>
      </c>
      <c r="B1220" s="3" t="s">
        <v>50</v>
      </c>
      <c r="C1220">
        <v>17</v>
      </c>
      <c r="D1220">
        <v>19000</v>
      </c>
      <c r="E1220">
        <v>499</v>
      </c>
      <c r="F1220">
        <v>1</v>
      </c>
      <c r="G1220">
        <v>19000</v>
      </c>
      <c r="H1220">
        <v>3.5636199999999999E-4</v>
      </c>
      <c r="I1220">
        <v>3017</v>
      </c>
      <c r="J1220">
        <v>2979</v>
      </c>
      <c r="K1220">
        <v>38</v>
      </c>
      <c r="L1220">
        <v>500</v>
      </c>
      <c r="M1220">
        <v>499</v>
      </c>
      <c r="N1220">
        <v>1</v>
      </c>
      <c r="O1220">
        <v>15983</v>
      </c>
      <c r="P1220">
        <v>1</v>
      </c>
    </row>
    <row r="1221" spans="1:16" x14ac:dyDescent="0.2">
      <c r="A1221" s="3" t="s">
        <v>49</v>
      </c>
      <c r="B1221" s="3" t="s">
        <v>50</v>
      </c>
      <c r="C1221">
        <v>45</v>
      </c>
      <c r="D1221">
        <v>19000</v>
      </c>
      <c r="E1221">
        <v>499</v>
      </c>
      <c r="F1221">
        <v>1</v>
      </c>
      <c r="G1221">
        <v>84218.384375429901</v>
      </c>
      <c r="H1221">
        <v>3.5599600000000003E-4</v>
      </c>
      <c r="I1221">
        <v>2983</v>
      </c>
      <c r="J1221">
        <v>2949</v>
      </c>
      <c r="K1221">
        <v>34</v>
      </c>
      <c r="L1221">
        <v>500</v>
      </c>
      <c r="M1221">
        <v>499</v>
      </c>
      <c r="N1221">
        <v>1</v>
      </c>
      <c r="O1221">
        <v>72635.840980351204</v>
      </c>
      <c r="P1221">
        <v>0</v>
      </c>
    </row>
    <row r="1222" spans="1:16" x14ac:dyDescent="0.2">
      <c r="A1222" s="3" t="s">
        <v>49</v>
      </c>
      <c r="B1222" s="3" t="s">
        <v>50</v>
      </c>
      <c r="C1222">
        <v>1</v>
      </c>
      <c r="D1222">
        <v>19000</v>
      </c>
      <c r="E1222">
        <v>499</v>
      </c>
      <c r="F1222">
        <v>1</v>
      </c>
      <c r="G1222">
        <v>19000</v>
      </c>
      <c r="H1222">
        <v>3.5594100000000003E-4</v>
      </c>
      <c r="I1222">
        <v>2996</v>
      </c>
      <c r="J1222">
        <v>2955</v>
      </c>
      <c r="K1222">
        <v>41</v>
      </c>
      <c r="L1222">
        <v>500</v>
      </c>
      <c r="M1222">
        <v>499</v>
      </c>
      <c r="N1222">
        <v>1</v>
      </c>
      <c r="O1222">
        <v>16004</v>
      </c>
      <c r="P1222">
        <v>1</v>
      </c>
    </row>
    <row r="1223" spans="1:16" x14ac:dyDescent="0.2">
      <c r="A1223" s="3" t="s">
        <v>49</v>
      </c>
      <c r="B1223" s="3" t="s">
        <v>50</v>
      </c>
      <c r="C1223">
        <v>26</v>
      </c>
      <c r="D1223">
        <v>12000</v>
      </c>
      <c r="E1223">
        <v>499</v>
      </c>
      <c r="F1223">
        <v>1</v>
      </c>
      <c r="G1223">
        <v>12000</v>
      </c>
      <c r="H1223">
        <v>3.5493200000000002E-4</v>
      </c>
      <c r="I1223">
        <v>2785</v>
      </c>
      <c r="J1223">
        <v>2763</v>
      </c>
      <c r="K1223">
        <v>22</v>
      </c>
      <c r="L1223">
        <v>500</v>
      </c>
      <c r="M1223">
        <v>499</v>
      </c>
      <c r="N1223">
        <v>1</v>
      </c>
      <c r="O1223">
        <v>9215</v>
      </c>
      <c r="P1223">
        <v>1</v>
      </c>
    </row>
    <row r="1224" spans="1:16" x14ac:dyDescent="0.2">
      <c r="A1224" s="3" t="s">
        <v>49</v>
      </c>
      <c r="B1224" s="3" t="s">
        <v>50</v>
      </c>
      <c r="C1224">
        <v>50</v>
      </c>
      <c r="D1224">
        <v>19000</v>
      </c>
      <c r="E1224">
        <v>499</v>
      </c>
      <c r="F1224">
        <v>1</v>
      </c>
      <c r="G1224">
        <v>19000</v>
      </c>
      <c r="H1224">
        <v>3.5461200000000003E-4</v>
      </c>
      <c r="I1224">
        <v>2997</v>
      </c>
      <c r="J1224">
        <v>2962</v>
      </c>
      <c r="K1224">
        <v>35</v>
      </c>
      <c r="L1224">
        <v>500</v>
      </c>
      <c r="M1224">
        <v>499</v>
      </c>
      <c r="N1224">
        <v>1</v>
      </c>
      <c r="O1224">
        <v>16003</v>
      </c>
      <c r="P1224">
        <v>1</v>
      </c>
    </row>
    <row r="1225" spans="1:16" x14ac:dyDescent="0.2">
      <c r="A1225" s="3" t="s">
        <v>49</v>
      </c>
      <c r="B1225" s="3" t="s">
        <v>50</v>
      </c>
      <c r="C1225">
        <v>41</v>
      </c>
      <c r="D1225">
        <v>20000</v>
      </c>
      <c r="E1225">
        <v>499</v>
      </c>
      <c r="F1225">
        <v>1</v>
      </c>
      <c r="G1225">
        <v>20000</v>
      </c>
      <c r="H1225">
        <v>3.5460199999999998E-4</v>
      </c>
      <c r="I1225">
        <v>2983</v>
      </c>
      <c r="J1225">
        <v>2936</v>
      </c>
      <c r="K1225">
        <v>47</v>
      </c>
      <c r="L1225">
        <v>500</v>
      </c>
      <c r="M1225">
        <v>499</v>
      </c>
      <c r="N1225">
        <v>1</v>
      </c>
      <c r="O1225">
        <v>17017</v>
      </c>
      <c r="P1225">
        <v>1</v>
      </c>
    </row>
    <row r="1226" spans="1:16" x14ac:dyDescent="0.2">
      <c r="A1226" s="3" t="s">
        <v>49</v>
      </c>
      <c r="B1226" s="3" t="s">
        <v>50</v>
      </c>
      <c r="C1226">
        <v>4</v>
      </c>
      <c r="D1226">
        <v>17000</v>
      </c>
      <c r="E1226">
        <v>499</v>
      </c>
      <c r="F1226">
        <v>1</v>
      </c>
      <c r="G1226">
        <v>65872.258119671897</v>
      </c>
      <c r="H1226">
        <v>3.5419E-4</v>
      </c>
      <c r="I1226">
        <v>2999</v>
      </c>
      <c r="J1226">
        <v>2965</v>
      </c>
      <c r="K1226">
        <v>34</v>
      </c>
      <c r="L1226">
        <v>500</v>
      </c>
      <c r="M1226">
        <v>499</v>
      </c>
      <c r="N1226">
        <v>1</v>
      </c>
      <c r="O1226">
        <v>55599.007266983703</v>
      </c>
      <c r="P1226">
        <v>0</v>
      </c>
    </row>
    <row r="1227" spans="1:16" x14ac:dyDescent="0.2">
      <c r="A1227" s="3" t="s">
        <v>49</v>
      </c>
      <c r="B1227" s="3" t="s">
        <v>50</v>
      </c>
      <c r="C1227">
        <v>22</v>
      </c>
      <c r="D1227">
        <v>18000</v>
      </c>
      <c r="E1227">
        <v>499</v>
      </c>
      <c r="F1227">
        <v>1</v>
      </c>
      <c r="G1227">
        <v>75479.649376234796</v>
      </c>
      <c r="H1227">
        <v>3.5393300000000001E-4</v>
      </c>
      <c r="I1227">
        <v>2975</v>
      </c>
      <c r="J1227">
        <v>2944</v>
      </c>
      <c r="K1227">
        <v>31</v>
      </c>
      <c r="L1227">
        <v>500</v>
      </c>
      <c r="M1227">
        <v>499</v>
      </c>
      <c r="N1227">
        <v>1</v>
      </c>
      <c r="O1227">
        <v>64588.761260447303</v>
      </c>
      <c r="P1227">
        <v>0</v>
      </c>
    </row>
    <row r="1228" spans="1:16" x14ac:dyDescent="0.2">
      <c r="A1228" s="3" t="s">
        <v>49</v>
      </c>
      <c r="B1228" s="3" t="s">
        <v>50</v>
      </c>
      <c r="C1228">
        <v>21</v>
      </c>
      <c r="D1228">
        <v>19000</v>
      </c>
      <c r="E1228">
        <v>499</v>
      </c>
      <c r="F1228">
        <v>1</v>
      </c>
      <c r="G1228">
        <v>19000</v>
      </c>
      <c r="H1228">
        <v>3.5391399999999999E-4</v>
      </c>
      <c r="I1228">
        <v>2955</v>
      </c>
      <c r="J1228">
        <v>2919</v>
      </c>
      <c r="K1228">
        <v>36</v>
      </c>
      <c r="L1228">
        <v>500</v>
      </c>
      <c r="M1228">
        <v>499</v>
      </c>
      <c r="N1228">
        <v>1</v>
      </c>
      <c r="O1228">
        <v>16045</v>
      </c>
      <c r="P1228">
        <v>1</v>
      </c>
    </row>
    <row r="1229" spans="1:16" x14ac:dyDescent="0.2">
      <c r="A1229" s="3" t="s">
        <v>49</v>
      </c>
      <c r="B1229" s="3" t="s">
        <v>50</v>
      </c>
      <c r="C1229">
        <v>38</v>
      </c>
      <c r="D1229">
        <v>19000</v>
      </c>
      <c r="E1229">
        <v>499</v>
      </c>
      <c r="F1229">
        <v>1</v>
      </c>
      <c r="G1229">
        <v>84218.384375429901</v>
      </c>
      <c r="H1229">
        <v>3.5379500000000001E-4</v>
      </c>
      <c r="I1229">
        <v>2986</v>
      </c>
      <c r="J1229">
        <v>2947</v>
      </c>
      <c r="K1229">
        <v>39</v>
      </c>
      <c r="L1229">
        <v>500</v>
      </c>
      <c r="M1229">
        <v>499</v>
      </c>
      <c r="N1229">
        <v>1</v>
      </c>
      <c r="O1229">
        <v>72700.332581160503</v>
      </c>
      <c r="P1229">
        <v>0</v>
      </c>
    </row>
    <row r="1230" spans="1:16" x14ac:dyDescent="0.2">
      <c r="A1230" s="3" t="s">
        <v>49</v>
      </c>
      <c r="B1230" s="3" t="s">
        <v>50</v>
      </c>
      <c r="C1230">
        <v>29</v>
      </c>
      <c r="D1230">
        <v>19000</v>
      </c>
      <c r="E1230">
        <v>499</v>
      </c>
      <c r="F1230">
        <v>1</v>
      </c>
      <c r="G1230">
        <v>84218.384375429901</v>
      </c>
      <c r="H1230">
        <v>3.5347500000000001E-4</v>
      </c>
      <c r="I1230">
        <v>3008</v>
      </c>
      <c r="J1230">
        <v>2977</v>
      </c>
      <c r="K1230">
        <v>31</v>
      </c>
      <c r="L1230">
        <v>500</v>
      </c>
      <c r="M1230">
        <v>499</v>
      </c>
      <c r="N1230">
        <v>1</v>
      </c>
      <c r="O1230">
        <v>72637.530412409105</v>
      </c>
      <c r="P1230">
        <v>0</v>
      </c>
    </row>
    <row r="1231" spans="1:16" x14ac:dyDescent="0.2">
      <c r="A1231" s="3" t="s">
        <v>49</v>
      </c>
      <c r="B1231" s="3" t="s">
        <v>50</v>
      </c>
      <c r="C1231">
        <v>12</v>
      </c>
      <c r="D1231">
        <v>17000</v>
      </c>
      <c r="E1231">
        <v>499</v>
      </c>
      <c r="F1231">
        <v>1</v>
      </c>
      <c r="G1231">
        <v>17000</v>
      </c>
      <c r="H1231">
        <v>3.5302599999999999E-4</v>
      </c>
      <c r="I1231">
        <v>2933</v>
      </c>
      <c r="J1231">
        <v>2896</v>
      </c>
      <c r="K1231">
        <v>37</v>
      </c>
      <c r="L1231">
        <v>500</v>
      </c>
      <c r="M1231">
        <v>499</v>
      </c>
      <c r="N1231">
        <v>1</v>
      </c>
      <c r="O1231">
        <v>14067</v>
      </c>
      <c r="P1231">
        <v>1</v>
      </c>
    </row>
    <row r="1232" spans="1:16" x14ac:dyDescent="0.2">
      <c r="A1232" s="3" t="s">
        <v>49</v>
      </c>
      <c r="B1232" s="3" t="s">
        <v>50</v>
      </c>
      <c r="C1232">
        <v>18</v>
      </c>
      <c r="D1232">
        <v>19000</v>
      </c>
      <c r="E1232">
        <v>499</v>
      </c>
      <c r="F1232">
        <v>1</v>
      </c>
      <c r="G1232">
        <v>84218.384375429901</v>
      </c>
      <c r="H1232">
        <v>3.53016E-4</v>
      </c>
      <c r="I1232">
        <v>2977</v>
      </c>
      <c r="J1232">
        <v>2934</v>
      </c>
      <c r="K1232">
        <v>43</v>
      </c>
      <c r="L1232">
        <v>500</v>
      </c>
      <c r="M1232">
        <v>499</v>
      </c>
      <c r="N1232">
        <v>1</v>
      </c>
      <c r="O1232">
        <v>72767.9581158168</v>
      </c>
      <c r="P1232">
        <v>0</v>
      </c>
    </row>
    <row r="1233" spans="1:16" x14ac:dyDescent="0.2">
      <c r="A1233" s="3" t="s">
        <v>49</v>
      </c>
      <c r="B1233" s="3" t="s">
        <v>50</v>
      </c>
      <c r="C1233">
        <v>33</v>
      </c>
      <c r="D1233">
        <v>19000</v>
      </c>
      <c r="E1233">
        <v>499</v>
      </c>
      <c r="F1233">
        <v>1</v>
      </c>
      <c r="G1233">
        <v>84218.384375429901</v>
      </c>
      <c r="H1233">
        <v>3.5273200000000002E-4</v>
      </c>
      <c r="I1233">
        <v>2994</v>
      </c>
      <c r="J1233">
        <v>2951</v>
      </c>
      <c r="K1233">
        <v>43</v>
      </c>
      <c r="L1233">
        <v>500</v>
      </c>
      <c r="M1233">
        <v>499</v>
      </c>
      <c r="N1233">
        <v>1</v>
      </c>
      <c r="O1233">
        <v>72693.388484480703</v>
      </c>
      <c r="P1233">
        <v>0</v>
      </c>
    </row>
    <row r="1234" spans="1:16" x14ac:dyDescent="0.2">
      <c r="A1234" s="3" t="s">
        <v>49</v>
      </c>
      <c r="B1234" s="3" t="s">
        <v>50</v>
      </c>
      <c r="C1234">
        <v>38</v>
      </c>
      <c r="D1234">
        <v>19000</v>
      </c>
      <c r="E1234">
        <v>499</v>
      </c>
      <c r="F1234">
        <v>1</v>
      </c>
      <c r="G1234">
        <v>19000</v>
      </c>
      <c r="H1234">
        <v>3.5236499999999999E-4</v>
      </c>
      <c r="I1234">
        <v>2993</v>
      </c>
      <c r="J1234">
        <v>2956</v>
      </c>
      <c r="K1234">
        <v>37</v>
      </c>
      <c r="L1234">
        <v>500</v>
      </c>
      <c r="M1234">
        <v>499</v>
      </c>
      <c r="N1234">
        <v>1</v>
      </c>
      <c r="O1234">
        <v>16007</v>
      </c>
      <c r="P1234">
        <v>1</v>
      </c>
    </row>
    <row r="1235" spans="1:16" x14ac:dyDescent="0.2">
      <c r="A1235" s="3" t="s">
        <v>49</v>
      </c>
      <c r="B1235" s="3" t="s">
        <v>50</v>
      </c>
      <c r="C1235">
        <v>33</v>
      </c>
      <c r="D1235">
        <v>20000</v>
      </c>
      <c r="E1235">
        <v>499</v>
      </c>
      <c r="F1235">
        <v>1</v>
      </c>
      <c r="G1235">
        <v>20000</v>
      </c>
      <c r="H1235">
        <v>3.52228E-4</v>
      </c>
      <c r="I1235">
        <v>3005</v>
      </c>
      <c r="J1235">
        <v>2966</v>
      </c>
      <c r="K1235">
        <v>39</v>
      </c>
      <c r="L1235">
        <v>500</v>
      </c>
      <c r="M1235">
        <v>499</v>
      </c>
      <c r="N1235">
        <v>1</v>
      </c>
      <c r="O1235">
        <v>16995</v>
      </c>
      <c r="P1235">
        <v>1</v>
      </c>
    </row>
    <row r="1236" spans="1:16" x14ac:dyDescent="0.2">
      <c r="A1236" s="3" t="s">
        <v>49</v>
      </c>
      <c r="B1236" s="3" t="s">
        <v>50</v>
      </c>
      <c r="C1236">
        <v>23</v>
      </c>
      <c r="D1236">
        <v>20000</v>
      </c>
      <c r="E1236">
        <v>499</v>
      </c>
      <c r="F1236">
        <v>1</v>
      </c>
      <c r="G1236">
        <v>82302.7524576211</v>
      </c>
      <c r="H1236">
        <v>3.5209100000000001E-4</v>
      </c>
      <c r="I1236">
        <v>2984</v>
      </c>
      <c r="J1236">
        <v>2941</v>
      </c>
      <c r="K1236">
        <v>43</v>
      </c>
      <c r="L1236">
        <v>500</v>
      </c>
      <c r="M1236">
        <v>499</v>
      </c>
      <c r="N1236">
        <v>1</v>
      </c>
      <c r="O1236">
        <v>71483.881326168499</v>
      </c>
      <c r="P1236">
        <v>0</v>
      </c>
    </row>
    <row r="1237" spans="1:16" x14ac:dyDescent="0.2">
      <c r="A1237" s="3" t="s">
        <v>49</v>
      </c>
      <c r="B1237" s="3" t="s">
        <v>50</v>
      </c>
      <c r="C1237">
        <v>50</v>
      </c>
      <c r="D1237">
        <v>20000</v>
      </c>
      <c r="E1237">
        <v>499</v>
      </c>
      <c r="F1237">
        <v>1</v>
      </c>
      <c r="G1237">
        <v>82302.7524576211</v>
      </c>
      <c r="H1237">
        <v>3.5209100000000001E-4</v>
      </c>
      <c r="I1237">
        <v>3004</v>
      </c>
      <c r="J1237">
        <v>2976</v>
      </c>
      <c r="K1237">
        <v>28</v>
      </c>
      <c r="L1237">
        <v>500</v>
      </c>
      <c r="M1237">
        <v>499</v>
      </c>
      <c r="N1237">
        <v>1</v>
      </c>
      <c r="O1237">
        <v>71463.489546176104</v>
      </c>
      <c r="P1237">
        <v>0</v>
      </c>
    </row>
    <row r="1238" spans="1:16" x14ac:dyDescent="0.2">
      <c r="A1238" s="3" t="s">
        <v>49</v>
      </c>
      <c r="B1238" s="3" t="s">
        <v>50</v>
      </c>
      <c r="C1238">
        <v>12</v>
      </c>
      <c r="D1238">
        <v>20000</v>
      </c>
      <c r="E1238">
        <v>499</v>
      </c>
      <c r="F1238">
        <v>1</v>
      </c>
      <c r="G1238">
        <v>82302.7524576211</v>
      </c>
      <c r="H1238">
        <v>3.5177899999999998E-4</v>
      </c>
      <c r="I1238">
        <v>2991</v>
      </c>
      <c r="J1238">
        <v>2954</v>
      </c>
      <c r="K1238">
        <v>37</v>
      </c>
      <c r="L1238">
        <v>500</v>
      </c>
      <c r="M1238">
        <v>499</v>
      </c>
      <c r="N1238">
        <v>1</v>
      </c>
      <c r="O1238">
        <v>71449.271309404998</v>
      </c>
      <c r="P1238">
        <v>0</v>
      </c>
    </row>
    <row r="1239" spans="1:16" x14ac:dyDescent="0.2">
      <c r="A1239" s="3" t="s">
        <v>49</v>
      </c>
      <c r="B1239" s="3" t="s">
        <v>50</v>
      </c>
      <c r="C1239">
        <v>22</v>
      </c>
      <c r="D1239">
        <v>20000</v>
      </c>
      <c r="E1239">
        <v>499</v>
      </c>
      <c r="F1239">
        <v>1</v>
      </c>
      <c r="G1239">
        <v>82302.7524576211</v>
      </c>
      <c r="H1239">
        <v>3.51732E-4</v>
      </c>
      <c r="I1239">
        <v>3026</v>
      </c>
      <c r="J1239">
        <v>2985</v>
      </c>
      <c r="K1239">
        <v>41</v>
      </c>
      <c r="L1239">
        <v>500</v>
      </c>
      <c r="M1239">
        <v>499</v>
      </c>
      <c r="N1239">
        <v>1</v>
      </c>
      <c r="O1239">
        <v>71294.289612325796</v>
      </c>
      <c r="P1239">
        <v>0</v>
      </c>
    </row>
    <row r="1240" spans="1:16" x14ac:dyDescent="0.2">
      <c r="A1240" s="3" t="s">
        <v>49</v>
      </c>
      <c r="B1240" s="3" t="s">
        <v>50</v>
      </c>
      <c r="C1240">
        <v>18</v>
      </c>
      <c r="D1240">
        <v>16000</v>
      </c>
      <c r="E1240">
        <v>499</v>
      </c>
      <c r="F1240">
        <v>1</v>
      </c>
      <c r="G1240">
        <v>16000</v>
      </c>
      <c r="H1240">
        <v>3.5132099999999998E-4</v>
      </c>
      <c r="I1240">
        <v>2954</v>
      </c>
      <c r="J1240">
        <v>2917</v>
      </c>
      <c r="K1240">
        <v>37</v>
      </c>
      <c r="L1240">
        <v>500</v>
      </c>
      <c r="M1240">
        <v>499</v>
      </c>
      <c r="N1240">
        <v>1</v>
      </c>
      <c r="O1240">
        <v>13046</v>
      </c>
      <c r="P1240">
        <v>1</v>
      </c>
    </row>
    <row r="1241" spans="1:16" x14ac:dyDescent="0.2">
      <c r="A1241" s="3" t="s">
        <v>49</v>
      </c>
      <c r="B1241" s="3" t="s">
        <v>50</v>
      </c>
      <c r="C1241">
        <v>31</v>
      </c>
      <c r="D1241">
        <v>20000</v>
      </c>
      <c r="E1241">
        <v>499</v>
      </c>
      <c r="F1241">
        <v>1</v>
      </c>
      <c r="G1241">
        <v>82302.7524576211</v>
      </c>
      <c r="H1241">
        <v>3.51119E-4</v>
      </c>
      <c r="I1241">
        <v>2986</v>
      </c>
      <c r="J1241">
        <v>2945</v>
      </c>
      <c r="K1241">
        <v>41</v>
      </c>
      <c r="L1241">
        <v>500</v>
      </c>
      <c r="M1241">
        <v>499</v>
      </c>
      <c r="N1241">
        <v>1</v>
      </c>
      <c r="O1241">
        <v>71455.604976489703</v>
      </c>
      <c r="P1241">
        <v>0</v>
      </c>
    </row>
    <row r="1242" spans="1:16" x14ac:dyDescent="0.2">
      <c r="A1242" s="3" t="s">
        <v>49</v>
      </c>
      <c r="B1242" s="3" t="s">
        <v>50</v>
      </c>
      <c r="C1242">
        <v>11</v>
      </c>
      <c r="D1242">
        <v>19000</v>
      </c>
      <c r="E1242">
        <v>499</v>
      </c>
      <c r="F1242">
        <v>1</v>
      </c>
      <c r="G1242">
        <v>19000</v>
      </c>
      <c r="H1242">
        <v>3.5099000000000003E-4</v>
      </c>
      <c r="I1242">
        <v>2991</v>
      </c>
      <c r="J1242">
        <v>2964</v>
      </c>
      <c r="K1242">
        <v>27</v>
      </c>
      <c r="L1242">
        <v>500</v>
      </c>
      <c r="M1242">
        <v>499</v>
      </c>
      <c r="N1242">
        <v>1</v>
      </c>
      <c r="O1242">
        <v>16009</v>
      </c>
      <c r="P1242">
        <v>1</v>
      </c>
    </row>
    <row r="1243" spans="1:16" x14ac:dyDescent="0.2">
      <c r="A1243" s="3" t="s">
        <v>49</v>
      </c>
      <c r="B1243" s="3" t="s">
        <v>50</v>
      </c>
      <c r="C1243">
        <v>39</v>
      </c>
      <c r="D1243">
        <v>20000</v>
      </c>
      <c r="E1243">
        <v>499</v>
      </c>
      <c r="F1243">
        <v>1</v>
      </c>
      <c r="G1243">
        <v>82302.7524576211</v>
      </c>
      <c r="H1243">
        <v>3.5098099999999999E-4</v>
      </c>
      <c r="I1243">
        <v>3016</v>
      </c>
      <c r="J1243">
        <v>2966</v>
      </c>
      <c r="K1243">
        <v>50</v>
      </c>
      <c r="L1243">
        <v>500</v>
      </c>
      <c r="M1243">
        <v>499</v>
      </c>
      <c r="N1243">
        <v>1</v>
      </c>
      <c r="O1243">
        <v>71452.561094240693</v>
      </c>
      <c r="P1243">
        <v>0</v>
      </c>
    </row>
    <row r="1244" spans="1:16" x14ac:dyDescent="0.2">
      <c r="A1244" s="3" t="s">
        <v>49</v>
      </c>
      <c r="B1244" s="3" t="s">
        <v>50</v>
      </c>
      <c r="C1244">
        <v>3</v>
      </c>
      <c r="D1244">
        <v>20000</v>
      </c>
      <c r="E1244">
        <v>499</v>
      </c>
      <c r="F1244">
        <v>1</v>
      </c>
      <c r="G1244">
        <v>82302.7524576211</v>
      </c>
      <c r="H1244">
        <v>3.50844E-4</v>
      </c>
      <c r="I1244">
        <v>3010</v>
      </c>
      <c r="J1244">
        <v>2969</v>
      </c>
      <c r="K1244">
        <v>41</v>
      </c>
      <c r="L1244">
        <v>500</v>
      </c>
      <c r="M1244">
        <v>499</v>
      </c>
      <c r="N1244">
        <v>1</v>
      </c>
      <c r="O1244">
        <v>71418.735615869402</v>
      </c>
      <c r="P1244">
        <v>0</v>
      </c>
    </row>
    <row r="1245" spans="1:16" x14ac:dyDescent="0.2">
      <c r="A1245" s="3" t="s">
        <v>49</v>
      </c>
      <c r="B1245" s="3" t="s">
        <v>50</v>
      </c>
      <c r="C1245">
        <v>8</v>
      </c>
      <c r="D1245">
        <v>20000</v>
      </c>
      <c r="E1245">
        <v>499</v>
      </c>
      <c r="F1245">
        <v>1</v>
      </c>
      <c r="G1245">
        <v>82302.7524576211</v>
      </c>
      <c r="H1245">
        <v>3.5055999999999998E-4</v>
      </c>
      <c r="I1245">
        <v>2990</v>
      </c>
      <c r="J1245">
        <v>2947</v>
      </c>
      <c r="K1245">
        <v>43</v>
      </c>
      <c r="L1245">
        <v>500</v>
      </c>
      <c r="M1245">
        <v>499</v>
      </c>
      <c r="N1245">
        <v>1</v>
      </c>
      <c r="O1245">
        <v>71440.981306108399</v>
      </c>
      <c r="P1245">
        <v>0</v>
      </c>
    </row>
    <row r="1246" spans="1:16" x14ac:dyDescent="0.2">
      <c r="A1246" s="3" t="s">
        <v>49</v>
      </c>
      <c r="B1246" s="3" t="s">
        <v>50</v>
      </c>
      <c r="C1246">
        <v>27</v>
      </c>
      <c r="D1246">
        <v>20000</v>
      </c>
      <c r="E1246">
        <v>499</v>
      </c>
      <c r="F1246">
        <v>1</v>
      </c>
      <c r="G1246">
        <v>82302.7524576211</v>
      </c>
      <c r="H1246">
        <v>3.5047700000000003E-4</v>
      </c>
      <c r="I1246">
        <v>2996</v>
      </c>
      <c r="J1246">
        <v>2959</v>
      </c>
      <c r="K1246">
        <v>37</v>
      </c>
      <c r="L1246">
        <v>500</v>
      </c>
      <c r="M1246">
        <v>499</v>
      </c>
      <c r="N1246">
        <v>1</v>
      </c>
      <c r="O1246">
        <v>71374.601291172701</v>
      </c>
      <c r="P1246">
        <v>0</v>
      </c>
    </row>
    <row r="1247" spans="1:16" x14ac:dyDescent="0.2">
      <c r="A1247" s="3" t="s">
        <v>49</v>
      </c>
      <c r="B1247" s="3" t="s">
        <v>50</v>
      </c>
      <c r="C1247">
        <v>20</v>
      </c>
      <c r="D1247">
        <v>20000</v>
      </c>
      <c r="E1247">
        <v>499</v>
      </c>
      <c r="F1247">
        <v>1</v>
      </c>
      <c r="G1247">
        <v>82302.7524576211</v>
      </c>
      <c r="H1247">
        <v>3.50458E-4</v>
      </c>
      <c r="I1247">
        <v>2973</v>
      </c>
      <c r="J1247">
        <v>2934</v>
      </c>
      <c r="K1247">
        <v>39</v>
      </c>
      <c r="L1247">
        <v>500</v>
      </c>
      <c r="M1247">
        <v>499</v>
      </c>
      <c r="N1247">
        <v>1</v>
      </c>
      <c r="O1247">
        <v>71517.9326042623</v>
      </c>
      <c r="P1247">
        <v>0</v>
      </c>
    </row>
    <row r="1248" spans="1:16" x14ac:dyDescent="0.2">
      <c r="A1248" s="3" t="s">
        <v>49</v>
      </c>
      <c r="B1248" s="3" t="s">
        <v>50</v>
      </c>
      <c r="C1248">
        <v>39</v>
      </c>
      <c r="D1248">
        <v>19000</v>
      </c>
      <c r="E1248">
        <v>499</v>
      </c>
      <c r="F1248">
        <v>1</v>
      </c>
      <c r="G1248">
        <v>19000</v>
      </c>
      <c r="H1248">
        <v>3.5033999999999998E-4</v>
      </c>
      <c r="I1248">
        <v>3003</v>
      </c>
      <c r="J1248">
        <v>2967</v>
      </c>
      <c r="K1248">
        <v>36</v>
      </c>
      <c r="L1248">
        <v>500</v>
      </c>
      <c r="M1248">
        <v>499</v>
      </c>
      <c r="N1248">
        <v>1</v>
      </c>
      <c r="O1248">
        <v>15997</v>
      </c>
      <c r="P1248">
        <v>1</v>
      </c>
    </row>
    <row r="1249" spans="1:16" x14ac:dyDescent="0.2">
      <c r="A1249" s="3" t="s">
        <v>49</v>
      </c>
      <c r="B1249" s="3" t="s">
        <v>50</v>
      </c>
      <c r="C1249">
        <v>43</v>
      </c>
      <c r="D1249">
        <v>19000</v>
      </c>
      <c r="E1249">
        <v>499</v>
      </c>
      <c r="F1249">
        <v>1</v>
      </c>
      <c r="G1249">
        <v>84218.384375429901</v>
      </c>
      <c r="H1249">
        <v>3.5026700000000003E-4</v>
      </c>
      <c r="I1249">
        <v>2986</v>
      </c>
      <c r="J1249">
        <v>2953</v>
      </c>
      <c r="K1249">
        <v>33</v>
      </c>
      <c r="L1249">
        <v>500</v>
      </c>
      <c r="M1249">
        <v>499</v>
      </c>
      <c r="N1249">
        <v>1</v>
      </c>
      <c r="O1249">
        <v>72619.4446094171</v>
      </c>
      <c r="P1249">
        <v>0</v>
      </c>
    </row>
    <row r="1250" spans="1:16" x14ac:dyDescent="0.2">
      <c r="A1250" s="3" t="s">
        <v>49</v>
      </c>
      <c r="B1250" s="3" t="s">
        <v>50</v>
      </c>
      <c r="C1250">
        <v>5</v>
      </c>
      <c r="D1250">
        <v>20000</v>
      </c>
      <c r="E1250">
        <v>499</v>
      </c>
      <c r="F1250">
        <v>1</v>
      </c>
      <c r="G1250">
        <v>82302.7524576211</v>
      </c>
      <c r="H1250">
        <v>3.5025699999999998E-4</v>
      </c>
      <c r="I1250">
        <v>2982</v>
      </c>
      <c r="J1250">
        <v>2941</v>
      </c>
      <c r="K1250">
        <v>41</v>
      </c>
      <c r="L1250">
        <v>500</v>
      </c>
      <c r="M1250">
        <v>499</v>
      </c>
      <c r="N1250">
        <v>1</v>
      </c>
      <c r="O1250">
        <v>71562.462775498803</v>
      </c>
      <c r="P1250">
        <v>0</v>
      </c>
    </row>
    <row r="1251" spans="1:16" x14ac:dyDescent="0.2">
      <c r="A1251" s="3" t="s">
        <v>49</v>
      </c>
      <c r="B1251" s="3" t="s">
        <v>50</v>
      </c>
      <c r="C1251">
        <v>26</v>
      </c>
      <c r="D1251">
        <v>20000</v>
      </c>
      <c r="E1251">
        <v>499</v>
      </c>
      <c r="F1251">
        <v>1</v>
      </c>
      <c r="G1251">
        <v>82302.7524576211</v>
      </c>
      <c r="H1251">
        <v>3.50093E-4</v>
      </c>
      <c r="I1251">
        <v>3012</v>
      </c>
      <c r="J1251">
        <v>2979</v>
      </c>
      <c r="K1251">
        <v>33</v>
      </c>
      <c r="L1251">
        <v>500</v>
      </c>
      <c r="M1251">
        <v>499</v>
      </c>
      <c r="N1251">
        <v>1</v>
      </c>
      <c r="O1251">
        <v>71451.247453963093</v>
      </c>
      <c r="P1251">
        <v>0</v>
      </c>
    </row>
    <row r="1252" spans="1:16" x14ac:dyDescent="0.2">
      <c r="A1252" s="3" t="s">
        <v>49</v>
      </c>
      <c r="B1252" s="3" t="s">
        <v>50</v>
      </c>
      <c r="C1252">
        <v>14</v>
      </c>
      <c r="D1252">
        <v>20000</v>
      </c>
      <c r="E1252">
        <v>499</v>
      </c>
      <c r="F1252">
        <v>1</v>
      </c>
      <c r="G1252">
        <v>82302.7524576211</v>
      </c>
      <c r="H1252">
        <v>3.4998199999999998E-4</v>
      </c>
      <c r="I1252">
        <v>2997</v>
      </c>
      <c r="J1252">
        <v>2960</v>
      </c>
      <c r="K1252">
        <v>37</v>
      </c>
      <c r="L1252">
        <v>500</v>
      </c>
      <c r="M1252">
        <v>499</v>
      </c>
      <c r="N1252">
        <v>1</v>
      </c>
      <c r="O1252">
        <v>71487.238293087794</v>
      </c>
      <c r="P1252">
        <v>0</v>
      </c>
    </row>
    <row r="1253" spans="1:16" x14ac:dyDescent="0.2">
      <c r="A1253" s="3" t="s">
        <v>49</v>
      </c>
      <c r="B1253" s="3" t="s">
        <v>50</v>
      </c>
      <c r="C1253">
        <v>31</v>
      </c>
      <c r="D1253">
        <v>17000</v>
      </c>
      <c r="E1253">
        <v>499</v>
      </c>
      <c r="F1253">
        <v>1</v>
      </c>
      <c r="G1253">
        <v>65872.258119671897</v>
      </c>
      <c r="H1253">
        <v>3.4956000000000001E-4</v>
      </c>
      <c r="I1253">
        <v>2980</v>
      </c>
      <c r="J1253">
        <v>2949</v>
      </c>
      <c r="K1253">
        <v>31</v>
      </c>
      <c r="L1253">
        <v>500</v>
      </c>
      <c r="M1253">
        <v>499</v>
      </c>
      <c r="N1253">
        <v>1</v>
      </c>
      <c r="O1253">
        <v>55561.869052333102</v>
      </c>
      <c r="P1253">
        <v>0</v>
      </c>
    </row>
    <row r="1254" spans="1:16" x14ac:dyDescent="0.2">
      <c r="A1254" s="3" t="s">
        <v>49</v>
      </c>
      <c r="B1254" s="3" t="s">
        <v>50</v>
      </c>
      <c r="C1254">
        <v>34</v>
      </c>
      <c r="D1254">
        <v>20000</v>
      </c>
      <c r="E1254">
        <v>499</v>
      </c>
      <c r="F1254">
        <v>1</v>
      </c>
      <c r="G1254">
        <v>82302.7524576211</v>
      </c>
      <c r="H1254">
        <v>3.4946899999999998E-4</v>
      </c>
      <c r="I1254">
        <v>2965</v>
      </c>
      <c r="J1254">
        <v>2927</v>
      </c>
      <c r="K1254">
        <v>38</v>
      </c>
      <c r="L1254">
        <v>500</v>
      </c>
      <c r="M1254">
        <v>499</v>
      </c>
      <c r="N1254">
        <v>1</v>
      </c>
      <c r="O1254">
        <v>71476.712837161307</v>
      </c>
      <c r="P1254">
        <v>0</v>
      </c>
    </row>
    <row r="1255" spans="1:16" x14ac:dyDescent="0.2">
      <c r="A1255" s="3" t="s">
        <v>49</v>
      </c>
      <c r="B1255" s="3" t="s">
        <v>50</v>
      </c>
      <c r="C1255">
        <v>6</v>
      </c>
      <c r="D1255">
        <v>20000</v>
      </c>
      <c r="E1255">
        <v>499</v>
      </c>
      <c r="F1255">
        <v>1</v>
      </c>
      <c r="G1255">
        <v>82302.7524576211</v>
      </c>
      <c r="H1255">
        <v>3.4903799999999997E-4</v>
      </c>
      <c r="I1255">
        <v>3052</v>
      </c>
      <c r="J1255">
        <v>3009</v>
      </c>
      <c r="K1255">
        <v>43</v>
      </c>
      <c r="L1255">
        <v>500</v>
      </c>
      <c r="M1255">
        <v>499</v>
      </c>
      <c r="N1255">
        <v>1</v>
      </c>
      <c r="O1255">
        <v>71299.490834708005</v>
      </c>
      <c r="P1255">
        <v>0</v>
      </c>
    </row>
    <row r="1256" spans="1:16" x14ac:dyDescent="0.2">
      <c r="A1256" s="3" t="s">
        <v>49</v>
      </c>
      <c r="B1256" s="3" t="s">
        <v>50</v>
      </c>
      <c r="C1256">
        <v>43</v>
      </c>
      <c r="D1256">
        <v>20000</v>
      </c>
      <c r="E1256">
        <v>499</v>
      </c>
      <c r="F1256">
        <v>1</v>
      </c>
      <c r="G1256">
        <v>82302.7524576211</v>
      </c>
      <c r="H1256">
        <v>3.4900099999999999E-4</v>
      </c>
      <c r="I1256">
        <v>3006</v>
      </c>
      <c r="J1256">
        <v>2963</v>
      </c>
      <c r="K1256">
        <v>43</v>
      </c>
      <c r="L1256">
        <v>500</v>
      </c>
      <c r="M1256">
        <v>499</v>
      </c>
      <c r="N1256">
        <v>1</v>
      </c>
      <c r="O1256">
        <v>71434.447691168098</v>
      </c>
      <c r="P1256">
        <v>0</v>
      </c>
    </row>
    <row r="1257" spans="1:16" x14ac:dyDescent="0.2">
      <c r="A1257" s="3" t="s">
        <v>49</v>
      </c>
      <c r="B1257" s="3" t="s">
        <v>50</v>
      </c>
      <c r="C1257">
        <v>22</v>
      </c>
      <c r="D1257">
        <v>20000</v>
      </c>
      <c r="E1257">
        <v>499</v>
      </c>
      <c r="F1257">
        <v>1</v>
      </c>
      <c r="G1257">
        <v>20000</v>
      </c>
      <c r="H1257">
        <v>3.4873499999999997E-4</v>
      </c>
      <c r="I1257">
        <v>3003</v>
      </c>
      <c r="J1257">
        <v>2970</v>
      </c>
      <c r="K1257">
        <v>33</v>
      </c>
      <c r="L1257">
        <v>500</v>
      </c>
      <c r="M1257">
        <v>499</v>
      </c>
      <c r="N1257">
        <v>1</v>
      </c>
      <c r="O1257">
        <v>16997</v>
      </c>
      <c r="P1257">
        <v>1</v>
      </c>
    </row>
    <row r="1258" spans="1:16" x14ac:dyDescent="0.2">
      <c r="A1258" s="3" t="s">
        <v>49</v>
      </c>
      <c r="B1258" s="3" t="s">
        <v>50</v>
      </c>
      <c r="C1258">
        <v>32</v>
      </c>
      <c r="D1258">
        <v>19000</v>
      </c>
      <c r="E1258">
        <v>499</v>
      </c>
      <c r="F1258">
        <v>1</v>
      </c>
      <c r="G1258">
        <v>84218.384375429901</v>
      </c>
      <c r="H1258">
        <v>3.4856999999999998E-4</v>
      </c>
      <c r="I1258">
        <v>2962</v>
      </c>
      <c r="J1258">
        <v>2918</v>
      </c>
      <c r="K1258">
        <v>44</v>
      </c>
      <c r="L1258">
        <v>500</v>
      </c>
      <c r="M1258">
        <v>499</v>
      </c>
      <c r="N1258">
        <v>1</v>
      </c>
      <c r="O1258">
        <v>72906.143144412999</v>
      </c>
      <c r="P1258">
        <v>0</v>
      </c>
    </row>
    <row r="1259" spans="1:16" x14ac:dyDescent="0.2">
      <c r="A1259" s="3" t="s">
        <v>49</v>
      </c>
      <c r="B1259" s="3" t="s">
        <v>50</v>
      </c>
      <c r="C1259">
        <v>2</v>
      </c>
      <c r="D1259">
        <v>19000</v>
      </c>
      <c r="E1259">
        <v>499</v>
      </c>
      <c r="F1259">
        <v>1</v>
      </c>
      <c r="G1259">
        <v>84218.384375429901</v>
      </c>
      <c r="H1259">
        <v>3.4848799999999999E-4</v>
      </c>
      <c r="I1259">
        <v>3009</v>
      </c>
      <c r="J1259">
        <v>2969</v>
      </c>
      <c r="K1259">
        <v>40</v>
      </c>
      <c r="L1259">
        <v>500</v>
      </c>
      <c r="M1259">
        <v>499</v>
      </c>
      <c r="N1259">
        <v>1</v>
      </c>
      <c r="O1259">
        <v>72605.161736157796</v>
      </c>
      <c r="P1259">
        <v>0</v>
      </c>
    </row>
    <row r="1260" spans="1:16" x14ac:dyDescent="0.2">
      <c r="A1260" s="3" t="s">
        <v>49</v>
      </c>
      <c r="B1260" s="3" t="s">
        <v>50</v>
      </c>
      <c r="C1260">
        <v>31</v>
      </c>
      <c r="D1260">
        <v>20000</v>
      </c>
      <c r="E1260">
        <v>499</v>
      </c>
      <c r="F1260">
        <v>1</v>
      </c>
      <c r="G1260">
        <v>20000</v>
      </c>
      <c r="H1260">
        <v>3.4842400000000001E-4</v>
      </c>
      <c r="I1260">
        <v>2989</v>
      </c>
      <c r="J1260">
        <v>2959</v>
      </c>
      <c r="K1260">
        <v>30</v>
      </c>
      <c r="L1260">
        <v>500</v>
      </c>
      <c r="M1260">
        <v>499</v>
      </c>
      <c r="N1260">
        <v>1</v>
      </c>
      <c r="O1260">
        <v>17011</v>
      </c>
      <c r="P1260">
        <v>1</v>
      </c>
    </row>
    <row r="1261" spans="1:16" x14ac:dyDescent="0.2">
      <c r="A1261" s="3" t="s">
        <v>49</v>
      </c>
      <c r="B1261" s="3" t="s">
        <v>50</v>
      </c>
      <c r="C1261">
        <v>28</v>
      </c>
      <c r="D1261">
        <v>20000</v>
      </c>
      <c r="E1261">
        <v>499</v>
      </c>
      <c r="F1261">
        <v>1</v>
      </c>
      <c r="G1261">
        <v>82302.7524576211</v>
      </c>
      <c r="H1261">
        <v>3.4840499999999998E-4</v>
      </c>
      <c r="I1261">
        <v>3009</v>
      </c>
      <c r="J1261">
        <v>2965</v>
      </c>
      <c r="K1261">
        <v>44</v>
      </c>
      <c r="L1261">
        <v>500</v>
      </c>
      <c r="M1261">
        <v>499</v>
      </c>
      <c r="N1261">
        <v>1</v>
      </c>
      <c r="O1261">
        <v>71423.0000034361</v>
      </c>
      <c r="P1261">
        <v>0</v>
      </c>
    </row>
    <row r="1262" spans="1:16" x14ac:dyDescent="0.2">
      <c r="A1262" s="3" t="s">
        <v>49</v>
      </c>
      <c r="B1262" s="3" t="s">
        <v>50</v>
      </c>
      <c r="C1262">
        <v>40</v>
      </c>
      <c r="D1262">
        <v>20000</v>
      </c>
      <c r="E1262">
        <v>499</v>
      </c>
      <c r="F1262">
        <v>1</v>
      </c>
      <c r="G1262">
        <v>82302.7524576211</v>
      </c>
      <c r="H1262">
        <v>3.4822199999999997E-4</v>
      </c>
      <c r="I1262">
        <v>3038</v>
      </c>
      <c r="J1262">
        <v>2994</v>
      </c>
      <c r="K1262">
        <v>44</v>
      </c>
      <c r="L1262">
        <v>500</v>
      </c>
      <c r="M1262">
        <v>499</v>
      </c>
      <c r="N1262">
        <v>1</v>
      </c>
      <c r="O1262">
        <v>71254.768346106604</v>
      </c>
      <c r="P1262">
        <v>0</v>
      </c>
    </row>
    <row r="1263" spans="1:16" x14ac:dyDescent="0.2">
      <c r="A1263" s="3" t="s">
        <v>49</v>
      </c>
      <c r="B1263" s="3" t="s">
        <v>50</v>
      </c>
      <c r="C1263">
        <v>32</v>
      </c>
      <c r="D1263">
        <v>20000</v>
      </c>
      <c r="E1263">
        <v>499</v>
      </c>
      <c r="F1263">
        <v>1</v>
      </c>
      <c r="G1263">
        <v>20000</v>
      </c>
      <c r="H1263">
        <v>3.4816699999999998E-4</v>
      </c>
      <c r="I1263">
        <v>3011</v>
      </c>
      <c r="J1263">
        <v>2970</v>
      </c>
      <c r="K1263">
        <v>41</v>
      </c>
      <c r="L1263">
        <v>500</v>
      </c>
      <c r="M1263">
        <v>499</v>
      </c>
      <c r="N1263">
        <v>1</v>
      </c>
      <c r="O1263">
        <v>16989</v>
      </c>
      <c r="P1263">
        <v>1</v>
      </c>
    </row>
    <row r="1264" spans="1:16" x14ac:dyDescent="0.2">
      <c r="A1264" s="3" t="s">
        <v>49</v>
      </c>
      <c r="B1264" s="3" t="s">
        <v>50</v>
      </c>
      <c r="C1264">
        <v>3</v>
      </c>
      <c r="D1264">
        <v>19000</v>
      </c>
      <c r="E1264">
        <v>499</v>
      </c>
      <c r="F1264">
        <v>1</v>
      </c>
      <c r="G1264">
        <v>84218.384375429901</v>
      </c>
      <c r="H1264">
        <v>3.4762699999999998E-4</v>
      </c>
      <c r="I1264">
        <v>2957</v>
      </c>
      <c r="J1264">
        <v>2934</v>
      </c>
      <c r="K1264">
        <v>23</v>
      </c>
      <c r="L1264">
        <v>500</v>
      </c>
      <c r="M1264">
        <v>499</v>
      </c>
      <c r="N1264">
        <v>1</v>
      </c>
      <c r="O1264">
        <v>72875.773476466304</v>
      </c>
      <c r="P1264">
        <v>0</v>
      </c>
    </row>
    <row r="1265" spans="1:16" x14ac:dyDescent="0.2">
      <c r="A1265" s="3" t="s">
        <v>49</v>
      </c>
      <c r="B1265" s="3" t="s">
        <v>50</v>
      </c>
      <c r="C1265">
        <v>47</v>
      </c>
      <c r="D1265">
        <v>20000</v>
      </c>
      <c r="E1265">
        <v>499</v>
      </c>
      <c r="F1265">
        <v>1</v>
      </c>
      <c r="G1265">
        <v>82302.7524576211</v>
      </c>
      <c r="H1265">
        <v>3.4747100000000002E-4</v>
      </c>
      <c r="I1265">
        <v>2975</v>
      </c>
      <c r="J1265">
        <v>2927</v>
      </c>
      <c r="K1265">
        <v>48</v>
      </c>
      <c r="L1265">
        <v>500</v>
      </c>
      <c r="M1265">
        <v>499</v>
      </c>
      <c r="N1265">
        <v>1</v>
      </c>
      <c r="O1265">
        <v>71417.424344974599</v>
      </c>
      <c r="P1265">
        <v>0</v>
      </c>
    </row>
    <row r="1266" spans="1:16" x14ac:dyDescent="0.2">
      <c r="A1266" s="3" t="s">
        <v>49</v>
      </c>
      <c r="B1266" s="3" t="s">
        <v>50</v>
      </c>
      <c r="C1266">
        <v>12</v>
      </c>
      <c r="D1266">
        <v>19000</v>
      </c>
      <c r="E1266">
        <v>499</v>
      </c>
      <c r="F1266">
        <v>1</v>
      </c>
      <c r="G1266">
        <v>84218.384375429901</v>
      </c>
      <c r="H1266">
        <v>3.4724099999999998E-4</v>
      </c>
      <c r="I1266">
        <v>2988</v>
      </c>
      <c r="J1266">
        <v>2955</v>
      </c>
      <c r="K1266">
        <v>33</v>
      </c>
      <c r="L1266">
        <v>500</v>
      </c>
      <c r="M1266">
        <v>499</v>
      </c>
      <c r="N1266">
        <v>1</v>
      </c>
      <c r="O1266">
        <v>72725.614971324103</v>
      </c>
      <c r="P1266">
        <v>0</v>
      </c>
    </row>
    <row r="1267" spans="1:16" x14ac:dyDescent="0.2">
      <c r="A1267" s="3" t="s">
        <v>49</v>
      </c>
      <c r="B1267" s="3" t="s">
        <v>50</v>
      </c>
      <c r="C1267">
        <v>4</v>
      </c>
      <c r="D1267">
        <v>20000</v>
      </c>
      <c r="E1267">
        <v>499</v>
      </c>
      <c r="F1267">
        <v>1</v>
      </c>
      <c r="G1267">
        <v>20000</v>
      </c>
      <c r="H1267">
        <v>3.47232E-4</v>
      </c>
      <c r="I1267">
        <v>3035</v>
      </c>
      <c r="J1267">
        <v>2995</v>
      </c>
      <c r="K1267">
        <v>40</v>
      </c>
      <c r="L1267">
        <v>500</v>
      </c>
      <c r="M1267">
        <v>499</v>
      </c>
      <c r="N1267">
        <v>1</v>
      </c>
      <c r="O1267">
        <v>16965</v>
      </c>
      <c r="P1267">
        <v>1</v>
      </c>
    </row>
    <row r="1268" spans="1:16" x14ac:dyDescent="0.2">
      <c r="A1268" s="3" t="s">
        <v>49</v>
      </c>
      <c r="B1268" s="3" t="s">
        <v>50</v>
      </c>
      <c r="C1268">
        <v>21</v>
      </c>
      <c r="D1268">
        <v>20000</v>
      </c>
      <c r="E1268">
        <v>499</v>
      </c>
      <c r="F1268">
        <v>1</v>
      </c>
      <c r="G1268">
        <v>82302.7524576211</v>
      </c>
      <c r="H1268">
        <v>3.4713099999999998E-4</v>
      </c>
      <c r="I1268">
        <v>3023</v>
      </c>
      <c r="J1268">
        <v>2986</v>
      </c>
      <c r="K1268">
        <v>37</v>
      </c>
      <c r="L1268">
        <v>500</v>
      </c>
      <c r="M1268">
        <v>499</v>
      </c>
      <c r="N1268">
        <v>1</v>
      </c>
      <c r="O1268">
        <v>71309.7622811662</v>
      </c>
      <c r="P1268">
        <v>0</v>
      </c>
    </row>
    <row r="1269" spans="1:16" x14ac:dyDescent="0.2">
      <c r="A1269" s="3" t="s">
        <v>49</v>
      </c>
      <c r="B1269" s="3" t="s">
        <v>50</v>
      </c>
      <c r="C1269">
        <v>30</v>
      </c>
      <c r="D1269">
        <v>20000</v>
      </c>
      <c r="E1269">
        <v>499</v>
      </c>
      <c r="F1269">
        <v>1</v>
      </c>
      <c r="G1269">
        <v>20000</v>
      </c>
      <c r="H1269">
        <v>3.4704000000000001E-4</v>
      </c>
      <c r="I1269">
        <v>3025</v>
      </c>
      <c r="J1269">
        <v>2980</v>
      </c>
      <c r="K1269">
        <v>45</v>
      </c>
      <c r="L1269">
        <v>500</v>
      </c>
      <c r="M1269">
        <v>499</v>
      </c>
      <c r="N1269">
        <v>1</v>
      </c>
      <c r="O1269">
        <v>16975</v>
      </c>
      <c r="P1269">
        <v>1</v>
      </c>
    </row>
    <row r="1270" spans="1:16" x14ac:dyDescent="0.2">
      <c r="A1270" s="3" t="s">
        <v>49</v>
      </c>
      <c r="B1270" s="3" t="s">
        <v>50</v>
      </c>
      <c r="C1270">
        <v>5</v>
      </c>
      <c r="D1270">
        <v>15000</v>
      </c>
      <c r="E1270">
        <v>499</v>
      </c>
      <c r="F1270">
        <v>1</v>
      </c>
      <c r="G1270">
        <v>15000</v>
      </c>
      <c r="H1270">
        <v>3.46829E-4</v>
      </c>
      <c r="I1270">
        <v>2895</v>
      </c>
      <c r="J1270">
        <v>2865</v>
      </c>
      <c r="K1270">
        <v>30</v>
      </c>
      <c r="L1270">
        <v>500</v>
      </c>
      <c r="M1270">
        <v>499</v>
      </c>
      <c r="N1270">
        <v>1</v>
      </c>
      <c r="O1270">
        <v>12105</v>
      </c>
      <c r="P1270">
        <v>1</v>
      </c>
    </row>
    <row r="1271" spans="1:16" x14ac:dyDescent="0.2">
      <c r="A1271" s="3" t="s">
        <v>49</v>
      </c>
      <c r="B1271" s="3" t="s">
        <v>50</v>
      </c>
      <c r="C1271">
        <v>2</v>
      </c>
      <c r="D1271">
        <v>20000</v>
      </c>
      <c r="E1271">
        <v>499</v>
      </c>
      <c r="F1271">
        <v>1</v>
      </c>
      <c r="G1271">
        <v>82302.7524576211</v>
      </c>
      <c r="H1271">
        <v>3.4662799999999998E-4</v>
      </c>
      <c r="I1271">
        <v>3000</v>
      </c>
      <c r="J1271">
        <v>2967</v>
      </c>
      <c r="K1271">
        <v>33</v>
      </c>
      <c r="L1271">
        <v>500</v>
      </c>
      <c r="M1271">
        <v>499</v>
      </c>
      <c r="N1271">
        <v>1</v>
      </c>
      <c r="O1271">
        <v>71503.337800732494</v>
      </c>
      <c r="P1271">
        <v>0</v>
      </c>
    </row>
    <row r="1272" spans="1:16" x14ac:dyDescent="0.2">
      <c r="A1272" s="3" t="s">
        <v>49</v>
      </c>
      <c r="B1272" s="3" t="s">
        <v>50</v>
      </c>
      <c r="C1272">
        <v>7</v>
      </c>
      <c r="D1272">
        <v>16000</v>
      </c>
      <c r="E1272">
        <v>499</v>
      </c>
      <c r="F1272">
        <v>1</v>
      </c>
      <c r="G1272">
        <v>16000</v>
      </c>
      <c r="H1272">
        <v>3.4658200000000001E-4</v>
      </c>
      <c r="I1272">
        <v>2997</v>
      </c>
      <c r="J1272">
        <v>2962</v>
      </c>
      <c r="K1272">
        <v>35</v>
      </c>
      <c r="L1272">
        <v>500</v>
      </c>
      <c r="M1272">
        <v>499</v>
      </c>
      <c r="N1272">
        <v>1</v>
      </c>
      <c r="O1272">
        <v>13003</v>
      </c>
      <c r="P1272">
        <v>1</v>
      </c>
    </row>
    <row r="1273" spans="1:16" x14ac:dyDescent="0.2">
      <c r="A1273" s="3" t="s">
        <v>49</v>
      </c>
      <c r="B1273" s="3" t="s">
        <v>50</v>
      </c>
      <c r="C1273">
        <v>9</v>
      </c>
      <c r="D1273">
        <v>19000</v>
      </c>
      <c r="E1273">
        <v>499</v>
      </c>
      <c r="F1273">
        <v>1</v>
      </c>
      <c r="G1273">
        <v>84218.384375429901</v>
      </c>
      <c r="H1273">
        <v>3.4625999999999998E-4</v>
      </c>
      <c r="I1273">
        <v>3018</v>
      </c>
      <c r="J1273">
        <v>2971</v>
      </c>
      <c r="K1273">
        <v>47</v>
      </c>
      <c r="L1273">
        <v>500</v>
      </c>
      <c r="M1273">
        <v>499</v>
      </c>
      <c r="N1273">
        <v>1</v>
      </c>
      <c r="O1273">
        <v>72638.220030418801</v>
      </c>
      <c r="P1273">
        <v>0</v>
      </c>
    </row>
    <row r="1274" spans="1:16" x14ac:dyDescent="0.2">
      <c r="A1274" s="3" t="s">
        <v>49</v>
      </c>
      <c r="B1274" s="3" t="s">
        <v>50</v>
      </c>
      <c r="C1274">
        <v>17</v>
      </c>
      <c r="D1274">
        <v>20000</v>
      </c>
      <c r="E1274">
        <v>499</v>
      </c>
      <c r="F1274">
        <v>1</v>
      </c>
      <c r="G1274">
        <v>82302.7524576211</v>
      </c>
      <c r="H1274">
        <v>3.4622400000000001E-4</v>
      </c>
      <c r="I1274">
        <v>2994</v>
      </c>
      <c r="J1274">
        <v>2954</v>
      </c>
      <c r="K1274">
        <v>40</v>
      </c>
      <c r="L1274">
        <v>500</v>
      </c>
      <c r="M1274">
        <v>499</v>
      </c>
      <c r="N1274">
        <v>1</v>
      </c>
      <c r="O1274">
        <v>71428.382983542106</v>
      </c>
      <c r="P1274">
        <v>0</v>
      </c>
    </row>
    <row r="1275" spans="1:16" x14ac:dyDescent="0.2">
      <c r="A1275" s="3" t="s">
        <v>49</v>
      </c>
      <c r="B1275" s="3" t="s">
        <v>50</v>
      </c>
      <c r="C1275">
        <v>49</v>
      </c>
      <c r="D1275">
        <v>17000</v>
      </c>
      <c r="E1275">
        <v>499</v>
      </c>
      <c r="F1275">
        <v>1</v>
      </c>
      <c r="G1275">
        <v>65872.258119671897</v>
      </c>
      <c r="H1275">
        <v>3.4621499999999998E-4</v>
      </c>
      <c r="I1275">
        <v>2967</v>
      </c>
      <c r="J1275">
        <v>2928</v>
      </c>
      <c r="K1275">
        <v>39</v>
      </c>
      <c r="L1275">
        <v>500</v>
      </c>
      <c r="M1275">
        <v>499</v>
      </c>
      <c r="N1275">
        <v>1</v>
      </c>
      <c r="O1275">
        <v>55493.378345180303</v>
      </c>
      <c r="P1275">
        <v>0</v>
      </c>
    </row>
    <row r="1276" spans="1:16" x14ac:dyDescent="0.2">
      <c r="A1276" s="3" t="s">
        <v>49</v>
      </c>
      <c r="B1276" s="3" t="s">
        <v>50</v>
      </c>
      <c r="C1276">
        <v>46</v>
      </c>
      <c r="D1276">
        <v>19000</v>
      </c>
      <c r="E1276">
        <v>499</v>
      </c>
      <c r="F1276">
        <v>1</v>
      </c>
      <c r="G1276">
        <v>19000</v>
      </c>
      <c r="H1276">
        <v>3.45958E-4</v>
      </c>
      <c r="I1276">
        <v>2927</v>
      </c>
      <c r="J1276">
        <v>2886</v>
      </c>
      <c r="K1276">
        <v>41</v>
      </c>
      <c r="L1276">
        <v>500</v>
      </c>
      <c r="M1276">
        <v>499</v>
      </c>
      <c r="N1276">
        <v>1</v>
      </c>
      <c r="O1276">
        <v>16073</v>
      </c>
      <c r="P1276">
        <v>1</v>
      </c>
    </row>
    <row r="1277" spans="1:16" x14ac:dyDescent="0.2">
      <c r="A1277" s="3" t="s">
        <v>49</v>
      </c>
      <c r="B1277" s="3" t="s">
        <v>50</v>
      </c>
      <c r="C1277">
        <v>23</v>
      </c>
      <c r="D1277">
        <v>19000</v>
      </c>
      <c r="E1277">
        <v>499</v>
      </c>
      <c r="F1277">
        <v>1</v>
      </c>
      <c r="G1277">
        <v>84218.384375429901</v>
      </c>
      <c r="H1277">
        <v>3.4559100000000002E-4</v>
      </c>
      <c r="I1277">
        <v>3015</v>
      </c>
      <c r="J1277">
        <v>2972</v>
      </c>
      <c r="K1277">
        <v>43</v>
      </c>
      <c r="L1277">
        <v>500</v>
      </c>
      <c r="M1277">
        <v>499</v>
      </c>
      <c r="N1277">
        <v>1</v>
      </c>
      <c r="O1277">
        <v>72657.431166016293</v>
      </c>
      <c r="P1277">
        <v>0</v>
      </c>
    </row>
    <row r="1278" spans="1:16" x14ac:dyDescent="0.2">
      <c r="A1278" s="3" t="s">
        <v>49</v>
      </c>
      <c r="B1278" s="3" t="s">
        <v>50</v>
      </c>
      <c r="C1278">
        <v>25</v>
      </c>
      <c r="D1278">
        <v>19000</v>
      </c>
      <c r="E1278">
        <v>499</v>
      </c>
      <c r="F1278">
        <v>1</v>
      </c>
      <c r="G1278">
        <v>19000</v>
      </c>
      <c r="H1278">
        <v>3.4528E-4</v>
      </c>
      <c r="I1278">
        <v>2975</v>
      </c>
      <c r="J1278">
        <v>2943</v>
      </c>
      <c r="K1278">
        <v>32</v>
      </c>
      <c r="L1278">
        <v>500</v>
      </c>
      <c r="M1278">
        <v>499</v>
      </c>
      <c r="N1278">
        <v>1</v>
      </c>
      <c r="O1278">
        <v>16025</v>
      </c>
      <c r="P1278">
        <v>1</v>
      </c>
    </row>
    <row r="1279" spans="1:16" x14ac:dyDescent="0.2">
      <c r="A1279" s="3" t="s">
        <v>49</v>
      </c>
      <c r="B1279" s="3" t="s">
        <v>50</v>
      </c>
      <c r="C1279">
        <v>28</v>
      </c>
      <c r="D1279">
        <v>18000</v>
      </c>
      <c r="E1279">
        <v>499</v>
      </c>
      <c r="F1279">
        <v>1</v>
      </c>
      <c r="G1279">
        <v>18000</v>
      </c>
      <c r="H1279">
        <v>3.4517899999999998E-4</v>
      </c>
      <c r="I1279">
        <v>2898</v>
      </c>
      <c r="J1279">
        <v>2862</v>
      </c>
      <c r="K1279">
        <v>36</v>
      </c>
      <c r="L1279">
        <v>500</v>
      </c>
      <c r="M1279">
        <v>499</v>
      </c>
      <c r="N1279">
        <v>1</v>
      </c>
      <c r="O1279">
        <v>15102</v>
      </c>
      <c r="P1279">
        <v>1</v>
      </c>
    </row>
    <row r="1280" spans="1:16" x14ac:dyDescent="0.2">
      <c r="A1280" s="3" t="s">
        <v>49</v>
      </c>
      <c r="B1280" s="3" t="s">
        <v>50</v>
      </c>
      <c r="C1280">
        <v>22</v>
      </c>
      <c r="D1280">
        <v>19000</v>
      </c>
      <c r="E1280">
        <v>499</v>
      </c>
      <c r="F1280">
        <v>1</v>
      </c>
      <c r="G1280">
        <v>84218.384375429901</v>
      </c>
      <c r="H1280">
        <v>3.4489500000000001E-4</v>
      </c>
      <c r="I1280">
        <v>2978</v>
      </c>
      <c r="J1280">
        <v>2938</v>
      </c>
      <c r="K1280">
        <v>40</v>
      </c>
      <c r="L1280">
        <v>500</v>
      </c>
      <c r="M1280">
        <v>499</v>
      </c>
      <c r="N1280">
        <v>1</v>
      </c>
      <c r="O1280">
        <v>72667.047062618396</v>
      </c>
      <c r="P1280">
        <v>0</v>
      </c>
    </row>
    <row r="1281" spans="1:16" x14ac:dyDescent="0.2">
      <c r="A1281" s="3" t="s">
        <v>49</v>
      </c>
      <c r="B1281" s="3" t="s">
        <v>50</v>
      </c>
      <c r="C1281">
        <v>40</v>
      </c>
      <c r="D1281">
        <v>20000</v>
      </c>
      <c r="E1281">
        <v>499</v>
      </c>
      <c r="F1281">
        <v>1</v>
      </c>
      <c r="G1281">
        <v>20000</v>
      </c>
      <c r="H1281">
        <v>3.4473000000000001E-4</v>
      </c>
      <c r="I1281">
        <v>3017</v>
      </c>
      <c r="J1281">
        <v>2968</v>
      </c>
      <c r="K1281">
        <v>49</v>
      </c>
      <c r="L1281">
        <v>500</v>
      </c>
      <c r="M1281">
        <v>499</v>
      </c>
      <c r="N1281">
        <v>1</v>
      </c>
      <c r="O1281">
        <v>16983</v>
      </c>
      <c r="P1281">
        <v>1</v>
      </c>
    </row>
    <row r="1282" spans="1:16" x14ac:dyDescent="0.2">
      <c r="A1282" s="3" t="s">
        <v>49</v>
      </c>
      <c r="B1282" s="3" t="s">
        <v>50</v>
      </c>
      <c r="C1282">
        <v>31</v>
      </c>
      <c r="D1282">
        <v>19000</v>
      </c>
      <c r="E1282">
        <v>499</v>
      </c>
      <c r="F1282">
        <v>1</v>
      </c>
      <c r="G1282">
        <v>19000</v>
      </c>
      <c r="H1282">
        <v>3.4471099999999999E-4</v>
      </c>
      <c r="I1282">
        <v>2988</v>
      </c>
      <c r="J1282">
        <v>2952</v>
      </c>
      <c r="K1282">
        <v>36</v>
      </c>
      <c r="L1282">
        <v>500</v>
      </c>
      <c r="M1282">
        <v>499</v>
      </c>
      <c r="N1282">
        <v>1</v>
      </c>
      <c r="O1282">
        <v>16012</v>
      </c>
      <c r="P1282">
        <v>1</v>
      </c>
    </row>
    <row r="1283" spans="1:16" x14ac:dyDescent="0.2">
      <c r="A1283" s="3" t="s">
        <v>49</v>
      </c>
      <c r="B1283" s="3" t="s">
        <v>50</v>
      </c>
      <c r="C1283">
        <v>38</v>
      </c>
      <c r="D1283">
        <v>17000</v>
      </c>
      <c r="E1283">
        <v>499</v>
      </c>
      <c r="F1283">
        <v>1</v>
      </c>
      <c r="G1283">
        <v>17000</v>
      </c>
      <c r="H1283">
        <v>3.4469299999999997E-4</v>
      </c>
      <c r="I1283">
        <v>2917</v>
      </c>
      <c r="J1283">
        <v>2891</v>
      </c>
      <c r="K1283">
        <v>26</v>
      </c>
      <c r="L1283">
        <v>500</v>
      </c>
      <c r="M1283">
        <v>499</v>
      </c>
      <c r="N1283">
        <v>1</v>
      </c>
      <c r="O1283">
        <v>14083</v>
      </c>
      <c r="P1283">
        <v>1</v>
      </c>
    </row>
    <row r="1284" spans="1:16" x14ac:dyDescent="0.2">
      <c r="A1284" s="3" t="s">
        <v>49</v>
      </c>
      <c r="B1284" s="3" t="s">
        <v>50</v>
      </c>
      <c r="C1284">
        <v>9</v>
      </c>
      <c r="D1284">
        <v>15000</v>
      </c>
      <c r="E1284">
        <v>499</v>
      </c>
      <c r="F1284">
        <v>1</v>
      </c>
      <c r="G1284">
        <v>15000</v>
      </c>
      <c r="H1284">
        <v>3.4452799999999998E-4</v>
      </c>
      <c r="I1284">
        <v>2909</v>
      </c>
      <c r="J1284">
        <v>2873</v>
      </c>
      <c r="K1284">
        <v>36</v>
      </c>
      <c r="L1284">
        <v>500</v>
      </c>
      <c r="M1284">
        <v>499</v>
      </c>
      <c r="N1284">
        <v>1</v>
      </c>
      <c r="O1284">
        <v>12091</v>
      </c>
      <c r="P1284">
        <v>1</v>
      </c>
    </row>
    <row r="1285" spans="1:16" x14ac:dyDescent="0.2">
      <c r="A1285" s="3" t="s">
        <v>49</v>
      </c>
      <c r="B1285" s="3" t="s">
        <v>50</v>
      </c>
      <c r="C1285">
        <v>41</v>
      </c>
      <c r="D1285">
        <v>16000</v>
      </c>
      <c r="E1285">
        <v>499</v>
      </c>
      <c r="F1285">
        <v>1</v>
      </c>
      <c r="G1285">
        <v>16000</v>
      </c>
      <c r="H1285">
        <v>3.4440000000000002E-4</v>
      </c>
      <c r="I1285">
        <v>2938</v>
      </c>
      <c r="J1285">
        <v>2906</v>
      </c>
      <c r="K1285">
        <v>32</v>
      </c>
      <c r="L1285">
        <v>500</v>
      </c>
      <c r="M1285">
        <v>499</v>
      </c>
      <c r="N1285">
        <v>1</v>
      </c>
      <c r="O1285">
        <v>13062</v>
      </c>
      <c r="P1285">
        <v>1</v>
      </c>
    </row>
    <row r="1286" spans="1:16" x14ac:dyDescent="0.2">
      <c r="A1286" s="3" t="s">
        <v>49</v>
      </c>
      <c r="B1286" s="3" t="s">
        <v>50</v>
      </c>
      <c r="C1286">
        <v>1</v>
      </c>
      <c r="D1286">
        <v>20000</v>
      </c>
      <c r="E1286">
        <v>499</v>
      </c>
      <c r="F1286">
        <v>1</v>
      </c>
      <c r="G1286">
        <v>82302.7524576211</v>
      </c>
      <c r="H1286">
        <v>3.44299E-4</v>
      </c>
      <c r="I1286">
        <v>2988</v>
      </c>
      <c r="J1286">
        <v>2947</v>
      </c>
      <c r="K1286">
        <v>41</v>
      </c>
      <c r="L1286">
        <v>500</v>
      </c>
      <c r="M1286">
        <v>499</v>
      </c>
      <c r="N1286">
        <v>1</v>
      </c>
      <c r="O1286">
        <v>71365.469381622199</v>
      </c>
      <c r="P1286">
        <v>0</v>
      </c>
    </row>
    <row r="1287" spans="1:16" x14ac:dyDescent="0.2">
      <c r="A1287" s="3" t="s">
        <v>49</v>
      </c>
      <c r="B1287" s="3" t="s">
        <v>50</v>
      </c>
      <c r="C1287">
        <v>38</v>
      </c>
      <c r="D1287">
        <v>20000</v>
      </c>
      <c r="E1287">
        <v>499</v>
      </c>
      <c r="F1287">
        <v>1</v>
      </c>
      <c r="G1287">
        <v>20000</v>
      </c>
      <c r="H1287">
        <v>3.4417900000000001E-4</v>
      </c>
      <c r="I1287">
        <v>3016</v>
      </c>
      <c r="J1287">
        <v>2976</v>
      </c>
      <c r="K1287">
        <v>40</v>
      </c>
      <c r="L1287">
        <v>500</v>
      </c>
      <c r="M1287">
        <v>499</v>
      </c>
      <c r="N1287">
        <v>1</v>
      </c>
      <c r="O1287">
        <v>16984</v>
      </c>
      <c r="P1287">
        <v>1</v>
      </c>
    </row>
    <row r="1288" spans="1:16" x14ac:dyDescent="0.2">
      <c r="A1288" s="3" t="s">
        <v>49</v>
      </c>
      <c r="B1288" s="3" t="s">
        <v>50</v>
      </c>
      <c r="C1288">
        <v>50</v>
      </c>
      <c r="D1288">
        <v>19000</v>
      </c>
      <c r="E1288">
        <v>499</v>
      </c>
      <c r="F1288">
        <v>1</v>
      </c>
      <c r="G1288">
        <v>84218.384375429901</v>
      </c>
      <c r="H1288">
        <v>3.4415200000000002E-4</v>
      </c>
      <c r="I1288">
        <v>2977</v>
      </c>
      <c r="J1288">
        <v>2938</v>
      </c>
      <c r="K1288">
        <v>39</v>
      </c>
      <c r="L1288">
        <v>500</v>
      </c>
      <c r="M1288">
        <v>499</v>
      </c>
      <c r="N1288">
        <v>1</v>
      </c>
      <c r="O1288">
        <v>72769.545670756197</v>
      </c>
      <c r="P1288">
        <v>0</v>
      </c>
    </row>
    <row r="1289" spans="1:16" x14ac:dyDescent="0.2">
      <c r="A1289" s="3" t="s">
        <v>49</v>
      </c>
      <c r="B1289" s="3" t="s">
        <v>50</v>
      </c>
      <c r="C1289">
        <v>15</v>
      </c>
      <c r="D1289">
        <v>20000</v>
      </c>
      <c r="E1289">
        <v>499</v>
      </c>
      <c r="F1289">
        <v>1</v>
      </c>
      <c r="G1289">
        <v>82302.7524576211</v>
      </c>
      <c r="H1289">
        <v>3.4414299999999999E-4</v>
      </c>
      <c r="I1289">
        <v>2989</v>
      </c>
      <c r="J1289">
        <v>2959</v>
      </c>
      <c r="K1289">
        <v>30</v>
      </c>
      <c r="L1289">
        <v>500</v>
      </c>
      <c r="M1289">
        <v>499</v>
      </c>
      <c r="N1289">
        <v>1</v>
      </c>
      <c r="O1289">
        <v>71488.500814726707</v>
      </c>
      <c r="P1289">
        <v>0</v>
      </c>
    </row>
    <row r="1290" spans="1:16" x14ac:dyDescent="0.2">
      <c r="A1290" s="3" t="s">
        <v>49</v>
      </c>
      <c r="B1290" s="3" t="s">
        <v>50</v>
      </c>
      <c r="C1290">
        <v>24</v>
      </c>
      <c r="D1290">
        <v>20000</v>
      </c>
      <c r="E1290">
        <v>499</v>
      </c>
      <c r="F1290">
        <v>1</v>
      </c>
      <c r="G1290">
        <v>20000</v>
      </c>
      <c r="H1290">
        <v>3.4408799999999999E-4</v>
      </c>
      <c r="I1290">
        <v>3012</v>
      </c>
      <c r="J1290">
        <v>2974</v>
      </c>
      <c r="K1290">
        <v>38</v>
      </c>
      <c r="L1290">
        <v>500</v>
      </c>
      <c r="M1290">
        <v>499</v>
      </c>
      <c r="N1290">
        <v>1</v>
      </c>
      <c r="O1290">
        <v>16988</v>
      </c>
      <c r="P1290">
        <v>1</v>
      </c>
    </row>
    <row r="1291" spans="1:16" x14ac:dyDescent="0.2">
      <c r="A1291" s="3" t="s">
        <v>49</v>
      </c>
      <c r="B1291" s="3" t="s">
        <v>50</v>
      </c>
      <c r="C1291">
        <v>3</v>
      </c>
      <c r="D1291">
        <v>20000</v>
      </c>
      <c r="E1291">
        <v>499</v>
      </c>
      <c r="F1291">
        <v>1</v>
      </c>
      <c r="G1291">
        <v>20000</v>
      </c>
      <c r="H1291">
        <v>3.4371199999999998E-4</v>
      </c>
      <c r="I1291">
        <v>2997</v>
      </c>
      <c r="J1291">
        <v>2959</v>
      </c>
      <c r="K1291">
        <v>38</v>
      </c>
      <c r="L1291">
        <v>500</v>
      </c>
      <c r="M1291">
        <v>499</v>
      </c>
      <c r="N1291">
        <v>1</v>
      </c>
      <c r="O1291">
        <v>17003</v>
      </c>
      <c r="P1291">
        <v>1</v>
      </c>
    </row>
    <row r="1292" spans="1:16" x14ac:dyDescent="0.2">
      <c r="A1292" s="3" t="s">
        <v>49</v>
      </c>
      <c r="B1292" s="3" t="s">
        <v>50</v>
      </c>
      <c r="C1292">
        <v>17</v>
      </c>
      <c r="D1292">
        <v>19000</v>
      </c>
      <c r="E1292">
        <v>499</v>
      </c>
      <c r="F1292">
        <v>1</v>
      </c>
      <c r="G1292">
        <v>84218.384375429901</v>
      </c>
      <c r="H1292">
        <v>3.43703E-4</v>
      </c>
      <c r="I1292">
        <v>3017</v>
      </c>
      <c r="J1292">
        <v>2983</v>
      </c>
      <c r="K1292">
        <v>34</v>
      </c>
      <c r="L1292">
        <v>500</v>
      </c>
      <c r="M1292">
        <v>499</v>
      </c>
      <c r="N1292">
        <v>1</v>
      </c>
      <c r="O1292">
        <v>72684.240677858805</v>
      </c>
      <c r="P1292">
        <v>0</v>
      </c>
    </row>
    <row r="1293" spans="1:16" x14ac:dyDescent="0.2">
      <c r="A1293" s="3" t="s">
        <v>49</v>
      </c>
      <c r="B1293" s="3" t="s">
        <v>50</v>
      </c>
      <c r="C1293">
        <v>5</v>
      </c>
      <c r="D1293">
        <v>18000</v>
      </c>
      <c r="E1293">
        <v>499</v>
      </c>
      <c r="F1293">
        <v>1</v>
      </c>
      <c r="G1293">
        <v>18000</v>
      </c>
      <c r="H1293">
        <v>3.4356600000000001E-4</v>
      </c>
      <c r="I1293">
        <v>2973</v>
      </c>
      <c r="J1293">
        <v>2934</v>
      </c>
      <c r="K1293">
        <v>39</v>
      </c>
      <c r="L1293">
        <v>500</v>
      </c>
      <c r="M1293">
        <v>499</v>
      </c>
      <c r="N1293">
        <v>1</v>
      </c>
      <c r="O1293">
        <v>15027</v>
      </c>
      <c r="P1293">
        <v>1</v>
      </c>
    </row>
    <row r="1294" spans="1:16" x14ac:dyDescent="0.2">
      <c r="A1294" s="3" t="s">
        <v>49</v>
      </c>
      <c r="B1294" s="3" t="s">
        <v>50</v>
      </c>
      <c r="C1294">
        <v>4</v>
      </c>
      <c r="D1294">
        <v>19000</v>
      </c>
      <c r="E1294">
        <v>499</v>
      </c>
      <c r="F1294">
        <v>1</v>
      </c>
      <c r="G1294">
        <v>84218.384375429901</v>
      </c>
      <c r="H1294">
        <v>3.4297899999999998E-4</v>
      </c>
      <c r="I1294">
        <v>2931</v>
      </c>
      <c r="J1294">
        <v>2904</v>
      </c>
      <c r="K1294">
        <v>27</v>
      </c>
      <c r="L1294">
        <v>500</v>
      </c>
      <c r="M1294">
        <v>499</v>
      </c>
      <c r="N1294">
        <v>1</v>
      </c>
      <c r="O1294">
        <v>72864.984404085204</v>
      </c>
      <c r="P1294">
        <v>0</v>
      </c>
    </row>
    <row r="1295" spans="1:16" x14ac:dyDescent="0.2">
      <c r="A1295" s="3" t="s">
        <v>49</v>
      </c>
      <c r="B1295" s="3" t="s">
        <v>50</v>
      </c>
      <c r="C1295">
        <v>5</v>
      </c>
      <c r="D1295">
        <v>20000</v>
      </c>
      <c r="E1295">
        <v>499</v>
      </c>
      <c r="F1295">
        <v>1</v>
      </c>
      <c r="G1295">
        <v>20000</v>
      </c>
      <c r="H1295">
        <v>3.4293300000000002E-4</v>
      </c>
      <c r="I1295">
        <v>2994</v>
      </c>
      <c r="J1295">
        <v>2960</v>
      </c>
      <c r="K1295">
        <v>34</v>
      </c>
      <c r="L1295">
        <v>500</v>
      </c>
      <c r="M1295">
        <v>499</v>
      </c>
      <c r="N1295">
        <v>1</v>
      </c>
      <c r="O1295">
        <v>17006</v>
      </c>
      <c r="P1295">
        <v>1</v>
      </c>
    </row>
    <row r="1296" spans="1:16" x14ac:dyDescent="0.2">
      <c r="A1296" s="3" t="s">
        <v>49</v>
      </c>
      <c r="B1296" s="3" t="s">
        <v>50</v>
      </c>
      <c r="C1296">
        <v>48</v>
      </c>
      <c r="D1296">
        <v>19000</v>
      </c>
      <c r="E1296">
        <v>499</v>
      </c>
      <c r="F1296">
        <v>1</v>
      </c>
      <c r="G1296">
        <v>19000</v>
      </c>
      <c r="H1296">
        <v>3.4287800000000002E-4</v>
      </c>
      <c r="I1296">
        <v>3001</v>
      </c>
      <c r="J1296">
        <v>2975</v>
      </c>
      <c r="K1296">
        <v>26</v>
      </c>
      <c r="L1296">
        <v>500</v>
      </c>
      <c r="M1296">
        <v>499</v>
      </c>
      <c r="N1296">
        <v>1</v>
      </c>
      <c r="O1296">
        <v>15999</v>
      </c>
      <c r="P1296">
        <v>1</v>
      </c>
    </row>
    <row r="1297" spans="1:16" x14ac:dyDescent="0.2">
      <c r="A1297" s="3" t="s">
        <v>49</v>
      </c>
      <c r="B1297" s="3" t="s">
        <v>50</v>
      </c>
      <c r="C1297">
        <v>18</v>
      </c>
      <c r="D1297">
        <v>20000</v>
      </c>
      <c r="E1297">
        <v>499</v>
      </c>
      <c r="F1297">
        <v>1</v>
      </c>
      <c r="G1297">
        <v>20000</v>
      </c>
      <c r="H1297">
        <v>3.4253000000000002E-4</v>
      </c>
      <c r="I1297">
        <v>3025</v>
      </c>
      <c r="J1297">
        <v>2982</v>
      </c>
      <c r="K1297">
        <v>43</v>
      </c>
      <c r="L1297">
        <v>500</v>
      </c>
      <c r="M1297">
        <v>499</v>
      </c>
      <c r="N1297">
        <v>1</v>
      </c>
      <c r="O1297">
        <v>16975</v>
      </c>
      <c r="P1297">
        <v>1</v>
      </c>
    </row>
    <row r="1298" spans="1:16" x14ac:dyDescent="0.2">
      <c r="A1298" s="3" t="s">
        <v>49</v>
      </c>
      <c r="B1298" s="3" t="s">
        <v>50</v>
      </c>
      <c r="C1298">
        <v>27</v>
      </c>
      <c r="D1298">
        <v>16000</v>
      </c>
      <c r="E1298">
        <v>499</v>
      </c>
      <c r="F1298">
        <v>1</v>
      </c>
      <c r="G1298">
        <v>16000</v>
      </c>
      <c r="H1298">
        <v>3.4249299999999997E-4</v>
      </c>
      <c r="I1298">
        <v>2924</v>
      </c>
      <c r="J1298">
        <v>2884</v>
      </c>
      <c r="K1298">
        <v>40</v>
      </c>
      <c r="L1298">
        <v>500</v>
      </c>
      <c r="M1298">
        <v>499</v>
      </c>
      <c r="N1298">
        <v>1</v>
      </c>
      <c r="O1298">
        <v>13076</v>
      </c>
      <c r="P1298">
        <v>1</v>
      </c>
    </row>
    <row r="1299" spans="1:16" x14ac:dyDescent="0.2">
      <c r="A1299" s="3" t="s">
        <v>49</v>
      </c>
      <c r="B1299" s="3" t="s">
        <v>50</v>
      </c>
      <c r="C1299">
        <v>26</v>
      </c>
      <c r="D1299">
        <v>19000</v>
      </c>
      <c r="E1299">
        <v>499</v>
      </c>
      <c r="F1299">
        <v>1</v>
      </c>
      <c r="G1299">
        <v>84218.384375429901</v>
      </c>
      <c r="H1299">
        <v>3.4228200000000001E-4</v>
      </c>
      <c r="I1299">
        <v>3053</v>
      </c>
      <c r="J1299">
        <v>3026</v>
      </c>
      <c r="K1299">
        <v>27</v>
      </c>
      <c r="L1299">
        <v>500</v>
      </c>
      <c r="M1299">
        <v>499</v>
      </c>
      <c r="N1299">
        <v>1</v>
      </c>
      <c r="O1299">
        <v>72486.858126549298</v>
      </c>
      <c r="P1299">
        <v>0</v>
      </c>
    </row>
    <row r="1300" spans="1:16" x14ac:dyDescent="0.2">
      <c r="A1300" s="3" t="s">
        <v>49</v>
      </c>
      <c r="B1300" s="3" t="s">
        <v>50</v>
      </c>
      <c r="C1300">
        <v>15</v>
      </c>
      <c r="D1300">
        <v>16000</v>
      </c>
      <c r="E1300">
        <v>499</v>
      </c>
      <c r="F1300">
        <v>1</v>
      </c>
      <c r="G1300">
        <v>64781.839036288002</v>
      </c>
      <c r="H1300">
        <v>3.4223599999999999E-4</v>
      </c>
      <c r="I1300">
        <v>2931</v>
      </c>
      <c r="J1300">
        <v>2909</v>
      </c>
      <c r="K1300">
        <v>22</v>
      </c>
      <c r="L1300">
        <v>500</v>
      </c>
      <c r="M1300">
        <v>499</v>
      </c>
      <c r="N1300">
        <v>1</v>
      </c>
      <c r="O1300">
        <v>54233.6241956921</v>
      </c>
      <c r="P1300">
        <v>0</v>
      </c>
    </row>
    <row r="1301" spans="1:16" x14ac:dyDescent="0.2">
      <c r="A1301" s="3" t="s">
        <v>49</v>
      </c>
      <c r="B1301" s="3" t="s">
        <v>50</v>
      </c>
      <c r="C1301">
        <v>34</v>
      </c>
      <c r="D1301">
        <v>17000</v>
      </c>
      <c r="E1301">
        <v>499</v>
      </c>
      <c r="F1301">
        <v>1</v>
      </c>
      <c r="G1301">
        <v>65872.258119671897</v>
      </c>
      <c r="H1301">
        <v>3.4222700000000002E-4</v>
      </c>
      <c r="I1301">
        <v>2972</v>
      </c>
      <c r="J1301">
        <v>2936</v>
      </c>
      <c r="K1301">
        <v>36</v>
      </c>
      <c r="L1301">
        <v>500</v>
      </c>
      <c r="M1301">
        <v>499</v>
      </c>
      <c r="N1301">
        <v>1</v>
      </c>
      <c r="O1301">
        <v>55581.273009011296</v>
      </c>
      <c r="P1301">
        <v>0</v>
      </c>
    </row>
    <row r="1302" spans="1:16" x14ac:dyDescent="0.2">
      <c r="A1302" s="3" t="s">
        <v>49</v>
      </c>
      <c r="B1302" s="3" t="s">
        <v>50</v>
      </c>
      <c r="C1302">
        <v>6</v>
      </c>
      <c r="D1302">
        <v>19000</v>
      </c>
      <c r="E1302">
        <v>499</v>
      </c>
      <c r="F1302">
        <v>1</v>
      </c>
      <c r="G1302">
        <v>84218.384375429901</v>
      </c>
      <c r="H1302">
        <v>3.4218200000000001E-4</v>
      </c>
      <c r="I1302">
        <v>2977</v>
      </c>
      <c r="J1302">
        <v>2943</v>
      </c>
      <c r="K1302">
        <v>34</v>
      </c>
      <c r="L1302">
        <v>500</v>
      </c>
      <c r="M1302">
        <v>499</v>
      </c>
      <c r="N1302">
        <v>1</v>
      </c>
      <c r="O1302">
        <v>72807.389511585396</v>
      </c>
      <c r="P1302">
        <v>0</v>
      </c>
    </row>
    <row r="1303" spans="1:16" x14ac:dyDescent="0.2">
      <c r="A1303" s="3" t="s">
        <v>49</v>
      </c>
      <c r="B1303" s="3" t="s">
        <v>50</v>
      </c>
      <c r="C1303">
        <v>50</v>
      </c>
      <c r="D1303">
        <v>20000</v>
      </c>
      <c r="E1303">
        <v>499</v>
      </c>
      <c r="F1303">
        <v>1</v>
      </c>
      <c r="G1303">
        <v>20000</v>
      </c>
      <c r="H1303">
        <v>3.4217200000000002E-4</v>
      </c>
      <c r="I1303">
        <v>3049</v>
      </c>
      <c r="J1303">
        <v>3007</v>
      </c>
      <c r="K1303">
        <v>42</v>
      </c>
      <c r="L1303">
        <v>500</v>
      </c>
      <c r="M1303">
        <v>499</v>
      </c>
      <c r="N1303">
        <v>1</v>
      </c>
      <c r="O1303">
        <v>16951</v>
      </c>
      <c r="P1303">
        <v>1</v>
      </c>
    </row>
    <row r="1304" spans="1:16" x14ac:dyDescent="0.2">
      <c r="A1304" s="3" t="s">
        <v>49</v>
      </c>
      <c r="B1304" s="3" t="s">
        <v>50</v>
      </c>
      <c r="C1304">
        <v>8</v>
      </c>
      <c r="D1304">
        <v>14000</v>
      </c>
      <c r="E1304">
        <v>499</v>
      </c>
      <c r="F1304">
        <v>1</v>
      </c>
      <c r="G1304">
        <v>14000</v>
      </c>
      <c r="H1304">
        <v>3.4200700000000002E-4</v>
      </c>
      <c r="I1304">
        <v>2847</v>
      </c>
      <c r="J1304">
        <v>2818</v>
      </c>
      <c r="K1304">
        <v>29</v>
      </c>
      <c r="L1304">
        <v>500</v>
      </c>
      <c r="M1304">
        <v>499</v>
      </c>
      <c r="N1304">
        <v>1</v>
      </c>
      <c r="O1304">
        <v>11153</v>
      </c>
      <c r="P1304">
        <v>1</v>
      </c>
    </row>
    <row r="1305" spans="1:16" x14ac:dyDescent="0.2">
      <c r="A1305" s="3" t="s">
        <v>49</v>
      </c>
      <c r="B1305" s="3" t="s">
        <v>50</v>
      </c>
      <c r="C1305">
        <v>42</v>
      </c>
      <c r="D1305">
        <v>20000</v>
      </c>
      <c r="E1305">
        <v>499</v>
      </c>
      <c r="F1305">
        <v>1</v>
      </c>
      <c r="G1305">
        <v>20000</v>
      </c>
      <c r="H1305">
        <v>3.41906E-4</v>
      </c>
      <c r="I1305">
        <v>3004</v>
      </c>
      <c r="J1305">
        <v>2970</v>
      </c>
      <c r="K1305">
        <v>34</v>
      </c>
      <c r="L1305">
        <v>500</v>
      </c>
      <c r="M1305">
        <v>499</v>
      </c>
      <c r="N1305">
        <v>1</v>
      </c>
      <c r="O1305">
        <v>16996</v>
      </c>
      <c r="P1305">
        <v>1</v>
      </c>
    </row>
    <row r="1306" spans="1:16" x14ac:dyDescent="0.2">
      <c r="A1306" s="3" t="s">
        <v>49</v>
      </c>
      <c r="B1306" s="3" t="s">
        <v>50</v>
      </c>
      <c r="C1306">
        <v>48</v>
      </c>
      <c r="D1306">
        <v>19000</v>
      </c>
      <c r="E1306">
        <v>499</v>
      </c>
      <c r="F1306">
        <v>1</v>
      </c>
      <c r="G1306">
        <v>84218.384375429901</v>
      </c>
      <c r="H1306">
        <v>3.4159499999999998E-4</v>
      </c>
      <c r="I1306">
        <v>2984</v>
      </c>
      <c r="J1306">
        <v>2943</v>
      </c>
      <c r="K1306">
        <v>41</v>
      </c>
      <c r="L1306">
        <v>500</v>
      </c>
      <c r="M1306">
        <v>499</v>
      </c>
      <c r="N1306">
        <v>1</v>
      </c>
      <c r="O1306">
        <v>72847.535439865693</v>
      </c>
      <c r="P1306">
        <v>0</v>
      </c>
    </row>
    <row r="1307" spans="1:16" x14ac:dyDescent="0.2">
      <c r="A1307" s="3" t="s">
        <v>49</v>
      </c>
      <c r="B1307" s="3" t="s">
        <v>50</v>
      </c>
      <c r="C1307">
        <v>41</v>
      </c>
      <c r="D1307">
        <v>19000</v>
      </c>
      <c r="E1307">
        <v>499</v>
      </c>
      <c r="F1307">
        <v>1</v>
      </c>
      <c r="G1307">
        <v>19000</v>
      </c>
      <c r="H1307">
        <v>3.4156699999999998E-4</v>
      </c>
      <c r="I1307">
        <v>3039</v>
      </c>
      <c r="J1307">
        <v>3000</v>
      </c>
      <c r="K1307">
        <v>39</v>
      </c>
      <c r="L1307">
        <v>500</v>
      </c>
      <c r="M1307">
        <v>499</v>
      </c>
      <c r="N1307">
        <v>1</v>
      </c>
      <c r="O1307">
        <v>15961</v>
      </c>
      <c r="P1307">
        <v>1</v>
      </c>
    </row>
    <row r="1308" spans="1:16" x14ac:dyDescent="0.2">
      <c r="A1308" s="3" t="s">
        <v>49</v>
      </c>
      <c r="B1308" s="3" t="s">
        <v>50</v>
      </c>
      <c r="C1308">
        <v>35</v>
      </c>
      <c r="D1308">
        <v>20000</v>
      </c>
      <c r="E1308">
        <v>499</v>
      </c>
      <c r="F1308">
        <v>1</v>
      </c>
      <c r="G1308">
        <v>20000</v>
      </c>
      <c r="H1308">
        <v>3.4142999999999999E-4</v>
      </c>
      <c r="I1308">
        <v>2951</v>
      </c>
      <c r="J1308">
        <v>2914</v>
      </c>
      <c r="K1308">
        <v>37</v>
      </c>
      <c r="L1308">
        <v>500</v>
      </c>
      <c r="M1308">
        <v>499</v>
      </c>
      <c r="N1308">
        <v>1</v>
      </c>
      <c r="O1308">
        <v>17049</v>
      </c>
      <c r="P1308">
        <v>1</v>
      </c>
    </row>
    <row r="1309" spans="1:16" x14ac:dyDescent="0.2">
      <c r="A1309" s="3" t="s">
        <v>49</v>
      </c>
      <c r="B1309" s="3" t="s">
        <v>50</v>
      </c>
      <c r="C1309">
        <v>9</v>
      </c>
      <c r="D1309">
        <v>16000</v>
      </c>
      <c r="E1309">
        <v>499</v>
      </c>
      <c r="F1309">
        <v>1</v>
      </c>
      <c r="G1309">
        <v>16000</v>
      </c>
      <c r="H1309">
        <v>3.4135600000000002E-4</v>
      </c>
      <c r="I1309">
        <v>3014</v>
      </c>
      <c r="J1309">
        <v>2984</v>
      </c>
      <c r="K1309">
        <v>30</v>
      </c>
      <c r="L1309">
        <v>500</v>
      </c>
      <c r="M1309">
        <v>499</v>
      </c>
      <c r="N1309">
        <v>1</v>
      </c>
      <c r="O1309">
        <v>12986</v>
      </c>
      <c r="P1309">
        <v>1</v>
      </c>
    </row>
    <row r="1310" spans="1:16" x14ac:dyDescent="0.2">
      <c r="A1310" s="3" t="s">
        <v>49</v>
      </c>
      <c r="B1310" s="3" t="s">
        <v>50</v>
      </c>
      <c r="C1310">
        <v>33</v>
      </c>
      <c r="D1310">
        <v>19000</v>
      </c>
      <c r="E1310">
        <v>499</v>
      </c>
      <c r="F1310">
        <v>1</v>
      </c>
      <c r="G1310">
        <v>19000</v>
      </c>
      <c r="H1310">
        <v>3.4130100000000002E-4</v>
      </c>
      <c r="I1310">
        <v>2956</v>
      </c>
      <c r="J1310">
        <v>2919</v>
      </c>
      <c r="K1310">
        <v>37</v>
      </c>
      <c r="L1310">
        <v>500</v>
      </c>
      <c r="M1310">
        <v>499</v>
      </c>
      <c r="N1310">
        <v>1</v>
      </c>
      <c r="O1310">
        <v>16044</v>
      </c>
      <c r="P1310">
        <v>1</v>
      </c>
    </row>
    <row r="1311" spans="1:16" x14ac:dyDescent="0.2">
      <c r="A1311" s="3" t="s">
        <v>49</v>
      </c>
      <c r="B1311" s="3" t="s">
        <v>50</v>
      </c>
      <c r="C1311">
        <v>39</v>
      </c>
      <c r="D1311">
        <v>16000</v>
      </c>
      <c r="E1311">
        <v>499</v>
      </c>
      <c r="F1311">
        <v>1</v>
      </c>
      <c r="G1311">
        <v>16000</v>
      </c>
      <c r="H1311">
        <v>3.41045E-4</v>
      </c>
      <c r="I1311">
        <v>2977</v>
      </c>
      <c r="J1311">
        <v>2938</v>
      </c>
      <c r="K1311">
        <v>39</v>
      </c>
      <c r="L1311">
        <v>500</v>
      </c>
      <c r="M1311">
        <v>499</v>
      </c>
      <c r="N1311">
        <v>1</v>
      </c>
      <c r="O1311">
        <v>13023</v>
      </c>
      <c r="P1311">
        <v>1</v>
      </c>
    </row>
    <row r="1312" spans="1:16" x14ac:dyDescent="0.2">
      <c r="A1312" s="3" t="s">
        <v>49</v>
      </c>
      <c r="B1312" s="3" t="s">
        <v>50</v>
      </c>
      <c r="C1312">
        <v>22</v>
      </c>
      <c r="D1312">
        <v>17000</v>
      </c>
      <c r="E1312">
        <v>499</v>
      </c>
      <c r="F1312">
        <v>1</v>
      </c>
      <c r="G1312">
        <v>17000</v>
      </c>
      <c r="H1312">
        <v>3.4091599999999997E-4</v>
      </c>
      <c r="I1312">
        <v>2930</v>
      </c>
      <c r="J1312">
        <v>2888</v>
      </c>
      <c r="K1312">
        <v>42</v>
      </c>
      <c r="L1312">
        <v>500</v>
      </c>
      <c r="M1312">
        <v>499</v>
      </c>
      <c r="N1312">
        <v>1</v>
      </c>
      <c r="O1312">
        <v>14070</v>
      </c>
      <c r="P1312">
        <v>1</v>
      </c>
    </row>
    <row r="1313" spans="1:16" x14ac:dyDescent="0.2">
      <c r="A1313" s="3" t="s">
        <v>49</v>
      </c>
      <c r="B1313" s="3" t="s">
        <v>50</v>
      </c>
      <c r="C1313">
        <v>14</v>
      </c>
      <c r="D1313">
        <v>20000</v>
      </c>
      <c r="E1313">
        <v>499</v>
      </c>
      <c r="F1313">
        <v>1</v>
      </c>
      <c r="G1313">
        <v>20000</v>
      </c>
      <c r="H1313">
        <v>3.4055899999999999E-4</v>
      </c>
      <c r="I1313">
        <v>2986</v>
      </c>
      <c r="J1313">
        <v>2945</v>
      </c>
      <c r="K1313">
        <v>41</v>
      </c>
      <c r="L1313">
        <v>500</v>
      </c>
      <c r="M1313">
        <v>499</v>
      </c>
      <c r="N1313">
        <v>1</v>
      </c>
      <c r="O1313">
        <v>17014</v>
      </c>
      <c r="P1313">
        <v>1</v>
      </c>
    </row>
    <row r="1314" spans="1:16" x14ac:dyDescent="0.2">
      <c r="A1314" s="3" t="s">
        <v>49</v>
      </c>
      <c r="B1314" s="3" t="s">
        <v>50</v>
      </c>
      <c r="C1314">
        <v>50</v>
      </c>
      <c r="D1314">
        <v>18000</v>
      </c>
      <c r="E1314">
        <v>499</v>
      </c>
      <c r="F1314">
        <v>1</v>
      </c>
      <c r="G1314">
        <v>75479.649376234796</v>
      </c>
      <c r="H1314">
        <v>3.4051300000000002E-4</v>
      </c>
      <c r="I1314">
        <v>2927</v>
      </c>
      <c r="J1314">
        <v>2894</v>
      </c>
      <c r="K1314">
        <v>33</v>
      </c>
      <c r="L1314">
        <v>500</v>
      </c>
      <c r="M1314">
        <v>499</v>
      </c>
      <c r="N1314">
        <v>1</v>
      </c>
      <c r="O1314">
        <v>64719.979410560401</v>
      </c>
      <c r="P1314">
        <v>0</v>
      </c>
    </row>
    <row r="1315" spans="1:16" x14ac:dyDescent="0.2">
      <c r="A1315" s="3" t="s">
        <v>49</v>
      </c>
      <c r="B1315" s="3" t="s">
        <v>50</v>
      </c>
      <c r="C1315">
        <v>47</v>
      </c>
      <c r="D1315">
        <v>20000</v>
      </c>
      <c r="E1315">
        <v>499</v>
      </c>
      <c r="F1315">
        <v>1</v>
      </c>
      <c r="G1315">
        <v>20000</v>
      </c>
      <c r="H1315">
        <v>3.4047599999999998E-4</v>
      </c>
      <c r="I1315">
        <v>3015</v>
      </c>
      <c r="J1315">
        <v>2976</v>
      </c>
      <c r="K1315">
        <v>39</v>
      </c>
      <c r="L1315">
        <v>500</v>
      </c>
      <c r="M1315">
        <v>499</v>
      </c>
      <c r="N1315">
        <v>1</v>
      </c>
      <c r="O1315">
        <v>16985</v>
      </c>
      <c r="P1315">
        <v>1</v>
      </c>
    </row>
    <row r="1316" spans="1:16" x14ac:dyDescent="0.2">
      <c r="A1316" s="3" t="s">
        <v>49</v>
      </c>
      <c r="B1316" s="3" t="s">
        <v>50</v>
      </c>
      <c r="C1316">
        <v>11</v>
      </c>
      <c r="D1316">
        <v>18000</v>
      </c>
      <c r="E1316">
        <v>499</v>
      </c>
      <c r="F1316">
        <v>1</v>
      </c>
      <c r="G1316">
        <v>18000</v>
      </c>
      <c r="H1316">
        <v>3.4045800000000003E-4</v>
      </c>
      <c r="I1316">
        <v>2987</v>
      </c>
      <c r="J1316">
        <v>2941</v>
      </c>
      <c r="K1316">
        <v>46</v>
      </c>
      <c r="L1316">
        <v>500</v>
      </c>
      <c r="M1316">
        <v>499</v>
      </c>
      <c r="N1316">
        <v>1</v>
      </c>
      <c r="O1316">
        <v>15013</v>
      </c>
      <c r="P1316">
        <v>1</v>
      </c>
    </row>
    <row r="1317" spans="1:16" x14ac:dyDescent="0.2">
      <c r="A1317" s="3" t="s">
        <v>49</v>
      </c>
      <c r="B1317" s="3" t="s">
        <v>50</v>
      </c>
      <c r="C1317">
        <v>3</v>
      </c>
      <c r="D1317">
        <v>19000</v>
      </c>
      <c r="E1317">
        <v>499</v>
      </c>
      <c r="F1317">
        <v>1</v>
      </c>
      <c r="G1317">
        <v>19000</v>
      </c>
      <c r="H1317">
        <v>3.40339E-4</v>
      </c>
      <c r="I1317">
        <v>2973</v>
      </c>
      <c r="J1317">
        <v>2933</v>
      </c>
      <c r="K1317">
        <v>40</v>
      </c>
      <c r="L1317">
        <v>500</v>
      </c>
      <c r="M1317">
        <v>499</v>
      </c>
      <c r="N1317">
        <v>1</v>
      </c>
      <c r="O1317">
        <v>16027</v>
      </c>
      <c r="P1317">
        <v>1</v>
      </c>
    </row>
    <row r="1318" spans="1:16" x14ac:dyDescent="0.2">
      <c r="A1318" s="3" t="s">
        <v>49</v>
      </c>
      <c r="B1318" s="3" t="s">
        <v>50</v>
      </c>
      <c r="C1318">
        <v>42</v>
      </c>
      <c r="D1318">
        <v>18000</v>
      </c>
      <c r="E1318">
        <v>499</v>
      </c>
      <c r="F1318">
        <v>1</v>
      </c>
      <c r="G1318">
        <v>75479.649376234796</v>
      </c>
      <c r="H1318">
        <v>3.4012799999999998E-4</v>
      </c>
      <c r="I1318">
        <v>3022</v>
      </c>
      <c r="J1318">
        <v>2976</v>
      </c>
      <c r="K1318">
        <v>46</v>
      </c>
      <c r="L1318">
        <v>500</v>
      </c>
      <c r="M1318">
        <v>499</v>
      </c>
      <c r="N1318">
        <v>1</v>
      </c>
      <c r="O1318">
        <v>64447.165823521202</v>
      </c>
      <c r="P1318">
        <v>0</v>
      </c>
    </row>
    <row r="1319" spans="1:16" x14ac:dyDescent="0.2">
      <c r="A1319" s="3" t="s">
        <v>49</v>
      </c>
      <c r="B1319" s="3" t="s">
        <v>50</v>
      </c>
      <c r="C1319">
        <v>23</v>
      </c>
      <c r="D1319">
        <v>20000</v>
      </c>
      <c r="E1319">
        <v>499</v>
      </c>
      <c r="F1319">
        <v>1</v>
      </c>
      <c r="G1319">
        <v>20000</v>
      </c>
      <c r="H1319">
        <v>3.3992700000000001E-4</v>
      </c>
      <c r="I1319">
        <v>3009</v>
      </c>
      <c r="J1319">
        <v>2971</v>
      </c>
      <c r="K1319">
        <v>38</v>
      </c>
      <c r="L1319">
        <v>500</v>
      </c>
      <c r="M1319">
        <v>499</v>
      </c>
      <c r="N1319">
        <v>1</v>
      </c>
      <c r="O1319">
        <v>16991</v>
      </c>
      <c r="P1319">
        <v>1</v>
      </c>
    </row>
    <row r="1320" spans="1:16" x14ac:dyDescent="0.2">
      <c r="A1320" s="3" t="s">
        <v>49</v>
      </c>
      <c r="B1320" s="3" t="s">
        <v>50</v>
      </c>
      <c r="C1320">
        <v>11</v>
      </c>
      <c r="D1320">
        <v>20000</v>
      </c>
      <c r="E1320">
        <v>499</v>
      </c>
      <c r="F1320">
        <v>1</v>
      </c>
      <c r="G1320">
        <v>20000</v>
      </c>
      <c r="H1320">
        <v>3.3980700000000002E-4</v>
      </c>
      <c r="I1320">
        <v>2990</v>
      </c>
      <c r="J1320">
        <v>2954</v>
      </c>
      <c r="K1320">
        <v>36</v>
      </c>
      <c r="L1320">
        <v>500</v>
      </c>
      <c r="M1320">
        <v>499</v>
      </c>
      <c r="N1320">
        <v>1</v>
      </c>
      <c r="O1320">
        <v>17010</v>
      </c>
      <c r="P1320">
        <v>1</v>
      </c>
    </row>
    <row r="1321" spans="1:16" x14ac:dyDescent="0.2">
      <c r="A1321" s="3" t="s">
        <v>49</v>
      </c>
      <c r="B1321" s="3" t="s">
        <v>50</v>
      </c>
      <c r="C1321">
        <v>27</v>
      </c>
      <c r="D1321">
        <v>19000</v>
      </c>
      <c r="E1321">
        <v>499</v>
      </c>
      <c r="F1321">
        <v>1</v>
      </c>
      <c r="G1321">
        <v>84218.384375429901</v>
      </c>
      <c r="H1321">
        <v>3.39716E-4</v>
      </c>
      <c r="I1321">
        <v>2978</v>
      </c>
      <c r="J1321">
        <v>2932</v>
      </c>
      <c r="K1321">
        <v>46</v>
      </c>
      <c r="L1321">
        <v>500</v>
      </c>
      <c r="M1321">
        <v>499</v>
      </c>
      <c r="N1321">
        <v>1</v>
      </c>
      <c r="O1321">
        <v>72754.570295701196</v>
      </c>
      <c r="P1321">
        <v>0</v>
      </c>
    </row>
    <row r="1322" spans="1:16" x14ac:dyDescent="0.2">
      <c r="A1322" s="3" t="s">
        <v>49</v>
      </c>
      <c r="B1322" s="3" t="s">
        <v>50</v>
      </c>
      <c r="C1322">
        <v>49</v>
      </c>
      <c r="D1322">
        <v>20000</v>
      </c>
      <c r="E1322">
        <v>499</v>
      </c>
      <c r="F1322">
        <v>1</v>
      </c>
      <c r="G1322">
        <v>20000</v>
      </c>
      <c r="H1322">
        <v>3.3964299999999999E-4</v>
      </c>
      <c r="I1322">
        <v>3024</v>
      </c>
      <c r="J1322">
        <v>2988</v>
      </c>
      <c r="K1322">
        <v>36</v>
      </c>
      <c r="L1322">
        <v>500</v>
      </c>
      <c r="M1322">
        <v>499</v>
      </c>
      <c r="N1322">
        <v>1</v>
      </c>
      <c r="O1322">
        <v>16976</v>
      </c>
      <c r="P1322">
        <v>1</v>
      </c>
    </row>
    <row r="1323" spans="1:16" x14ac:dyDescent="0.2">
      <c r="A1323" s="3" t="s">
        <v>49</v>
      </c>
      <c r="B1323" s="3" t="s">
        <v>50</v>
      </c>
      <c r="C1323">
        <v>36</v>
      </c>
      <c r="D1323">
        <v>19000</v>
      </c>
      <c r="E1323">
        <v>499</v>
      </c>
      <c r="F1323">
        <v>1</v>
      </c>
      <c r="G1323">
        <v>19000</v>
      </c>
      <c r="H1323">
        <v>3.39551E-4</v>
      </c>
      <c r="I1323">
        <v>2963</v>
      </c>
      <c r="J1323">
        <v>2931</v>
      </c>
      <c r="K1323">
        <v>32</v>
      </c>
      <c r="L1323">
        <v>500</v>
      </c>
      <c r="M1323">
        <v>499</v>
      </c>
      <c r="N1323">
        <v>1</v>
      </c>
      <c r="O1323">
        <v>16037</v>
      </c>
      <c r="P1323">
        <v>1</v>
      </c>
    </row>
    <row r="1324" spans="1:16" x14ac:dyDescent="0.2">
      <c r="A1324" s="3" t="s">
        <v>49</v>
      </c>
      <c r="B1324" s="3" t="s">
        <v>50</v>
      </c>
      <c r="C1324">
        <v>1</v>
      </c>
      <c r="D1324">
        <v>20000</v>
      </c>
      <c r="E1324">
        <v>499</v>
      </c>
      <c r="F1324">
        <v>1</v>
      </c>
      <c r="G1324">
        <v>20000</v>
      </c>
      <c r="H1324">
        <v>3.3932999999999999E-4</v>
      </c>
      <c r="I1324">
        <v>3020</v>
      </c>
      <c r="J1324">
        <v>2977</v>
      </c>
      <c r="K1324">
        <v>43</v>
      </c>
      <c r="L1324">
        <v>500</v>
      </c>
      <c r="M1324">
        <v>499</v>
      </c>
      <c r="N1324">
        <v>1</v>
      </c>
      <c r="O1324">
        <v>16980</v>
      </c>
      <c r="P1324">
        <v>1</v>
      </c>
    </row>
    <row r="1325" spans="1:16" x14ac:dyDescent="0.2">
      <c r="A1325" s="3" t="s">
        <v>49</v>
      </c>
      <c r="B1325" s="3" t="s">
        <v>50</v>
      </c>
      <c r="C1325">
        <v>24</v>
      </c>
      <c r="D1325">
        <v>19000</v>
      </c>
      <c r="E1325">
        <v>499</v>
      </c>
      <c r="F1325">
        <v>1</v>
      </c>
      <c r="G1325">
        <v>84218.384375429901</v>
      </c>
      <c r="H1325">
        <v>3.3926600000000001E-4</v>
      </c>
      <c r="I1325">
        <v>2982</v>
      </c>
      <c r="J1325">
        <v>2942</v>
      </c>
      <c r="K1325">
        <v>40</v>
      </c>
      <c r="L1325">
        <v>500</v>
      </c>
      <c r="M1325">
        <v>499</v>
      </c>
      <c r="N1325">
        <v>1</v>
      </c>
      <c r="O1325">
        <v>72763.607148064097</v>
      </c>
      <c r="P1325">
        <v>0</v>
      </c>
    </row>
    <row r="1326" spans="1:16" x14ac:dyDescent="0.2">
      <c r="A1326" s="3" t="s">
        <v>49</v>
      </c>
      <c r="B1326" s="3" t="s">
        <v>50</v>
      </c>
      <c r="C1326">
        <v>28</v>
      </c>
      <c r="D1326">
        <v>18000</v>
      </c>
      <c r="E1326">
        <v>499</v>
      </c>
      <c r="F1326">
        <v>1</v>
      </c>
      <c r="G1326">
        <v>75479.649376234796</v>
      </c>
      <c r="H1326">
        <v>3.3918400000000002E-4</v>
      </c>
      <c r="I1326">
        <v>2996</v>
      </c>
      <c r="J1326">
        <v>2964</v>
      </c>
      <c r="K1326">
        <v>32</v>
      </c>
      <c r="L1326">
        <v>500</v>
      </c>
      <c r="M1326">
        <v>499</v>
      </c>
      <c r="N1326">
        <v>1</v>
      </c>
      <c r="O1326">
        <v>64570.211155358302</v>
      </c>
      <c r="P1326">
        <v>0</v>
      </c>
    </row>
    <row r="1327" spans="1:16" x14ac:dyDescent="0.2">
      <c r="A1327" s="3" t="s">
        <v>49</v>
      </c>
      <c r="B1327" s="3" t="s">
        <v>50</v>
      </c>
      <c r="C1327">
        <v>31</v>
      </c>
      <c r="D1327">
        <v>18000</v>
      </c>
      <c r="E1327">
        <v>499</v>
      </c>
      <c r="F1327">
        <v>1</v>
      </c>
      <c r="G1327">
        <v>75479.649376234796</v>
      </c>
      <c r="H1327">
        <v>3.3917399999999998E-4</v>
      </c>
      <c r="I1327">
        <v>2936</v>
      </c>
      <c r="J1327">
        <v>2902</v>
      </c>
      <c r="K1327">
        <v>34</v>
      </c>
      <c r="L1327">
        <v>500</v>
      </c>
      <c r="M1327">
        <v>499</v>
      </c>
      <c r="N1327">
        <v>1</v>
      </c>
      <c r="O1327">
        <v>64729.7760453671</v>
      </c>
      <c r="P1327">
        <v>0</v>
      </c>
    </row>
    <row r="1328" spans="1:16" x14ac:dyDescent="0.2">
      <c r="A1328" s="3" t="s">
        <v>49</v>
      </c>
      <c r="B1328" s="3" t="s">
        <v>50</v>
      </c>
      <c r="C1328">
        <v>35</v>
      </c>
      <c r="D1328">
        <v>19000</v>
      </c>
      <c r="E1328">
        <v>499</v>
      </c>
      <c r="F1328">
        <v>1</v>
      </c>
      <c r="G1328">
        <v>19000</v>
      </c>
      <c r="H1328">
        <v>3.39138E-4</v>
      </c>
      <c r="I1328">
        <v>3005</v>
      </c>
      <c r="J1328">
        <v>2967</v>
      </c>
      <c r="K1328">
        <v>38</v>
      </c>
      <c r="L1328">
        <v>500</v>
      </c>
      <c r="M1328">
        <v>499</v>
      </c>
      <c r="N1328">
        <v>1</v>
      </c>
      <c r="O1328">
        <v>15995</v>
      </c>
      <c r="P1328">
        <v>1</v>
      </c>
    </row>
    <row r="1329" spans="1:16" x14ac:dyDescent="0.2">
      <c r="A1329" s="3" t="s">
        <v>49</v>
      </c>
      <c r="B1329" s="3" t="s">
        <v>50</v>
      </c>
      <c r="C1329">
        <v>10</v>
      </c>
      <c r="D1329">
        <v>18000</v>
      </c>
      <c r="E1329">
        <v>499</v>
      </c>
      <c r="F1329">
        <v>1</v>
      </c>
      <c r="G1329">
        <v>75479.649376234796</v>
      </c>
      <c r="H1329">
        <v>3.3901899999999997E-4</v>
      </c>
      <c r="I1329">
        <v>2997</v>
      </c>
      <c r="J1329">
        <v>2972</v>
      </c>
      <c r="K1329">
        <v>25</v>
      </c>
      <c r="L1329">
        <v>500</v>
      </c>
      <c r="M1329">
        <v>499</v>
      </c>
      <c r="N1329">
        <v>1</v>
      </c>
      <c r="O1329">
        <v>64602.901044765596</v>
      </c>
      <c r="P1329">
        <v>0</v>
      </c>
    </row>
    <row r="1330" spans="1:16" x14ac:dyDescent="0.2">
      <c r="A1330" s="3" t="s">
        <v>49</v>
      </c>
      <c r="B1330" s="3" t="s">
        <v>50</v>
      </c>
      <c r="C1330">
        <v>27</v>
      </c>
      <c r="D1330">
        <v>18000</v>
      </c>
      <c r="E1330">
        <v>499</v>
      </c>
      <c r="F1330">
        <v>1</v>
      </c>
      <c r="G1330">
        <v>18000</v>
      </c>
      <c r="H1330">
        <v>3.3886300000000001E-4</v>
      </c>
      <c r="I1330">
        <v>2977</v>
      </c>
      <c r="J1330">
        <v>2937</v>
      </c>
      <c r="K1330">
        <v>40</v>
      </c>
      <c r="L1330">
        <v>500</v>
      </c>
      <c r="M1330">
        <v>499</v>
      </c>
      <c r="N1330">
        <v>1</v>
      </c>
      <c r="O1330">
        <v>15023</v>
      </c>
      <c r="P1330">
        <v>1</v>
      </c>
    </row>
    <row r="1331" spans="1:16" x14ac:dyDescent="0.2">
      <c r="A1331" s="3" t="s">
        <v>49</v>
      </c>
      <c r="B1331" s="3" t="s">
        <v>50</v>
      </c>
      <c r="C1331">
        <v>30</v>
      </c>
      <c r="D1331">
        <v>19000</v>
      </c>
      <c r="E1331">
        <v>499</v>
      </c>
      <c r="F1331">
        <v>1</v>
      </c>
      <c r="G1331">
        <v>84218.384375429901</v>
      </c>
      <c r="H1331">
        <v>3.38835E-4</v>
      </c>
      <c r="I1331">
        <v>3007</v>
      </c>
      <c r="J1331">
        <v>2968</v>
      </c>
      <c r="K1331">
        <v>39</v>
      </c>
      <c r="L1331">
        <v>500</v>
      </c>
      <c r="M1331">
        <v>499</v>
      </c>
      <c r="N1331">
        <v>1</v>
      </c>
      <c r="O1331">
        <v>72750.533732051495</v>
      </c>
      <c r="P1331">
        <v>0</v>
      </c>
    </row>
    <row r="1332" spans="1:16" x14ac:dyDescent="0.2">
      <c r="A1332" s="3" t="s">
        <v>49</v>
      </c>
      <c r="B1332" s="3" t="s">
        <v>50</v>
      </c>
      <c r="C1332">
        <v>47</v>
      </c>
      <c r="D1332">
        <v>18000</v>
      </c>
      <c r="E1332">
        <v>499</v>
      </c>
      <c r="F1332">
        <v>1</v>
      </c>
      <c r="G1332">
        <v>75479.649376234796</v>
      </c>
      <c r="H1332">
        <v>3.3882600000000003E-4</v>
      </c>
      <c r="I1332">
        <v>2964</v>
      </c>
      <c r="J1332">
        <v>2932</v>
      </c>
      <c r="K1332">
        <v>32</v>
      </c>
      <c r="L1332">
        <v>500</v>
      </c>
      <c r="M1332">
        <v>499</v>
      </c>
      <c r="N1332">
        <v>1</v>
      </c>
      <c r="O1332">
        <v>64626.487891523699</v>
      </c>
      <c r="P1332">
        <v>0</v>
      </c>
    </row>
    <row r="1333" spans="1:16" x14ac:dyDescent="0.2">
      <c r="A1333" s="3" t="s">
        <v>49</v>
      </c>
      <c r="B1333" s="3" t="s">
        <v>50</v>
      </c>
      <c r="C1333">
        <v>48</v>
      </c>
      <c r="D1333">
        <v>20000</v>
      </c>
      <c r="E1333">
        <v>499</v>
      </c>
      <c r="F1333">
        <v>1</v>
      </c>
      <c r="G1333">
        <v>20000</v>
      </c>
      <c r="H1333">
        <v>3.3879800000000002E-4</v>
      </c>
      <c r="I1333">
        <v>3013</v>
      </c>
      <c r="J1333">
        <v>2968</v>
      </c>
      <c r="K1333">
        <v>45</v>
      </c>
      <c r="L1333">
        <v>500</v>
      </c>
      <c r="M1333">
        <v>499</v>
      </c>
      <c r="N1333">
        <v>1</v>
      </c>
      <c r="O1333">
        <v>16987</v>
      </c>
      <c r="P1333">
        <v>1</v>
      </c>
    </row>
    <row r="1334" spans="1:16" x14ac:dyDescent="0.2">
      <c r="A1334" s="3" t="s">
        <v>49</v>
      </c>
      <c r="B1334" s="3" t="s">
        <v>50</v>
      </c>
      <c r="C1334">
        <v>34</v>
      </c>
      <c r="D1334">
        <v>18000</v>
      </c>
      <c r="E1334">
        <v>499</v>
      </c>
      <c r="F1334">
        <v>1</v>
      </c>
      <c r="G1334">
        <v>75479.649376234796</v>
      </c>
      <c r="H1334">
        <v>3.3856899999999999E-4</v>
      </c>
      <c r="I1334">
        <v>3008</v>
      </c>
      <c r="J1334">
        <v>2979</v>
      </c>
      <c r="K1334">
        <v>29</v>
      </c>
      <c r="L1334">
        <v>500</v>
      </c>
      <c r="M1334">
        <v>499</v>
      </c>
      <c r="N1334">
        <v>1</v>
      </c>
      <c r="O1334">
        <v>64605.640869063303</v>
      </c>
      <c r="P1334">
        <v>0</v>
      </c>
    </row>
    <row r="1335" spans="1:16" x14ac:dyDescent="0.2">
      <c r="A1335" s="3" t="s">
        <v>49</v>
      </c>
      <c r="B1335" s="3" t="s">
        <v>50</v>
      </c>
      <c r="C1335">
        <v>20</v>
      </c>
      <c r="D1335">
        <v>19000</v>
      </c>
      <c r="E1335">
        <v>499</v>
      </c>
      <c r="F1335">
        <v>1</v>
      </c>
      <c r="G1335">
        <v>19000</v>
      </c>
      <c r="H1335">
        <v>3.38542E-4</v>
      </c>
      <c r="I1335">
        <v>2967</v>
      </c>
      <c r="J1335">
        <v>2929</v>
      </c>
      <c r="K1335">
        <v>38</v>
      </c>
      <c r="L1335">
        <v>500</v>
      </c>
      <c r="M1335">
        <v>499</v>
      </c>
      <c r="N1335">
        <v>1</v>
      </c>
      <c r="O1335">
        <v>16033</v>
      </c>
      <c r="P1335">
        <v>1</v>
      </c>
    </row>
    <row r="1336" spans="1:16" x14ac:dyDescent="0.2">
      <c r="A1336" s="3" t="s">
        <v>49</v>
      </c>
      <c r="B1336" s="3" t="s">
        <v>50</v>
      </c>
      <c r="C1336">
        <v>29</v>
      </c>
      <c r="D1336">
        <v>20000</v>
      </c>
      <c r="E1336">
        <v>499</v>
      </c>
      <c r="F1336">
        <v>1</v>
      </c>
      <c r="G1336">
        <v>20000</v>
      </c>
      <c r="H1336">
        <v>3.3851500000000001E-4</v>
      </c>
      <c r="I1336">
        <v>3008</v>
      </c>
      <c r="J1336">
        <v>2967</v>
      </c>
      <c r="K1336">
        <v>41</v>
      </c>
      <c r="L1336">
        <v>500</v>
      </c>
      <c r="M1336">
        <v>499</v>
      </c>
      <c r="N1336">
        <v>1</v>
      </c>
      <c r="O1336">
        <v>16992</v>
      </c>
      <c r="P1336">
        <v>1</v>
      </c>
    </row>
    <row r="1337" spans="1:16" x14ac:dyDescent="0.2">
      <c r="A1337" s="3" t="s">
        <v>49</v>
      </c>
      <c r="B1337" s="3" t="s">
        <v>50</v>
      </c>
      <c r="C1337">
        <v>17</v>
      </c>
      <c r="D1337">
        <v>18000</v>
      </c>
      <c r="E1337">
        <v>499</v>
      </c>
      <c r="F1337">
        <v>1</v>
      </c>
      <c r="G1337">
        <v>18000</v>
      </c>
      <c r="H1337">
        <v>3.3825800000000003E-4</v>
      </c>
      <c r="I1337">
        <v>2970</v>
      </c>
      <c r="J1337">
        <v>2934</v>
      </c>
      <c r="K1337">
        <v>36</v>
      </c>
      <c r="L1337">
        <v>500</v>
      </c>
      <c r="M1337">
        <v>499</v>
      </c>
      <c r="N1337">
        <v>1</v>
      </c>
      <c r="O1337">
        <v>15030</v>
      </c>
      <c r="P1337">
        <v>1</v>
      </c>
    </row>
    <row r="1338" spans="1:16" x14ac:dyDescent="0.2">
      <c r="A1338" s="3" t="s">
        <v>49</v>
      </c>
      <c r="B1338" s="3" t="s">
        <v>50</v>
      </c>
      <c r="C1338">
        <v>8</v>
      </c>
      <c r="D1338">
        <v>19000</v>
      </c>
      <c r="E1338">
        <v>499</v>
      </c>
      <c r="F1338">
        <v>1</v>
      </c>
      <c r="G1338">
        <v>84218.384375429901</v>
      </c>
      <c r="H1338">
        <v>3.3820299999999997E-4</v>
      </c>
      <c r="I1338">
        <v>2979</v>
      </c>
      <c r="J1338">
        <v>2945</v>
      </c>
      <c r="K1338">
        <v>34</v>
      </c>
      <c r="L1338">
        <v>500</v>
      </c>
      <c r="M1338">
        <v>499</v>
      </c>
      <c r="N1338">
        <v>1</v>
      </c>
      <c r="O1338">
        <v>72823.048870180006</v>
      </c>
      <c r="P1338">
        <v>0</v>
      </c>
    </row>
    <row r="1339" spans="1:16" x14ac:dyDescent="0.2">
      <c r="A1339" s="3" t="s">
        <v>49</v>
      </c>
      <c r="B1339" s="3" t="s">
        <v>50</v>
      </c>
      <c r="C1339">
        <v>14</v>
      </c>
      <c r="D1339">
        <v>19000</v>
      </c>
      <c r="E1339">
        <v>499</v>
      </c>
      <c r="F1339">
        <v>1</v>
      </c>
      <c r="G1339">
        <v>19000</v>
      </c>
      <c r="H1339">
        <v>3.3817599999999998E-4</v>
      </c>
      <c r="I1339">
        <v>2977</v>
      </c>
      <c r="J1339">
        <v>2937</v>
      </c>
      <c r="K1339">
        <v>40</v>
      </c>
      <c r="L1339">
        <v>500</v>
      </c>
      <c r="M1339">
        <v>499</v>
      </c>
      <c r="N1339">
        <v>1</v>
      </c>
      <c r="O1339">
        <v>16023</v>
      </c>
      <c r="P1339">
        <v>1</v>
      </c>
    </row>
    <row r="1340" spans="1:16" x14ac:dyDescent="0.2">
      <c r="A1340" s="3" t="s">
        <v>49</v>
      </c>
      <c r="B1340" s="3" t="s">
        <v>50</v>
      </c>
      <c r="C1340">
        <v>16</v>
      </c>
      <c r="D1340">
        <v>18000</v>
      </c>
      <c r="E1340">
        <v>499</v>
      </c>
      <c r="F1340">
        <v>1</v>
      </c>
      <c r="G1340">
        <v>18000</v>
      </c>
      <c r="H1340">
        <v>3.3814799999999998E-4</v>
      </c>
      <c r="I1340">
        <v>2951</v>
      </c>
      <c r="J1340">
        <v>2920</v>
      </c>
      <c r="K1340">
        <v>31</v>
      </c>
      <c r="L1340">
        <v>500</v>
      </c>
      <c r="M1340">
        <v>499</v>
      </c>
      <c r="N1340">
        <v>1</v>
      </c>
      <c r="O1340">
        <v>15049</v>
      </c>
      <c r="P1340">
        <v>1</v>
      </c>
    </row>
    <row r="1341" spans="1:16" x14ac:dyDescent="0.2">
      <c r="A1341" s="3" t="s">
        <v>49</v>
      </c>
      <c r="B1341" s="3" t="s">
        <v>50</v>
      </c>
      <c r="C1341">
        <v>32</v>
      </c>
      <c r="D1341">
        <v>11000</v>
      </c>
      <c r="E1341">
        <v>499</v>
      </c>
      <c r="F1341">
        <v>1</v>
      </c>
      <c r="G1341">
        <v>11000</v>
      </c>
      <c r="H1341">
        <v>3.38074E-4</v>
      </c>
      <c r="I1341">
        <v>2839</v>
      </c>
      <c r="J1341">
        <v>2816</v>
      </c>
      <c r="K1341">
        <v>23</v>
      </c>
      <c r="L1341">
        <v>500</v>
      </c>
      <c r="M1341">
        <v>499</v>
      </c>
      <c r="N1341">
        <v>1</v>
      </c>
      <c r="O1341">
        <v>8161</v>
      </c>
      <c r="P1341">
        <v>1</v>
      </c>
    </row>
    <row r="1342" spans="1:16" x14ac:dyDescent="0.2">
      <c r="A1342" s="3" t="s">
        <v>49</v>
      </c>
      <c r="B1342" s="3" t="s">
        <v>50</v>
      </c>
      <c r="C1342">
        <v>6</v>
      </c>
      <c r="D1342">
        <v>19000</v>
      </c>
      <c r="E1342">
        <v>499</v>
      </c>
      <c r="F1342">
        <v>1</v>
      </c>
      <c r="G1342">
        <v>19000</v>
      </c>
      <c r="H1342">
        <v>3.3805700000000001E-4</v>
      </c>
      <c r="I1342">
        <v>2985</v>
      </c>
      <c r="J1342">
        <v>2943</v>
      </c>
      <c r="K1342">
        <v>42</v>
      </c>
      <c r="L1342">
        <v>500</v>
      </c>
      <c r="M1342">
        <v>499</v>
      </c>
      <c r="N1342">
        <v>1</v>
      </c>
      <c r="O1342">
        <v>16015</v>
      </c>
      <c r="P1342">
        <v>1</v>
      </c>
    </row>
    <row r="1343" spans="1:16" x14ac:dyDescent="0.2">
      <c r="A1343" s="3" t="s">
        <v>49</v>
      </c>
      <c r="B1343" s="3" t="s">
        <v>50</v>
      </c>
      <c r="C1343">
        <v>39</v>
      </c>
      <c r="D1343">
        <v>19000</v>
      </c>
      <c r="E1343">
        <v>499</v>
      </c>
      <c r="F1343">
        <v>1</v>
      </c>
      <c r="G1343">
        <v>84218.384375429901</v>
      </c>
      <c r="H1343">
        <v>3.3804700000000001E-4</v>
      </c>
      <c r="I1343">
        <v>2996</v>
      </c>
      <c r="J1343">
        <v>2962</v>
      </c>
      <c r="K1343">
        <v>34</v>
      </c>
      <c r="L1343">
        <v>500</v>
      </c>
      <c r="M1343">
        <v>499</v>
      </c>
      <c r="N1343">
        <v>1</v>
      </c>
      <c r="O1343">
        <v>72651.763230057506</v>
      </c>
      <c r="P1343">
        <v>0</v>
      </c>
    </row>
    <row r="1344" spans="1:16" x14ac:dyDescent="0.2">
      <c r="A1344" s="3" t="s">
        <v>49</v>
      </c>
      <c r="B1344" s="3" t="s">
        <v>50</v>
      </c>
      <c r="C1344">
        <v>23</v>
      </c>
      <c r="D1344">
        <v>19000</v>
      </c>
      <c r="E1344">
        <v>499</v>
      </c>
      <c r="F1344">
        <v>1</v>
      </c>
      <c r="G1344">
        <v>19000</v>
      </c>
      <c r="H1344">
        <v>3.3793700000000001E-4</v>
      </c>
      <c r="I1344">
        <v>2991</v>
      </c>
      <c r="J1344">
        <v>2955</v>
      </c>
      <c r="K1344">
        <v>36</v>
      </c>
      <c r="L1344">
        <v>500</v>
      </c>
      <c r="M1344">
        <v>499</v>
      </c>
      <c r="N1344">
        <v>1</v>
      </c>
      <c r="O1344">
        <v>16009</v>
      </c>
      <c r="P1344">
        <v>1</v>
      </c>
    </row>
    <row r="1345" spans="1:16" x14ac:dyDescent="0.2">
      <c r="A1345" s="3" t="s">
        <v>49</v>
      </c>
      <c r="B1345" s="3" t="s">
        <v>50</v>
      </c>
      <c r="C1345">
        <v>16</v>
      </c>
      <c r="D1345">
        <v>11000</v>
      </c>
      <c r="E1345">
        <v>499</v>
      </c>
      <c r="F1345">
        <v>1</v>
      </c>
      <c r="G1345">
        <v>11000</v>
      </c>
      <c r="H1345">
        <v>3.3758799999999999E-4</v>
      </c>
      <c r="I1345">
        <v>2839</v>
      </c>
      <c r="J1345">
        <v>2809</v>
      </c>
      <c r="K1345">
        <v>30</v>
      </c>
      <c r="L1345">
        <v>500</v>
      </c>
      <c r="M1345">
        <v>499</v>
      </c>
      <c r="N1345">
        <v>1</v>
      </c>
      <c r="O1345">
        <v>8161</v>
      </c>
      <c r="P1345">
        <v>1</v>
      </c>
    </row>
    <row r="1346" spans="1:16" x14ac:dyDescent="0.2">
      <c r="A1346" s="3" t="s">
        <v>49</v>
      </c>
      <c r="B1346" s="3" t="s">
        <v>50</v>
      </c>
      <c r="C1346">
        <v>6</v>
      </c>
      <c r="D1346">
        <v>20000</v>
      </c>
      <c r="E1346">
        <v>499</v>
      </c>
      <c r="F1346">
        <v>1</v>
      </c>
      <c r="G1346">
        <v>20000</v>
      </c>
      <c r="H1346">
        <v>3.3754299999999999E-4</v>
      </c>
      <c r="I1346">
        <v>2979</v>
      </c>
      <c r="J1346">
        <v>2937</v>
      </c>
      <c r="K1346">
        <v>42</v>
      </c>
      <c r="L1346">
        <v>500</v>
      </c>
      <c r="M1346">
        <v>499</v>
      </c>
      <c r="N1346">
        <v>1</v>
      </c>
      <c r="O1346">
        <v>17021</v>
      </c>
      <c r="P1346">
        <v>1</v>
      </c>
    </row>
    <row r="1347" spans="1:16" x14ac:dyDescent="0.2">
      <c r="A1347" s="3" t="s">
        <v>49</v>
      </c>
      <c r="B1347" s="3" t="s">
        <v>50</v>
      </c>
      <c r="C1347">
        <v>41</v>
      </c>
      <c r="D1347">
        <v>19000</v>
      </c>
      <c r="E1347">
        <v>499</v>
      </c>
      <c r="F1347">
        <v>1</v>
      </c>
      <c r="G1347">
        <v>84218.384375429901</v>
      </c>
      <c r="H1347">
        <v>3.37516E-4</v>
      </c>
      <c r="I1347">
        <v>3003</v>
      </c>
      <c r="J1347">
        <v>2970</v>
      </c>
      <c r="K1347">
        <v>33</v>
      </c>
      <c r="L1347">
        <v>500</v>
      </c>
      <c r="M1347">
        <v>499</v>
      </c>
      <c r="N1347">
        <v>1</v>
      </c>
      <c r="O1347">
        <v>72703.0459982842</v>
      </c>
      <c r="P1347">
        <v>0</v>
      </c>
    </row>
    <row r="1348" spans="1:16" x14ac:dyDescent="0.2">
      <c r="A1348" s="3" t="s">
        <v>49</v>
      </c>
      <c r="B1348" s="3" t="s">
        <v>50</v>
      </c>
      <c r="C1348">
        <v>39</v>
      </c>
      <c r="D1348">
        <v>20000</v>
      </c>
      <c r="E1348">
        <v>499</v>
      </c>
      <c r="F1348">
        <v>1</v>
      </c>
      <c r="G1348">
        <v>20000</v>
      </c>
      <c r="H1348">
        <v>3.3745100000000001E-4</v>
      </c>
      <c r="I1348">
        <v>3016</v>
      </c>
      <c r="J1348">
        <v>2955</v>
      </c>
      <c r="K1348">
        <v>61</v>
      </c>
      <c r="L1348">
        <v>500</v>
      </c>
      <c r="M1348">
        <v>499</v>
      </c>
      <c r="N1348">
        <v>1</v>
      </c>
      <c r="O1348">
        <v>16984</v>
      </c>
      <c r="P1348">
        <v>1</v>
      </c>
    </row>
    <row r="1349" spans="1:16" x14ac:dyDescent="0.2">
      <c r="A1349" s="3" t="s">
        <v>49</v>
      </c>
      <c r="B1349" s="3" t="s">
        <v>50</v>
      </c>
      <c r="C1349">
        <v>42</v>
      </c>
      <c r="D1349">
        <v>19000</v>
      </c>
      <c r="E1349">
        <v>499</v>
      </c>
      <c r="F1349">
        <v>1</v>
      </c>
      <c r="G1349">
        <v>19000</v>
      </c>
      <c r="H1349">
        <v>3.3737799999999999E-4</v>
      </c>
      <c r="I1349">
        <v>2999</v>
      </c>
      <c r="J1349">
        <v>2963</v>
      </c>
      <c r="K1349">
        <v>36</v>
      </c>
      <c r="L1349">
        <v>500</v>
      </c>
      <c r="M1349">
        <v>499</v>
      </c>
      <c r="N1349">
        <v>1</v>
      </c>
      <c r="O1349">
        <v>16001</v>
      </c>
      <c r="P1349">
        <v>1</v>
      </c>
    </row>
    <row r="1350" spans="1:16" x14ac:dyDescent="0.2">
      <c r="A1350" s="3" t="s">
        <v>49</v>
      </c>
      <c r="B1350" s="3" t="s">
        <v>50</v>
      </c>
      <c r="C1350">
        <v>41</v>
      </c>
      <c r="D1350">
        <v>15000</v>
      </c>
      <c r="E1350">
        <v>499</v>
      </c>
      <c r="F1350">
        <v>1</v>
      </c>
      <c r="G1350">
        <v>60572.237308582698</v>
      </c>
      <c r="H1350">
        <v>3.3731400000000002E-4</v>
      </c>
      <c r="I1350">
        <v>2872</v>
      </c>
      <c r="J1350">
        <v>2842</v>
      </c>
      <c r="K1350">
        <v>30</v>
      </c>
      <c r="L1350">
        <v>500</v>
      </c>
      <c r="M1350">
        <v>499</v>
      </c>
      <c r="N1350">
        <v>1</v>
      </c>
      <c r="O1350">
        <v>50339.396670044698</v>
      </c>
      <c r="P1350">
        <v>0</v>
      </c>
    </row>
    <row r="1351" spans="1:16" x14ac:dyDescent="0.2">
      <c r="A1351" s="3" t="s">
        <v>49</v>
      </c>
      <c r="B1351" s="3" t="s">
        <v>50</v>
      </c>
      <c r="C1351">
        <v>10</v>
      </c>
      <c r="D1351">
        <v>20000</v>
      </c>
      <c r="E1351">
        <v>499</v>
      </c>
      <c r="F1351">
        <v>1</v>
      </c>
      <c r="G1351">
        <v>20000</v>
      </c>
      <c r="H1351">
        <v>3.37268E-4</v>
      </c>
      <c r="I1351">
        <v>2979</v>
      </c>
      <c r="J1351">
        <v>2937</v>
      </c>
      <c r="K1351">
        <v>42</v>
      </c>
      <c r="L1351">
        <v>500</v>
      </c>
      <c r="M1351">
        <v>499</v>
      </c>
      <c r="N1351">
        <v>1</v>
      </c>
      <c r="O1351">
        <v>17021</v>
      </c>
      <c r="P1351">
        <v>1</v>
      </c>
    </row>
    <row r="1352" spans="1:16" x14ac:dyDescent="0.2">
      <c r="A1352" s="3" t="s">
        <v>49</v>
      </c>
      <c r="B1352" s="3" t="s">
        <v>50</v>
      </c>
      <c r="C1352">
        <v>40</v>
      </c>
      <c r="D1352">
        <v>19000</v>
      </c>
      <c r="E1352">
        <v>499</v>
      </c>
      <c r="F1352">
        <v>1</v>
      </c>
      <c r="G1352">
        <v>84218.384375429901</v>
      </c>
      <c r="H1352">
        <v>3.3723100000000001E-4</v>
      </c>
      <c r="I1352">
        <v>2961</v>
      </c>
      <c r="J1352">
        <v>2929</v>
      </c>
      <c r="K1352">
        <v>32</v>
      </c>
      <c r="L1352">
        <v>500</v>
      </c>
      <c r="M1352">
        <v>499</v>
      </c>
      <c r="N1352">
        <v>1</v>
      </c>
      <c r="O1352">
        <v>72788.659232258899</v>
      </c>
      <c r="P1352">
        <v>0</v>
      </c>
    </row>
    <row r="1353" spans="1:16" x14ac:dyDescent="0.2">
      <c r="A1353" s="3" t="s">
        <v>49</v>
      </c>
      <c r="B1353" s="3" t="s">
        <v>50</v>
      </c>
      <c r="C1353">
        <v>7</v>
      </c>
      <c r="D1353">
        <v>19000</v>
      </c>
      <c r="E1353">
        <v>499</v>
      </c>
      <c r="F1353">
        <v>1</v>
      </c>
      <c r="G1353">
        <v>19000</v>
      </c>
      <c r="H1353">
        <v>3.37213E-4</v>
      </c>
      <c r="I1353">
        <v>2986</v>
      </c>
      <c r="J1353">
        <v>2952</v>
      </c>
      <c r="K1353">
        <v>34</v>
      </c>
      <c r="L1353">
        <v>500</v>
      </c>
      <c r="M1353">
        <v>499</v>
      </c>
      <c r="N1353">
        <v>1</v>
      </c>
      <c r="O1353">
        <v>16014</v>
      </c>
      <c r="P1353">
        <v>1</v>
      </c>
    </row>
    <row r="1354" spans="1:16" x14ac:dyDescent="0.2">
      <c r="A1354" s="3" t="s">
        <v>49</v>
      </c>
      <c r="B1354" s="3" t="s">
        <v>50</v>
      </c>
      <c r="C1354">
        <v>11</v>
      </c>
      <c r="D1354">
        <v>19000</v>
      </c>
      <c r="E1354">
        <v>499</v>
      </c>
      <c r="F1354">
        <v>1</v>
      </c>
      <c r="G1354">
        <v>84218.384375429901</v>
      </c>
      <c r="H1354">
        <v>3.36993E-4</v>
      </c>
      <c r="I1354">
        <v>2977</v>
      </c>
      <c r="J1354">
        <v>2950</v>
      </c>
      <c r="K1354">
        <v>27</v>
      </c>
      <c r="L1354">
        <v>500</v>
      </c>
      <c r="M1354">
        <v>499</v>
      </c>
      <c r="N1354">
        <v>1</v>
      </c>
      <c r="O1354">
        <v>72780.963321962699</v>
      </c>
      <c r="P1354">
        <v>0</v>
      </c>
    </row>
    <row r="1355" spans="1:16" x14ac:dyDescent="0.2">
      <c r="A1355" s="3" t="s">
        <v>49</v>
      </c>
      <c r="B1355" s="3" t="s">
        <v>50</v>
      </c>
      <c r="C1355">
        <v>25</v>
      </c>
      <c r="D1355">
        <v>20000</v>
      </c>
      <c r="E1355">
        <v>499</v>
      </c>
      <c r="F1355">
        <v>1</v>
      </c>
      <c r="G1355">
        <v>20000</v>
      </c>
      <c r="H1355">
        <v>3.3696600000000001E-4</v>
      </c>
      <c r="I1355">
        <v>3032</v>
      </c>
      <c r="J1355">
        <v>2993</v>
      </c>
      <c r="K1355">
        <v>39</v>
      </c>
      <c r="L1355">
        <v>500</v>
      </c>
      <c r="M1355">
        <v>499</v>
      </c>
      <c r="N1355">
        <v>1</v>
      </c>
      <c r="O1355">
        <v>16968</v>
      </c>
      <c r="P1355">
        <v>1</v>
      </c>
    </row>
    <row r="1356" spans="1:16" x14ac:dyDescent="0.2">
      <c r="A1356" s="3" t="s">
        <v>49</v>
      </c>
      <c r="B1356" s="3" t="s">
        <v>50</v>
      </c>
      <c r="C1356">
        <v>37</v>
      </c>
      <c r="D1356">
        <v>18000</v>
      </c>
      <c r="E1356">
        <v>499</v>
      </c>
      <c r="F1356">
        <v>1</v>
      </c>
      <c r="G1356">
        <v>75479.649376234796</v>
      </c>
      <c r="H1356">
        <v>3.3691100000000001E-4</v>
      </c>
      <c r="I1356">
        <v>2972</v>
      </c>
      <c r="J1356">
        <v>2936</v>
      </c>
      <c r="K1356">
        <v>36</v>
      </c>
      <c r="L1356">
        <v>500</v>
      </c>
      <c r="M1356">
        <v>499</v>
      </c>
      <c r="N1356">
        <v>1</v>
      </c>
      <c r="O1356">
        <v>64566.882259163103</v>
      </c>
      <c r="P1356">
        <v>0</v>
      </c>
    </row>
    <row r="1357" spans="1:16" x14ac:dyDescent="0.2">
      <c r="A1357" s="3" t="s">
        <v>49</v>
      </c>
      <c r="B1357" s="3" t="s">
        <v>50</v>
      </c>
      <c r="C1357">
        <v>9</v>
      </c>
      <c r="D1357">
        <v>20000</v>
      </c>
      <c r="E1357">
        <v>499</v>
      </c>
      <c r="F1357">
        <v>1</v>
      </c>
      <c r="G1357">
        <v>20000</v>
      </c>
      <c r="H1357">
        <v>3.3688300000000001E-4</v>
      </c>
      <c r="I1357">
        <v>2928</v>
      </c>
      <c r="J1357">
        <v>2888</v>
      </c>
      <c r="K1357">
        <v>40</v>
      </c>
      <c r="L1357">
        <v>500</v>
      </c>
      <c r="M1357">
        <v>499</v>
      </c>
      <c r="N1357">
        <v>1</v>
      </c>
      <c r="O1357">
        <v>17072</v>
      </c>
      <c r="P1357">
        <v>1</v>
      </c>
    </row>
    <row r="1358" spans="1:16" x14ac:dyDescent="0.2">
      <c r="A1358" s="3" t="s">
        <v>49</v>
      </c>
      <c r="B1358" s="3" t="s">
        <v>50</v>
      </c>
      <c r="C1358">
        <v>1</v>
      </c>
      <c r="D1358">
        <v>19000</v>
      </c>
      <c r="E1358">
        <v>499</v>
      </c>
      <c r="F1358">
        <v>1</v>
      </c>
      <c r="G1358">
        <v>84218.384375429901</v>
      </c>
      <c r="H1358">
        <v>3.3674600000000002E-4</v>
      </c>
      <c r="I1358">
        <v>3020</v>
      </c>
      <c r="J1358">
        <v>2986</v>
      </c>
      <c r="K1358">
        <v>34</v>
      </c>
      <c r="L1358">
        <v>500</v>
      </c>
      <c r="M1358">
        <v>499</v>
      </c>
      <c r="N1358">
        <v>1</v>
      </c>
      <c r="O1358">
        <v>72644.016324513796</v>
      </c>
      <c r="P1358">
        <v>0</v>
      </c>
    </row>
    <row r="1359" spans="1:16" x14ac:dyDescent="0.2">
      <c r="A1359" s="3" t="s">
        <v>49</v>
      </c>
      <c r="B1359" s="3" t="s">
        <v>50</v>
      </c>
      <c r="C1359">
        <v>26</v>
      </c>
      <c r="D1359">
        <v>17000</v>
      </c>
      <c r="E1359">
        <v>499</v>
      </c>
      <c r="F1359">
        <v>1</v>
      </c>
      <c r="G1359">
        <v>17000</v>
      </c>
      <c r="H1359">
        <v>3.3666300000000001E-4</v>
      </c>
      <c r="I1359">
        <v>2964</v>
      </c>
      <c r="J1359">
        <v>2926</v>
      </c>
      <c r="K1359">
        <v>38</v>
      </c>
      <c r="L1359">
        <v>500</v>
      </c>
      <c r="M1359">
        <v>499</v>
      </c>
      <c r="N1359">
        <v>1</v>
      </c>
      <c r="O1359">
        <v>14036</v>
      </c>
      <c r="P1359">
        <v>1</v>
      </c>
    </row>
    <row r="1360" spans="1:16" x14ac:dyDescent="0.2">
      <c r="A1360" s="3" t="s">
        <v>49</v>
      </c>
      <c r="B1360" s="3" t="s">
        <v>50</v>
      </c>
      <c r="C1360">
        <v>8</v>
      </c>
      <c r="D1360">
        <v>19000</v>
      </c>
      <c r="E1360">
        <v>499</v>
      </c>
      <c r="F1360">
        <v>1</v>
      </c>
      <c r="G1360">
        <v>19000</v>
      </c>
      <c r="H1360">
        <v>3.3660899999999998E-4</v>
      </c>
      <c r="I1360">
        <v>2971</v>
      </c>
      <c r="J1360">
        <v>2936</v>
      </c>
      <c r="K1360">
        <v>35</v>
      </c>
      <c r="L1360">
        <v>500</v>
      </c>
      <c r="M1360">
        <v>499</v>
      </c>
      <c r="N1360">
        <v>1</v>
      </c>
      <c r="O1360">
        <v>16029</v>
      </c>
      <c r="P1360">
        <v>1</v>
      </c>
    </row>
    <row r="1361" spans="1:16" x14ac:dyDescent="0.2">
      <c r="A1361" s="3" t="s">
        <v>49</v>
      </c>
      <c r="B1361" s="3" t="s">
        <v>50</v>
      </c>
      <c r="C1361">
        <v>46</v>
      </c>
      <c r="D1361">
        <v>19000</v>
      </c>
      <c r="E1361">
        <v>499</v>
      </c>
      <c r="F1361">
        <v>1</v>
      </c>
      <c r="G1361">
        <v>84218.384375429901</v>
      </c>
      <c r="H1361">
        <v>3.3659E-4</v>
      </c>
      <c r="I1361">
        <v>2963</v>
      </c>
      <c r="J1361">
        <v>2931</v>
      </c>
      <c r="K1361">
        <v>32</v>
      </c>
      <c r="L1361">
        <v>500</v>
      </c>
      <c r="M1361">
        <v>499</v>
      </c>
      <c r="N1361">
        <v>1</v>
      </c>
      <c r="O1361">
        <v>72837.805841271896</v>
      </c>
      <c r="P1361">
        <v>0</v>
      </c>
    </row>
    <row r="1362" spans="1:16" x14ac:dyDescent="0.2">
      <c r="A1362" s="3" t="s">
        <v>49</v>
      </c>
      <c r="B1362" s="3" t="s">
        <v>50</v>
      </c>
      <c r="C1362">
        <v>21</v>
      </c>
      <c r="D1362">
        <v>18000</v>
      </c>
      <c r="E1362">
        <v>499</v>
      </c>
      <c r="F1362">
        <v>1</v>
      </c>
      <c r="G1362">
        <v>18000</v>
      </c>
      <c r="H1362">
        <v>3.36452E-4</v>
      </c>
      <c r="I1362">
        <v>2946</v>
      </c>
      <c r="J1362">
        <v>2915</v>
      </c>
      <c r="K1362">
        <v>31</v>
      </c>
      <c r="L1362">
        <v>500</v>
      </c>
      <c r="M1362">
        <v>499</v>
      </c>
      <c r="N1362">
        <v>1</v>
      </c>
      <c r="O1362">
        <v>15054</v>
      </c>
      <c r="P1362">
        <v>1</v>
      </c>
    </row>
    <row r="1363" spans="1:16" x14ac:dyDescent="0.2">
      <c r="A1363" s="3" t="s">
        <v>49</v>
      </c>
      <c r="B1363" s="3" t="s">
        <v>50</v>
      </c>
      <c r="C1363">
        <v>21</v>
      </c>
      <c r="D1363">
        <v>20000</v>
      </c>
      <c r="E1363">
        <v>499</v>
      </c>
      <c r="F1363">
        <v>1</v>
      </c>
      <c r="G1363">
        <v>20000</v>
      </c>
      <c r="H1363">
        <v>3.36287E-4</v>
      </c>
      <c r="I1363">
        <v>2992</v>
      </c>
      <c r="J1363">
        <v>2961</v>
      </c>
      <c r="K1363">
        <v>31</v>
      </c>
      <c r="L1363">
        <v>500</v>
      </c>
      <c r="M1363">
        <v>499</v>
      </c>
      <c r="N1363">
        <v>1</v>
      </c>
      <c r="O1363">
        <v>17008</v>
      </c>
      <c r="P1363">
        <v>1</v>
      </c>
    </row>
    <row r="1364" spans="1:16" x14ac:dyDescent="0.2">
      <c r="A1364" s="3" t="s">
        <v>49</v>
      </c>
      <c r="B1364" s="3" t="s">
        <v>50</v>
      </c>
      <c r="C1364">
        <v>28</v>
      </c>
      <c r="D1364">
        <v>20000</v>
      </c>
      <c r="E1364">
        <v>499</v>
      </c>
      <c r="F1364">
        <v>1</v>
      </c>
      <c r="G1364">
        <v>20000</v>
      </c>
      <c r="H1364">
        <v>3.3613099999999998E-4</v>
      </c>
      <c r="I1364">
        <v>2991</v>
      </c>
      <c r="J1364">
        <v>2960</v>
      </c>
      <c r="K1364">
        <v>31</v>
      </c>
      <c r="L1364">
        <v>500</v>
      </c>
      <c r="M1364">
        <v>499</v>
      </c>
      <c r="N1364">
        <v>1</v>
      </c>
      <c r="O1364">
        <v>17009</v>
      </c>
      <c r="P1364">
        <v>1</v>
      </c>
    </row>
    <row r="1365" spans="1:16" x14ac:dyDescent="0.2">
      <c r="A1365" s="3" t="s">
        <v>49</v>
      </c>
      <c r="B1365" s="3" t="s">
        <v>50</v>
      </c>
      <c r="C1365">
        <v>10</v>
      </c>
      <c r="D1365">
        <v>19000</v>
      </c>
      <c r="E1365">
        <v>499</v>
      </c>
      <c r="F1365">
        <v>1</v>
      </c>
      <c r="G1365">
        <v>84218.384375429901</v>
      </c>
      <c r="H1365">
        <v>3.36077E-4</v>
      </c>
      <c r="I1365">
        <v>2999</v>
      </c>
      <c r="J1365">
        <v>2967</v>
      </c>
      <c r="K1365">
        <v>32</v>
      </c>
      <c r="L1365">
        <v>500</v>
      </c>
      <c r="M1365">
        <v>499</v>
      </c>
      <c r="N1365">
        <v>1</v>
      </c>
      <c r="O1365">
        <v>72743.004412941795</v>
      </c>
      <c r="P1365">
        <v>0</v>
      </c>
    </row>
    <row r="1366" spans="1:16" x14ac:dyDescent="0.2">
      <c r="A1366" s="3" t="s">
        <v>49</v>
      </c>
      <c r="B1366" s="3" t="s">
        <v>50</v>
      </c>
      <c r="C1366">
        <v>17</v>
      </c>
      <c r="D1366">
        <v>20000</v>
      </c>
      <c r="E1366">
        <v>499</v>
      </c>
      <c r="F1366">
        <v>1</v>
      </c>
      <c r="G1366">
        <v>20000</v>
      </c>
      <c r="H1366">
        <v>3.3606800000000002E-4</v>
      </c>
      <c r="I1366">
        <v>2996</v>
      </c>
      <c r="J1366">
        <v>2946</v>
      </c>
      <c r="K1366">
        <v>50</v>
      </c>
      <c r="L1366">
        <v>500</v>
      </c>
      <c r="M1366">
        <v>499</v>
      </c>
      <c r="N1366">
        <v>1</v>
      </c>
      <c r="O1366">
        <v>17004</v>
      </c>
      <c r="P1366">
        <v>1</v>
      </c>
    </row>
    <row r="1367" spans="1:16" x14ac:dyDescent="0.2">
      <c r="A1367" s="3" t="s">
        <v>49</v>
      </c>
      <c r="B1367" s="3" t="s">
        <v>50</v>
      </c>
      <c r="C1367">
        <v>14</v>
      </c>
      <c r="D1367">
        <v>18000</v>
      </c>
      <c r="E1367">
        <v>499</v>
      </c>
      <c r="F1367">
        <v>1</v>
      </c>
      <c r="G1367">
        <v>75479.649376234796</v>
      </c>
      <c r="H1367">
        <v>3.3593000000000002E-4</v>
      </c>
      <c r="I1367">
        <v>2932</v>
      </c>
      <c r="J1367">
        <v>2890</v>
      </c>
      <c r="K1367">
        <v>42</v>
      </c>
      <c r="L1367">
        <v>500</v>
      </c>
      <c r="M1367">
        <v>499</v>
      </c>
      <c r="N1367">
        <v>1</v>
      </c>
      <c r="O1367">
        <v>64723.450494957098</v>
      </c>
      <c r="P1367">
        <v>0</v>
      </c>
    </row>
    <row r="1368" spans="1:16" x14ac:dyDescent="0.2">
      <c r="A1368" s="3" t="s">
        <v>49</v>
      </c>
      <c r="B1368" s="3" t="s">
        <v>50</v>
      </c>
      <c r="C1368">
        <v>27</v>
      </c>
      <c r="D1368">
        <v>19000</v>
      </c>
      <c r="E1368">
        <v>499</v>
      </c>
      <c r="F1368">
        <v>1</v>
      </c>
      <c r="G1368">
        <v>19000</v>
      </c>
      <c r="H1368">
        <v>3.3573700000000001E-4</v>
      </c>
      <c r="I1368">
        <v>2987</v>
      </c>
      <c r="J1368">
        <v>2948</v>
      </c>
      <c r="K1368">
        <v>39</v>
      </c>
      <c r="L1368">
        <v>500</v>
      </c>
      <c r="M1368">
        <v>499</v>
      </c>
      <c r="N1368">
        <v>1</v>
      </c>
      <c r="O1368">
        <v>16013</v>
      </c>
      <c r="P1368">
        <v>1</v>
      </c>
    </row>
    <row r="1369" spans="1:16" x14ac:dyDescent="0.2">
      <c r="A1369" s="3" t="s">
        <v>49</v>
      </c>
      <c r="B1369" s="3" t="s">
        <v>50</v>
      </c>
      <c r="C1369">
        <v>8</v>
      </c>
      <c r="D1369">
        <v>20000</v>
      </c>
      <c r="E1369">
        <v>499</v>
      </c>
      <c r="F1369">
        <v>1</v>
      </c>
      <c r="G1369">
        <v>20000</v>
      </c>
      <c r="H1369">
        <v>3.3549900000000001E-4</v>
      </c>
      <c r="I1369">
        <v>2996</v>
      </c>
      <c r="J1369">
        <v>2963</v>
      </c>
      <c r="K1369">
        <v>33</v>
      </c>
      <c r="L1369">
        <v>500</v>
      </c>
      <c r="M1369">
        <v>499</v>
      </c>
      <c r="N1369">
        <v>1</v>
      </c>
      <c r="O1369">
        <v>17004</v>
      </c>
      <c r="P1369">
        <v>1</v>
      </c>
    </row>
    <row r="1370" spans="1:16" x14ac:dyDescent="0.2">
      <c r="A1370" s="3" t="s">
        <v>49</v>
      </c>
      <c r="B1370" s="3" t="s">
        <v>50</v>
      </c>
      <c r="C1370">
        <v>44</v>
      </c>
      <c r="D1370">
        <v>16000</v>
      </c>
      <c r="E1370">
        <v>499</v>
      </c>
      <c r="F1370">
        <v>1</v>
      </c>
      <c r="G1370">
        <v>64781.839036288002</v>
      </c>
      <c r="H1370">
        <v>3.3534299999999999E-4</v>
      </c>
      <c r="I1370">
        <v>2950</v>
      </c>
      <c r="J1370">
        <v>2925</v>
      </c>
      <c r="K1370">
        <v>25</v>
      </c>
      <c r="L1370">
        <v>500</v>
      </c>
      <c r="M1370">
        <v>499</v>
      </c>
      <c r="N1370">
        <v>1</v>
      </c>
      <c r="O1370">
        <v>54154.546239322801</v>
      </c>
      <c r="P1370">
        <v>0</v>
      </c>
    </row>
    <row r="1371" spans="1:16" x14ac:dyDescent="0.2">
      <c r="A1371" s="3" t="s">
        <v>49</v>
      </c>
      <c r="B1371" s="3" t="s">
        <v>50</v>
      </c>
      <c r="C1371">
        <v>44</v>
      </c>
      <c r="D1371">
        <v>19000</v>
      </c>
      <c r="E1371">
        <v>499</v>
      </c>
      <c r="F1371">
        <v>1</v>
      </c>
      <c r="G1371">
        <v>19000</v>
      </c>
      <c r="H1371">
        <v>3.3528799999999999E-4</v>
      </c>
      <c r="I1371">
        <v>3002</v>
      </c>
      <c r="J1371">
        <v>2968</v>
      </c>
      <c r="K1371">
        <v>34</v>
      </c>
      <c r="L1371">
        <v>500</v>
      </c>
      <c r="M1371">
        <v>499</v>
      </c>
      <c r="N1371">
        <v>1</v>
      </c>
      <c r="O1371">
        <v>15998</v>
      </c>
      <c r="P1371">
        <v>1</v>
      </c>
    </row>
    <row r="1372" spans="1:16" x14ac:dyDescent="0.2">
      <c r="A1372" s="3" t="s">
        <v>49</v>
      </c>
      <c r="B1372" s="3" t="s">
        <v>50</v>
      </c>
      <c r="C1372">
        <v>16</v>
      </c>
      <c r="D1372">
        <v>20000</v>
      </c>
      <c r="E1372">
        <v>499</v>
      </c>
      <c r="F1372">
        <v>1</v>
      </c>
      <c r="G1372">
        <v>20000</v>
      </c>
      <c r="H1372">
        <v>3.3524299999999999E-4</v>
      </c>
      <c r="I1372">
        <v>2967</v>
      </c>
      <c r="J1372">
        <v>2943</v>
      </c>
      <c r="K1372">
        <v>24</v>
      </c>
      <c r="L1372">
        <v>500</v>
      </c>
      <c r="M1372">
        <v>499</v>
      </c>
      <c r="N1372">
        <v>1</v>
      </c>
      <c r="O1372">
        <v>17033</v>
      </c>
      <c r="P1372">
        <v>1</v>
      </c>
    </row>
    <row r="1373" spans="1:16" x14ac:dyDescent="0.2">
      <c r="A1373" s="3" t="s">
        <v>49</v>
      </c>
      <c r="B1373" s="3" t="s">
        <v>50</v>
      </c>
      <c r="C1373">
        <v>20</v>
      </c>
      <c r="D1373">
        <v>20000</v>
      </c>
      <c r="E1373">
        <v>499</v>
      </c>
      <c r="F1373">
        <v>1</v>
      </c>
      <c r="G1373">
        <v>20000</v>
      </c>
      <c r="H1373">
        <v>3.3513199999999998E-4</v>
      </c>
      <c r="I1373">
        <v>2945</v>
      </c>
      <c r="J1373">
        <v>2912</v>
      </c>
      <c r="K1373">
        <v>33</v>
      </c>
      <c r="L1373">
        <v>500</v>
      </c>
      <c r="M1373">
        <v>499</v>
      </c>
      <c r="N1373">
        <v>1</v>
      </c>
      <c r="O1373">
        <v>17055</v>
      </c>
      <c r="P1373">
        <v>1</v>
      </c>
    </row>
    <row r="1374" spans="1:16" x14ac:dyDescent="0.2">
      <c r="A1374" s="3" t="s">
        <v>49</v>
      </c>
      <c r="B1374" s="3" t="s">
        <v>50</v>
      </c>
      <c r="C1374">
        <v>7</v>
      </c>
      <c r="D1374">
        <v>19000</v>
      </c>
      <c r="E1374">
        <v>499</v>
      </c>
      <c r="F1374">
        <v>1</v>
      </c>
      <c r="G1374">
        <v>84218.384375429901</v>
      </c>
      <c r="H1374">
        <v>3.3503199999999997E-4</v>
      </c>
      <c r="I1374">
        <v>2912</v>
      </c>
      <c r="J1374">
        <v>2875</v>
      </c>
      <c r="K1374">
        <v>37</v>
      </c>
      <c r="L1374">
        <v>500</v>
      </c>
      <c r="M1374">
        <v>499</v>
      </c>
      <c r="N1374">
        <v>1</v>
      </c>
      <c r="O1374">
        <v>73010.910415612903</v>
      </c>
      <c r="P1374">
        <v>0</v>
      </c>
    </row>
    <row r="1375" spans="1:16" x14ac:dyDescent="0.2">
      <c r="A1375" s="3" t="s">
        <v>49</v>
      </c>
      <c r="B1375" s="3" t="s">
        <v>50</v>
      </c>
      <c r="C1375">
        <v>37</v>
      </c>
      <c r="D1375">
        <v>19000</v>
      </c>
      <c r="E1375">
        <v>499</v>
      </c>
      <c r="F1375">
        <v>1</v>
      </c>
      <c r="G1375">
        <v>19000</v>
      </c>
      <c r="H1375">
        <v>3.3502199999999998E-4</v>
      </c>
      <c r="I1375">
        <v>2913</v>
      </c>
      <c r="J1375">
        <v>2872</v>
      </c>
      <c r="K1375">
        <v>41</v>
      </c>
      <c r="L1375">
        <v>500</v>
      </c>
      <c r="M1375">
        <v>499</v>
      </c>
      <c r="N1375">
        <v>1</v>
      </c>
      <c r="O1375">
        <v>16087</v>
      </c>
      <c r="P1375">
        <v>1</v>
      </c>
    </row>
    <row r="1376" spans="1:16" x14ac:dyDescent="0.2">
      <c r="A1376" s="3" t="s">
        <v>49</v>
      </c>
      <c r="B1376" s="3" t="s">
        <v>50</v>
      </c>
      <c r="C1376">
        <v>39</v>
      </c>
      <c r="D1376">
        <v>17000</v>
      </c>
      <c r="E1376">
        <v>499</v>
      </c>
      <c r="F1376">
        <v>1</v>
      </c>
      <c r="G1376">
        <v>65872.258119671897</v>
      </c>
      <c r="H1376">
        <v>3.3500400000000002E-4</v>
      </c>
      <c r="I1376">
        <v>2885</v>
      </c>
      <c r="J1376">
        <v>2848</v>
      </c>
      <c r="K1376">
        <v>37</v>
      </c>
      <c r="L1376">
        <v>500</v>
      </c>
      <c r="M1376">
        <v>499</v>
      </c>
      <c r="N1376">
        <v>1</v>
      </c>
      <c r="O1376">
        <v>55735.414311710498</v>
      </c>
      <c r="P1376">
        <v>0</v>
      </c>
    </row>
    <row r="1377" spans="1:16" x14ac:dyDescent="0.2">
      <c r="A1377" s="3" t="s">
        <v>49</v>
      </c>
      <c r="B1377" s="3" t="s">
        <v>50</v>
      </c>
      <c r="C1377">
        <v>44</v>
      </c>
      <c r="D1377">
        <v>20000</v>
      </c>
      <c r="E1377">
        <v>499</v>
      </c>
      <c r="F1377">
        <v>1</v>
      </c>
      <c r="G1377">
        <v>20000</v>
      </c>
      <c r="H1377">
        <v>3.3471899999999998E-4</v>
      </c>
      <c r="I1377">
        <v>2936</v>
      </c>
      <c r="J1377">
        <v>2901</v>
      </c>
      <c r="K1377">
        <v>35</v>
      </c>
      <c r="L1377">
        <v>500</v>
      </c>
      <c r="M1377">
        <v>499</v>
      </c>
      <c r="N1377">
        <v>1</v>
      </c>
      <c r="O1377">
        <v>17064</v>
      </c>
      <c r="P1377">
        <v>1</v>
      </c>
    </row>
    <row r="1378" spans="1:16" x14ac:dyDescent="0.2">
      <c r="A1378" s="3" t="s">
        <v>49</v>
      </c>
      <c r="B1378" s="3" t="s">
        <v>50</v>
      </c>
      <c r="C1378">
        <v>20</v>
      </c>
      <c r="D1378">
        <v>19000</v>
      </c>
      <c r="E1378">
        <v>499</v>
      </c>
      <c r="F1378">
        <v>1</v>
      </c>
      <c r="G1378">
        <v>84218.384375429901</v>
      </c>
      <c r="H1378">
        <v>3.3469199999999999E-4</v>
      </c>
      <c r="I1378">
        <v>2961</v>
      </c>
      <c r="J1378">
        <v>2926</v>
      </c>
      <c r="K1378">
        <v>35</v>
      </c>
      <c r="L1378">
        <v>500</v>
      </c>
      <c r="M1378">
        <v>499</v>
      </c>
      <c r="N1378">
        <v>1</v>
      </c>
      <c r="O1378">
        <v>72897.167115841294</v>
      </c>
      <c r="P1378">
        <v>0</v>
      </c>
    </row>
    <row r="1379" spans="1:16" x14ac:dyDescent="0.2">
      <c r="A1379" s="3" t="s">
        <v>49</v>
      </c>
      <c r="B1379" s="3" t="s">
        <v>50</v>
      </c>
      <c r="C1379">
        <v>4</v>
      </c>
      <c r="D1379">
        <v>19000</v>
      </c>
      <c r="E1379">
        <v>499</v>
      </c>
      <c r="F1379">
        <v>1</v>
      </c>
      <c r="G1379">
        <v>19000</v>
      </c>
      <c r="H1379">
        <v>3.34655E-4</v>
      </c>
      <c r="I1379">
        <v>3010</v>
      </c>
      <c r="J1379">
        <v>2971</v>
      </c>
      <c r="K1379">
        <v>39</v>
      </c>
      <c r="L1379">
        <v>500</v>
      </c>
      <c r="M1379">
        <v>499</v>
      </c>
      <c r="N1379">
        <v>1</v>
      </c>
      <c r="O1379">
        <v>15990</v>
      </c>
      <c r="P1379">
        <v>1</v>
      </c>
    </row>
    <row r="1380" spans="1:16" x14ac:dyDescent="0.2">
      <c r="A1380" s="3" t="s">
        <v>49</v>
      </c>
      <c r="B1380" s="3" t="s">
        <v>50</v>
      </c>
      <c r="C1380">
        <v>10</v>
      </c>
      <c r="D1380">
        <v>16000</v>
      </c>
      <c r="E1380">
        <v>499</v>
      </c>
      <c r="F1380">
        <v>1</v>
      </c>
      <c r="G1380">
        <v>16000</v>
      </c>
      <c r="H1380">
        <v>3.3459100000000002E-4</v>
      </c>
      <c r="I1380">
        <v>2952</v>
      </c>
      <c r="J1380">
        <v>2921</v>
      </c>
      <c r="K1380">
        <v>31</v>
      </c>
      <c r="L1380">
        <v>500</v>
      </c>
      <c r="M1380">
        <v>499</v>
      </c>
      <c r="N1380">
        <v>1</v>
      </c>
      <c r="O1380">
        <v>13048</v>
      </c>
      <c r="P1380">
        <v>1</v>
      </c>
    </row>
    <row r="1381" spans="1:16" x14ac:dyDescent="0.2">
      <c r="A1381" s="3" t="s">
        <v>49</v>
      </c>
      <c r="B1381" s="3" t="s">
        <v>50</v>
      </c>
      <c r="C1381">
        <v>34</v>
      </c>
      <c r="D1381">
        <v>20000</v>
      </c>
      <c r="E1381">
        <v>499</v>
      </c>
      <c r="F1381">
        <v>1</v>
      </c>
      <c r="G1381">
        <v>20000</v>
      </c>
      <c r="H1381">
        <v>3.3457300000000001E-4</v>
      </c>
      <c r="I1381">
        <v>3007</v>
      </c>
      <c r="J1381">
        <v>2961</v>
      </c>
      <c r="K1381">
        <v>46</v>
      </c>
      <c r="L1381">
        <v>500</v>
      </c>
      <c r="M1381">
        <v>499</v>
      </c>
      <c r="N1381">
        <v>1</v>
      </c>
      <c r="O1381">
        <v>16993</v>
      </c>
      <c r="P1381">
        <v>1</v>
      </c>
    </row>
    <row r="1382" spans="1:16" x14ac:dyDescent="0.2">
      <c r="A1382" s="3" t="s">
        <v>49</v>
      </c>
      <c r="B1382" s="3" t="s">
        <v>50</v>
      </c>
      <c r="C1382">
        <v>45</v>
      </c>
      <c r="D1382">
        <v>20000</v>
      </c>
      <c r="E1382">
        <v>499</v>
      </c>
      <c r="F1382">
        <v>1</v>
      </c>
      <c r="G1382">
        <v>20000</v>
      </c>
      <c r="H1382">
        <v>3.3446300000000001E-4</v>
      </c>
      <c r="I1382">
        <v>2982</v>
      </c>
      <c r="J1382">
        <v>2941</v>
      </c>
      <c r="K1382">
        <v>41</v>
      </c>
      <c r="L1382">
        <v>500</v>
      </c>
      <c r="M1382">
        <v>499</v>
      </c>
      <c r="N1382">
        <v>1</v>
      </c>
      <c r="O1382">
        <v>17018</v>
      </c>
      <c r="P1382">
        <v>1</v>
      </c>
    </row>
    <row r="1383" spans="1:16" x14ac:dyDescent="0.2">
      <c r="A1383" s="3" t="s">
        <v>49</v>
      </c>
      <c r="B1383" s="3" t="s">
        <v>50</v>
      </c>
      <c r="C1383">
        <v>30</v>
      </c>
      <c r="D1383">
        <v>18000</v>
      </c>
      <c r="E1383">
        <v>499</v>
      </c>
      <c r="F1383">
        <v>1</v>
      </c>
      <c r="G1383">
        <v>18000</v>
      </c>
      <c r="H1383">
        <v>3.3422399999999999E-4</v>
      </c>
      <c r="I1383">
        <v>2932</v>
      </c>
      <c r="J1383">
        <v>2890</v>
      </c>
      <c r="K1383">
        <v>42</v>
      </c>
      <c r="L1383">
        <v>500</v>
      </c>
      <c r="M1383">
        <v>499</v>
      </c>
      <c r="N1383">
        <v>1</v>
      </c>
      <c r="O1383">
        <v>15068</v>
      </c>
      <c r="P1383">
        <v>1</v>
      </c>
    </row>
    <row r="1384" spans="1:16" x14ac:dyDescent="0.2">
      <c r="A1384" s="3" t="s">
        <v>49</v>
      </c>
      <c r="B1384" s="3" t="s">
        <v>50</v>
      </c>
      <c r="C1384">
        <v>28</v>
      </c>
      <c r="D1384">
        <v>19000</v>
      </c>
      <c r="E1384">
        <v>499</v>
      </c>
      <c r="F1384">
        <v>1</v>
      </c>
      <c r="G1384">
        <v>84218.384375429901</v>
      </c>
      <c r="H1384">
        <v>3.3408800000000002E-4</v>
      </c>
      <c r="I1384">
        <v>3000</v>
      </c>
      <c r="J1384">
        <v>2960</v>
      </c>
      <c r="K1384">
        <v>40</v>
      </c>
      <c r="L1384">
        <v>500</v>
      </c>
      <c r="M1384">
        <v>499</v>
      </c>
      <c r="N1384">
        <v>1</v>
      </c>
      <c r="O1384">
        <v>72710.641642280898</v>
      </c>
      <c r="P1384">
        <v>0</v>
      </c>
    </row>
    <row r="1385" spans="1:16" x14ac:dyDescent="0.2">
      <c r="A1385" s="3" t="s">
        <v>49</v>
      </c>
      <c r="B1385" s="3" t="s">
        <v>50</v>
      </c>
      <c r="C1385">
        <v>47</v>
      </c>
      <c r="D1385">
        <v>19000</v>
      </c>
      <c r="E1385">
        <v>499</v>
      </c>
      <c r="F1385">
        <v>1</v>
      </c>
      <c r="G1385">
        <v>84218.384375429901</v>
      </c>
      <c r="H1385">
        <v>3.3396800000000003E-4</v>
      </c>
      <c r="I1385">
        <v>3007</v>
      </c>
      <c r="J1385">
        <v>2961</v>
      </c>
      <c r="K1385">
        <v>46</v>
      </c>
      <c r="L1385">
        <v>500</v>
      </c>
      <c r="M1385">
        <v>499</v>
      </c>
      <c r="N1385">
        <v>1</v>
      </c>
      <c r="O1385">
        <v>72668.203044581998</v>
      </c>
      <c r="P1385">
        <v>0</v>
      </c>
    </row>
    <row r="1386" spans="1:16" x14ac:dyDescent="0.2">
      <c r="A1386" s="3" t="s">
        <v>49</v>
      </c>
      <c r="B1386" s="3" t="s">
        <v>50</v>
      </c>
      <c r="C1386">
        <v>36</v>
      </c>
      <c r="D1386">
        <v>20000</v>
      </c>
      <c r="E1386">
        <v>499</v>
      </c>
      <c r="F1386">
        <v>1</v>
      </c>
      <c r="G1386">
        <v>20000</v>
      </c>
      <c r="H1386">
        <v>3.3391300000000003E-4</v>
      </c>
      <c r="I1386">
        <v>2953</v>
      </c>
      <c r="J1386">
        <v>2902</v>
      </c>
      <c r="K1386">
        <v>51</v>
      </c>
      <c r="L1386">
        <v>500</v>
      </c>
      <c r="M1386">
        <v>499</v>
      </c>
      <c r="N1386">
        <v>1</v>
      </c>
      <c r="O1386">
        <v>17047</v>
      </c>
      <c r="P1386">
        <v>1</v>
      </c>
    </row>
    <row r="1387" spans="1:16" x14ac:dyDescent="0.2">
      <c r="A1387" s="3" t="s">
        <v>49</v>
      </c>
      <c r="B1387" s="3" t="s">
        <v>50</v>
      </c>
      <c r="C1387">
        <v>42</v>
      </c>
      <c r="D1387">
        <v>19000</v>
      </c>
      <c r="E1387">
        <v>499</v>
      </c>
      <c r="F1387">
        <v>1</v>
      </c>
      <c r="G1387">
        <v>84218.384375429901</v>
      </c>
      <c r="H1387">
        <v>3.3363799999999998E-4</v>
      </c>
      <c r="I1387">
        <v>2988</v>
      </c>
      <c r="J1387">
        <v>2938</v>
      </c>
      <c r="K1387">
        <v>50</v>
      </c>
      <c r="L1387">
        <v>500</v>
      </c>
      <c r="M1387">
        <v>499</v>
      </c>
      <c r="N1387">
        <v>1</v>
      </c>
      <c r="O1387">
        <v>72607.079969742394</v>
      </c>
      <c r="P1387">
        <v>0</v>
      </c>
    </row>
    <row r="1388" spans="1:16" x14ac:dyDescent="0.2">
      <c r="A1388" s="3" t="s">
        <v>49</v>
      </c>
      <c r="B1388" s="3" t="s">
        <v>50</v>
      </c>
      <c r="C1388">
        <v>9</v>
      </c>
      <c r="D1388">
        <v>19000</v>
      </c>
      <c r="E1388">
        <v>499</v>
      </c>
      <c r="F1388">
        <v>1</v>
      </c>
      <c r="G1388">
        <v>19000</v>
      </c>
      <c r="H1388">
        <v>3.3355599999999999E-4</v>
      </c>
      <c r="I1388">
        <v>3018</v>
      </c>
      <c r="J1388">
        <v>2981</v>
      </c>
      <c r="K1388">
        <v>37</v>
      </c>
      <c r="L1388">
        <v>500</v>
      </c>
      <c r="M1388">
        <v>499</v>
      </c>
      <c r="N1388">
        <v>1</v>
      </c>
      <c r="O1388">
        <v>15982</v>
      </c>
      <c r="P1388">
        <v>1</v>
      </c>
    </row>
    <row r="1389" spans="1:16" x14ac:dyDescent="0.2">
      <c r="A1389" s="3" t="s">
        <v>49</v>
      </c>
      <c r="B1389" s="3" t="s">
        <v>50</v>
      </c>
      <c r="C1389">
        <v>1</v>
      </c>
      <c r="D1389">
        <v>17000</v>
      </c>
      <c r="E1389">
        <v>499</v>
      </c>
      <c r="F1389">
        <v>1</v>
      </c>
      <c r="G1389">
        <v>17000</v>
      </c>
      <c r="H1389">
        <v>3.3345500000000003E-4</v>
      </c>
      <c r="I1389">
        <v>2972</v>
      </c>
      <c r="J1389">
        <v>2922</v>
      </c>
      <c r="K1389">
        <v>50</v>
      </c>
      <c r="L1389">
        <v>500</v>
      </c>
      <c r="M1389">
        <v>499</v>
      </c>
      <c r="N1389">
        <v>1</v>
      </c>
      <c r="O1389">
        <v>14028</v>
      </c>
      <c r="P1389">
        <v>1</v>
      </c>
    </row>
    <row r="1390" spans="1:16" x14ac:dyDescent="0.2">
      <c r="A1390" s="3" t="s">
        <v>49</v>
      </c>
      <c r="B1390" s="3" t="s">
        <v>50</v>
      </c>
      <c r="C1390">
        <v>7</v>
      </c>
      <c r="D1390">
        <v>16000</v>
      </c>
      <c r="E1390">
        <v>499</v>
      </c>
      <c r="F1390">
        <v>1</v>
      </c>
      <c r="G1390">
        <v>64781.839036288002</v>
      </c>
      <c r="H1390">
        <v>3.33436E-4</v>
      </c>
      <c r="I1390">
        <v>2956</v>
      </c>
      <c r="J1390">
        <v>2927</v>
      </c>
      <c r="K1390">
        <v>29</v>
      </c>
      <c r="L1390">
        <v>500</v>
      </c>
      <c r="M1390">
        <v>499</v>
      </c>
      <c r="N1390">
        <v>1</v>
      </c>
      <c r="O1390">
        <v>54063.961504364597</v>
      </c>
      <c r="P1390">
        <v>0</v>
      </c>
    </row>
    <row r="1391" spans="1:16" x14ac:dyDescent="0.2">
      <c r="A1391" s="3" t="s">
        <v>49</v>
      </c>
      <c r="B1391" s="3" t="s">
        <v>50</v>
      </c>
      <c r="C1391">
        <v>2</v>
      </c>
      <c r="D1391">
        <v>20000</v>
      </c>
      <c r="E1391">
        <v>499</v>
      </c>
      <c r="F1391">
        <v>1</v>
      </c>
      <c r="G1391">
        <v>20000</v>
      </c>
      <c r="H1391">
        <v>3.33381E-4</v>
      </c>
      <c r="I1391">
        <v>2981</v>
      </c>
      <c r="J1391">
        <v>2942</v>
      </c>
      <c r="K1391">
        <v>39</v>
      </c>
      <c r="L1391">
        <v>500</v>
      </c>
      <c r="M1391">
        <v>499</v>
      </c>
      <c r="N1391">
        <v>1</v>
      </c>
      <c r="O1391">
        <v>17019</v>
      </c>
      <c r="P1391">
        <v>1</v>
      </c>
    </row>
    <row r="1392" spans="1:16" x14ac:dyDescent="0.2">
      <c r="A1392" s="3" t="s">
        <v>49</v>
      </c>
      <c r="B1392" s="3" t="s">
        <v>50</v>
      </c>
      <c r="C1392">
        <v>6</v>
      </c>
      <c r="D1392">
        <v>18000</v>
      </c>
      <c r="E1392">
        <v>499</v>
      </c>
      <c r="F1392">
        <v>1</v>
      </c>
      <c r="G1392">
        <v>75479.649376234796</v>
      </c>
      <c r="H1392">
        <v>3.3324400000000001E-4</v>
      </c>
      <c r="I1392">
        <v>2988</v>
      </c>
      <c r="J1392">
        <v>2950</v>
      </c>
      <c r="K1392">
        <v>38</v>
      </c>
      <c r="L1392">
        <v>500</v>
      </c>
      <c r="M1392">
        <v>499</v>
      </c>
      <c r="N1392">
        <v>1</v>
      </c>
      <c r="O1392">
        <v>64412.846333238696</v>
      </c>
      <c r="P1392">
        <v>0</v>
      </c>
    </row>
    <row r="1393" spans="1:16" x14ac:dyDescent="0.2">
      <c r="A1393" s="3" t="s">
        <v>49</v>
      </c>
      <c r="B1393" s="3" t="s">
        <v>50</v>
      </c>
      <c r="C1393">
        <v>27</v>
      </c>
      <c r="D1393">
        <v>20000</v>
      </c>
      <c r="E1393">
        <v>499</v>
      </c>
      <c r="F1393">
        <v>1</v>
      </c>
      <c r="G1393">
        <v>20000</v>
      </c>
      <c r="H1393">
        <v>3.3291400000000002E-4</v>
      </c>
      <c r="I1393">
        <v>2952</v>
      </c>
      <c r="J1393">
        <v>2914</v>
      </c>
      <c r="K1393">
        <v>38</v>
      </c>
      <c r="L1393">
        <v>500</v>
      </c>
      <c r="M1393">
        <v>499</v>
      </c>
      <c r="N1393">
        <v>1</v>
      </c>
      <c r="O1393">
        <v>17048</v>
      </c>
      <c r="P1393">
        <v>1</v>
      </c>
    </row>
    <row r="1394" spans="1:16" x14ac:dyDescent="0.2">
      <c r="A1394" s="3" t="s">
        <v>49</v>
      </c>
      <c r="B1394" s="3" t="s">
        <v>50</v>
      </c>
      <c r="C1394">
        <v>44</v>
      </c>
      <c r="D1394">
        <v>19000</v>
      </c>
      <c r="E1394">
        <v>499</v>
      </c>
      <c r="F1394">
        <v>1</v>
      </c>
      <c r="G1394">
        <v>84218.384375429901</v>
      </c>
      <c r="H1394">
        <v>3.3251999999999999E-4</v>
      </c>
      <c r="I1394">
        <v>2995</v>
      </c>
      <c r="J1394">
        <v>2953</v>
      </c>
      <c r="K1394">
        <v>42</v>
      </c>
      <c r="L1394">
        <v>500</v>
      </c>
      <c r="M1394">
        <v>499</v>
      </c>
      <c r="N1394">
        <v>1</v>
      </c>
      <c r="O1394">
        <v>72666.644689499997</v>
      </c>
      <c r="P1394">
        <v>0</v>
      </c>
    </row>
    <row r="1395" spans="1:16" x14ac:dyDescent="0.2">
      <c r="A1395" s="3" t="s">
        <v>49</v>
      </c>
      <c r="B1395" s="3" t="s">
        <v>50</v>
      </c>
      <c r="C1395">
        <v>41</v>
      </c>
      <c r="D1395">
        <v>18000</v>
      </c>
      <c r="E1395">
        <v>499</v>
      </c>
      <c r="F1395">
        <v>1</v>
      </c>
      <c r="G1395">
        <v>75479.649376234796</v>
      </c>
      <c r="H1395">
        <v>3.3244600000000002E-4</v>
      </c>
      <c r="I1395">
        <v>2955</v>
      </c>
      <c r="J1395">
        <v>2922</v>
      </c>
      <c r="K1395">
        <v>33</v>
      </c>
      <c r="L1395">
        <v>500</v>
      </c>
      <c r="M1395">
        <v>499</v>
      </c>
      <c r="N1395">
        <v>1</v>
      </c>
      <c r="O1395">
        <v>64626.165312773301</v>
      </c>
      <c r="P1395">
        <v>0</v>
      </c>
    </row>
    <row r="1396" spans="1:16" x14ac:dyDescent="0.2">
      <c r="A1396" s="3" t="s">
        <v>49</v>
      </c>
      <c r="B1396" s="3" t="s">
        <v>50</v>
      </c>
      <c r="C1396">
        <v>25</v>
      </c>
      <c r="D1396">
        <v>19000</v>
      </c>
      <c r="E1396">
        <v>499</v>
      </c>
      <c r="F1396">
        <v>1</v>
      </c>
      <c r="G1396">
        <v>84218.384375429901</v>
      </c>
      <c r="H1396">
        <v>3.32355E-4</v>
      </c>
      <c r="I1396">
        <v>2999</v>
      </c>
      <c r="J1396">
        <v>2971</v>
      </c>
      <c r="K1396">
        <v>28</v>
      </c>
      <c r="L1396">
        <v>500</v>
      </c>
      <c r="M1396">
        <v>499</v>
      </c>
      <c r="N1396">
        <v>1</v>
      </c>
      <c r="O1396">
        <v>72609.994888975401</v>
      </c>
      <c r="P1396">
        <v>0</v>
      </c>
    </row>
    <row r="1397" spans="1:16" x14ac:dyDescent="0.2">
      <c r="A1397" s="3" t="s">
        <v>49</v>
      </c>
      <c r="B1397" s="3" t="s">
        <v>50</v>
      </c>
      <c r="C1397">
        <v>31</v>
      </c>
      <c r="D1397">
        <v>18000</v>
      </c>
      <c r="E1397">
        <v>499</v>
      </c>
      <c r="F1397">
        <v>1</v>
      </c>
      <c r="G1397">
        <v>18000</v>
      </c>
      <c r="H1397">
        <v>3.32355E-4</v>
      </c>
      <c r="I1397">
        <v>2981</v>
      </c>
      <c r="J1397">
        <v>2945</v>
      </c>
      <c r="K1397">
        <v>36</v>
      </c>
      <c r="L1397">
        <v>500</v>
      </c>
      <c r="M1397">
        <v>499</v>
      </c>
      <c r="N1397">
        <v>1</v>
      </c>
      <c r="O1397">
        <v>15019</v>
      </c>
      <c r="P1397">
        <v>1</v>
      </c>
    </row>
    <row r="1398" spans="1:16" x14ac:dyDescent="0.2">
      <c r="A1398" s="3" t="s">
        <v>49</v>
      </c>
      <c r="B1398" s="3" t="s">
        <v>50</v>
      </c>
      <c r="C1398">
        <v>10</v>
      </c>
      <c r="D1398">
        <v>19000</v>
      </c>
      <c r="E1398">
        <v>499</v>
      </c>
      <c r="F1398">
        <v>1</v>
      </c>
      <c r="G1398">
        <v>19000</v>
      </c>
      <c r="H1398">
        <v>3.3208899999999998E-4</v>
      </c>
      <c r="I1398">
        <v>2987</v>
      </c>
      <c r="J1398">
        <v>2950</v>
      </c>
      <c r="K1398">
        <v>37</v>
      </c>
      <c r="L1398">
        <v>500</v>
      </c>
      <c r="M1398">
        <v>499</v>
      </c>
      <c r="N1398">
        <v>1</v>
      </c>
      <c r="O1398">
        <v>16013</v>
      </c>
      <c r="P1398">
        <v>1</v>
      </c>
    </row>
    <row r="1399" spans="1:16" x14ac:dyDescent="0.2">
      <c r="A1399" s="3" t="s">
        <v>49</v>
      </c>
      <c r="B1399" s="3" t="s">
        <v>50</v>
      </c>
      <c r="C1399">
        <v>13</v>
      </c>
      <c r="D1399">
        <v>19000</v>
      </c>
      <c r="E1399">
        <v>499</v>
      </c>
      <c r="F1399">
        <v>1</v>
      </c>
      <c r="G1399">
        <v>19000</v>
      </c>
      <c r="H1399">
        <v>3.3207100000000003E-4</v>
      </c>
      <c r="I1399">
        <v>2972</v>
      </c>
      <c r="J1399">
        <v>2940</v>
      </c>
      <c r="K1399">
        <v>32</v>
      </c>
      <c r="L1399">
        <v>500</v>
      </c>
      <c r="M1399">
        <v>499</v>
      </c>
      <c r="N1399">
        <v>1</v>
      </c>
      <c r="O1399">
        <v>16028</v>
      </c>
      <c r="P1399">
        <v>1</v>
      </c>
    </row>
    <row r="1400" spans="1:16" x14ac:dyDescent="0.2">
      <c r="A1400" s="3" t="s">
        <v>49</v>
      </c>
      <c r="B1400" s="3" t="s">
        <v>50</v>
      </c>
      <c r="C1400">
        <v>24</v>
      </c>
      <c r="D1400">
        <v>19000</v>
      </c>
      <c r="E1400">
        <v>499</v>
      </c>
      <c r="F1400">
        <v>1</v>
      </c>
      <c r="G1400">
        <v>19000</v>
      </c>
      <c r="H1400">
        <v>3.3190500000000001E-4</v>
      </c>
      <c r="I1400">
        <v>3011</v>
      </c>
      <c r="J1400">
        <v>2967</v>
      </c>
      <c r="K1400">
        <v>44</v>
      </c>
      <c r="L1400">
        <v>500</v>
      </c>
      <c r="M1400">
        <v>499</v>
      </c>
      <c r="N1400">
        <v>1</v>
      </c>
      <c r="O1400">
        <v>15989</v>
      </c>
      <c r="P1400">
        <v>1</v>
      </c>
    </row>
    <row r="1401" spans="1:16" x14ac:dyDescent="0.2">
      <c r="A1401" s="3" t="s">
        <v>49</v>
      </c>
      <c r="B1401" s="3" t="s">
        <v>50</v>
      </c>
      <c r="C1401">
        <v>14</v>
      </c>
      <c r="D1401">
        <v>18000</v>
      </c>
      <c r="E1401">
        <v>499</v>
      </c>
      <c r="F1401">
        <v>1</v>
      </c>
      <c r="G1401">
        <v>18000</v>
      </c>
      <c r="H1401">
        <v>3.3184099999999998E-4</v>
      </c>
      <c r="I1401">
        <v>2939</v>
      </c>
      <c r="J1401">
        <v>2895</v>
      </c>
      <c r="K1401">
        <v>44</v>
      </c>
      <c r="L1401">
        <v>500</v>
      </c>
      <c r="M1401">
        <v>499</v>
      </c>
      <c r="N1401">
        <v>1</v>
      </c>
      <c r="O1401">
        <v>15061</v>
      </c>
      <c r="P1401">
        <v>1</v>
      </c>
    </row>
    <row r="1402" spans="1:16" x14ac:dyDescent="0.2">
      <c r="A1402" s="3" t="s">
        <v>49</v>
      </c>
      <c r="B1402" s="3" t="s">
        <v>50</v>
      </c>
      <c r="C1402">
        <v>31</v>
      </c>
      <c r="D1402">
        <v>19000</v>
      </c>
      <c r="E1402">
        <v>499</v>
      </c>
      <c r="F1402">
        <v>1</v>
      </c>
      <c r="G1402">
        <v>84218.384375429901</v>
      </c>
      <c r="H1402">
        <v>3.3183300000000002E-4</v>
      </c>
      <c r="I1402">
        <v>2950</v>
      </c>
      <c r="J1402">
        <v>2918</v>
      </c>
      <c r="K1402">
        <v>32</v>
      </c>
      <c r="L1402">
        <v>500</v>
      </c>
      <c r="M1402">
        <v>499</v>
      </c>
      <c r="N1402">
        <v>1</v>
      </c>
      <c r="O1402">
        <v>72877.198613642497</v>
      </c>
      <c r="P1402">
        <v>0</v>
      </c>
    </row>
    <row r="1403" spans="1:16" x14ac:dyDescent="0.2">
      <c r="A1403" s="3" t="s">
        <v>49</v>
      </c>
      <c r="B1403" s="3" t="s">
        <v>50</v>
      </c>
      <c r="C1403">
        <v>12</v>
      </c>
      <c r="D1403">
        <v>19000</v>
      </c>
      <c r="E1403">
        <v>499</v>
      </c>
      <c r="F1403">
        <v>1</v>
      </c>
      <c r="G1403">
        <v>19000</v>
      </c>
      <c r="H1403">
        <v>3.3140099999999999E-4</v>
      </c>
      <c r="I1403">
        <v>3009</v>
      </c>
      <c r="J1403">
        <v>2963</v>
      </c>
      <c r="K1403">
        <v>46</v>
      </c>
      <c r="L1403">
        <v>500</v>
      </c>
      <c r="M1403">
        <v>499</v>
      </c>
      <c r="N1403">
        <v>1</v>
      </c>
      <c r="O1403">
        <v>15991</v>
      </c>
      <c r="P1403">
        <v>1</v>
      </c>
    </row>
    <row r="1404" spans="1:16" x14ac:dyDescent="0.2">
      <c r="A1404" s="3" t="s">
        <v>49</v>
      </c>
      <c r="B1404" s="3" t="s">
        <v>50</v>
      </c>
      <c r="C1404">
        <v>21</v>
      </c>
      <c r="D1404">
        <v>19000</v>
      </c>
      <c r="E1404">
        <v>499</v>
      </c>
      <c r="F1404">
        <v>1</v>
      </c>
      <c r="G1404">
        <v>84218.384375429901</v>
      </c>
      <c r="H1404">
        <v>3.31319E-4</v>
      </c>
      <c r="I1404">
        <v>2981</v>
      </c>
      <c r="J1404">
        <v>2945</v>
      </c>
      <c r="K1404">
        <v>36</v>
      </c>
      <c r="L1404">
        <v>500</v>
      </c>
      <c r="M1404">
        <v>499</v>
      </c>
      <c r="N1404">
        <v>1</v>
      </c>
      <c r="O1404">
        <v>72736.853354884093</v>
      </c>
      <c r="P1404">
        <v>0</v>
      </c>
    </row>
    <row r="1405" spans="1:16" x14ac:dyDescent="0.2">
      <c r="A1405" s="3" t="s">
        <v>49</v>
      </c>
      <c r="B1405" s="3" t="s">
        <v>50</v>
      </c>
      <c r="C1405">
        <v>18</v>
      </c>
      <c r="D1405">
        <v>17000</v>
      </c>
      <c r="E1405">
        <v>499</v>
      </c>
      <c r="F1405">
        <v>1</v>
      </c>
      <c r="G1405">
        <v>65872.258119671897</v>
      </c>
      <c r="H1405">
        <v>3.3075100000000001E-4</v>
      </c>
      <c r="I1405">
        <v>2971</v>
      </c>
      <c r="J1405">
        <v>2929</v>
      </c>
      <c r="K1405">
        <v>42</v>
      </c>
      <c r="L1405">
        <v>500</v>
      </c>
      <c r="M1405">
        <v>499</v>
      </c>
      <c r="N1405">
        <v>1</v>
      </c>
      <c r="O1405">
        <v>55632.142000955202</v>
      </c>
      <c r="P1405">
        <v>0</v>
      </c>
    </row>
    <row r="1406" spans="1:16" x14ac:dyDescent="0.2">
      <c r="A1406" s="3" t="s">
        <v>49</v>
      </c>
      <c r="B1406" s="3" t="s">
        <v>50</v>
      </c>
      <c r="C1406">
        <v>34</v>
      </c>
      <c r="D1406">
        <v>19000</v>
      </c>
      <c r="E1406">
        <v>499</v>
      </c>
      <c r="F1406">
        <v>1</v>
      </c>
      <c r="G1406">
        <v>19000</v>
      </c>
      <c r="H1406">
        <v>3.3062199999999998E-4</v>
      </c>
      <c r="I1406">
        <v>3014</v>
      </c>
      <c r="J1406">
        <v>2966</v>
      </c>
      <c r="K1406">
        <v>48</v>
      </c>
      <c r="L1406">
        <v>500</v>
      </c>
      <c r="M1406">
        <v>499</v>
      </c>
      <c r="N1406">
        <v>1</v>
      </c>
      <c r="O1406">
        <v>15986</v>
      </c>
      <c r="P1406">
        <v>1</v>
      </c>
    </row>
    <row r="1407" spans="1:16" x14ac:dyDescent="0.2">
      <c r="A1407" s="3" t="s">
        <v>49</v>
      </c>
      <c r="B1407" s="3" t="s">
        <v>50</v>
      </c>
      <c r="C1407">
        <v>33</v>
      </c>
      <c r="D1407">
        <v>18000</v>
      </c>
      <c r="E1407">
        <v>499</v>
      </c>
      <c r="F1407">
        <v>1</v>
      </c>
      <c r="G1407">
        <v>75479.649376234796</v>
      </c>
      <c r="H1407">
        <v>3.3047600000000001E-4</v>
      </c>
      <c r="I1407">
        <v>3004</v>
      </c>
      <c r="J1407">
        <v>2969</v>
      </c>
      <c r="K1407">
        <v>35</v>
      </c>
      <c r="L1407">
        <v>500</v>
      </c>
      <c r="M1407">
        <v>499</v>
      </c>
      <c r="N1407">
        <v>1</v>
      </c>
      <c r="O1407">
        <v>64485.241300683003</v>
      </c>
      <c r="P1407">
        <v>0</v>
      </c>
    </row>
    <row r="1408" spans="1:16" x14ac:dyDescent="0.2">
      <c r="A1408" s="3" t="s">
        <v>49</v>
      </c>
      <c r="B1408" s="3" t="s">
        <v>50</v>
      </c>
      <c r="C1408">
        <v>29</v>
      </c>
      <c r="D1408">
        <v>19000</v>
      </c>
      <c r="E1408">
        <v>499</v>
      </c>
      <c r="F1408">
        <v>1</v>
      </c>
      <c r="G1408">
        <v>19000</v>
      </c>
      <c r="H1408">
        <v>3.3009899999999998E-4</v>
      </c>
      <c r="I1408">
        <v>2983</v>
      </c>
      <c r="J1408">
        <v>2962</v>
      </c>
      <c r="K1408">
        <v>21</v>
      </c>
      <c r="L1408">
        <v>500</v>
      </c>
      <c r="M1408">
        <v>499</v>
      </c>
      <c r="N1408">
        <v>1</v>
      </c>
      <c r="O1408">
        <v>16017</v>
      </c>
      <c r="P1408">
        <v>1</v>
      </c>
    </row>
    <row r="1409" spans="1:16" x14ac:dyDescent="0.2">
      <c r="A1409" s="3" t="s">
        <v>49</v>
      </c>
      <c r="B1409" s="3" t="s">
        <v>50</v>
      </c>
      <c r="C1409">
        <v>30</v>
      </c>
      <c r="D1409">
        <v>19000</v>
      </c>
      <c r="E1409">
        <v>499</v>
      </c>
      <c r="F1409">
        <v>1</v>
      </c>
      <c r="G1409">
        <v>19000</v>
      </c>
      <c r="H1409">
        <v>3.2986199999999999E-4</v>
      </c>
      <c r="I1409">
        <v>2985</v>
      </c>
      <c r="J1409">
        <v>2955</v>
      </c>
      <c r="K1409">
        <v>30</v>
      </c>
      <c r="L1409">
        <v>500</v>
      </c>
      <c r="M1409">
        <v>499</v>
      </c>
      <c r="N1409">
        <v>1</v>
      </c>
      <c r="O1409">
        <v>16015</v>
      </c>
      <c r="P1409">
        <v>1</v>
      </c>
    </row>
    <row r="1410" spans="1:16" x14ac:dyDescent="0.2">
      <c r="A1410" s="3" t="s">
        <v>49</v>
      </c>
      <c r="B1410" s="3" t="s">
        <v>50</v>
      </c>
      <c r="C1410">
        <v>43</v>
      </c>
      <c r="D1410">
        <v>18000</v>
      </c>
      <c r="E1410">
        <v>499</v>
      </c>
      <c r="F1410">
        <v>1</v>
      </c>
      <c r="G1410">
        <v>75479.649376234796</v>
      </c>
      <c r="H1410">
        <v>3.2971500000000001E-4</v>
      </c>
      <c r="I1410">
        <v>2968</v>
      </c>
      <c r="J1410">
        <v>2934</v>
      </c>
      <c r="K1410">
        <v>34</v>
      </c>
      <c r="L1410">
        <v>500</v>
      </c>
      <c r="M1410">
        <v>499</v>
      </c>
      <c r="N1410">
        <v>1</v>
      </c>
      <c r="O1410">
        <v>64594.146583121801</v>
      </c>
      <c r="P1410">
        <v>0</v>
      </c>
    </row>
    <row r="1411" spans="1:16" x14ac:dyDescent="0.2">
      <c r="A1411" s="3" t="s">
        <v>49</v>
      </c>
      <c r="B1411" s="3" t="s">
        <v>50</v>
      </c>
      <c r="C1411">
        <v>49</v>
      </c>
      <c r="D1411">
        <v>19000</v>
      </c>
      <c r="E1411">
        <v>499</v>
      </c>
      <c r="F1411">
        <v>1</v>
      </c>
      <c r="G1411">
        <v>19000</v>
      </c>
      <c r="H1411">
        <v>3.2961399999999999E-4</v>
      </c>
      <c r="I1411">
        <v>3003</v>
      </c>
      <c r="J1411">
        <v>2961</v>
      </c>
      <c r="K1411">
        <v>42</v>
      </c>
      <c r="L1411">
        <v>500</v>
      </c>
      <c r="M1411">
        <v>499</v>
      </c>
      <c r="N1411">
        <v>1</v>
      </c>
      <c r="O1411">
        <v>15997</v>
      </c>
      <c r="P1411">
        <v>1</v>
      </c>
    </row>
    <row r="1412" spans="1:16" x14ac:dyDescent="0.2">
      <c r="A1412" s="3" t="s">
        <v>49</v>
      </c>
      <c r="B1412" s="3" t="s">
        <v>50</v>
      </c>
      <c r="C1412">
        <v>18</v>
      </c>
      <c r="D1412">
        <v>18000</v>
      </c>
      <c r="E1412">
        <v>499</v>
      </c>
      <c r="F1412">
        <v>1</v>
      </c>
      <c r="G1412">
        <v>18000</v>
      </c>
      <c r="H1412">
        <v>3.29394E-4</v>
      </c>
      <c r="I1412">
        <v>2950</v>
      </c>
      <c r="J1412">
        <v>2911</v>
      </c>
      <c r="K1412">
        <v>39</v>
      </c>
      <c r="L1412">
        <v>500</v>
      </c>
      <c r="M1412">
        <v>499</v>
      </c>
      <c r="N1412">
        <v>1</v>
      </c>
      <c r="O1412">
        <v>15050</v>
      </c>
      <c r="P1412">
        <v>1</v>
      </c>
    </row>
    <row r="1413" spans="1:16" x14ac:dyDescent="0.2">
      <c r="A1413" s="3" t="s">
        <v>49</v>
      </c>
      <c r="B1413" s="3" t="s">
        <v>50</v>
      </c>
      <c r="C1413">
        <v>24</v>
      </c>
      <c r="D1413">
        <v>18000</v>
      </c>
      <c r="E1413">
        <v>499</v>
      </c>
      <c r="F1413">
        <v>1</v>
      </c>
      <c r="G1413">
        <v>18000</v>
      </c>
      <c r="H1413">
        <v>3.2930299999999997E-4</v>
      </c>
      <c r="I1413">
        <v>2958</v>
      </c>
      <c r="J1413">
        <v>2922</v>
      </c>
      <c r="K1413">
        <v>36</v>
      </c>
      <c r="L1413">
        <v>500</v>
      </c>
      <c r="M1413">
        <v>499</v>
      </c>
      <c r="N1413">
        <v>1</v>
      </c>
      <c r="O1413">
        <v>15042</v>
      </c>
      <c r="P1413">
        <v>1</v>
      </c>
    </row>
    <row r="1414" spans="1:16" x14ac:dyDescent="0.2">
      <c r="A1414" s="3" t="s">
        <v>49</v>
      </c>
      <c r="B1414" s="3" t="s">
        <v>50</v>
      </c>
      <c r="C1414">
        <v>48</v>
      </c>
      <c r="D1414">
        <v>18000</v>
      </c>
      <c r="E1414">
        <v>499</v>
      </c>
      <c r="F1414">
        <v>1</v>
      </c>
      <c r="G1414">
        <v>18000</v>
      </c>
      <c r="H1414">
        <v>3.29174E-4</v>
      </c>
      <c r="I1414">
        <v>2978</v>
      </c>
      <c r="J1414">
        <v>2944</v>
      </c>
      <c r="K1414">
        <v>34</v>
      </c>
      <c r="L1414">
        <v>500</v>
      </c>
      <c r="M1414">
        <v>499</v>
      </c>
      <c r="N1414">
        <v>1</v>
      </c>
      <c r="O1414">
        <v>15022</v>
      </c>
      <c r="P1414">
        <v>1</v>
      </c>
    </row>
    <row r="1415" spans="1:16" x14ac:dyDescent="0.2">
      <c r="A1415" s="3" t="s">
        <v>49</v>
      </c>
      <c r="B1415" s="3" t="s">
        <v>50</v>
      </c>
      <c r="C1415">
        <v>2</v>
      </c>
      <c r="D1415">
        <v>18000</v>
      </c>
      <c r="E1415">
        <v>499</v>
      </c>
      <c r="F1415">
        <v>1</v>
      </c>
      <c r="G1415">
        <v>75479.649376234796</v>
      </c>
      <c r="H1415">
        <v>3.2914700000000001E-4</v>
      </c>
      <c r="I1415">
        <v>2967</v>
      </c>
      <c r="J1415">
        <v>2943</v>
      </c>
      <c r="K1415">
        <v>24</v>
      </c>
      <c r="L1415">
        <v>500</v>
      </c>
      <c r="M1415">
        <v>499</v>
      </c>
      <c r="N1415">
        <v>1</v>
      </c>
      <c r="O1415">
        <v>64615.487501560201</v>
      </c>
      <c r="P1415">
        <v>0</v>
      </c>
    </row>
    <row r="1416" spans="1:16" x14ac:dyDescent="0.2">
      <c r="A1416" s="3" t="s">
        <v>49</v>
      </c>
      <c r="B1416" s="3" t="s">
        <v>50</v>
      </c>
      <c r="C1416">
        <v>32</v>
      </c>
      <c r="D1416">
        <v>18000</v>
      </c>
      <c r="E1416">
        <v>499</v>
      </c>
      <c r="F1416">
        <v>1</v>
      </c>
      <c r="G1416">
        <v>75479.649376234796</v>
      </c>
      <c r="H1416">
        <v>3.2910099999999999E-4</v>
      </c>
      <c r="I1416">
        <v>2951</v>
      </c>
      <c r="J1416">
        <v>2919</v>
      </c>
      <c r="K1416">
        <v>32</v>
      </c>
      <c r="L1416">
        <v>500</v>
      </c>
      <c r="M1416">
        <v>499</v>
      </c>
      <c r="N1416">
        <v>1</v>
      </c>
      <c r="O1416">
        <v>64665.9311250807</v>
      </c>
      <c r="P1416">
        <v>0</v>
      </c>
    </row>
    <row r="1417" spans="1:16" x14ac:dyDescent="0.2">
      <c r="A1417" s="3" t="s">
        <v>49</v>
      </c>
      <c r="B1417" s="3" t="s">
        <v>50</v>
      </c>
      <c r="C1417">
        <v>29</v>
      </c>
      <c r="D1417">
        <v>18000</v>
      </c>
      <c r="E1417">
        <v>499</v>
      </c>
      <c r="F1417">
        <v>1</v>
      </c>
      <c r="G1417">
        <v>18000</v>
      </c>
      <c r="H1417">
        <v>3.2903700000000001E-4</v>
      </c>
      <c r="I1417">
        <v>2993</v>
      </c>
      <c r="J1417">
        <v>2951</v>
      </c>
      <c r="K1417">
        <v>42</v>
      </c>
      <c r="L1417">
        <v>500</v>
      </c>
      <c r="M1417">
        <v>499</v>
      </c>
      <c r="N1417">
        <v>1</v>
      </c>
      <c r="O1417">
        <v>15007</v>
      </c>
      <c r="P1417">
        <v>1</v>
      </c>
    </row>
    <row r="1418" spans="1:16" x14ac:dyDescent="0.2">
      <c r="A1418" s="3" t="s">
        <v>49</v>
      </c>
      <c r="B1418" s="3" t="s">
        <v>50</v>
      </c>
      <c r="C1418">
        <v>14</v>
      </c>
      <c r="D1418">
        <v>15000</v>
      </c>
      <c r="E1418">
        <v>499</v>
      </c>
      <c r="F1418">
        <v>1</v>
      </c>
      <c r="G1418">
        <v>15000</v>
      </c>
      <c r="H1418">
        <v>3.2895400000000001E-4</v>
      </c>
      <c r="I1418">
        <v>2939</v>
      </c>
      <c r="J1418">
        <v>2909</v>
      </c>
      <c r="K1418">
        <v>30</v>
      </c>
      <c r="L1418">
        <v>500</v>
      </c>
      <c r="M1418">
        <v>499</v>
      </c>
      <c r="N1418">
        <v>1</v>
      </c>
      <c r="O1418">
        <v>12061</v>
      </c>
      <c r="P1418">
        <v>1</v>
      </c>
    </row>
    <row r="1419" spans="1:16" x14ac:dyDescent="0.2">
      <c r="A1419" s="3" t="s">
        <v>49</v>
      </c>
      <c r="B1419" s="3" t="s">
        <v>50</v>
      </c>
      <c r="C1419">
        <v>16</v>
      </c>
      <c r="D1419">
        <v>17000</v>
      </c>
      <c r="E1419">
        <v>499</v>
      </c>
      <c r="F1419">
        <v>1</v>
      </c>
      <c r="G1419">
        <v>17000</v>
      </c>
      <c r="H1419">
        <v>3.2888999999999998E-4</v>
      </c>
      <c r="I1419">
        <v>2959</v>
      </c>
      <c r="J1419">
        <v>2919</v>
      </c>
      <c r="K1419">
        <v>40</v>
      </c>
      <c r="L1419">
        <v>500</v>
      </c>
      <c r="M1419">
        <v>499</v>
      </c>
      <c r="N1419">
        <v>1</v>
      </c>
      <c r="O1419">
        <v>14041</v>
      </c>
      <c r="P1419">
        <v>1</v>
      </c>
    </row>
    <row r="1420" spans="1:16" x14ac:dyDescent="0.2">
      <c r="A1420" s="3" t="s">
        <v>49</v>
      </c>
      <c r="B1420" s="3" t="s">
        <v>50</v>
      </c>
      <c r="C1420">
        <v>40</v>
      </c>
      <c r="D1420">
        <v>16000</v>
      </c>
      <c r="E1420">
        <v>499</v>
      </c>
      <c r="F1420">
        <v>1</v>
      </c>
      <c r="G1420">
        <v>64781.839036288002</v>
      </c>
      <c r="H1420">
        <v>3.28871E-4</v>
      </c>
      <c r="I1420">
        <v>2965</v>
      </c>
      <c r="J1420">
        <v>2928</v>
      </c>
      <c r="K1420">
        <v>37</v>
      </c>
      <c r="L1420">
        <v>500</v>
      </c>
      <c r="M1420">
        <v>499</v>
      </c>
      <c r="N1420">
        <v>1</v>
      </c>
      <c r="O1420">
        <v>54159.650124280699</v>
      </c>
      <c r="P1420">
        <v>0</v>
      </c>
    </row>
    <row r="1421" spans="1:16" x14ac:dyDescent="0.2">
      <c r="A1421" s="3" t="s">
        <v>49</v>
      </c>
      <c r="B1421" s="3" t="s">
        <v>50</v>
      </c>
      <c r="C1421">
        <v>37</v>
      </c>
      <c r="D1421">
        <v>17000</v>
      </c>
      <c r="E1421">
        <v>499</v>
      </c>
      <c r="F1421">
        <v>1</v>
      </c>
      <c r="G1421">
        <v>17000</v>
      </c>
      <c r="H1421">
        <v>3.2876100000000001E-4</v>
      </c>
      <c r="I1421">
        <v>2985</v>
      </c>
      <c r="J1421">
        <v>2963</v>
      </c>
      <c r="K1421">
        <v>22</v>
      </c>
      <c r="L1421">
        <v>500</v>
      </c>
      <c r="M1421">
        <v>499</v>
      </c>
      <c r="N1421">
        <v>1</v>
      </c>
      <c r="O1421">
        <v>14015</v>
      </c>
      <c r="P1421">
        <v>1</v>
      </c>
    </row>
    <row r="1422" spans="1:16" x14ac:dyDescent="0.2">
      <c r="A1422" s="3" t="s">
        <v>49</v>
      </c>
      <c r="B1422" s="3" t="s">
        <v>50</v>
      </c>
      <c r="C1422">
        <v>32</v>
      </c>
      <c r="D1422">
        <v>17000</v>
      </c>
      <c r="E1422">
        <v>499</v>
      </c>
      <c r="F1422">
        <v>1</v>
      </c>
      <c r="G1422">
        <v>65872.258119671897</v>
      </c>
      <c r="H1422">
        <v>3.2875299999999999E-4</v>
      </c>
      <c r="I1422">
        <v>2969</v>
      </c>
      <c r="J1422">
        <v>2943</v>
      </c>
      <c r="K1422">
        <v>26</v>
      </c>
      <c r="L1422">
        <v>500</v>
      </c>
      <c r="M1422">
        <v>499</v>
      </c>
      <c r="N1422">
        <v>1</v>
      </c>
      <c r="O1422">
        <v>55571.285409900498</v>
      </c>
      <c r="P1422">
        <v>0</v>
      </c>
    </row>
    <row r="1423" spans="1:16" x14ac:dyDescent="0.2">
      <c r="A1423" s="3" t="s">
        <v>49</v>
      </c>
      <c r="B1423" s="3" t="s">
        <v>50</v>
      </c>
      <c r="C1423">
        <v>18</v>
      </c>
      <c r="D1423">
        <v>18000</v>
      </c>
      <c r="E1423">
        <v>499</v>
      </c>
      <c r="F1423">
        <v>1</v>
      </c>
      <c r="G1423">
        <v>75479.649376234796</v>
      </c>
      <c r="H1423">
        <v>3.28661E-4</v>
      </c>
      <c r="I1423">
        <v>2964</v>
      </c>
      <c r="J1423">
        <v>2926</v>
      </c>
      <c r="K1423">
        <v>38</v>
      </c>
      <c r="L1423">
        <v>500</v>
      </c>
      <c r="M1423">
        <v>499</v>
      </c>
      <c r="N1423">
        <v>1</v>
      </c>
      <c r="O1423">
        <v>64607.370306188997</v>
      </c>
      <c r="P1423">
        <v>0</v>
      </c>
    </row>
    <row r="1424" spans="1:16" x14ac:dyDescent="0.2">
      <c r="A1424" s="3" t="s">
        <v>49</v>
      </c>
      <c r="B1424" s="3" t="s">
        <v>50</v>
      </c>
      <c r="C1424">
        <v>20</v>
      </c>
      <c r="D1424">
        <v>18000</v>
      </c>
      <c r="E1424">
        <v>499</v>
      </c>
      <c r="F1424">
        <v>1</v>
      </c>
      <c r="G1424">
        <v>75479.649376234796</v>
      </c>
      <c r="H1424">
        <v>3.2843100000000001E-4</v>
      </c>
      <c r="I1424">
        <v>2992</v>
      </c>
      <c r="J1424">
        <v>2952</v>
      </c>
      <c r="K1424">
        <v>40</v>
      </c>
      <c r="L1424">
        <v>500</v>
      </c>
      <c r="M1424">
        <v>499</v>
      </c>
      <c r="N1424">
        <v>1</v>
      </c>
      <c r="O1424">
        <v>64541.059033510297</v>
      </c>
      <c r="P1424">
        <v>0</v>
      </c>
    </row>
    <row r="1425" spans="1:16" x14ac:dyDescent="0.2">
      <c r="A1425" s="3" t="s">
        <v>49</v>
      </c>
      <c r="B1425" s="3" t="s">
        <v>50</v>
      </c>
      <c r="C1425">
        <v>46</v>
      </c>
      <c r="D1425">
        <v>18000</v>
      </c>
      <c r="E1425">
        <v>499</v>
      </c>
      <c r="F1425">
        <v>1</v>
      </c>
      <c r="G1425">
        <v>18000</v>
      </c>
      <c r="H1425">
        <v>3.2839499999999999E-4</v>
      </c>
      <c r="I1425">
        <v>2933</v>
      </c>
      <c r="J1425">
        <v>2896</v>
      </c>
      <c r="K1425">
        <v>37</v>
      </c>
      <c r="L1425">
        <v>500</v>
      </c>
      <c r="M1425">
        <v>499</v>
      </c>
      <c r="N1425">
        <v>1</v>
      </c>
      <c r="O1425">
        <v>15067</v>
      </c>
      <c r="P1425">
        <v>1</v>
      </c>
    </row>
    <row r="1426" spans="1:16" x14ac:dyDescent="0.2">
      <c r="A1426" s="3" t="s">
        <v>49</v>
      </c>
      <c r="B1426" s="3" t="s">
        <v>50</v>
      </c>
      <c r="C1426">
        <v>28</v>
      </c>
      <c r="D1426">
        <v>19000</v>
      </c>
      <c r="E1426">
        <v>499</v>
      </c>
      <c r="F1426">
        <v>1</v>
      </c>
      <c r="G1426">
        <v>19000</v>
      </c>
      <c r="H1426">
        <v>3.2821100000000002E-4</v>
      </c>
      <c r="I1426">
        <v>2910</v>
      </c>
      <c r="J1426">
        <v>2861</v>
      </c>
      <c r="K1426">
        <v>49</v>
      </c>
      <c r="L1426">
        <v>500</v>
      </c>
      <c r="M1426">
        <v>499</v>
      </c>
      <c r="N1426">
        <v>1</v>
      </c>
      <c r="O1426">
        <v>16090</v>
      </c>
      <c r="P1426">
        <v>1</v>
      </c>
    </row>
    <row r="1427" spans="1:16" x14ac:dyDescent="0.2">
      <c r="A1427" s="3" t="s">
        <v>49</v>
      </c>
      <c r="B1427" s="3" t="s">
        <v>50</v>
      </c>
      <c r="C1427">
        <v>37</v>
      </c>
      <c r="D1427">
        <v>17000</v>
      </c>
      <c r="E1427">
        <v>499</v>
      </c>
      <c r="F1427">
        <v>1</v>
      </c>
      <c r="G1427">
        <v>65872.258119671897</v>
      </c>
      <c r="H1427">
        <v>3.2813800000000001E-4</v>
      </c>
      <c r="I1427">
        <v>2946</v>
      </c>
      <c r="J1427">
        <v>2912</v>
      </c>
      <c r="K1427">
        <v>34</v>
      </c>
      <c r="L1427">
        <v>500</v>
      </c>
      <c r="M1427">
        <v>499</v>
      </c>
      <c r="N1427">
        <v>1</v>
      </c>
      <c r="O1427">
        <v>55641.6389350151</v>
      </c>
      <c r="P1427">
        <v>0</v>
      </c>
    </row>
    <row r="1428" spans="1:16" x14ac:dyDescent="0.2">
      <c r="A1428" s="3" t="s">
        <v>49</v>
      </c>
      <c r="B1428" s="3" t="s">
        <v>50</v>
      </c>
      <c r="C1428">
        <v>33</v>
      </c>
      <c r="D1428">
        <v>10000</v>
      </c>
      <c r="E1428">
        <v>499</v>
      </c>
      <c r="F1428">
        <v>1</v>
      </c>
      <c r="G1428">
        <v>10000</v>
      </c>
      <c r="H1428">
        <v>3.2808300000000001E-4</v>
      </c>
      <c r="I1428">
        <v>2725</v>
      </c>
      <c r="J1428">
        <v>2705</v>
      </c>
      <c r="K1428">
        <v>20</v>
      </c>
      <c r="L1428">
        <v>500</v>
      </c>
      <c r="M1428">
        <v>499</v>
      </c>
      <c r="N1428">
        <v>1</v>
      </c>
      <c r="O1428">
        <v>7275</v>
      </c>
      <c r="P1428">
        <v>1</v>
      </c>
    </row>
    <row r="1429" spans="1:16" x14ac:dyDescent="0.2">
      <c r="A1429" s="3" t="s">
        <v>49</v>
      </c>
      <c r="B1429" s="3" t="s">
        <v>50</v>
      </c>
      <c r="C1429">
        <v>38</v>
      </c>
      <c r="D1429">
        <v>18000</v>
      </c>
      <c r="E1429">
        <v>499</v>
      </c>
      <c r="F1429">
        <v>1</v>
      </c>
      <c r="G1429">
        <v>75479.649376234796</v>
      </c>
      <c r="H1429">
        <v>3.28055E-4</v>
      </c>
      <c r="I1429">
        <v>2946</v>
      </c>
      <c r="J1429">
        <v>2917</v>
      </c>
      <c r="K1429">
        <v>29</v>
      </c>
      <c r="L1429">
        <v>500</v>
      </c>
      <c r="M1429">
        <v>499</v>
      </c>
      <c r="N1429">
        <v>1</v>
      </c>
      <c r="O1429">
        <v>64706.9341958515</v>
      </c>
      <c r="P1429">
        <v>0</v>
      </c>
    </row>
    <row r="1430" spans="1:16" x14ac:dyDescent="0.2">
      <c r="A1430" s="3" t="s">
        <v>49</v>
      </c>
      <c r="B1430" s="3" t="s">
        <v>50</v>
      </c>
      <c r="C1430">
        <v>22</v>
      </c>
      <c r="D1430">
        <v>19000</v>
      </c>
      <c r="E1430">
        <v>499</v>
      </c>
      <c r="F1430">
        <v>1</v>
      </c>
      <c r="G1430">
        <v>19000</v>
      </c>
      <c r="H1430">
        <v>3.2792699999999999E-4</v>
      </c>
      <c r="I1430">
        <v>2980</v>
      </c>
      <c r="J1430">
        <v>2941</v>
      </c>
      <c r="K1430">
        <v>39</v>
      </c>
      <c r="L1430">
        <v>500</v>
      </c>
      <c r="M1430">
        <v>499</v>
      </c>
      <c r="N1430">
        <v>1</v>
      </c>
      <c r="O1430">
        <v>16020</v>
      </c>
      <c r="P1430">
        <v>1</v>
      </c>
    </row>
    <row r="1431" spans="1:16" x14ac:dyDescent="0.2">
      <c r="A1431" s="3" t="s">
        <v>49</v>
      </c>
      <c r="B1431" s="3" t="s">
        <v>50</v>
      </c>
      <c r="C1431">
        <v>9</v>
      </c>
      <c r="D1431">
        <v>18000</v>
      </c>
      <c r="E1431">
        <v>499</v>
      </c>
      <c r="F1431">
        <v>1</v>
      </c>
      <c r="G1431">
        <v>18000</v>
      </c>
      <c r="H1431">
        <v>3.2774399999999998E-4</v>
      </c>
      <c r="I1431">
        <v>3007</v>
      </c>
      <c r="J1431">
        <v>2975</v>
      </c>
      <c r="K1431">
        <v>32</v>
      </c>
      <c r="L1431">
        <v>500</v>
      </c>
      <c r="M1431">
        <v>499</v>
      </c>
      <c r="N1431">
        <v>1</v>
      </c>
      <c r="O1431">
        <v>14993</v>
      </c>
      <c r="P1431">
        <v>1</v>
      </c>
    </row>
    <row r="1432" spans="1:16" x14ac:dyDescent="0.2">
      <c r="A1432" s="3" t="s">
        <v>49</v>
      </c>
      <c r="B1432" s="3" t="s">
        <v>50</v>
      </c>
      <c r="C1432">
        <v>16</v>
      </c>
      <c r="D1432">
        <v>19000</v>
      </c>
      <c r="E1432">
        <v>499</v>
      </c>
      <c r="F1432">
        <v>1</v>
      </c>
      <c r="G1432">
        <v>19000</v>
      </c>
      <c r="H1432">
        <v>3.2767099999999997E-4</v>
      </c>
      <c r="I1432">
        <v>3052</v>
      </c>
      <c r="J1432">
        <v>3005</v>
      </c>
      <c r="K1432">
        <v>47</v>
      </c>
      <c r="L1432">
        <v>500</v>
      </c>
      <c r="M1432">
        <v>499</v>
      </c>
      <c r="N1432">
        <v>1</v>
      </c>
      <c r="O1432">
        <v>15948</v>
      </c>
      <c r="P1432">
        <v>1</v>
      </c>
    </row>
    <row r="1433" spans="1:16" x14ac:dyDescent="0.2">
      <c r="A1433" s="3" t="s">
        <v>49</v>
      </c>
      <c r="B1433" s="3" t="s">
        <v>50</v>
      </c>
      <c r="C1433">
        <v>39</v>
      </c>
      <c r="D1433">
        <v>17000</v>
      </c>
      <c r="E1433">
        <v>499</v>
      </c>
      <c r="F1433">
        <v>1</v>
      </c>
      <c r="G1433">
        <v>17000</v>
      </c>
      <c r="H1433">
        <v>3.2731299999999997E-4</v>
      </c>
      <c r="I1433">
        <v>2976</v>
      </c>
      <c r="J1433">
        <v>2952</v>
      </c>
      <c r="K1433">
        <v>24</v>
      </c>
      <c r="L1433">
        <v>500</v>
      </c>
      <c r="M1433">
        <v>499</v>
      </c>
      <c r="N1433">
        <v>1</v>
      </c>
      <c r="O1433">
        <v>14024</v>
      </c>
      <c r="P1433">
        <v>1</v>
      </c>
    </row>
    <row r="1434" spans="1:16" x14ac:dyDescent="0.2">
      <c r="A1434" s="3" t="s">
        <v>49</v>
      </c>
      <c r="B1434" s="3" t="s">
        <v>50</v>
      </c>
      <c r="C1434">
        <v>47</v>
      </c>
      <c r="D1434">
        <v>19000</v>
      </c>
      <c r="E1434">
        <v>499</v>
      </c>
      <c r="F1434">
        <v>1</v>
      </c>
      <c r="G1434">
        <v>19000</v>
      </c>
      <c r="H1434">
        <v>3.2726700000000001E-4</v>
      </c>
      <c r="I1434">
        <v>3016</v>
      </c>
      <c r="J1434">
        <v>2976</v>
      </c>
      <c r="K1434">
        <v>40</v>
      </c>
      <c r="L1434">
        <v>500</v>
      </c>
      <c r="M1434">
        <v>499</v>
      </c>
      <c r="N1434">
        <v>1</v>
      </c>
      <c r="O1434">
        <v>15984</v>
      </c>
      <c r="P1434">
        <v>1</v>
      </c>
    </row>
    <row r="1435" spans="1:16" x14ac:dyDescent="0.2">
      <c r="A1435" s="3" t="s">
        <v>49</v>
      </c>
      <c r="B1435" s="3" t="s">
        <v>50</v>
      </c>
      <c r="C1435">
        <v>48</v>
      </c>
      <c r="D1435">
        <v>13000</v>
      </c>
      <c r="E1435">
        <v>499</v>
      </c>
      <c r="F1435">
        <v>1</v>
      </c>
      <c r="G1435">
        <v>13000</v>
      </c>
      <c r="H1435">
        <v>3.2724000000000002E-4</v>
      </c>
      <c r="I1435">
        <v>2827</v>
      </c>
      <c r="J1435">
        <v>2809</v>
      </c>
      <c r="K1435">
        <v>18</v>
      </c>
      <c r="L1435">
        <v>500</v>
      </c>
      <c r="M1435">
        <v>499</v>
      </c>
      <c r="N1435">
        <v>1</v>
      </c>
      <c r="O1435">
        <v>10173</v>
      </c>
      <c r="P1435">
        <v>1</v>
      </c>
    </row>
    <row r="1436" spans="1:16" x14ac:dyDescent="0.2">
      <c r="A1436" s="3" t="s">
        <v>49</v>
      </c>
      <c r="B1436" s="3" t="s">
        <v>50</v>
      </c>
      <c r="C1436">
        <v>30</v>
      </c>
      <c r="D1436">
        <v>15000</v>
      </c>
      <c r="E1436">
        <v>499</v>
      </c>
      <c r="F1436">
        <v>1</v>
      </c>
      <c r="G1436">
        <v>15000</v>
      </c>
      <c r="H1436">
        <v>3.2710299999999997E-4</v>
      </c>
      <c r="I1436">
        <v>2873</v>
      </c>
      <c r="J1436">
        <v>2837</v>
      </c>
      <c r="K1436">
        <v>36</v>
      </c>
      <c r="L1436">
        <v>500</v>
      </c>
      <c r="M1436">
        <v>499</v>
      </c>
      <c r="N1436">
        <v>1</v>
      </c>
      <c r="O1436">
        <v>12127</v>
      </c>
      <c r="P1436">
        <v>1</v>
      </c>
    </row>
    <row r="1437" spans="1:16" x14ac:dyDescent="0.2">
      <c r="A1437" s="3" t="s">
        <v>49</v>
      </c>
      <c r="B1437" s="3" t="s">
        <v>50</v>
      </c>
      <c r="C1437">
        <v>2</v>
      </c>
      <c r="D1437">
        <v>19000</v>
      </c>
      <c r="E1437">
        <v>499</v>
      </c>
      <c r="F1437">
        <v>1</v>
      </c>
      <c r="G1437">
        <v>19000</v>
      </c>
      <c r="H1437">
        <v>3.27084E-4</v>
      </c>
      <c r="I1437">
        <v>3002</v>
      </c>
      <c r="J1437">
        <v>2965</v>
      </c>
      <c r="K1437">
        <v>37</v>
      </c>
      <c r="L1437">
        <v>500</v>
      </c>
      <c r="M1437">
        <v>499</v>
      </c>
      <c r="N1437">
        <v>1</v>
      </c>
      <c r="O1437">
        <v>15998</v>
      </c>
      <c r="P1437">
        <v>1</v>
      </c>
    </row>
    <row r="1438" spans="1:16" x14ac:dyDescent="0.2">
      <c r="A1438" s="3" t="s">
        <v>49</v>
      </c>
      <c r="B1438" s="3" t="s">
        <v>50</v>
      </c>
      <c r="C1438">
        <v>4</v>
      </c>
      <c r="D1438">
        <v>16000</v>
      </c>
      <c r="E1438">
        <v>499</v>
      </c>
      <c r="F1438">
        <v>1</v>
      </c>
      <c r="G1438">
        <v>16000</v>
      </c>
      <c r="H1438">
        <v>3.2698299999999998E-4</v>
      </c>
      <c r="I1438">
        <v>2951</v>
      </c>
      <c r="J1438">
        <v>2916</v>
      </c>
      <c r="K1438">
        <v>35</v>
      </c>
      <c r="L1438">
        <v>500</v>
      </c>
      <c r="M1438">
        <v>499</v>
      </c>
      <c r="N1438">
        <v>1</v>
      </c>
      <c r="O1438">
        <v>13049</v>
      </c>
      <c r="P1438">
        <v>1</v>
      </c>
    </row>
    <row r="1439" spans="1:16" x14ac:dyDescent="0.2">
      <c r="A1439" s="3" t="s">
        <v>49</v>
      </c>
      <c r="B1439" s="3" t="s">
        <v>50</v>
      </c>
      <c r="C1439">
        <v>10</v>
      </c>
      <c r="D1439">
        <v>17000</v>
      </c>
      <c r="E1439">
        <v>499</v>
      </c>
      <c r="F1439">
        <v>1</v>
      </c>
      <c r="G1439">
        <v>17000</v>
      </c>
      <c r="H1439">
        <v>3.2652499999999998E-4</v>
      </c>
      <c r="I1439">
        <v>2914</v>
      </c>
      <c r="J1439">
        <v>2891</v>
      </c>
      <c r="K1439">
        <v>23</v>
      </c>
      <c r="L1439">
        <v>500</v>
      </c>
      <c r="M1439">
        <v>499</v>
      </c>
      <c r="N1439">
        <v>1</v>
      </c>
      <c r="O1439">
        <v>14086</v>
      </c>
      <c r="P1439">
        <v>1</v>
      </c>
    </row>
    <row r="1440" spans="1:16" x14ac:dyDescent="0.2">
      <c r="A1440" s="3" t="s">
        <v>49</v>
      </c>
      <c r="B1440" s="3" t="s">
        <v>50</v>
      </c>
      <c r="C1440">
        <v>34</v>
      </c>
      <c r="D1440">
        <v>17000</v>
      </c>
      <c r="E1440">
        <v>499</v>
      </c>
      <c r="F1440">
        <v>1</v>
      </c>
      <c r="G1440">
        <v>17000</v>
      </c>
      <c r="H1440">
        <v>3.2649799999999999E-4</v>
      </c>
      <c r="I1440">
        <v>2960</v>
      </c>
      <c r="J1440">
        <v>2928</v>
      </c>
      <c r="K1440">
        <v>32</v>
      </c>
      <c r="L1440">
        <v>500</v>
      </c>
      <c r="M1440">
        <v>499</v>
      </c>
      <c r="N1440">
        <v>1</v>
      </c>
      <c r="O1440">
        <v>14040</v>
      </c>
      <c r="P1440">
        <v>1</v>
      </c>
    </row>
    <row r="1441" spans="1:16" x14ac:dyDescent="0.2">
      <c r="A1441" s="3" t="s">
        <v>49</v>
      </c>
      <c r="B1441" s="3" t="s">
        <v>50</v>
      </c>
      <c r="C1441">
        <v>19</v>
      </c>
      <c r="D1441">
        <v>19000</v>
      </c>
      <c r="E1441">
        <v>499</v>
      </c>
      <c r="F1441">
        <v>1</v>
      </c>
      <c r="G1441">
        <v>84218.384375429901</v>
      </c>
      <c r="H1441">
        <v>3.2645100000000001E-4</v>
      </c>
      <c r="I1441">
        <v>2974</v>
      </c>
      <c r="J1441">
        <v>2936</v>
      </c>
      <c r="K1441">
        <v>38</v>
      </c>
      <c r="L1441">
        <v>500</v>
      </c>
      <c r="M1441">
        <v>499</v>
      </c>
      <c r="N1441">
        <v>1</v>
      </c>
      <c r="O1441">
        <v>72794.361948933394</v>
      </c>
      <c r="P1441">
        <v>0</v>
      </c>
    </row>
    <row r="1442" spans="1:16" x14ac:dyDescent="0.2">
      <c r="A1442" s="3" t="s">
        <v>49</v>
      </c>
      <c r="B1442" s="3" t="s">
        <v>50</v>
      </c>
      <c r="C1442">
        <v>27</v>
      </c>
      <c r="D1442">
        <v>18000</v>
      </c>
      <c r="E1442">
        <v>499</v>
      </c>
      <c r="F1442">
        <v>1</v>
      </c>
      <c r="G1442">
        <v>75479.649376234796</v>
      </c>
      <c r="H1442">
        <v>3.2641499999999998E-4</v>
      </c>
      <c r="I1442">
        <v>2932</v>
      </c>
      <c r="J1442">
        <v>2898</v>
      </c>
      <c r="K1442">
        <v>34</v>
      </c>
      <c r="L1442">
        <v>500</v>
      </c>
      <c r="M1442">
        <v>499</v>
      </c>
      <c r="N1442">
        <v>1</v>
      </c>
      <c r="O1442">
        <v>64759.659627254397</v>
      </c>
      <c r="P1442">
        <v>0</v>
      </c>
    </row>
    <row r="1443" spans="1:16" x14ac:dyDescent="0.2">
      <c r="A1443" s="3" t="s">
        <v>49</v>
      </c>
      <c r="B1443" s="3" t="s">
        <v>50</v>
      </c>
      <c r="C1443">
        <v>35</v>
      </c>
      <c r="D1443">
        <v>18000</v>
      </c>
      <c r="E1443">
        <v>499</v>
      </c>
      <c r="F1443">
        <v>1</v>
      </c>
      <c r="G1443">
        <v>18000</v>
      </c>
      <c r="H1443">
        <v>3.2622199999999998E-4</v>
      </c>
      <c r="I1443">
        <v>2968</v>
      </c>
      <c r="J1443">
        <v>2934</v>
      </c>
      <c r="K1443">
        <v>34</v>
      </c>
      <c r="L1443">
        <v>500</v>
      </c>
      <c r="M1443">
        <v>499</v>
      </c>
      <c r="N1443">
        <v>1</v>
      </c>
      <c r="O1443">
        <v>15032</v>
      </c>
      <c r="P1443">
        <v>1</v>
      </c>
    </row>
    <row r="1444" spans="1:16" x14ac:dyDescent="0.2">
      <c r="A1444" s="3" t="s">
        <v>49</v>
      </c>
      <c r="B1444" s="3" t="s">
        <v>50</v>
      </c>
      <c r="C1444">
        <v>4</v>
      </c>
      <c r="D1444">
        <v>18000</v>
      </c>
      <c r="E1444">
        <v>499</v>
      </c>
      <c r="F1444">
        <v>1</v>
      </c>
      <c r="G1444">
        <v>75479.649376234796</v>
      </c>
      <c r="H1444">
        <v>3.2602999999999999E-4</v>
      </c>
      <c r="I1444">
        <v>2984</v>
      </c>
      <c r="J1444">
        <v>2944</v>
      </c>
      <c r="K1444">
        <v>40</v>
      </c>
      <c r="L1444">
        <v>500</v>
      </c>
      <c r="M1444">
        <v>499</v>
      </c>
      <c r="N1444">
        <v>1</v>
      </c>
      <c r="O1444">
        <v>64476.947577808503</v>
      </c>
      <c r="P1444">
        <v>0</v>
      </c>
    </row>
    <row r="1445" spans="1:16" x14ac:dyDescent="0.2">
      <c r="A1445" s="3" t="s">
        <v>49</v>
      </c>
      <c r="B1445" s="3" t="s">
        <v>50</v>
      </c>
      <c r="C1445">
        <v>14</v>
      </c>
      <c r="D1445">
        <v>17000</v>
      </c>
      <c r="E1445">
        <v>499</v>
      </c>
      <c r="F1445">
        <v>1</v>
      </c>
      <c r="G1445">
        <v>17000</v>
      </c>
      <c r="H1445">
        <v>3.25975E-4</v>
      </c>
      <c r="I1445">
        <v>2949</v>
      </c>
      <c r="J1445">
        <v>2924</v>
      </c>
      <c r="K1445">
        <v>25</v>
      </c>
      <c r="L1445">
        <v>500</v>
      </c>
      <c r="M1445">
        <v>499</v>
      </c>
      <c r="N1445">
        <v>1</v>
      </c>
      <c r="O1445">
        <v>14051</v>
      </c>
      <c r="P1445">
        <v>1</v>
      </c>
    </row>
    <row r="1446" spans="1:16" x14ac:dyDescent="0.2">
      <c r="A1446" s="3" t="s">
        <v>49</v>
      </c>
      <c r="B1446" s="3" t="s">
        <v>50</v>
      </c>
      <c r="C1446">
        <v>18</v>
      </c>
      <c r="D1446">
        <v>19000</v>
      </c>
      <c r="E1446">
        <v>499</v>
      </c>
      <c r="F1446">
        <v>1</v>
      </c>
      <c r="G1446">
        <v>19000</v>
      </c>
      <c r="H1446">
        <v>3.25855E-4</v>
      </c>
      <c r="I1446">
        <v>2946</v>
      </c>
      <c r="J1446">
        <v>2895</v>
      </c>
      <c r="K1446">
        <v>51</v>
      </c>
      <c r="L1446">
        <v>500</v>
      </c>
      <c r="M1446">
        <v>499</v>
      </c>
      <c r="N1446">
        <v>1</v>
      </c>
      <c r="O1446">
        <v>16054</v>
      </c>
      <c r="P1446">
        <v>1</v>
      </c>
    </row>
    <row r="1447" spans="1:16" x14ac:dyDescent="0.2">
      <c r="A1447" s="3" t="s">
        <v>49</v>
      </c>
      <c r="B1447" s="3" t="s">
        <v>50</v>
      </c>
      <c r="C1447">
        <v>24</v>
      </c>
      <c r="D1447">
        <v>17000</v>
      </c>
      <c r="E1447">
        <v>499</v>
      </c>
      <c r="F1447">
        <v>1</v>
      </c>
      <c r="G1447">
        <v>17000</v>
      </c>
      <c r="H1447">
        <v>3.2581899999999998E-4</v>
      </c>
      <c r="I1447">
        <v>2951</v>
      </c>
      <c r="J1447">
        <v>2921</v>
      </c>
      <c r="K1447">
        <v>30</v>
      </c>
      <c r="L1447">
        <v>500</v>
      </c>
      <c r="M1447">
        <v>499</v>
      </c>
      <c r="N1447">
        <v>1</v>
      </c>
      <c r="O1447">
        <v>14049</v>
      </c>
      <c r="P1447">
        <v>1</v>
      </c>
    </row>
    <row r="1448" spans="1:16" x14ac:dyDescent="0.2">
      <c r="A1448" s="3" t="s">
        <v>49</v>
      </c>
      <c r="B1448" s="3" t="s">
        <v>50</v>
      </c>
      <c r="C1448">
        <v>8</v>
      </c>
      <c r="D1448">
        <v>18000</v>
      </c>
      <c r="E1448">
        <v>499</v>
      </c>
      <c r="F1448">
        <v>1</v>
      </c>
      <c r="G1448">
        <v>75479.649376234796</v>
      </c>
      <c r="H1448">
        <v>3.2576300000000002E-4</v>
      </c>
      <c r="I1448">
        <v>2921</v>
      </c>
      <c r="J1448">
        <v>2883</v>
      </c>
      <c r="K1448">
        <v>38</v>
      </c>
      <c r="L1448">
        <v>500</v>
      </c>
      <c r="M1448">
        <v>499</v>
      </c>
      <c r="N1448">
        <v>1</v>
      </c>
      <c r="O1448">
        <v>64745.965937615998</v>
      </c>
      <c r="P1448">
        <v>0</v>
      </c>
    </row>
    <row r="1449" spans="1:16" x14ac:dyDescent="0.2">
      <c r="A1449" s="3" t="s">
        <v>49</v>
      </c>
      <c r="B1449" s="3" t="s">
        <v>50</v>
      </c>
      <c r="C1449">
        <v>29</v>
      </c>
      <c r="D1449">
        <v>18000</v>
      </c>
      <c r="E1449">
        <v>499</v>
      </c>
      <c r="F1449">
        <v>1</v>
      </c>
      <c r="G1449">
        <v>75479.649376234796</v>
      </c>
      <c r="H1449">
        <v>3.2571800000000001E-4</v>
      </c>
      <c r="I1449">
        <v>2962</v>
      </c>
      <c r="J1449">
        <v>2931</v>
      </c>
      <c r="K1449">
        <v>31</v>
      </c>
      <c r="L1449">
        <v>500</v>
      </c>
      <c r="M1449">
        <v>499</v>
      </c>
      <c r="N1449">
        <v>1</v>
      </c>
      <c r="O1449">
        <v>64727.175269466301</v>
      </c>
      <c r="P1449">
        <v>0</v>
      </c>
    </row>
    <row r="1450" spans="1:16" x14ac:dyDescent="0.2">
      <c r="A1450" s="3" t="s">
        <v>49</v>
      </c>
      <c r="B1450" s="3" t="s">
        <v>50</v>
      </c>
      <c r="C1450">
        <v>44</v>
      </c>
      <c r="D1450">
        <v>16000</v>
      </c>
      <c r="E1450">
        <v>499</v>
      </c>
      <c r="F1450">
        <v>1</v>
      </c>
      <c r="G1450">
        <v>16000</v>
      </c>
      <c r="H1450">
        <v>3.2554399999999999E-4</v>
      </c>
      <c r="I1450">
        <v>2956</v>
      </c>
      <c r="J1450">
        <v>2935</v>
      </c>
      <c r="K1450">
        <v>21</v>
      </c>
      <c r="L1450">
        <v>500</v>
      </c>
      <c r="M1450">
        <v>499</v>
      </c>
      <c r="N1450">
        <v>1</v>
      </c>
      <c r="O1450">
        <v>13044</v>
      </c>
      <c r="P1450">
        <v>1</v>
      </c>
    </row>
    <row r="1451" spans="1:16" x14ac:dyDescent="0.2">
      <c r="A1451" s="3" t="s">
        <v>49</v>
      </c>
      <c r="B1451" s="3" t="s">
        <v>50</v>
      </c>
      <c r="C1451">
        <v>45</v>
      </c>
      <c r="D1451">
        <v>19000</v>
      </c>
      <c r="E1451">
        <v>499</v>
      </c>
      <c r="F1451">
        <v>1</v>
      </c>
      <c r="G1451">
        <v>19000</v>
      </c>
      <c r="H1451">
        <v>3.25407E-4</v>
      </c>
      <c r="I1451">
        <v>3020</v>
      </c>
      <c r="J1451">
        <v>2978</v>
      </c>
      <c r="K1451">
        <v>42</v>
      </c>
      <c r="L1451">
        <v>500</v>
      </c>
      <c r="M1451">
        <v>499</v>
      </c>
      <c r="N1451">
        <v>1</v>
      </c>
      <c r="O1451">
        <v>15980</v>
      </c>
      <c r="P1451">
        <v>1</v>
      </c>
    </row>
    <row r="1452" spans="1:16" x14ac:dyDescent="0.2">
      <c r="A1452" s="3" t="s">
        <v>49</v>
      </c>
      <c r="B1452" s="3" t="s">
        <v>50</v>
      </c>
      <c r="C1452">
        <v>12</v>
      </c>
      <c r="D1452">
        <v>17000</v>
      </c>
      <c r="E1452">
        <v>499</v>
      </c>
      <c r="F1452">
        <v>1</v>
      </c>
      <c r="G1452">
        <v>65872.258119671897</v>
      </c>
      <c r="H1452">
        <v>3.2523200000000001E-4</v>
      </c>
      <c r="I1452">
        <v>2909</v>
      </c>
      <c r="J1452">
        <v>2881</v>
      </c>
      <c r="K1452">
        <v>28</v>
      </c>
      <c r="L1452">
        <v>500</v>
      </c>
      <c r="M1452">
        <v>499</v>
      </c>
      <c r="N1452">
        <v>1</v>
      </c>
      <c r="O1452">
        <v>55801.8026269236</v>
      </c>
      <c r="P1452">
        <v>0</v>
      </c>
    </row>
    <row r="1453" spans="1:16" x14ac:dyDescent="0.2">
      <c r="A1453" s="3" t="s">
        <v>49</v>
      </c>
      <c r="B1453" s="3" t="s">
        <v>50</v>
      </c>
      <c r="C1453">
        <v>43</v>
      </c>
      <c r="D1453">
        <v>17000</v>
      </c>
      <c r="E1453">
        <v>499</v>
      </c>
      <c r="F1453">
        <v>1</v>
      </c>
      <c r="G1453">
        <v>65872.258119671897</v>
      </c>
      <c r="H1453">
        <v>3.24994E-4</v>
      </c>
      <c r="I1453">
        <v>2949</v>
      </c>
      <c r="J1453">
        <v>2919</v>
      </c>
      <c r="K1453">
        <v>30</v>
      </c>
      <c r="L1453">
        <v>500</v>
      </c>
      <c r="M1453">
        <v>499</v>
      </c>
      <c r="N1453">
        <v>1</v>
      </c>
      <c r="O1453">
        <v>55584.264493020302</v>
      </c>
      <c r="P1453">
        <v>0</v>
      </c>
    </row>
    <row r="1454" spans="1:16" x14ac:dyDescent="0.2">
      <c r="A1454" s="3" t="s">
        <v>49</v>
      </c>
      <c r="B1454" s="3" t="s">
        <v>50</v>
      </c>
      <c r="C1454">
        <v>15</v>
      </c>
      <c r="D1454">
        <v>18000</v>
      </c>
      <c r="E1454">
        <v>499</v>
      </c>
      <c r="F1454">
        <v>1</v>
      </c>
      <c r="G1454">
        <v>75479.649376234796</v>
      </c>
      <c r="H1454">
        <v>3.24691E-4</v>
      </c>
      <c r="I1454">
        <v>2989</v>
      </c>
      <c r="J1454">
        <v>2952</v>
      </c>
      <c r="K1454">
        <v>37</v>
      </c>
      <c r="L1454">
        <v>500</v>
      </c>
      <c r="M1454">
        <v>499</v>
      </c>
      <c r="N1454">
        <v>1</v>
      </c>
      <c r="O1454">
        <v>64517.8580775429</v>
      </c>
      <c r="P1454">
        <v>0</v>
      </c>
    </row>
    <row r="1455" spans="1:16" x14ac:dyDescent="0.2">
      <c r="A1455" s="3" t="s">
        <v>49</v>
      </c>
      <c r="B1455" s="3" t="s">
        <v>50</v>
      </c>
      <c r="C1455">
        <v>20</v>
      </c>
      <c r="D1455">
        <v>16000</v>
      </c>
      <c r="E1455">
        <v>499</v>
      </c>
      <c r="F1455">
        <v>1</v>
      </c>
      <c r="G1455">
        <v>16000</v>
      </c>
      <c r="H1455">
        <v>3.2465499999999997E-4</v>
      </c>
      <c r="I1455">
        <v>2967</v>
      </c>
      <c r="J1455">
        <v>2940</v>
      </c>
      <c r="K1455">
        <v>27</v>
      </c>
      <c r="L1455">
        <v>500</v>
      </c>
      <c r="M1455">
        <v>499</v>
      </c>
      <c r="N1455">
        <v>1</v>
      </c>
      <c r="O1455">
        <v>13033</v>
      </c>
      <c r="P1455">
        <v>1</v>
      </c>
    </row>
    <row r="1456" spans="1:16" x14ac:dyDescent="0.2">
      <c r="A1456" s="3" t="s">
        <v>49</v>
      </c>
      <c r="B1456" s="3" t="s">
        <v>50</v>
      </c>
      <c r="C1456">
        <v>15</v>
      </c>
      <c r="D1456">
        <v>17000</v>
      </c>
      <c r="E1456">
        <v>499</v>
      </c>
      <c r="F1456">
        <v>1</v>
      </c>
      <c r="G1456">
        <v>65872.258119671897</v>
      </c>
      <c r="H1456">
        <v>3.24636E-4</v>
      </c>
      <c r="I1456">
        <v>2971</v>
      </c>
      <c r="J1456">
        <v>2930</v>
      </c>
      <c r="K1456">
        <v>41</v>
      </c>
      <c r="L1456">
        <v>500</v>
      </c>
      <c r="M1456">
        <v>499</v>
      </c>
      <c r="N1456">
        <v>1</v>
      </c>
      <c r="O1456">
        <v>55548.0320676845</v>
      </c>
      <c r="P1456">
        <v>0</v>
      </c>
    </row>
    <row r="1457" spans="1:16" x14ac:dyDescent="0.2">
      <c r="A1457" s="3" t="s">
        <v>49</v>
      </c>
      <c r="B1457" s="3" t="s">
        <v>50</v>
      </c>
      <c r="C1457">
        <v>11</v>
      </c>
      <c r="D1457">
        <v>17000</v>
      </c>
      <c r="E1457">
        <v>499</v>
      </c>
      <c r="F1457">
        <v>1</v>
      </c>
      <c r="G1457">
        <v>17000</v>
      </c>
      <c r="H1457">
        <v>3.24636E-4</v>
      </c>
      <c r="I1457">
        <v>2955</v>
      </c>
      <c r="J1457">
        <v>2920</v>
      </c>
      <c r="K1457">
        <v>35</v>
      </c>
      <c r="L1457">
        <v>500</v>
      </c>
      <c r="M1457">
        <v>499</v>
      </c>
      <c r="N1457">
        <v>1</v>
      </c>
      <c r="O1457">
        <v>14045</v>
      </c>
      <c r="P1457">
        <v>1</v>
      </c>
    </row>
    <row r="1458" spans="1:16" x14ac:dyDescent="0.2">
      <c r="A1458" s="3" t="s">
        <v>49</v>
      </c>
      <c r="B1458" s="3" t="s">
        <v>50</v>
      </c>
      <c r="C1458">
        <v>36</v>
      </c>
      <c r="D1458">
        <v>18000</v>
      </c>
      <c r="E1458">
        <v>499</v>
      </c>
      <c r="F1458">
        <v>1</v>
      </c>
      <c r="G1458">
        <v>75479.649376234796</v>
      </c>
      <c r="H1458">
        <v>3.2448999999999998E-4</v>
      </c>
      <c r="I1458">
        <v>2948</v>
      </c>
      <c r="J1458">
        <v>2905</v>
      </c>
      <c r="K1458">
        <v>43</v>
      </c>
      <c r="L1458">
        <v>500</v>
      </c>
      <c r="M1458">
        <v>499</v>
      </c>
      <c r="N1458">
        <v>1</v>
      </c>
      <c r="O1458">
        <v>64694.765934626601</v>
      </c>
      <c r="P1458">
        <v>0</v>
      </c>
    </row>
    <row r="1459" spans="1:16" x14ac:dyDescent="0.2">
      <c r="A1459" s="3" t="s">
        <v>49</v>
      </c>
      <c r="B1459" s="3" t="s">
        <v>50</v>
      </c>
      <c r="C1459">
        <v>12</v>
      </c>
      <c r="D1459">
        <v>16000</v>
      </c>
      <c r="E1459">
        <v>499</v>
      </c>
      <c r="F1459">
        <v>1</v>
      </c>
      <c r="G1459">
        <v>16000</v>
      </c>
      <c r="H1459">
        <v>3.2434299999999999E-4</v>
      </c>
      <c r="I1459">
        <v>2987</v>
      </c>
      <c r="J1459">
        <v>2958</v>
      </c>
      <c r="K1459">
        <v>29</v>
      </c>
      <c r="L1459">
        <v>500</v>
      </c>
      <c r="M1459">
        <v>499</v>
      </c>
      <c r="N1459">
        <v>1</v>
      </c>
      <c r="O1459">
        <v>13013</v>
      </c>
      <c r="P1459">
        <v>1</v>
      </c>
    </row>
    <row r="1460" spans="1:16" x14ac:dyDescent="0.2">
      <c r="A1460" s="3" t="s">
        <v>49</v>
      </c>
      <c r="B1460" s="3" t="s">
        <v>50</v>
      </c>
      <c r="C1460">
        <v>26</v>
      </c>
      <c r="D1460">
        <v>10000</v>
      </c>
      <c r="E1460">
        <v>499</v>
      </c>
      <c r="F1460">
        <v>1</v>
      </c>
      <c r="G1460">
        <v>10000</v>
      </c>
      <c r="H1460">
        <v>3.24288E-4</v>
      </c>
      <c r="I1460">
        <v>2724</v>
      </c>
      <c r="J1460">
        <v>2708</v>
      </c>
      <c r="K1460">
        <v>16</v>
      </c>
      <c r="L1460">
        <v>500</v>
      </c>
      <c r="M1460">
        <v>499</v>
      </c>
      <c r="N1460">
        <v>1</v>
      </c>
      <c r="O1460">
        <v>7276</v>
      </c>
      <c r="P1460">
        <v>1</v>
      </c>
    </row>
    <row r="1461" spans="1:16" x14ac:dyDescent="0.2">
      <c r="A1461" s="3" t="s">
        <v>49</v>
      </c>
      <c r="B1461" s="3" t="s">
        <v>50</v>
      </c>
      <c r="C1461">
        <v>21</v>
      </c>
      <c r="D1461">
        <v>18000</v>
      </c>
      <c r="E1461">
        <v>499</v>
      </c>
      <c r="F1461">
        <v>1</v>
      </c>
      <c r="G1461">
        <v>75479.649376234796</v>
      </c>
      <c r="H1461">
        <v>3.2415999999999999E-4</v>
      </c>
      <c r="I1461">
        <v>2935</v>
      </c>
      <c r="J1461">
        <v>2913</v>
      </c>
      <c r="K1461">
        <v>22</v>
      </c>
      <c r="L1461">
        <v>500</v>
      </c>
      <c r="M1461">
        <v>499</v>
      </c>
      <c r="N1461">
        <v>1</v>
      </c>
      <c r="O1461">
        <v>64804.2126770834</v>
      </c>
      <c r="P1461">
        <v>0</v>
      </c>
    </row>
    <row r="1462" spans="1:16" x14ac:dyDescent="0.2">
      <c r="A1462" s="3" t="s">
        <v>49</v>
      </c>
      <c r="B1462" s="3" t="s">
        <v>50</v>
      </c>
      <c r="C1462">
        <v>47</v>
      </c>
      <c r="D1462">
        <v>17000</v>
      </c>
      <c r="E1462">
        <v>499</v>
      </c>
      <c r="F1462">
        <v>1</v>
      </c>
      <c r="G1462">
        <v>17000</v>
      </c>
      <c r="H1462">
        <v>3.2383899999999997E-4</v>
      </c>
      <c r="I1462">
        <v>2954</v>
      </c>
      <c r="J1462">
        <v>2923</v>
      </c>
      <c r="K1462">
        <v>31</v>
      </c>
      <c r="L1462">
        <v>500</v>
      </c>
      <c r="M1462">
        <v>499</v>
      </c>
      <c r="N1462">
        <v>1</v>
      </c>
      <c r="O1462">
        <v>14046</v>
      </c>
      <c r="P1462">
        <v>1</v>
      </c>
    </row>
    <row r="1463" spans="1:16" x14ac:dyDescent="0.2">
      <c r="A1463" s="3" t="s">
        <v>49</v>
      </c>
      <c r="B1463" s="3" t="s">
        <v>50</v>
      </c>
      <c r="C1463">
        <v>8</v>
      </c>
      <c r="D1463">
        <v>18000</v>
      </c>
      <c r="E1463">
        <v>499</v>
      </c>
      <c r="F1463">
        <v>1</v>
      </c>
      <c r="G1463">
        <v>18000</v>
      </c>
      <c r="H1463">
        <v>3.2373800000000001E-4</v>
      </c>
      <c r="I1463">
        <v>2951</v>
      </c>
      <c r="J1463">
        <v>2918</v>
      </c>
      <c r="K1463">
        <v>33</v>
      </c>
      <c r="L1463">
        <v>500</v>
      </c>
      <c r="M1463">
        <v>499</v>
      </c>
      <c r="N1463">
        <v>1</v>
      </c>
      <c r="O1463">
        <v>15049</v>
      </c>
      <c r="P1463">
        <v>1</v>
      </c>
    </row>
    <row r="1464" spans="1:16" x14ac:dyDescent="0.2">
      <c r="A1464" s="3" t="s">
        <v>49</v>
      </c>
      <c r="B1464" s="3" t="s">
        <v>50</v>
      </c>
      <c r="C1464">
        <v>3</v>
      </c>
      <c r="D1464">
        <v>18000</v>
      </c>
      <c r="E1464">
        <v>499</v>
      </c>
      <c r="F1464">
        <v>1</v>
      </c>
      <c r="G1464">
        <v>75479.649376234796</v>
      </c>
      <c r="H1464">
        <v>3.2370100000000002E-4</v>
      </c>
      <c r="I1464">
        <v>2901</v>
      </c>
      <c r="J1464">
        <v>2874</v>
      </c>
      <c r="K1464">
        <v>27</v>
      </c>
      <c r="L1464">
        <v>500</v>
      </c>
      <c r="M1464">
        <v>499</v>
      </c>
      <c r="N1464">
        <v>1</v>
      </c>
      <c r="O1464">
        <v>64820.015903522202</v>
      </c>
      <c r="P1464">
        <v>0</v>
      </c>
    </row>
    <row r="1465" spans="1:16" x14ac:dyDescent="0.2">
      <c r="A1465" s="3" t="s">
        <v>49</v>
      </c>
      <c r="B1465" s="3" t="s">
        <v>50</v>
      </c>
      <c r="C1465">
        <v>38</v>
      </c>
      <c r="D1465">
        <v>17000</v>
      </c>
      <c r="E1465">
        <v>499</v>
      </c>
      <c r="F1465">
        <v>1</v>
      </c>
      <c r="G1465">
        <v>65872.258119671897</v>
      </c>
      <c r="H1465">
        <v>3.2361899999999998E-4</v>
      </c>
      <c r="I1465">
        <v>2942</v>
      </c>
      <c r="J1465">
        <v>2902</v>
      </c>
      <c r="K1465">
        <v>40</v>
      </c>
      <c r="L1465">
        <v>500</v>
      </c>
      <c r="M1465">
        <v>499</v>
      </c>
      <c r="N1465">
        <v>1</v>
      </c>
      <c r="O1465">
        <v>55654.701888499498</v>
      </c>
      <c r="P1465">
        <v>0</v>
      </c>
    </row>
    <row r="1466" spans="1:16" x14ac:dyDescent="0.2">
      <c r="A1466" s="3" t="s">
        <v>49</v>
      </c>
      <c r="B1466" s="3" t="s">
        <v>50</v>
      </c>
      <c r="C1466">
        <v>5</v>
      </c>
      <c r="D1466">
        <v>17000</v>
      </c>
      <c r="E1466">
        <v>499</v>
      </c>
      <c r="F1466">
        <v>1</v>
      </c>
      <c r="G1466">
        <v>17000</v>
      </c>
      <c r="H1466">
        <v>3.2340800000000002E-4</v>
      </c>
      <c r="I1466">
        <v>2991</v>
      </c>
      <c r="J1466">
        <v>2952</v>
      </c>
      <c r="K1466">
        <v>39</v>
      </c>
      <c r="L1466">
        <v>500</v>
      </c>
      <c r="M1466">
        <v>499</v>
      </c>
      <c r="N1466">
        <v>1</v>
      </c>
      <c r="O1466">
        <v>14009</v>
      </c>
      <c r="P1466">
        <v>1</v>
      </c>
    </row>
    <row r="1467" spans="1:16" x14ac:dyDescent="0.2">
      <c r="A1467" s="3" t="s">
        <v>49</v>
      </c>
      <c r="B1467" s="3" t="s">
        <v>50</v>
      </c>
      <c r="C1467">
        <v>3</v>
      </c>
      <c r="D1467">
        <v>17000</v>
      </c>
      <c r="E1467">
        <v>499</v>
      </c>
      <c r="F1467">
        <v>1</v>
      </c>
      <c r="G1467">
        <v>65872.258119671897</v>
      </c>
      <c r="H1467">
        <v>3.2309599999999998E-4</v>
      </c>
      <c r="I1467">
        <v>2999</v>
      </c>
      <c r="J1467">
        <v>2969</v>
      </c>
      <c r="K1467">
        <v>30</v>
      </c>
      <c r="L1467">
        <v>500</v>
      </c>
      <c r="M1467">
        <v>499</v>
      </c>
      <c r="N1467">
        <v>1</v>
      </c>
      <c r="O1467">
        <v>55517.532459809401</v>
      </c>
      <c r="P1467">
        <v>0</v>
      </c>
    </row>
    <row r="1468" spans="1:16" x14ac:dyDescent="0.2">
      <c r="A1468" s="3" t="s">
        <v>49</v>
      </c>
      <c r="B1468" s="3" t="s">
        <v>50</v>
      </c>
      <c r="C1468">
        <v>2</v>
      </c>
      <c r="D1468">
        <v>17000</v>
      </c>
      <c r="E1468">
        <v>499</v>
      </c>
      <c r="F1468">
        <v>1</v>
      </c>
      <c r="G1468">
        <v>17000</v>
      </c>
      <c r="H1468">
        <v>3.2307899999999999E-4</v>
      </c>
      <c r="I1468">
        <v>2974</v>
      </c>
      <c r="J1468">
        <v>2935</v>
      </c>
      <c r="K1468">
        <v>39</v>
      </c>
      <c r="L1468">
        <v>500</v>
      </c>
      <c r="M1468">
        <v>499</v>
      </c>
      <c r="N1468">
        <v>1</v>
      </c>
      <c r="O1468">
        <v>14026</v>
      </c>
      <c r="P1468">
        <v>1</v>
      </c>
    </row>
    <row r="1469" spans="1:16" x14ac:dyDescent="0.2">
      <c r="A1469" s="3" t="s">
        <v>49</v>
      </c>
      <c r="B1469" s="3" t="s">
        <v>50</v>
      </c>
      <c r="C1469">
        <v>18</v>
      </c>
      <c r="D1469">
        <v>17000</v>
      </c>
      <c r="E1469">
        <v>499</v>
      </c>
      <c r="F1469">
        <v>1</v>
      </c>
      <c r="G1469">
        <v>17000</v>
      </c>
      <c r="H1469">
        <v>3.2305099999999998E-4</v>
      </c>
      <c r="I1469">
        <v>2959</v>
      </c>
      <c r="J1469">
        <v>2915</v>
      </c>
      <c r="K1469">
        <v>44</v>
      </c>
      <c r="L1469">
        <v>500</v>
      </c>
      <c r="M1469">
        <v>499</v>
      </c>
      <c r="N1469">
        <v>1</v>
      </c>
      <c r="O1469">
        <v>14041</v>
      </c>
      <c r="P1469">
        <v>1</v>
      </c>
    </row>
    <row r="1470" spans="1:16" x14ac:dyDescent="0.2">
      <c r="A1470" s="3" t="s">
        <v>49</v>
      </c>
      <c r="B1470" s="3" t="s">
        <v>50</v>
      </c>
      <c r="C1470">
        <v>45</v>
      </c>
      <c r="D1470">
        <v>17000</v>
      </c>
      <c r="E1470">
        <v>499</v>
      </c>
      <c r="F1470">
        <v>1</v>
      </c>
      <c r="G1470">
        <v>65872.258119671897</v>
      </c>
      <c r="H1470">
        <v>3.2256400000000001E-4</v>
      </c>
      <c r="I1470">
        <v>2945</v>
      </c>
      <c r="J1470">
        <v>2909</v>
      </c>
      <c r="K1470">
        <v>36</v>
      </c>
      <c r="L1470">
        <v>500</v>
      </c>
      <c r="M1470">
        <v>499</v>
      </c>
      <c r="N1470">
        <v>1</v>
      </c>
      <c r="O1470">
        <v>55573.282061274498</v>
      </c>
      <c r="P1470">
        <v>0</v>
      </c>
    </row>
    <row r="1471" spans="1:16" x14ac:dyDescent="0.2">
      <c r="A1471" s="3" t="s">
        <v>49</v>
      </c>
      <c r="B1471" s="3" t="s">
        <v>50</v>
      </c>
      <c r="C1471">
        <v>37</v>
      </c>
      <c r="D1471">
        <v>18000</v>
      </c>
      <c r="E1471">
        <v>499</v>
      </c>
      <c r="F1471">
        <v>1</v>
      </c>
      <c r="G1471">
        <v>18000</v>
      </c>
      <c r="H1471">
        <v>3.2239999999999998E-4</v>
      </c>
      <c r="I1471">
        <v>2979</v>
      </c>
      <c r="J1471">
        <v>2941</v>
      </c>
      <c r="K1471">
        <v>38</v>
      </c>
      <c r="L1471">
        <v>500</v>
      </c>
      <c r="M1471">
        <v>499</v>
      </c>
      <c r="N1471">
        <v>1</v>
      </c>
      <c r="O1471">
        <v>15021</v>
      </c>
      <c r="P1471">
        <v>1</v>
      </c>
    </row>
    <row r="1472" spans="1:16" x14ac:dyDescent="0.2">
      <c r="A1472" s="3" t="s">
        <v>49</v>
      </c>
      <c r="B1472" s="3" t="s">
        <v>50</v>
      </c>
      <c r="C1472">
        <v>34</v>
      </c>
      <c r="D1472">
        <v>18000</v>
      </c>
      <c r="E1472">
        <v>499</v>
      </c>
      <c r="F1472">
        <v>1</v>
      </c>
      <c r="G1472">
        <v>18000</v>
      </c>
      <c r="H1472">
        <v>3.2225400000000001E-4</v>
      </c>
      <c r="I1472">
        <v>2994</v>
      </c>
      <c r="J1472">
        <v>2951</v>
      </c>
      <c r="K1472">
        <v>43</v>
      </c>
      <c r="L1472">
        <v>500</v>
      </c>
      <c r="M1472">
        <v>499</v>
      </c>
      <c r="N1472">
        <v>1</v>
      </c>
      <c r="O1472">
        <v>15006</v>
      </c>
      <c r="P1472">
        <v>1</v>
      </c>
    </row>
    <row r="1473" spans="1:16" x14ac:dyDescent="0.2">
      <c r="A1473" s="3" t="s">
        <v>49</v>
      </c>
      <c r="B1473" s="3" t="s">
        <v>50</v>
      </c>
      <c r="C1473">
        <v>37</v>
      </c>
      <c r="D1473">
        <v>16000</v>
      </c>
      <c r="E1473">
        <v>499</v>
      </c>
      <c r="F1473">
        <v>1</v>
      </c>
      <c r="G1473">
        <v>64781.839036288002</v>
      </c>
      <c r="H1473">
        <v>3.2225299999999999E-4</v>
      </c>
      <c r="I1473">
        <v>2984</v>
      </c>
      <c r="J1473">
        <v>2953</v>
      </c>
      <c r="K1473">
        <v>31</v>
      </c>
      <c r="L1473">
        <v>500</v>
      </c>
      <c r="M1473">
        <v>499</v>
      </c>
      <c r="N1473">
        <v>1</v>
      </c>
      <c r="O1473">
        <v>54054.490447477699</v>
      </c>
      <c r="P1473">
        <v>0</v>
      </c>
    </row>
    <row r="1474" spans="1:16" x14ac:dyDescent="0.2">
      <c r="A1474" s="3" t="s">
        <v>49</v>
      </c>
      <c r="B1474" s="3" t="s">
        <v>50</v>
      </c>
      <c r="C1474">
        <v>14</v>
      </c>
      <c r="D1474">
        <v>12000</v>
      </c>
      <c r="E1474">
        <v>499</v>
      </c>
      <c r="F1474">
        <v>1</v>
      </c>
      <c r="G1474">
        <v>12000</v>
      </c>
      <c r="H1474">
        <v>3.2213400000000002E-4</v>
      </c>
      <c r="I1474">
        <v>2797</v>
      </c>
      <c r="J1474">
        <v>2763</v>
      </c>
      <c r="K1474">
        <v>34</v>
      </c>
      <c r="L1474">
        <v>500</v>
      </c>
      <c r="M1474">
        <v>499</v>
      </c>
      <c r="N1474">
        <v>1</v>
      </c>
      <c r="O1474">
        <v>9203</v>
      </c>
      <c r="P1474">
        <v>1</v>
      </c>
    </row>
    <row r="1475" spans="1:16" x14ac:dyDescent="0.2">
      <c r="A1475" s="3" t="s">
        <v>49</v>
      </c>
      <c r="B1475" s="3" t="s">
        <v>50</v>
      </c>
      <c r="C1475">
        <v>14</v>
      </c>
      <c r="D1475">
        <v>16000</v>
      </c>
      <c r="E1475">
        <v>499</v>
      </c>
      <c r="F1475">
        <v>1</v>
      </c>
      <c r="G1475">
        <v>64781.839036288002</v>
      </c>
      <c r="H1475">
        <v>3.2212499999999998E-4</v>
      </c>
      <c r="I1475">
        <v>2962</v>
      </c>
      <c r="J1475">
        <v>2932</v>
      </c>
      <c r="K1475">
        <v>30</v>
      </c>
      <c r="L1475">
        <v>500</v>
      </c>
      <c r="M1475">
        <v>499</v>
      </c>
      <c r="N1475">
        <v>1</v>
      </c>
      <c r="O1475">
        <v>54051.848493560901</v>
      </c>
      <c r="P1475">
        <v>0</v>
      </c>
    </row>
    <row r="1476" spans="1:16" x14ac:dyDescent="0.2">
      <c r="A1476" s="3" t="s">
        <v>49</v>
      </c>
      <c r="B1476" s="3" t="s">
        <v>50</v>
      </c>
      <c r="C1476">
        <v>28</v>
      </c>
      <c r="D1476">
        <v>17000</v>
      </c>
      <c r="E1476">
        <v>499</v>
      </c>
      <c r="F1476">
        <v>1</v>
      </c>
      <c r="G1476">
        <v>17000</v>
      </c>
      <c r="H1476">
        <v>3.2205100000000001E-4</v>
      </c>
      <c r="I1476">
        <v>2964</v>
      </c>
      <c r="J1476">
        <v>2933</v>
      </c>
      <c r="K1476">
        <v>31</v>
      </c>
      <c r="L1476">
        <v>500</v>
      </c>
      <c r="M1476">
        <v>499</v>
      </c>
      <c r="N1476">
        <v>1</v>
      </c>
      <c r="O1476">
        <v>14036</v>
      </c>
      <c r="P1476">
        <v>1</v>
      </c>
    </row>
    <row r="1477" spans="1:16" x14ac:dyDescent="0.2">
      <c r="A1477" s="3" t="s">
        <v>49</v>
      </c>
      <c r="B1477" s="3" t="s">
        <v>50</v>
      </c>
      <c r="C1477">
        <v>44</v>
      </c>
      <c r="D1477">
        <v>18000</v>
      </c>
      <c r="E1477">
        <v>499</v>
      </c>
      <c r="F1477">
        <v>1</v>
      </c>
      <c r="G1477">
        <v>18000</v>
      </c>
      <c r="H1477">
        <v>3.2194199999999997E-4</v>
      </c>
      <c r="I1477">
        <v>2983</v>
      </c>
      <c r="J1477">
        <v>2948</v>
      </c>
      <c r="K1477">
        <v>35</v>
      </c>
      <c r="L1477">
        <v>500</v>
      </c>
      <c r="M1477">
        <v>499</v>
      </c>
      <c r="N1477">
        <v>1</v>
      </c>
      <c r="O1477">
        <v>15017</v>
      </c>
      <c r="P1477">
        <v>1</v>
      </c>
    </row>
    <row r="1478" spans="1:16" x14ac:dyDescent="0.2">
      <c r="A1478" s="3" t="s">
        <v>49</v>
      </c>
      <c r="B1478" s="3" t="s">
        <v>50</v>
      </c>
      <c r="C1478">
        <v>44</v>
      </c>
      <c r="D1478">
        <v>18000</v>
      </c>
      <c r="E1478">
        <v>499</v>
      </c>
      <c r="F1478">
        <v>1</v>
      </c>
      <c r="G1478">
        <v>75479.649376234796</v>
      </c>
      <c r="H1478">
        <v>3.2188600000000001E-4</v>
      </c>
      <c r="I1478">
        <v>2963</v>
      </c>
      <c r="J1478">
        <v>2925</v>
      </c>
      <c r="K1478">
        <v>38</v>
      </c>
      <c r="L1478">
        <v>500</v>
      </c>
      <c r="M1478">
        <v>499</v>
      </c>
      <c r="N1478">
        <v>1</v>
      </c>
      <c r="O1478">
        <v>64600.855407377101</v>
      </c>
      <c r="P1478">
        <v>0</v>
      </c>
    </row>
    <row r="1479" spans="1:16" x14ac:dyDescent="0.2">
      <c r="A1479" s="3" t="s">
        <v>49</v>
      </c>
      <c r="B1479" s="3" t="s">
        <v>50</v>
      </c>
      <c r="C1479">
        <v>46</v>
      </c>
      <c r="D1479">
        <v>17000</v>
      </c>
      <c r="E1479">
        <v>499</v>
      </c>
      <c r="F1479">
        <v>1</v>
      </c>
      <c r="G1479">
        <v>17000</v>
      </c>
      <c r="H1479">
        <v>3.21758E-4</v>
      </c>
      <c r="I1479">
        <v>2886</v>
      </c>
      <c r="J1479">
        <v>2859</v>
      </c>
      <c r="K1479">
        <v>27</v>
      </c>
      <c r="L1479">
        <v>500</v>
      </c>
      <c r="M1479">
        <v>499</v>
      </c>
      <c r="N1479">
        <v>1</v>
      </c>
      <c r="O1479">
        <v>14114</v>
      </c>
      <c r="P1479">
        <v>1</v>
      </c>
    </row>
    <row r="1480" spans="1:16" x14ac:dyDescent="0.2">
      <c r="A1480" s="3" t="s">
        <v>49</v>
      </c>
      <c r="B1480" s="3" t="s">
        <v>50</v>
      </c>
      <c r="C1480">
        <v>38</v>
      </c>
      <c r="D1480">
        <v>18000</v>
      </c>
      <c r="E1480">
        <v>499</v>
      </c>
      <c r="F1480">
        <v>1</v>
      </c>
      <c r="G1480">
        <v>18000</v>
      </c>
      <c r="H1480">
        <v>3.21575E-4</v>
      </c>
      <c r="I1480">
        <v>3004</v>
      </c>
      <c r="J1480">
        <v>2961</v>
      </c>
      <c r="K1480">
        <v>43</v>
      </c>
      <c r="L1480">
        <v>500</v>
      </c>
      <c r="M1480">
        <v>499</v>
      </c>
      <c r="N1480">
        <v>1</v>
      </c>
      <c r="O1480">
        <v>14996</v>
      </c>
      <c r="P1480">
        <v>1</v>
      </c>
    </row>
    <row r="1481" spans="1:16" x14ac:dyDescent="0.2">
      <c r="A1481" s="3" t="s">
        <v>49</v>
      </c>
      <c r="B1481" s="3" t="s">
        <v>50</v>
      </c>
      <c r="C1481">
        <v>19</v>
      </c>
      <c r="D1481">
        <v>17000</v>
      </c>
      <c r="E1481">
        <v>499</v>
      </c>
      <c r="F1481">
        <v>1</v>
      </c>
      <c r="G1481">
        <v>17000</v>
      </c>
      <c r="H1481">
        <v>3.2135399999999999E-4</v>
      </c>
      <c r="I1481">
        <v>3001</v>
      </c>
      <c r="J1481">
        <v>2970</v>
      </c>
      <c r="K1481">
        <v>31</v>
      </c>
      <c r="L1481">
        <v>500</v>
      </c>
      <c r="M1481">
        <v>499</v>
      </c>
      <c r="N1481">
        <v>1</v>
      </c>
      <c r="O1481">
        <v>13999</v>
      </c>
      <c r="P1481">
        <v>1</v>
      </c>
    </row>
    <row r="1482" spans="1:16" x14ac:dyDescent="0.2">
      <c r="A1482" s="3" t="s">
        <v>49</v>
      </c>
      <c r="B1482" s="3" t="s">
        <v>50</v>
      </c>
      <c r="C1482">
        <v>36</v>
      </c>
      <c r="D1482">
        <v>17000</v>
      </c>
      <c r="E1482">
        <v>499</v>
      </c>
      <c r="F1482">
        <v>1</v>
      </c>
      <c r="G1482">
        <v>65872.258119671897</v>
      </c>
      <c r="H1482">
        <v>3.2134600000000002E-4</v>
      </c>
      <c r="I1482">
        <v>2981</v>
      </c>
      <c r="J1482">
        <v>2938</v>
      </c>
      <c r="K1482">
        <v>43</v>
      </c>
      <c r="L1482">
        <v>500</v>
      </c>
      <c r="M1482">
        <v>499</v>
      </c>
      <c r="N1482">
        <v>1</v>
      </c>
      <c r="O1482">
        <v>55541.362087802103</v>
      </c>
      <c r="P1482">
        <v>0</v>
      </c>
    </row>
    <row r="1483" spans="1:16" x14ac:dyDescent="0.2">
      <c r="A1483" s="3" t="s">
        <v>49</v>
      </c>
      <c r="B1483" s="3" t="s">
        <v>50</v>
      </c>
      <c r="C1483">
        <v>49</v>
      </c>
      <c r="D1483">
        <v>16000</v>
      </c>
      <c r="E1483">
        <v>499</v>
      </c>
      <c r="F1483">
        <v>1</v>
      </c>
      <c r="G1483">
        <v>64781.839036288002</v>
      </c>
      <c r="H1483">
        <v>3.2124399999999999E-4</v>
      </c>
      <c r="I1483">
        <v>2925</v>
      </c>
      <c r="J1483">
        <v>2895</v>
      </c>
      <c r="K1483">
        <v>30</v>
      </c>
      <c r="L1483">
        <v>500</v>
      </c>
      <c r="M1483">
        <v>499</v>
      </c>
      <c r="N1483">
        <v>1</v>
      </c>
      <c r="O1483">
        <v>54214.869797259198</v>
      </c>
      <c r="P1483">
        <v>0</v>
      </c>
    </row>
    <row r="1484" spans="1:16" x14ac:dyDescent="0.2">
      <c r="A1484" s="3" t="s">
        <v>49</v>
      </c>
      <c r="B1484" s="3" t="s">
        <v>50</v>
      </c>
      <c r="C1484">
        <v>23</v>
      </c>
      <c r="D1484">
        <v>18000</v>
      </c>
      <c r="E1484">
        <v>499</v>
      </c>
      <c r="F1484">
        <v>1</v>
      </c>
      <c r="G1484">
        <v>75479.649376234796</v>
      </c>
      <c r="H1484">
        <v>3.2112599999999997E-4</v>
      </c>
      <c r="I1484">
        <v>2988</v>
      </c>
      <c r="J1484">
        <v>2941</v>
      </c>
      <c r="K1484">
        <v>47</v>
      </c>
      <c r="L1484">
        <v>500</v>
      </c>
      <c r="M1484">
        <v>499</v>
      </c>
      <c r="N1484">
        <v>1</v>
      </c>
      <c r="O1484">
        <v>64590.617598068202</v>
      </c>
      <c r="P1484">
        <v>0</v>
      </c>
    </row>
    <row r="1485" spans="1:16" x14ac:dyDescent="0.2">
      <c r="A1485" s="3" t="s">
        <v>49</v>
      </c>
      <c r="B1485" s="3" t="s">
        <v>50</v>
      </c>
      <c r="C1485">
        <v>49</v>
      </c>
      <c r="D1485">
        <v>18000</v>
      </c>
      <c r="E1485">
        <v>499</v>
      </c>
      <c r="F1485">
        <v>1</v>
      </c>
      <c r="G1485">
        <v>75479.649376234796</v>
      </c>
      <c r="H1485">
        <v>3.21117E-4</v>
      </c>
      <c r="I1485">
        <v>2942</v>
      </c>
      <c r="J1485">
        <v>2904</v>
      </c>
      <c r="K1485">
        <v>38</v>
      </c>
      <c r="L1485">
        <v>500</v>
      </c>
      <c r="M1485">
        <v>499</v>
      </c>
      <c r="N1485">
        <v>1</v>
      </c>
      <c r="O1485">
        <v>64642.557374900898</v>
      </c>
      <c r="P1485">
        <v>0</v>
      </c>
    </row>
    <row r="1486" spans="1:16" x14ac:dyDescent="0.2">
      <c r="A1486" s="3" t="s">
        <v>49</v>
      </c>
      <c r="B1486" s="3" t="s">
        <v>50</v>
      </c>
      <c r="C1486">
        <v>26</v>
      </c>
      <c r="D1486">
        <v>18000</v>
      </c>
      <c r="E1486">
        <v>499</v>
      </c>
      <c r="F1486">
        <v>1</v>
      </c>
      <c r="G1486">
        <v>18000</v>
      </c>
      <c r="H1486">
        <v>3.2092399999999999E-4</v>
      </c>
      <c r="I1486">
        <v>2962</v>
      </c>
      <c r="J1486">
        <v>2917</v>
      </c>
      <c r="K1486">
        <v>45</v>
      </c>
      <c r="L1486">
        <v>500</v>
      </c>
      <c r="M1486">
        <v>499</v>
      </c>
      <c r="N1486">
        <v>1</v>
      </c>
      <c r="O1486">
        <v>15038</v>
      </c>
      <c r="P1486">
        <v>1</v>
      </c>
    </row>
    <row r="1487" spans="1:16" x14ac:dyDescent="0.2">
      <c r="A1487" s="3" t="s">
        <v>49</v>
      </c>
      <c r="B1487" s="3" t="s">
        <v>50</v>
      </c>
      <c r="C1487">
        <v>34</v>
      </c>
      <c r="D1487">
        <v>14000</v>
      </c>
      <c r="E1487">
        <v>499</v>
      </c>
      <c r="F1487">
        <v>1</v>
      </c>
      <c r="G1487">
        <v>14000</v>
      </c>
      <c r="H1487">
        <v>3.2077700000000001E-4</v>
      </c>
      <c r="I1487">
        <v>2839</v>
      </c>
      <c r="J1487">
        <v>2813</v>
      </c>
      <c r="K1487">
        <v>26</v>
      </c>
      <c r="L1487">
        <v>500</v>
      </c>
      <c r="M1487">
        <v>499</v>
      </c>
      <c r="N1487">
        <v>1</v>
      </c>
      <c r="O1487">
        <v>11161</v>
      </c>
      <c r="P1487">
        <v>1</v>
      </c>
    </row>
    <row r="1488" spans="1:16" x14ac:dyDescent="0.2">
      <c r="A1488" s="3" t="s">
        <v>49</v>
      </c>
      <c r="B1488" s="3" t="s">
        <v>50</v>
      </c>
      <c r="C1488">
        <v>7</v>
      </c>
      <c r="D1488">
        <v>17000</v>
      </c>
      <c r="E1488">
        <v>499</v>
      </c>
      <c r="F1488">
        <v>1</v>
      </c>
      <c r="G1488">
        <v>17000</v>
      </c>
      <c r="H1488">
        <v>3.20732E-4</v>
      </c>
      <c r="I1488">
        <v>2959</v>
      </c>
      <c r="J1488">
        <v>2924</v>
      </c>
      <c r="K1488">
        <v>35</v>
      </c>
      <c r="L1488">
        <v>500</v>
      </c>
      <c r="M1488">
        <v>499</v>
      </c>
      <c r="N1488">
        <v>1</v>
      </c>
      <c r="O1488">
        <v>14041</v>
      </c>
      <c r="P1488">
        <v>1</v>
      </c>
    </row>
    <row r="1489" spans="1:16" x14ac:dyDescent="0.2">
      <c r="A1489" s="3" t="s">
        <v>49</v>
      </c>
      <c r="B1489" s="3" t="s">
        <v>50</v>
      </c>
      <c r="C1489">
        <v>35</v>
      </c>
      <c r="D1489">
        <v>18000</v>
      </c>
      <c r="E1489">
        <v>499</v>
      </c>
      <c r="F1489">
        <v>1</v>
      </c>
      <c r="G1489">
        <v>75479.649376234796</v>
      </c>
      <c r="H1489">
        <v>3.2053000000000002E-4</v>
      </c>
      <c r="I1489">
        <v>2976</v>
      </c>
      <c r="J1489">
        <v>2943</v>
      </c>
      <c r="K1489">
        <v>33</v>
      </c>
      <c r="L1489">
        <v>500</v>
      </c>
      <c r="M1489">
        <v>499</v>
      </c>
      <c r="N1489">
        <v>1</v>
      </c>
      <c r="O1489">
        <v>64487.663791041799</v>
      </c>
      <c r="P1489">
        <v>0</v>
      </c>
    </row>
    <row r="1490" spans="1:16" x14ac:dyDescent="0.2">
      <c r="A1490" s="3" t="s">
        <v>49</v>
      </c>
      <c r="B1490" s="3" t="s">
        <v>50</v>
      </c>
      <c r="C1490">
        <v>8</v>
      </c>
      <c r="D1490">
        <v>17000</v>
      </c>
      <c r="E1490">
        <v>499</v>
      </c>
      <c r="F1490">
        <v>1</v>
      </c>
      <c r="G1490">
        <v>17000</v>
      </c>
      <c r="H1490">
        <v>3.2050200000000002E-4</v>
      </c>
      <c r="I1490">
        <v>2951</v>
      </c>
      <c r="J1490">
        <v>2919</v>
      </c>
      <c r="K1490">
        <v>32</v>
      </c>
      <c r="L1490">
        <v>500</v>
      </c>
      <c r="M1490">
        <v>499</v>
      </c>
      <c r="N1490">
        <v>1</v>
      </c>
      <c r="O1490">
        <v>14049</v>
      </c>
      <c r="P1490">
        <v>1</v>
      </c>
    </row>
    <row r="1491" spans="1:16" x14ac:dyDescent="0.2">
      <c r="A1491" s="3" t="s">
        <v>49</v>
      </c>
      <c r="B1491" s="3" t="s">
        <v>50</v>
      </c>
      <c r="C1491">
        <v>4</v>
      </c>
      <c r="D1491">
        <v>17000</v>
      </c>
      <c r="E1491">
        <v>499</v>
      </c>
      <c r="F1491">
        <v>1</v>
      </c>
      <c r="G1491">
        <v>17000</v>
      </c>
      <c r="H1491">
        <v>3.2042000000000003E-4</v>
      </c>
      <c r="I1491">
        <v>2938</v>
      </c>
      <c r="J1491">
        <v>2895</v>
      </c>
      <c r="K1491">
        <v>43</v>
      </c>
      <c r="L1491">
        <v>500</v>
      </c>
      <c r="M1491">
        <v>499</v>
      </c>
      <c r="N1491">
        <v>1</v>
      </c>
      <c r="O1491">
        <v>14062</v>
      </c>
      <c r="P1491">
        <v>1</v>
      </c>
    </row>
    <row r="1492" spans="1:16" x14ac:dyDescent="0.2">
      <c r="A1492" s="3" t="s">
        <v>49</v>
      </c>
      <c r="B1492" s="3" t="s">
        <v>50</v>
      </c>
      <c r="C1492">
        <v>13</v>
      </c>
      <c r="D1492">
        <v>16000</v>
      </c>
      <c r="E1492">
        <v>499</v>
      </c>
      <c r="F1492">
        <v>1</v>
      </c>
      <c r="G1492">
        <v>64781.839036288002</v>
      </c>
      <c r="H1492">
        <v>3.20246E-4</v>
      </c>
      <c r="I1492">
        <v>2957</v>
      </c>
      <c r="J1492">
        <v>2915</v>
      </c>
      <c r="K1492">
        <v>42</v>
      </c>
      <c r="L1492">
        <v>500</v>
      </c>
      <c r="M1492">
        <v>499</v>
      </c>
      <c r="N1492">
        <v>1</v>
      </c>
      <c r="O1492">
        <v>54182.630178344298</v>
      </c>
      <c r="P1492">
        <v>0</v>
      </c>
    </row>
    <row r="1493" spans="1:16" x14ac:dyDescent="0.2">
      <c r="A1493" s="3" t="s">
        <v>49</v>
      </c>
      <c r="B1493" s="3" t="s">
        <v>50</v>
      </c>
      <c r="C1493">
        <v>42</v>
      </c>
      <c r="D1493">
        <v>16000</v>
      </c>
      <c r="E1493">
        <v>499</v>
      </c>
      <c r="F1493">
        <v>1</v>
      </c>
      <c r="G1493">
        <v>16000</v>
      </c>
      <c r="H1493">
        <v>3.2021799999999999E-4</v>
      </c>
      <c r="I1493">
        <v>3011</v>
      </c>
      <c r="J1493">
        <v>2984</v>
      </c>
      <c r="K1493">
        <v>27</v>
      </c>
      <c r="L1493">
        <v>500</v>
      </c>
      <c r="M1493">
        <v>499</v>
      </c>
      <c r="N1493">
        <v>1</v>
      </c>
      <c r="O1493">
        <v>12989</v>
      </c>
      <c r="P1493">
        <v>1</v>
      </c>
    </row>
    <row r="1494" spans="1:16" x14ac:dyDescent="0.2">
      <c r="A1494" s="3" t="s">
        <v>49</v>
      </c>
      <c r="B1494" s="3" t="s">
        <v>50</v>
      </c>
      <c r="C1494">
        <v>48</v>
      </c>
      <c r="D1494">
        <v>18000</v>
      </c>
      <c r="E1494">
        <v>499</v>
      </c>
      <c r="F1494">
        <v>1</v>
      </c>
      <c r="G1494">
        <v>75479.649376234796</v>
      </c>
      <c r="H1494">
        <v>3.2018200000000002E-4</v>
      </c>
      <c r="I1494">
        <v>3012</v>
      </c>
      <c r="J1494">
        <v>2968</v>
      </c>
      <c r="K1494">
        <v>44</v>
      </c>
      <c r="L1494">
        <v>500</v>
      </c>
      <c r="M1494">
        <v>499</v>
      </c>
      <c r="N1494">
        <v>1</v>
      </c>
      <c r="O1494">
        <v>64584.258235116802</v>
      </c>
      <c r="P1494">
        <v>0</v>
      </c>
    </row>
    <row r="1495" spans="1:16" x14ac:dyDescent="0.2">
      <c r="A1495" s="3" t="s">
        <v>49</v>
      </c>
      <c r="B1495" s="3" t="s">
        <v>50</v>
      </c>
      <c r="C1495">
        <v>5</v>
      </c>
      <c r="D1495">
        <v>18000</v>
      </c>
      <c r="E1495">
        <v>499</v>
      </c>
      <c r="F1495">
        <v>1</v>
      </c>
      <c r="G1495">
        <v>75479.649376234796</v>
      </c>
      <c r="H1495">
        <v>3.2014499999999998E-4</v>
      </c>
      <c r="I1495">
        <v>2951</v>
      </c>
      <c r="J1495">
        <v>2920</v>
      </c>
      <c r="K1495">
        <v>31</v>
      </c>
      <c r="L1495">
        <v>500</v>
      </c>
      <c r="M1495">
        <v>499</v>
      </c>
      <c r="N1495">
        <v>1</v>
      </c>
      <c r="O1495">
        <v>64589.162682237897</v>
      </c>
      <c r="P1495">
        <v>0</v>
      </c>
    </row>
    <row r="1496" spans="1:16" x14ac:dyDescent="0.2">
      <c r="A1496" s="3" t="s">
        <v>49</v>
      </c>
      <c r="B1496" s="3" t="s">
        <v>50</v>
      </c>
      <c r="C1496">
        <v>39</v>
      </c>
      <c r="D1496">
        <v>18000</v>
      </c>
      <c r="E1496">
        <v>499</v>
      </c>
      <c r="F1496">
        <v>1</v>
      </c>
      <c r="G1496">
        <v>75479.649376234796</v>
      </c>
      <c r="H1496">
        <v>3.2002499999999999E-4</v>
      </c>
      <c r="I1496">
        <v>2948</v>
      </c>
      <c r="J1496">
        <v>2906</v>
      </c>
      <c r="K1496">
        <v>42</v>
      </c>
      <c r="L1496">
        <v>500</v>
      </c>
      <c r="M1496">
        <v>499</v>
      </c>
      <c r="N1496">
        <v>1</v>
      </c>
      <c r="O1496">
        <v>64641.310567884</v>
      </c>
      <c r="P1496">
        <v>0</v>
      </c>
    </row>
    <row r="1497" spans="1:16" x14ac:dyDescent="0.2">
      <c r="A1497" s="3" t="s">
        <v>49</v>
      </c>
      <c r="B1497" s="3" t="s">
        <v>50</v>
      </c>
      <c r="C1497">
        <v>39</v>
      </c>
      <c r="D1497">
        <v>18000</v>
      </c>
      <c r="E1497">
        <v>499</v>
      </c>
      <c r="F1497">
        <v>1</v>
      </c>
      <c r="G1497">
        <v>18000</v>
      </c>
      <c r="H1497">
        <v>3.1997900000000002E-4</v>
      </c>
      <c r="I1497">
        <v>3003</v>
      </c>
      <c r="J1497">
        <v>2945</v>
      </c>
      <c r="K1497">
        <v>58</v>
      </c>
      <c r="L1497">
        <v>500</v>
      </c>
      <c r="M1497">
        <v>499</v>
      </c>
      <c r="N1497">
        <v>1</v>
      </c>
      <c r="O1497">
        <v>14997</v>
      </c>
      <c r="P1497">
        <v>1</v>
      </c>
    </row>
    <row r="1498" spans="1:16" x14ac:dyDescent="0.2">
      <c r="A1498" s="3" t="s">
        <v>49</v>
      </c>
      <c r="B1498" s="3" t="s">
        <v>50</v>
      </c>
      <c r="C1498">
        <v>45</v>
      </c>
      <c r="D1498">
        <v>18000</v>
      </c>
      <c r="E1498">
        <v>499</v>
      </c>
      <c r="F1498">
        <v>1</v>
      </c>
      <c r="G1498">
        <v>75479.649376234796</v>
      </c>
      <c r="H1498">
        <v>3.1986100000000001E-4</v>
      </c>
      <c r="I1498">
        <v>2948</v>
      </c>
      <c r="J1498">
        <v>2912</v>
      </c>
      <c r="K1498">
        <v>36</v>
      </c>
      <c r="L1498">
        <v>500</v>
      </c>
      <c r="M1498">
        <v>499</v>
      </c>
      <c r="N1498">
        <v>1</v>
      </c>
      <c r="O1498">
        <v>64601.0119953346</v>
      </c>
      <c r="P1498">
        <v>0</v>
      </c>
    </row>
    <row r="1499" spans="1:16" x14ac:dyDescent="0.2">
      <c r="A1499" s="3" t="s">
        <v>49</v>
      </c>
      <c r="B1499" s="3" t="s">
        <v>50</v>
      </c>
      <c r="C1499">
        <v>17</v>
      </c>
      <c r="D1499">
        <v>18000</v>
      </c>
      <c r="E1499">
        <v>499</v>
      </c>
      <c r="F1499">
        <v>1</v>
      </c>
      <c r="G1499">
        <v>75479.649376234796</v>
      </c>
      <c r="H1499">
        <v>3.1979699999999997E-4</v>
      </c>
      <c r="I1499">
        <v>2965</v>
      </c>
      <c r="J1499">
        <v>2928</v>
      </c>
      <c r="K1499">
        <v>37</v>
      </c>
      <c r="L1499">
        <v>500</v>
      </c>
      <c r="M1499">
        <v>499</v>
      </c>
      <c r="N1499">
        <v>1</v>
      </c>
      <c r="O1499">
        <v>64673.435931126704</v>
      </c>
      <c r="P1499">
        <v>0</v>
      </c>
    </row>
    <row r="1500" spans="1:16" x14ac:dyDescent="0.2">
      <c r="A1500" s="3" t="s">
        <v>49</v>
      </c>
      <c r="B1500" s="3" t="s">
        <v>50</v>
      </c>
      <c r="C1500">
        <v>40</v>
      </c>
      <c r="D1500">
        <v>18000</v>
      </c>
      <c r="E1500">
        <v>499</v>
      </c>
      <c r="F1500">
        <v>1</v>
      </c>
      <c r="G1500">
        <v>75479.649376234796</v>
      </c>
      <c r="H1500">
        <v>3.1979600000000001E-4</v>
      </c>
      <c r="I1500">
        <v>2940</v>
      </c>
      <c r="J1500">
        <v>2906</v>
      </c>
      <c r="K1500">
        <v>34</v>
      </c>
      <c r="L1500">
        <v>500</v>
      </c>
      <c r="M1500">
        <v>499</v>
      </c>
      <c r="N1500">
        <v>1</v>
      </c>
      <c r="O1500">
        <v>64659.146309169599</v>
      </c>
      <c r="P1500">
        <v>0</v>
      </c>
    </row>
    <row r="1501" spans="1:16" x14ac:dyDescent="0.2">
      <c r="A1501" s="3" t="s">
        <v>49</v>
      </c>
      <c r="B1501" s="3" t="s">
        <v>50</v>
      </c>
      <c r="C1501">
        <v>39</v>
      </c>
      <c r="D1501">
        <v>16000</v>
      </c>
      <c r="E1501">
        <v>499</v>
      </c>
      <c r="F1501">
        <v>1</v>
      </c>
      <c r="G1501">
        <v>64781.839036288002</v>
      </c>
      <c r="H1501">
        <v>3.1978699999999998E-4</v>
      </c>
      <c r="I1501">
        <v>3000</v>
      </c>
      <c r="J1501">
        <v>2969</v>
      </c>
      <c r="K1501">
        <v>31</v>
      </c>
      <c r="L1501">
        <v>500</v>
      </c>
      <c r="M1501">
        <v>499</v>
      </c>
      <c r="N1501">
        <v>1</v>
      </c>
      <c r="O1501">
        <v>53921.874859457901</v>
      </c>
      <c r="P1501">
        <v>0</v>
      </c>
    </row>
    <row r="1502" spans="1:16" x14ac:dyDescent="0.2">
      <c r="A1502" s="3" t="s">
        <v>49</v>
      </c>
      <c r="B1502" s="3" t="s">
        <v>50</v>
      </c>
      <c r="C1502">
        <v>33</v>
      </c>
      <c r="D1502">
        <v>17000</v>
      </c>
      <c r="E1502">
        <v>499</v>
      </c>
      <c r="F1502">
        <v>1</v>
      </c>
      <c r="G1502">
        <v>65872.258119671897</v>
      </c>
      <c r="H1502">
        <v>3.1973199999999998E-4</v>
      </c>
      <c r="I1502">
        <v>2958</v>
      </c>
      <c r="J1502">
        <v>2926</v>
      </c>
      <c r="K1502">
        <v>32</v>
      </c>
      <c r="L1502">
        <v>500</v>
      </c>
      <c r="M1502">
        <v>499</v>
      </c>
      <c r="N1502">
        <v>1</v>
      </c>
      <c r="O1502">
        <v>55612.714051712202</v>
      </c>
      <c r="P1502">
        <v>0</v>
      </c>
    </row>
    <row r="1503" spans="1:16" x14ac:dyDescent="0.2">
      <c r="A1503" s="3" t="s">
        <v>49</v>
      </c>
      <c r="B1503" s="3" t="s">
        <v>50</v>
      </c>
      <c r="C1503">
        <v>23</v>
      </c>
      <c r="D1503">
        <v>18000</v>
      </c>
      <c r="E1503">
        <v>499</v>
      </c>
      <c r="F1503">
        <v>1</v>
      </c>
      <c r="G1503">
        <v>18000</v>
      </c>
      <c r="H1503">
        <v>3.19513E-4</v>
      </c>
      <c r="I1503">
        <v>2956</v>
      </c>
      <c r="J1503">
        <v>2918</v>
      </c>
      <c r="K1503">
        <v>38</v>
      </c>
      <c r="L1503">
        <v>500</v>
      </c>
      <c r="M1503">
        <v>499</v>
      </c>
      <c r="N1503">
        <v>1</v>
      </c>
      <c r="O1503">
        <v>15044</v>
      </c>
      <c r="P1503">
        <v>1</v>
      </c>
    </row>
    <row r="1504" spans="1:16" x14ac:dyDescent="0.2">
      <c r="A1504" s="3" t="s">
        <v>49</v>
      </c>
      <c r="B1504" s="3" t="s">
        <v>50</v>
      </c>
      <c r="C1504">
        <v>47</v>
      </c>
      <c r="D1504">
        <v>16000</v>
      </c>
      <c r="E1504">
        <v>499</v>
      </c>
      <c r="F1504">
        <v>1</v>
      </c>
      <c r="G1504">
        <v>16000</v>
      </c>
      <c r="H1504">
        <v>3.1946600000000002E-4</v>
      </c>
      <c r="I1504">
        <v>2950</v>
      </c>
      <c r="J1504">
        <v>2920</v>
      </c>
      <c r="K1504">
        <v>30</v>
      </c>
      <c r="L1504">
        <v>500</v>
      </c>
      <c r="M1504">
        <v>499</v>
      </c>
      <c r="N1504">
        <v>1</v>
      </c>
      <c r="O1504">
        <v>13050</v>
      </c>
      <c r="P1504">
        <v>1</v>
      </c>
    </row>
    <row r="1505" spans="1:16" x14ac:dyDescent="0.2">
      <c r="A1505" s="3" t="s">
        <v>49</v>
      </c>
      <c r="B1505" s="3" t="s">
        <v>50</v>
      </c>
      <c r="C1505">
        <v>7</v>
      </c>
      <c r="D1505">
        <v>18000</v>
      </c>
      <c r="E1505">
        <v>499</v>
      </c>
      <c r="F1505">
        <v>1</v>
      </c>
      <c r="G1505">
        <v>75479.649376234796</v>
      </c>
      <c r="H1505">
        <v>3.1916399999999998E-4</v>
      </c>
      <c r="I1505">
        <v>2963</v>
      </c>
      <c r="J1505">
        <v>2928</v>
      </c>
      <c r="K1505">
        <v>35</v>
      </c>
      <c r="L1505">
        <v>500</v>
      </c>
      <c r="M1505">
        <v>499</v>
      </c>
      <c r="N1505">
        <v>1</v>
      </c>
      <c r="O1505">
        <v>64576.614151679503</v>
      </c>
      <c r="P1505">
        <v>0</v>
      </c>
    </row>
    <row r="1506" spans="1:16" x14ac:dyDescent="0.2">
      <c r="A1506" s="3" t="s">
        <v>49</v>
      </c>
      <c r="B1506" s="3" t="s">
        <v>50</v>
      </c>
      <c r="C1506">
        <v>15</v>
      </c>
      <c r="D1506">
        <v>16000</v>
      </c>
      <c r="E1506">
        <v>499</v>
      </c>
      <c r="F1506">
        <v>1</v>
      </c>
      <c r="G1506">
        <v>16000</v>
      </c>
      <c r="H1506">
        <v>3.1905399999999998E-4</v>
      </c>
      <c r="I1506">
        <v>2954</v>
      </c>
      <c r="J1506">
        <v>2923</v>
      </c>
      <c r="K1506">
        <v>31</v>
      </c>
      <c r="L1506">
        <v>500</v>
      </c>
      <c r="M1506">
        <v>499</v>
      </c>
      <c r="N1506">
        <v>1</v>
      </c>
      <c r="O1506">
        <v>13046</v>
      </c>
      <c r="P1506">
        <v>1</v>
      </c>
    </row>
    <row r="1507" spans="1:16" x14ac:dyDescent="0.2">
      <c r="A1507" s="3" t="s">
        <v>49</v>
      </c>
      <c r="B1507" s="3" t="s">
        <v>50</v>
      </c>
      <c r="C1507">
        <v>43</v>
      </c>
      <c r="D1507">
        <v>18000</v>
      </c>
      <c r="E1507">
        <v>499</v>
      </c>
      <c r="F1507">
        <v>1</v>
      </c>
      <c r="G1507">
        <v>18000</v>
      </c>
      <c r="H1507">
        <v>3.1889800000000002E-4</v>
      </c>
      <c r="I1507">
        <v>2943</v>
      </c>
      <c r="J1507">
        <v>2906</v>
      </c>
      <c r="K1507">
        <v>37</v>
      </c>
      <c r="L1507">
        <v>500</v>
      </c>
      <c r="M1507">
        <v>499</v>
      </c>
      <c r="N1507">
        <v>1</v>
      </c>
      <c r="O1507">
        <v>15057</v>
      </c>
      <c r="P1507">
        <v>1</v>
      </c>
    </row>
    <row r="1508" spans="1:16" x14ac:dyDescent="0.2">
      <c r="A1508" s="3" t="s">
        <v>49</v>
      </c>
      <c r="B1508" s="3" t="s">
        <v>50</v>
      </c>
      <c r="C1508">
        <v>11</v>
      </c>
      <c r="D1508">
        <v>16000</v>
      </c>
      <c r="E1508">
        <v>499</v>
      </c>
      <c r="F1508">
        <v>1</v>
      </c>
      <c r="G1508">
        <v>64781.839036288002</v>
      </c>
      <c r="H1508">
        <v>3.1875099999999998E-4</v>
      </c>
      <c r="I1508">
        <v>2952</v>
      </c>
      <c r="J1508">
        <v>2917</v>
      </c>
      <c r="K1508">
        <v>35</v>
      </c>
      <c r="L1508">
        <v>500</v>
      </c>
      <c r="M1508">
        <v>499</v>
      </c>
      <c r="N1508">
        <v>1</v>
      </c>
      <c r="O1508">
        <v>54143.941483322204</v>
      </c>
      <c r="P1508">
        <v>0</v>
      </c>
    </row>
    <row r="1509" spans="1:16" x14ac:dyDescent="0.2">
      <c r="A1509" s="3" t="s">
        <v>49</v>
      </c>
      <c r="B1509" s="3" t="s">
        <v>50</v>
      </c>
      <c r="C1509">
        <v>13</v>
      </c>
      <c r="D1509">
        <v>18000</v>
      </c>
      <c r="E1509">
        <v>499</v>
      </c>
      <c r="F1509">
        <v>1</v>
      </c>
      <c r="G1509">
        <v>75479.649376234796</v>
      </c>
      <c r="H1509">
        <v>3.18697E-4</v>
      </c>
      <c r="I1509">
        <v>2947</v>
      </c>
      <c r="J1509">
        <v>2906</v>
      </c>
      <c r="K1509">
        <v>41</v>
      </c>
      <c r="L1509">
        <v>500</v>
      </c>
      <c r="M1509">
        <v>499</v>
      </c>
      <c r="N1509">
        <v>1</v>
      </c>
      <c r="O1509">
        <v>64620.0519643476</v>
      </c>
      <c r="P1509">
        <v>0</v>
      </c>
    </row>
    <row r="1510" spans="1:16" x14ac:dyDescent="0.2">
      <c r="A1510" s="3" t="s">
        <v>49</v>
      </c>
      <c r="B1510" s="3" t="s">
        <v>50</v>
      </c>
      <c r="C1510">
        <v>19</v>
      </c>
      <c r="D1510">
        <v>18000</v>
      </c>
      <c r="E1510">
        <v>499</v>
      </c>
      <c r="F1510">
        <v>1</v>
      </c>
      <c r="G1510">
        <v>75479.649376234796</v>
      </c>
      <c r="H1510">
        <v>3.1857700000000001E-4</v>
      </c>
      <c r="I1510">
        <v>2946</v>
      </c>
      <c r="J1510">
        <v>2918</v>
      </c>
      <c r="K1510">
        <v>28</v>
      </c>
      <c r="L1510">
        <v>500</v>
      </c>
      <c r="M1510">
        <v>499</v>
      </c>
      <c r="N1510">
        <v>1</v>
      </c>
      <c r="O1510">
        <v>64627.190026909098</v>
      </c>
      <c r="P1510">
        <v>0</v>
      </c>
    </row>
    <row r="1511" spans="1:16" x14ac:dyDescent="0.2">
      <c r="A1511" s="3" t="s">
        <v>49</v>
      </c>
      <c r="B1511" s="3" t="s">
        <v>50</v>
      </c>
      <c r="C1511">
        <v>25</v>
      </c>
      <c r="D1511">
        <v>18000</v>
      </c>
      <c r="E1511">
        <v>499</v>
      </c>
      <c r="F1511">
        <v>1</v>
      </c>
      <c r="G1511">
        <v>75479.649376234796</v>
      </c>
      <c r="H1511">
        <v>3.1856799999999998E-4</v>
      </c>
      <c r="I1511">
        <v>2953</v>
      </c>
      <c r="J1511">
        <v>2910</v>
      </c>
      <c r="K1511">
        <v>43</v>
      </c>
      <c r="L1511">
        <v>500</v>
      </c>
      <c r="M1511">
        <v>499</v>
      </c>
      <c r="N1511">
        <v>1</v>
      </c>
      <c r="O1511">
        <v>64647.344844464802</v>
      </c>
      <c r="P1511">
        <v>0</v>
      </c>
    </row>
    <row r="1512" spans="1:16" x14ac:dyDescent="0.2">
      <c r="A1512" s="3" t="s">
        <v>49</v>
      </c>
      <c r="B1512" s="3" t="s">
        <v>50</v>
      </c>
      <c r="C1512">
        <v>28</v>
      </c>
      <c r="D1512">
        <v>11000</v>
      </c>
      <c r="E1512">
        <v>499</v>
      </c>
      <c r="F1512">
        <v>1</v>
      </c>
      <c r="G1512">
        <v>44062.122210792702</v>
      </c>
      <c r="H1512">
        <v>3.18449E-4</v>
      </c>
      <c r="I1512">
        <v>2817</v>
      </c>
      <c r="J1512">
        <v>2797</v>
      </c>
      <c r="K1512">
        <v>20</v>
      </c>
      <c r="L1512">
        <v>500</v>
      </c>
      <c r="M1512">
        <v>499</v>
      </c>
      <c r="N1512">
        <v>1</v>
      </c>
      <c r="O1512">
        <v>33892.098771963399</v>
      </c>
      <c r="P1512">
        <v>0</v>
      </c>
    </row>
    <row r="1513" spans="1:16" x14ac:dyDescent="0.2">
      <c r="A1513" s="3" t="s">
        <v>49</v>
      </c>
      <c r="B1513" s="3" t="s">
        <v>50</v>
      </c>
      <c r="C1513">
        <v>50</v>
      </c>
      <c r="D1513">
        <v>18000</v>
      </c>
      <c r="E1513">
        <v>499</v>
      </c>
      <c r="F1513">
        <v>1</v>
      </c>
      <c r="G1513">
        <v>18000</v>
      </c>
      <c r="H1513">
        <v>3.1843000000000003E-4</v>
      </c>
      <c r="I1513">
        <v>2979</v>
      </c>
      <c r="J1513">
        <v>2938</v>
      </c>
      <c r="K1513">
        <v>41</v>
      </c>
      <c r="L1513">
        <v>500</v>
      </c>
      <c r="M1513">
        <v>499</v>
      </c>
      <c r="N1513">
        <v>1</v>
      </c>
      <c r="O1513">
        <v>15021</v>
      </c>
      <c r="P1513">
        <v>1</v>
      </c>
    </row>
    <row r="1514" spans="1:16" x14ac:dyDescent="0.2">
      <c r="A1514" s="3" t="s">
        <v>49</v>
      </c>
      <c r="B1514" s="3" t="s">
        <v>50</v>
      </c>
      <c r="C1514">
        <v>12</v>
      </c>
      <c r="D1514">
        <v>18000</v>
      </c>
      <c r="E1514">
        <v>499</v>
      </c>
      <c r="F1514">
        <v>1</v>
      </c>
      <c r="G1514">
        <v>75479.649376234796</v>
      </c>
      <c r="H1514">
        <v>3.1841200000000001E-4</v>
      </c>
      <c r="I1514">
        <v>2940</v>
      </c>
      <c r="J1514">
        <v>2902</v>
      </c>
      <c r="K1514">
        <v>38</v>
      </c>
      <c r="L1514">
        <v>500</v>
      </c>
      <c r="M1514">
        <v>499</v>
      </c>
      <c r="N1514">
        <v>1</v>
      </c>
      <c r="O1514">
        <v>64698.113342553101</v>
      </c>
      <c r="P1514">
        <v>0</v>
      </c>
    </row>
    <row r="1515" spans="1:16" x14ac:dyDescent="0.2">
      <c r="A1515" s="3" t="s">
        <v>49</v>
      </c>
      <c r="B1515" s="3" t="s">
        <v>50</v>
      </c>
      <c r="C1515">
        <v>9</v>
      </c>
      <c r="D1515">
        <v>18000</v>
      </c>
      <c r="E1515">
        <v>499</v>
      </c>
      <c r="F1515">
        <v>1</v>
      </c>
      <c r="G1515">
        <v>75479.649376234796</v>
      </c>
      <c r="H1515">
        <v>3.1834799999999998E-4</v>
      </c>
      <c r="I1515">
        <v>2949</v>
      </c>
      <c r="J1515">
        <v>2930</v>
      </c>
      <c r="K1515">
        <v>19</v>
      </c>
      <c r="L1515">
        <v>500</v>
      </c>
      <c r="M1515">
        <v>499</v>
      </c>
      <c r="N1515">
        <v>1</v>
      </c>
      <c r="O1515">
        <v>64685.322805879499</v>
      </c>
      <c r="P1515">
        <v>0</v>
      </c>
    </row>
    <row r="1516" spans="1:16" x14ac:dyDescent="0.2">
      <c r="A1516" s="3" t="s">
        <v>49</v>
      </c>
      <c r="B1516" s="3" t="s">
        <v>50</v>
      </c>
      <c r="C1516">
        <v>30</v>
      </c>
      <c r="D1516">
        <v>10000</v>
      </c>
      <c r="E1516">
        <v>499</v>
      </c>
      <c r="F1516">
        <v>1</v>
      </c>
      <c r="G1516">
        <v>10000</v>
      </c>
      <c r="H1516">
        <v>3.1823799999999998E-4</v>
      </c>
      <c r="I1516">
        <v>2706</v>
      </c>
      <c r="J1516">
        <v>2690</v>
      </c>
      <c r="K1516">
        <v>16</v>
      </c>
      <c r="L1516">
        <v>500</v>
      </c>
      <c r="M1516">
        <v>499</v>
      </c>
      <c r="N1516">
        <v>1</v>
      </c>
      <c r="O1516">
        <v>7294</v>
      </c>
      <c r="P1516">
        <v>1</v>
      </c>
    </row>
    <row r="1517" spans="1:16" x14ac:dyDescent="0.2">
      <c r="A1517" s="3" t="s">
        <v>49</v>
      </c>
      <c r="B1517" s="3" t="s">
        <v>50</v>
      </c>
      <c r="C1517">
        <v>29</v>
      </c>
      <c r="D1517">
        <v>11000</v>
      </c>
      <c r="E1517">
        <v>499</v>
      </c>
      <c r="F1517">
        <v>1</v>
      </c>
      <c r="G1517">
        <v>44062.122210792702</v>
      </c>
      <c r="H1517">
        <v>3.1812799999999999E-4</v>
      </c>
      <c r="I1517">
        <v>2760</v>
      </c>
      <c r="J1517">
        <v>2739</v>
      </c>
      <c r="K1517">
        <v>21</v>
      </c>
      <c r="L1517">
        <v>500</v>
      </c>
      <c r="M1517">
        <v>499</v>
      </c>
      <c r="N1517">
        <v>1</v>
      </c>
      <c r="O1517">
        <v>34027.567497998098</v>
      </c>
      <c r="P1517">
        <v>0</v>
      </c>
    </row>
    <row r="1518" spans="1:16" x14ac:dyDescent="0.2">
      <c r="A1518" s="3" t="s">
        <v>49</v>
      </c>
      <c r="B1518" s="3" t="s">
        <v>50</v>
      </c>
      <c r="C1518">
        <v>26</v>
      </c>
      <c r="D1518">
        <v>18000</v>
      </c>
      <c r="E1518">
        <v>499</v>
      </c>
      <c r="F1518">
        <v>1</v>
      </c>
      <c r="G1518">
        <v>75479.649376234796</v>
      </c>
      <c r="H1518">
        <v>3.1803700000000002E-4</v>
      </c>
      <c r="I1518">
        <v>2923</v>
      </c>
      <c r="J1518">
        <v>2892</v>
      </c>
      <c r="K1518">
        <v>31</v>
      </c>
      <c r="L1518">
        <v>500</v>
      </c>
      <c r="M1518">
        <v>499</v>
      </c>
      <c r="N1518">
        <v>1</v>
      </c>
      <c r="O1518">
        <v>64774.908414833502</v>
      </c>
      <c r="P1518">
        <v>0</v>
      </c>
    </row>
    <row r="1519" spans="1:16" x14ac:dyDescent="0.2">
      <c r="A1519" s="3" t="s">
        <v>49</v>
      </c>
      <c r="B1519" s="3" t="s">
        <v>50</v>
      </c>
      <c r="C1519">
        <v>6</v>
      </c>
      <c r="D1519">
        <v>10000</v>
      </c>
      <c r="E1519">
        <v>499</v>
      </c>
      <c r="F1519">
        <v>1</v>
      </c>
      <c r="G1519">
        <v>39482.677260513999</v>
      </c>
      <c r="H1519">
        <v>3.1762400000000002E-4</v>
      </c>
      <c r="I1519">
        <v>2758</v>
      </c>
      <c r="J1519">
        <v>2736</v>
      </c>
      <c r="K1519">
        <v>22</v>
      </c>
      <c r="L1519">
        <v>500</v>
      </c>
      <c r="M1519">
        <v>499</v>
      </c>
      <c r="N1519">
        <v>1</v>
      </c>
      <c r="O1519">
        <v>29751.793789558898</v>
      </c>
      <c r="P1519">
        <v>0</v>
      </c>
    </row>
    <row r="1520" spans="1:16" x14ac:dyDescent="0.2">
      <c r="A1520" s="3" t="s">
        <v>49</v>
      </c>
      <c r="B1520" s="3" t="s">
        <v>50</v>
      </c>
      <c r="C1520">
        <v>33</v>
      </c>
      <c r="D1520">
        <v>18000</v>
      </c>
      <c r="E1520">
        <v>499</v>
      </c>
      <c r="F1520">
        <v>1</v>
      </c>
      <c r="G1520">
        <v>18000</v>
      </c>
      <c r="H1520">
        <v>3.1753199999999998E-4</v>
      </c>
      <c r="I1520">
        <v>2951</v>
      </c>
      <c r="J1520">
        <v>2922</v>
      </c>
      <c r="K1520">
        <v>29</v>
      </c>
      <c r="L1520">
        <v>500</v>
      </c>
      <c r="M1520">
        <v>499</v>
      </c>
      <c r="N1520">
        <v>1</v>
      </c>
      <c r="O1520">
        <v>15049</v>
      </c>
      <c r="P1520">
        <v>1</v>
      </c>
    </row>
    <row r="1521" spans="1:16" x14ac:dyDescent="0.2">
      <c r="A1521" s="3" t="s">
        <v>49</v>
      </c>
      <c r="B1521" s="3" t="s">
        <v>50</v>
      </c>
      <c r="C1521">
        <v>42</v>
      </c>
      <c r="D1521">
        <v>18000</v>
      </c>
      <c r="E1521">
        <v>499</v>
      </c>
      <c r="F1521">
        <v>1</v>
      </c>
      <c r="G1521">
        <v>18000</v>
      </c>
      <c r="H1521">
        <v>3.17523E-4</v>
      </c>
      <c r="I1521">
        <v>2961</v>
      </c>
      <c r="J1521">
        <v>2923</v>
      </c>
      <c r="K1521">
        <v>38</v>
      </c>
      <c r="L1521">
        <v>500</v>
      </c>
      <c r="M1521">
        <v>499</v>
      </c>
      <c r="N1521">
        <v>1</v>
      </c>
      <c r="O1521">
        <v>15039</v>
      </c>
      <c r="P1521">
        <v>1</v>
      </c>
    </row>
    <row r="1522" spans="1:16" x14ac:dyDescent="0.2">
      <c r="A1522" s="3" t="s">
        <v>49</v>
      </c>
      <c r="B1522" s="3" t="s">
        <v>50</v>
      </c>
      <c r="C1522">
        <v>16</v>
      </c>
      <c r="D1522">
        <v>18000</v>
      </c>
      <c r="E1522">
        <v>499</v>
      </c>
      <c r="F1522">
        <v>1</v>
      </c>
      <c r="G1522">
        <v>75479.649376234796</v>
      </c>
      <c r="H1522">
        <v>3.1745900000000002E-4</v>
      </c>
      <c r="I1522">
        <v>2997</v>
      </c>
      <c r="J1522">
        <v>2963</v>
      </c>
      <c r="K1522">
        <v>34</v>
      </c>
      <c r="L1522">
        <v>500</v>
      </c>
      <c r="M1522">
        <v>499</v>
      </c>
      <c r="N1522">
        <v>1</v>
      </c>
      <c r="O1522">
        <v>64547.299238593201</v>
      </c>
      <c r="P1522">
        <v>0</v>
      </c>
    </row>
    <row r="1523" spans="1:16" x14ac:dyDescent="0.2">
      <c r="A1523" s="3" t="s">
        <v>49</v>
      </c>
      <c r="B1523" s="3" t="s">
        <v>50</v>
      </c>
      <c r="C1523">
        <v>21</v>
      </c>
      <c r="D1523">
        <v>17000</v>
      </c>
      <c r="E1523">
        <v>499</v>
      </c>
      <c r="F1523">
        <v>1</v>
      </c>
      <c r="G1523">
        <v>65872.258119671897</v>
      </c>
      <c r="H1523">
        <v>3.1744999999999999E-4</v>
      </c>
      <c r="I1523">
        <v>2964</v>
      </c>
      <c r="J1523">
        <v>2930</v>
      </c>
      <c r="K1523">
        <v>34</v>
      </c>
      <c r="L1523">
        <v>500</v>
      </c>
      <c r="M1523">
        <v>499</v>
      </c>
      <c r="N1523">
        <v>1</v>
      </c>
      <c r="O1523">
        <v>55634.708831290001</v>
      </c>
      <c r="P1523">
        <v>0</v>
      </c>
    </row>
    <row r="1524" spans="1:16" x14ac:dyDescent="0.2">
      <c r="A1524" s="3" t="s">
        <v>49</v>
      </c>
      <c r="B1524" s="3" t="s">
        <v>50</v>
      </c>
      <c r="C1524">
        <v>50</v>
      </c>
      <c r="D1524">
        <v>17000</v>
      </c>
      <c r="E1524">
        <v>499</v>
      </c>
      <c r="F1524">
        <v>1</v>
      </c>
      <c r="G1524">
        <v>17000</v>
      </c>
      <c r="H1524">
        <v>3.1726600000000002E-4</v>
      </c>
      <c r="I1524">
        <v>2989</v>
      </c>
      <c r="J1524">
        <v>2950</v>
      </c>
      <c r="K1524">
        <v>39</v>
      </c>
      <c r="L1524">
        <v>500</v>
      </c>
      <c r="M1524">
        <v>499</v>
      </c>
      <c r="N1524">
        <v>1</v>
      </c>
      <c r="O1524">
        <v>14011</v>
      </c>
      <c r="P1524">
        <v>1</v>
      </c>
    </row>
    <row r="1525" spans="1:16" x14ac:dyDescent="0.2">
      <c r="A1525" s="3" t="s">
        <v>49</v>
      </c>
      <c r="B1525" s="3" t="s">
        <v>50</v>
      </c>
      <c r="C1525">
        <v>7</v>
      </c>
      <c r="D1525">
        <v>18000</v>
      </c>
      <c r="E1525">
        <v>499</v>
      </c>
      <c r="F1525">
        <v>1</v>
      </c>
      <c r="G1525">
        <v>18000</v>
      </c>
      <c r="H1525">
        <v>3.1725699999999999E-4</v>
      </c>
      <c r="I1525">
        <v>2908</v>
      </c>
      <c r="J1525">
        <v>2874</v>
      </c>
      <c r="K1525">
        <v>34</v>
      </c>
      <c r="L1525">
        <v>500</v>
      </c>
      <c r="M1525">
        <v>499</v>
      </c>
      <c r="N1525">
        <v>1</v>
      </c>
      <c r="O1525">
        <v>15092</v>
      </c>
      <c r="P1525">
        <v>1</v>
      </c>
    </row>
    <row r="1526" spans="1:16" x14ac:dyDescent="0.2">
      <c r="A1526" s="3" t="s">
        <v>49</v>
      </c>
      <c r="B1526" s="3" t="s">
        <v>50</v>
      </c>
      <c r="C1526">
        <v>37</v>
      </c>
      <c r="D1526">
        <v>16000</v>
      </c>
      <c r="E1526">
        <v>499</v>
      </c>
      <c r="F1526">
        <v>1</v>
      </c>
      <c r="G1526">
        <v>16000</v>
      </c>
      <c r="H1526">
        <v>3.1718399999999998E-4</v>
      </c>
      <c r="I1526">
        <v>2961</v>
      </c>
      <c r="J1526">
        <v>2934</v>
      </c>
      <c r="K1526">
        <v>27</v>
      </c>
      <c r="L1526">
        <v>500</v>
      </c>
      <c r="M1526">
        <v>499</v>
      </c>
      <c r="N1526">
        <v>1</v>
      </c>
      <c r="O1526">
        <v>13039</v>
      </c>
      <c r="P1526">
        <v>1</v>
      </c>
    </row>
    <row r="1527" spans="1:16" x14ac:dyDescent="0.2">
      <c r="A1527" s="3" t="s">
        <v>49</v>
      </c>
      <c r="B1527" s="3" t="s">
        <v>50</v>
      </c>
      <c r="C1527">
        <v>22</v>
      </c>
      <c r="D1527">
        <v>17000</v>
      </c>
      <c r="E1527">
        <v>499</v>
      </c>
      <c r="F1527">
        <v>1</v>
      </c>
      <c r="G1527">
        <v>65872.258119671897</v>
      </c>
      <c r="H1527">
        <v>3.1710100000000003E-4</v>
      </c>
      <c r="I1527">
        <v>2954</v>
      </c>
      <c r="J1527">
        <v>2919</v>
      </c>
      <c r="K1527">
        <v>35</v>
      </c>
      <c r="L1527">
        <v>500</v>
      </c>
      <c r="M1527">
        <v>499</v>
      </c>
      <c r="N1527">
        <v>1</v>
      </c>
      <c r="O1527">
        <v>55708.373507039301</v>
      </c>
      <c r="P1527">
        <v>0</v>
      </c>
    </row>
    <row r="1528" spans="1:16" x14ac:dyDescent="0.2">
      <c r="A1528" s="3" t="s">
        <v>49</v>
      </c>
      <c r="B1528" s="3" t="s">
        <v>50</v>
      </c>
      <c r="C1528">
        <v>24</v>
      </c>
      <c r="D1528">
        <v>18000</v>
      </c>
      <c r="E1528">
        <v>499</v>
      </c>
      <c r="F1528">
        <v>1</v>
      </c>
      <c r="G1528">
        <v>75479.649376234796</v>
      </c>
      <c r="H1528">
        <v>3.1701899999999998E-4</v>
      </c>
      <c r="I1528">
        <v>2942</v>
      </c>
      <c r="J1528">
        <v>2914</v>
      </c>
      <c r="K1528">
        <v>28</v>
      </c>
      <c r="L1528">
        <v>500</v>
      </c>
      <c r="M1528">
        <v>499</v>
      </c>
      <c r="N1528">
        <v>1</v>
      </c>
      <c r="O1528">
        <v>64643.119389194697</v>
      </c>
      <c r="P1528">
        <v>0</v>
      </c>
    </row>
    <row r="1529" spans="1:16" x14ac:dyDescent="0.2">
      <c r="A1529" s="3" t="s">
        <v>49</v>
      </c>
      <c r="B1529" s="3" t="s">
        <v>50</v>
      </c>
      <c r="C1529">
        <v>28</v>
      </c>
      <c r="D1529">
        <v>16000</v>
      </c>
      <c r="E1529">
        <v>499</v>
      </c>
      <c r="F1529">
        <v>1</v>
      </c>
      <c r="G1529">
        <v>64781.839036288002</v>
      </c>
      <c r="H1529">
        <v>3.16772E-4</v>
      </c>
      <c r="I1529">
        <v>2946</v>
      </c>
      <c r="J1529">
        <v>2909</v>
      </c>
      <c r="K1529">
        <v>37</v>
      </c>
      <c r="L1529">
        <v>500</v>
      </c>
      <c r="M1529">
        <v>499</v>
      </c>
      <c r="N1529">
        <v>1</v>
      </c>
      <c r="O1529">
        <v>54109.429581976699</v>
      </c>
      <c r="P1529">
        <v>0</v>
      </c>
    </row>
    <row r="1530" spans="1:16" x14ac:dyDescent="0.2">
      <c r="A1530" s="3" t="s">
        <v>49</v>
      </c>
      <c r="B1530" s="3" t="s">
        <v>50</v>
      </c>
      <c r="C1530">
        <v>40</v>
      </c>
      <c r="D1530">
        <v>18000</v>
      </c>
      <c r="E1530">
        <v>499</v>
      </c>
      <c r="F1530">
        <v>1</v>
      </c>
      <c r="G1530">
        <v>18000</v>
      </c>
      <c r="H1530">
        <v>3.1667000000000002E-4</v>
      </c>
      <c r="I1530">
        <v>2979</v>
      </c>
      <c r="J1530">
        <v>2935</v>
      </c>
      <c r="K1530">
        <v>44</v>
      </c>
      <c r="L1530">
        <v>500</v>
      </c>
      <c r="M1530">
        <v>499</v>
      </c>
      <c r="N1530">
        <v>1</v>
      </c>
      <c r="O1530">
        <v>15021</v>
      </c>
      <c r="P1530">
        <v>1</v>
      </c>
    </row>
    <row r="1531" spans="1:16" x14ac:dyDescent="0.2">
      <c r="A1531" s="3" t="s">
        <v>49</v>
      </c>
      <c r="B1531" s="3" t="s">
        <v>50</v>
      </c>
      <c r="C1531">
        <v>19</v>
      </c>
      <c r="D1531">
        <v>17000</v>
      </c>
      <c r="E1531">
        <v>499</v>
      </c>
      <c r="F1531">
        <v>1</v>
      </c>
      <c r="G1531">
        <v>65872.258119671897</v>
      </c>
      <c r="H1531">
        <v>3.1657899999999999E-4</v>
      </c>
      <c r="I1531">
        <v>2984</v>
      </c>
      <c r="J1531">
        <v>2940</v>
      </c>
      <c r="K1531">
        <v>44</v>
      </c>
      <c r="L1531">
        <v>500</v>
      </c>
      <c r="M1531">
        <v>499</v>
      </c>
      <c r="N1531">
        <v>1</v>
      </c>
      <c r="O1531">
        <v>55487.362509786602</v>
      </c>
      <c r="P1531">
        <v>0</v>
      </c>
    </row>
    <row r="1532" spans="1:16" x14ac:dyDescent="0.2">
      <c r="A1532" s="3" t="s">
        <v>49</v>
      </c>
      <c r="B1532" s="3" t="s">
        <v>50</v>
      </c>
      <c r="C1532">
        <v>1</v>
      </c>
      <c r="D1532">
        <v>17000</v>
      </c>
      <c r="E1532">
        <v>499</v>
      </c>
      <c r="F1532">
        <v>1</v>
      </c>
      <c r="G1532">
        <v>65872.258119671897</v>
      </c>
      <c r="H1532">
        <v>3.1653300000000003E-4</v>
      </c>
      <c r="I1532">
        <v>2971</v>
      </c>
      <c r="J1532">
        <v>2939</v>
      </c>
      <c r="K1532">
        <v>32</v>
      </c>
      <c r="L1532">
        <v>500</v>
      </c>
      <c r="M1532">
        <v>499</v>
      </c>
      <c r="N1532">
        <v>1</v>
      </c>
      <c r="O1532">
        <v>55577.967123527298</v>
      </c>
      <c r="P1532">
        <v>0</v>
      </c>
    </row>
    <row r="1533" spans="1:16" x14ac:dyDescent="0.2">
      <c r="A1533" s="3" t="s">
        <v>49</v>
      </c>
      <c r="B1533" s="3" t="s">
        <v>50</v>
      </c>
      <c r="C1533">
        <v>39</v>
      </c>
      <c r="D1533">
        <v>12000</v>
      </c>
      <c r="E1533">
        <v>499</v>
      </c>
      <c r="F1533">
        <v>1</v>
      </c>
      <c r="G1533">
        <v>50533.323552418398</v>
      </c>
      <c r="H1533">
        <v>3.1639500000000002E-4</v>
      </c>
      <c r="I1533">
        <v>2752</v>
      </c>
      <c r="J1533">
        <v>2726</v>
      </c>
      <c r="K1533">
        <v>26</v>
      </c>
      <c r="L1533">
        <v>500</v>
      </c>
      <c r="M1533">
        <v>499</v>
      </c>
      <c r="N1533">
        <v>1</v>
      </c>
      <c r="O1533">
        <v>39951.993960464497</v>
      </c>
      <c r="P1533">
        <v>0</v>
      </c>
    </row>
    <row r="1534" spans="1:16" x14ac:dyDescent="0.2">
      <c r="A1534" s="3" t="s">
        <v>49</v>
      </c>
      <c r="B1534" s="3" t="s">
        <v>50</v>
      </c>
      <c r="C1534">
        <v>49</v>
      </c>
      <c r="D1534">
        <v>17000</v>
      </c>
      <c r="E1534">
        <v>499</v>
      </c>
      <c r="F1534">
        <v>1</v>
      </c>
      <c r="G1534">
        <v>17000</v>
      </c>
      <c r="H1534">
        <v>3.1635000000000002E-4</v>
      </c>
      <c r="I1534">
        <v>2923</v>
      </c>
      <c r="J1534">
        <v>2895</v>
      </c>
      <c r="K1534">
        <v>28</v>
      </c>
      <c r="L1534">
        <v>500</v>
      </c>
      <c r="M1534">
        <v>499</v>
      </c>
      <c r="N1534">
        <v>1</v>
      </c>
      <c r="O1534">
        <v>14077</v>
      </c>
      <c r="P1534">
        <v>1</v>
      </c>
    </row>
    <row r="1535" spans="1:16" x14ac:dyDescent="0.2">
      <c r="A1535" s="3" t="s">
        <v>49</v>
      </c>
      <c r="B1535" s="3" t="s">
        <v>50</v>
      </c>
      <c r="C1535">
        <v>2</v>
      </c>
      <c r="D1535">
        <v>18000</v>
      </c>
      <c r="E1535">
        <v>499</v>
      </c>
      <c r="F1535">
        <v>1</v>
      </c>
      <c r="G1535">
        <v>18000</v>
      </c>
      <c r="H1535">
        <v>3.1633099999999999E-4</v>
      </c>
      <c r="I1535">
        <v>2976</v>
      </c>
      <c r="J1535">
        <v>2933</v>
      </c>
      <c r="K1535">
        <v>43</v>
      </c>
      <c r="L1535">
        <v>500</v>
      </c>
      <c r="M1535">
        <v>499</v>
      </c>
      <c r="N1535">
        <v>1</v>
      </c>
      <c r="O1535">
        <v>15024</v>
      </c>
      <c r="P1535">
        <v>1</v>
      </c>
    </row>
    <row r="1536" spans="1:16" x14ac:dyDescent="0.2">
      <c r="A1536" s="3" t="s">
        <v>49</v>
      </c>
      <c r="B1536" s="3" t="s">
        <v>50</v>
      </c>
      <c r="C1536">
        <v>22</v>
      </c>
      <c r="D1536">
        <v>18000</v>
      </c>
      <c r="E1536">
        <v>499</v>
      </c>
      <c r="F1536">
        <v>1</v>
      </c>
      <c r="G1536">
        <v>18000</v>
      </c>
      <c r="H1536">
        <v>3.1603799999999999E-4</v>
      </c>
      <c r="I1536">
        <v>2981</v>
      </c>
      <c r="J1536">
        <v>2945</v>
      </c>
      <c r="K1536">
        <v>36</v>
      </c>
      <c r="L1536">
        <v>500</v>
      </c>
      <c r="M1536">
        <v>499</v>
      </c>
      <c r="N1536">
        <v>1</v>
      </c>
      <c r="O1536">
        <v>15019</v>
      </c>
      <c r="P1536">
        <v>1</v>
      </c>
    </row>
    <row r="1537" spans="1:16" x14ac:dyDescent="0.2">
      <c r="A1537" s="3" t="s">
        <v>49</v>
      </c>
      <c r="B1537" s="3" t="s">
        <v>50</v>
      </c>
      <c r="C1537">
        <v>33</v>
      </c>
      <c r="D1537">
        <v>13000</v>
      </c>
      <c r="E1537">
        <v>499</v>
      </c>
      <c r="F1537">
        <v>1</v>
      </c>
      <c r="G1537">
        <v>13000</v>
      </c>
      <c r="H1537">
        <v>3.1524100000000001E-4</v>
      </c>
      <c r="I1537">
        <v>2835</v>
      </c>
      <c r="J1537">
        <v>2801</v>
      </c>
      <c r="K1537">
        <v>34</v>
      </c>
      <c r="L1537">
        <v>500</v>
      </c>
      <c r="M1537">
        <v>499</v>
      </c>
      <c r="N1537">
        <v>1</v>
      </c>
      <c r="O1537">
        <v>10165</v>
      </c>
      <c r="P1537">
        <v>1</v>
      </c>
    </row>
    <row r="1538" spans="1:16" x14ac:dyDescent="0.2">
      <c r="A1538" s="3" t="s">
        <v>49</v>
      </c>
      <c r="B1538" s="3" t="s">
        <v>50</v>
      </c>
      <c r="C1538">
        <v>2</v>
      </c>
      <c r="D1538">
        <v>16000</v>
      </c>
      <c r="E1538">
        <v>499</v>
      </c>
      <c r="F1538">
        <v>1</v>
      </c>
      <c r="G1538">
        <v>64781.839036288002</v>
      </c>
      <c r="H1538">
        <v>3.1514899999999997E-4</v>
      </c>
      <c r="I1538">
        <v>2980</v>
      </c>
      <c r="J1538">
        <v>2942</v>
      </c>
      <c r="K1538">
        <v>38</v>
      </c>
      <c r="L1538">
        <v>500</v>
      </c>
      <c r="M1538">
        <v>499</v>
      </c>
      <c r="N1538">
        <v>1</v>
      </c>
      <c r="O1538">
        <v>54073.672433091997</v>
      </c>
      <c r="P1538">
        <v>0</v>
      </c>
    </row>
    <row r="1539" spans="1:16" x14ac:dyDescent="0.2">
      <c r="A1539" s="3" t="s">
        <v>49</v>
      </c>
      <c r="B1539" s="3" t="s">
        <v>50</v>
      </c>
      <c r="C1539">
        <v>27</v>
      </c>
      <c r="D1539">
        <v>17000</v>
      </c>
      <c r="E1539">
        <v>499</v>
      </c>
      <c r="F1539">
        <v>1</v>
      </c>
      <c r="G1539">
        <v>65872.258119671897</v>
      </c>
      <c r="H1539">
        <v>3.1513100000000002E-4</v>
      </c>
      <c r="I1539">
        <v>2937</v>
      </c>
      <c r="J1539">
        <v>2906</v>
      </c>
      <c r="K1539">
        <v>31</v>
      </c>
      <c r="L1539">
        <v>500</v>
      </c>
      <c r="M1539">
        <v>499</v>
      </c>
      <c r="N1539">
        <v>1</v>
      </c>
      <c r="O1539">
        <v>55652.233887694703</v>
      </c>
      <c r="P1539">
        <v>0</v>
      </c>
    </row>
    <row r="1540" spans="1:16" x14ac:dyDescent="0.2">
      <c r="A1540" s="3" t="s">
        <v>49</v>
      </c>
      <c r="B1540" s="3" t="s">
        <v>50</v>
      </c>
      <c r="C1540">
        <v>15</v>
      </c>
      <c r="D1540">
        <v>13000</v>
      </c>
      <c r="E1540">
        <v>499</v>
      </c>
      <c r="F1540">
        <v>1</v>
      </c>
      <c r="G1540">
        <v>13000</v>
      </c>
      <c r="H1540">
        <v>3.1483699999999999E-4</v>
      </c>
      <c r="I1540">
        <v>2817</v>
      </c>
      <c r="J1540">
        <v>2794</v>
      </c>
      <c r="K1540">
        <v>23</v>
      </c>
      <c r="L1540">
        <v>500</v>
      </c>
      <c r="M1540">
        <v>499</v>
      </c>
      <c r="N1540">
        <v>1</v>
      </c>
      <c r="O1540">
        <v>10183</v>
      </c>
      <c r="P1540">
        <v>1</v>
      </c>
    </row>
    <row r="1541" spans="1:16" x14ac:dyDescent="0.2">
      <c r="A1541" s="3" t="s">
        <v>49</v>
      </c>
      <c r="B1541" s="3" t="s">
        <v>50</v>
      </c>
      <c r="C1541">
        <v>23</v>
      </c>
      <c r="D1541">
        <v>17000</v>
      </c>
      <c r="E1541">
        <v>499</v>
      </c>
      <c r="F1541">
        <v>1</v>
      </c>
      <c r="G1541">
        <v>65872.258119671897</v>
      </c>
      <c r="H1541">
        <v>3.1476399999999998E-4</v>
      </c>
      <c r="I1541">
        <v>2971</v>
      </c>
      <c r="J1541">
        <v>2925</v>
      </c>
      <c r="K1541">
        <v>46</v>
      </c>
      <c r="L1541">
        <v>500</v>
      </c>
      <c r="M1541">
        <v>499</v>
      </c>
      <c r="N1541">
        <v>1</v>
      </c>
      <c r="O1541">
        <v>55487.603261956901</v>
      </c>
      <c r="P1541">
        <v>0</v>
      </c>
    </row>
    <row r="1542" spans="1:16" x14ac:dyDescent="0.2">
      <c r="A1542" s="3" t="s">
        <v>49</v>
      </c>
      <c r="B1542" s="3" t="s">
        <v>50</v>
      </c>
      <c r="C1542">
        <v>24</v>
      </c>
      <c r="D1542">
        <v>17000</v>
      </c>
      <c r="E1542">
        <v>499</v>
      </c>
      <c r="F1542">
        <v>1</v>
      </c>
      <c r="G1542">
        <v>65872.258119671897</v>
      </c>
      <c r="H1542">
        <v>3.14727E-4</v>
      </c>
      <c r="I1542">
        <v>2971</v>
      </c>
      <c r="J1542">
        <v>2940</v>
      </c>
      <c r="K1542">
        <v>31</v>
      </c>
      <c r="L1542">
        <v>500</v>
      </c>
      <c r="M1542">
        <v>499</v>
      </c>
      <c r="N1542">
        <v>1</v>
      </c>
      <c r="O1542">
        <v>55632.838385830699</v>
      </c>
      <c r="P1542">
        <v>0</v>
      </c>
    </row>
    <row r="1543" spans="1:16" x14ac:dyDescent="0.2">
      <c r="A1543" s="3" t="s">
        <v>49</v>
      </c>
      <c r="B1543" s="3" t="s">
        <v>50</v>
      </c>
      <c r="C1543">
        <v>36</v>
      </c>
      <c r="D1543">
        <v>17000</v>
      </c>
      <c r="E1543">
        <v>499</v>
      </c>
      <c r="F1543">
        <v>1</v>
      </c>
      <c r="G1543">
        <v>17000</v>
      </c>
      <c r="H1543">
        <v>3.1455300000000002E-4</v>
      </c>
      <c r="I1543">
        <v>2927</v>
      </c>
      <c r="J1543">
        <v>2887</v>
      </c>
      <c r="K1543">
        <v>40</v>
      </c>
      <c r="L1543">
        <v>500</v>
      </c>
      <c r="M1543">
        <v>499</v>
      </c>
      <c r="N1543">
        <v>1</v>
      </c>
      <c r="O1543">
        <v>14073</v>
      </c>
      <c r="P1543">
        <v>1</v>
      </c>
    </row>
    <row r="1544" spans="1:16" x14ac:dyDescent="0.2">
      <c r="A1544" s="3" t="s">
        <v>49</v>
      </c>
      <c r="B1544" s="3" t="s">
        <v>50</v>
      </c>
      <c r="C1544">
        <v>49</v>
      </c>
      <c r="D1544">
        <v>18000</v>
      </c>
      <c r="E1544">
        <v>499</v>
      </c>
      <c r="F1544">
        <v>1</v>
      </c>
      <c r="G1544">
        <v>18000</v>
      </c>
      <c r="H1544">
        <v>3.14507E-4</v>
      </c>
      <c r="I1544">
        <v>2910</v>
      </c>
      <c r="J1544">
        <v>2878</v>
      </c>
      <c r="K1544">
        <v>32</v>
      </c>
      <c r="L1544">
        <v>500</v>
      </c>
      <c r="M1544">
        <v>499</v>
      </c>
      <c r="N1544">
        <v>1</v>
      </c>
      <c r="O1544">
        <v>15090</v>
      </c>
      <c r="P1544">
        <v>1</v>
      </c>
    </row>
    <row r="1545" spans="1:16" x14ac:dyDescent="0.2">
      <c r="A1545" s="3" t="s">
        <v>49</v>
      </c>
      <c r="B1545" s="3" t="s">
        <v>50</v>
      </c>
      <c r="C1545">
        <v>9</v>
      </c>
      <c r="D1545">
        <v>17000</v>
      </c>
      <c r="E1545">
        <v>499</v>
      </c>
      <c r="F1545">
        <v>1</v>
      </c>
      <c r="G1545">
        <v>17000</v>
      </c>
      <c r="H1545">
        <v>3.1448899999999999E-4</v>
      </c>
      <c r="I1545">
        <v>2967</v>
      </c>
      <c r="J1545">
        <v>2934</v>
      </c>
      <c r="K1545">
        <v>33</v>
      </c>
      <c r="L1545">
        <v>500</v>
      </c>
      <c r="M1545">
        <v>499</v>
      </c>
      <c r="N1545">
        <v>1</v>
      </c>
      <c r="O1545">
        <v>14033</v>
      </c>
      <c r="P1545">
        <v>1</v>
      </c>
    </row>
    <row r="1546" spans="1:16" x14ac:dyDescent="0.2">
      <c r="A1546" s="3" t="s">
        <v>49</v>
      </c>
      <c r="B1546" s="3" t="s">
        <v>50</v>
      </c>
      <c r="C1546">
        <v>24</v>
      </c>
      <c r="D1546">
        <v>16000</v>
      </c>
      <c r="E1546">
        <v>499</v>
      </c>
      <c r="F1546">
        <v>1</v>
      </c>
      <c r="G1546">
        <v>16000</v>
      </c>
      <c r="H1546">
        <v>3.1442500000000001E-4</v>
      </c>
      <c r="I1546">
        <v>2932</v>
      </c>
      <c r="J1546">
        <v>2906</v>
      </c>
      <c r="K1546">
        <v>26</v>
      </c>
      <c r="L1546">
        <v>500</v>
      </c>
      <c r="M1546">
        <v>499</v>
      </c>
      <c r="N1546">
        <v>1</v>
      </c>
      <c r="O1546">
        <v>13068</v>
      </c>
      <c r="P1546">
        <v>1</v>
      </c>
    </row>
    <row r="1547" spans="1:16" x14ac:dyDescent="0.2">
      <c r="A1547" s="3" t="s">
        <v>49</v>
      </c>
      <c r="B1547" s="3" t="s">
        <v>50</v>
      </c>
      <c r="C1547">
        <v>2</v>
      </c>
      <c r="D1547">
        <v>10000</v>
      </c>
      <c r="E1547">
        <v>499</v>
      </c>
      <c r="F1547">
        <v>1</v>
      </c>
      <c r="G1547">
        <v>10000</v>
      </c>
      <c r="H1547">
        <v>3.14242E-4</v>
      </c>
      <c r="I1547">
        <v>2734</v>
      </c>
      <c r="J1547">
        <v>2715</v>
      </c>
      <c r="K1547">
        <v>19</v>
      </c>
      <c r="L1547">
        <v>500</v>
      </c>
      <c r="M1547">
        <v>499</v>
      </c>
      <c r="N1547">
        <v>1</v>
      </c>
      <c r="O1547">
        <v>7266</v>
      </c>
      <c r="P1547">
        <v>1</v>
      </c>
    </row>
    <row r="1548" spans="1:16" x14ac:dyDescent="0.2">
      <c r="A1548" s="3" t="s">
        <v>49</v>
      </c>
      <c r="B1548" s="3" t="s">
        <v>50</v>
      </c>
      <c r="C1548">
        <v>7</v>
      </c>
      <c r="D1548">
        <v>17000</v>
      </c>
      <c r="E1548">
        <v>499</v>
      </c>
      <c r="F1548">
        <v>1</v>
      </c>
      <c r="G1548">
        <v>65872.258119671897</v>
      </c>
      <c r="H1548">
        <v>3.1413200000000001E-4</v>
      </c>
      <c r="I1548">
        <v>2930</v>
      </c>
      <c r="J1548">
        <v>2893</v>
      </c>
      <c r="K1548">
        <v>37</v>
      </c>
      <c r="L1548">
        <v>500</v>
      </c>
      <c r="M1548">
        <v>499</v>
      </c>
      <c r="N1548">
        <v>1</v>
      </c>
      <c r="O1548">
        <v>55627.421265042904</v>
      </c>
      <c r="P1548">
        <v>0</v>
      </c>
    </row>
    <row r="1549" spans="1:16" x14ac:dyDescent="0.2">
      <c r="A1549" s="3" t="s">
        <v>49</v>
      </c>
      <c r="B1549" s="3" t="s">
        <v>50</v>
      </c>
      <c r="C1549">
        <v>18</v>
      </c>
      <c r="D1549">
        <v>12000</v>
      </c>
      <c r="E1549">
        <v>499</v>
      </c>
      <c r="F1549">
        <v>1</v>
      </c>
      <c r="G1549">
        <v>12000</v>
      </c>
      <c r="H1549">
        <v>3.1408500000000003E-4</v>
      </c>
      <c r="I1549">
        <v>2775</v>
      </c>
      <c r="J1549">
        <v>2752</v>
      </c>
      <c r="K1549">
        <v>23</v>
      </c>
      <c r="L1549">
        <v>500</v>
      </c>
      <c r="M1549">
        <v>499</v>
      </c>
      <c r="N1549">
        <v>1</v>
      </c>
      <c r="O1549">
        <v>9225</v>
      </c>
      <c r="P1549">
        <v>1</v>
      </c>
    </row>
    <row r="1550" spans="1:16" x14ac:dyDescent="0.2">
      <c r="A1550" s="3" t="s">
        <v>49</v>
      </c>
      <c r="B1550" s="3" t="s">
        <v>50</v>
      </c>
      <c r="C1550">
        <v>40</v>
      </c>
      <c r="D1550">
        <v>17000</v>
      </c>
      <c r="E1550">
        <v>499</v>
      </c>
      <c r="F1550">
        <v>1</v>
      </c>
      <c r="G1550">
        <v>65872.258119671897</v>
      </c>
      <c r="H1550">
        <v>3.1391999999999998E-4</v>
      </c>
      <c r="I1550">
        <v>2964</v>
      </c>
      <c r="J1550">
        <v>2925</v>
      </c>
      <c r="K1550">
        <v>39</v>
      </c>
      <c r="L1550">
        <v>500</v>
      </c>
      <c r="M1550">
        <v>499</v>
      </c>
      <c r="N1550">
        <v>1</v>
      </c>
      <c r="O1550">
        <v>55595.664784620603</v>
      </c>
      <c r="P1550">
        <v>0</v>
      </c>
    </row>
    <row r="1551" spans="1:16" x14ac:dyDescent="0.2">
      <c r="A1551" s="3" t="s">
        <v>49</v>
      </c>
      <c r="B1551" s="3" t="s">
        <v>50</v>
      </c>
      <c r="C1551">
        <v>4</v>
      </c>
      <c r="D1551">
        <v>14000</v>
      </c>
      <c r="E1551">
        <v>499</v>
      </c>
      <c r="F1551">
        <v>1</v>
      </c>
      <c r="G1551">
        <v>58565.0323707059</v>
      </c>
      <c r="H1551">
        <v>3.13756E-4</v>
      </c>
      <c r="I1551">
        <v>2828</v>
      </c>
      <c r="J1551">
        <v>2803</v>
      </c>
      <c r="K1551">
        <v>25</v>
      </c>
      <c r="L1551">
        <v>500</v>
      </c>
      <c r="M1551">
        <v>499</v>
      </c>
      <c r="N1551">
        <v>1</v>
      </c>
      <c r="O1551">
        <v>48396.490264129199</v>
      </c>
      <c r="P1551">
        <v>0</v>
      </c>
    </row>
    <row r="1552" spans="1:16" x14ac:dyDescent="0.2">
      <c r="A1552" s="3" t="s">
        <v>49</v>
      </c>
      <c r="B1552" s="3" t="s">
        <v>50</v>
      </c>
      <c r="C1552">
        <v>4</v>
      </c>
      <c r="D1552">
        <v>18000</v>
      </c>
      <c r="E1552">
        <v>499</v>
      </c>
      <c r="F1552">
        <v>1</v>
      </c>
      <c r="G1552">
        <v>18000</v>
      </c>
      <c r="H1552">
        <v>3.1326999999999999E-4</v>
      </c>
      <c r="I1552">
        <v>2944</v>
      </c>
      <c r="J1552">
        <v>2914</v>
      </c>
      <c r="K1552">
        <v>30</v>
      </c>
      <c r="L1552">
        <v>500</v>
      </c>
      <c r="M1552">
        <v>499</v>
      </c>
      <c r="N1552">
        <v>1</v>
      </c>
      <c r="O1552">
        <v>15056</v>
      </c>
      <c r="P1552">
        <v>1</v>
      </c>
    </row>
    <row r="1553" spans="1:16" x14ac:dyDescent="0.2">
      <c r="A1553" s="3" t="s">
        <v>49</v>
      </c>
      <c r="B1553" s="3" t="s">
        <v>50</v>
      </c>
      <c r="C1553">
        <v>43</v>
      </c>
      <c r="D1553">
        <v>12000</v>
      </c>
      <c r="E1553">
        <v>499</v>
      </c>
      <c r="F1553">
        <v>1</v>
      </c>
      <c r="G1553">
        <v>12000</v>
      </c>
      <c r="H1553">
        <v>3.1297600000000002E-4</v>
      </c>
      <c r="I1553">
        <v>2789</v>
      </c>
      <c r="J1553">
        <v>2763</v>
      </c>
      <c r="K1553">
        <v>26</v>
      </c>
      <c r="L1553">
        <v>500</v>
      </c>
      <c r="M1553">
        <v>499</v>
      </c>
      <c r="N1553">
        <v>1</v>
      </c>
      <c r="O1553">
        <v>9211</v>
      </c>
      <c r="P1553">
        <v>1</v>
      </c>
    </row>
    <row r="1554" spans="1:16" x14ac:dyDescent="0.2">
      <c r="A1554" s="3" t="s">
        <v>49</v>
      </c>
      <c r="B1554" s="3" t="s">
        <v>50</v>
      </c>
      <c r="C1554">
        <v>31</v>
      </c>
      <c r="D1554">
        <v>16000</v>
      </c>
      <c r="E1554">
        <v>499</v>
      </c>
      <c r="F1554">
        <v>1</v>
      </c>
      <c r="G1554">
        <v>64781.839036288002</v>
      </c>
      <c r="H1554">
        <v>3.1292199999999998E-4</v>
      </c>
      <c r="I1554">
        <v>2975</v>
      </c>
      <c r="J1554">
        <v>2941</v>
      </c>
      <c r="K1554">
        <v>34</v>
      </c>
      <c r="L1554">
        <v>500</v>
      </c>
      <c r="M1554">
        <v>499</v>
      </c>
      <c r="N1554">
        <v>1</v>
      </c>
      <c r="O1554">
        <v>54054.137307386402</v>
      </c>
      <c r="P1554">
        <v>0</v>
      </c>
    </row>
    <row r="1555" spans="1:16" x14ac:dyDescent="0.2">
      <c r="A1555" s="3" t="s">
        <v>49</v>
      </c>
      <c r="B1555" s="3" t="s">
        <v>50</v>
      </c>
      <c r="C1555">
        <v>38</v>
      </c>
      <c r="D1555">
        <v>16000</v>
      </c>
      <c r="E1555">
        <v>499</v>
      </c>
      <c r="F1555">
        <v>1</v>
      </c>
      <c r="G1555">
        <v>64781.839036288002</v>
      </c>
      <c r="H1555">
        <v>3.1286699999999998E-4</v>
      </c>
      <c r="I1555">
        <v>2916</v>
      </c>
      <c r="J1555">
        <v>2885</v>
      </c>
      <c r="K1555">
        <v>31</v>
      </c>
      <c r="L1555">
        <v>500</v>
      </c>
      <c r="M1555">
        <v>499</v>
      </c>
      <c r="N1555">
        <v>1</v>
      </c>
      <c r="O1555">
        <v>54272.171190894202</v>
      </c>
      <c r="P1555">
        <v>0</v>
      </c>
    </row>
    <row r="1556" spans="1:16" x14ac:dyDescent="0.2">
      <c r="A1556" s="3" t="s">
        <v>49</v>
      </c>
      <c r="B1556" s="3" t="s">
        <v>50</v>
      </c>
      <c r="C1556">
        <v>46</v>
      </c>
      <c r="D1556">
        <v>18000</v>
      </c>
      <c r="E1556">
        <v>499</v>
      </c>
      <c r="F1556">
        <v>1</v>
      </c>
      <c r="G1556">
        <v>75479.649376234796</v>
      </c>
      <c r="H1556">
        <v>3.1262800000000002E-4</v>
      </c>
      <c r="I1556">
        <v>2947</v>
      </c>
      <c r="J1556">
        <v>2912</v>
      </c>
      <c r="K1556">
        <v>35</v>
      </c>
      <c r="L1556">
        <v>500</v>
      </c>
      <c r="M1556">
        <v>499</v>
      </c>
      <c r="N1556">
        <v>1</v>
      </c>
      <c r="O1556">
        <v>64635.545091471598</v>
      </c>
      <c r="P1556">
        <v>0</v>
      </c>
    </row>
    <row r="1557" spans="1:16" x14ac:dyDescent="0.2">
      <c r="A1557" s="3" t="s">
        <v>49</v>
      </c>
      <c r="B1557" s="3" t="s">
        <v>50</v>
      </c>
      <c r="C1557">
        <v>36</v>
      </c>
      <c r="D1557">
        <v>18000</v>
      </c>
      <c r="E1557">
        <v>499</v>
      </c>
      <c r="F1557">
        <v>1</v>
      </c>
      <c r="G1557">
        <v>18000</v>
      </c>
      <c r="H1557">
        <v>3.1258300000000001E-4</v>
      </c>
      <c r="I1557">
        <v>2925</v>
      </c>
      <c r="J1557">
        <v>2895</v>
      </c>
      <c r="K1557">
        <v>30</v>
      </c>
      <c r="L1557">
        <v>500</v>
      </c>
      <c r="M1557">
        <v>499</v>
      </c>
      <c r="N1557">
        <v>1</v>
      </c>
      <c r="O1557">
        <v>15075</v>
      </c>
      <c r="P1557">
        <v>1</v>
      </c>
    </row>
    <row r="1558" spans="1:16" x14ac:dyDescent="0.2">
      <c r="A1558" s="3" t="s">
        <v>49</v>
      </c>
      <c r="B1558" s="3" t="s">
        <v>50</v>
      </c>
      <c r="C1558">
        <v>17</v>
      </c>
      <c r="D1558">
        <v>15000</v>
      </c>
      <c r="E1558">
        <v>499</v>
      </c>
      <c r="F1558">
        <v>1</v>
      </c>
      <c r="G1558">
        <v>60572.237308582698</v>
      </c>
      <c r="H1558">
        <v>3.1249099999999997E-4</v>
      </c>
      <c r="I1558">
        <v>2878</v>
      </c>
      <c r="J1558">
        <v>2845</v>
      </c>
      <c r="K1558">
        <v>33</v>
      </c>
      <c r="L1558">
        <v>500</v>
      </c>
      <c r="M1558">
        <v>499</v>
      </c>
      <c r="N1558">
        <v>1</v>
      </c>
      <c r="O1558">
        <v>50226.037404856899</v>
      </c>
      <c r="P1558">
        <v>0</v>
      </c>
    </row>
    <row r="1559" spans="1:16" x14ac:dyDescent="0.2">
      <c r="A1559" s="3" t="s">
        <v>49</v>
      </c>
      <c r="B1559" s="3" t="s">
        <v>50</v>
      </c>
      <c r="C1559">
        <v>8</v>
      </c>
      <c r="D1559">
        <v>17000</v>
      </c>
      <c r="E1559">
        <v>499</v>
      </c>
      <c r="F1559">
        <v>1</v>
      </c>
      <c r="G1559">
        <v>65872.258119671897</v>
      </c>
      <c r="H1559">
        <v>3.12472E-4</v>
      </c>
      <c r="I1559">
        <v>3007</v>
      </c>
      <c r="J1559">
        <v>2975</v>
      </c>
      <c r="K1559">
        <v>32</v>
      </c>
      <c r="L1559">
        <v>500</v>
      </c>
      <c r="M1559">
        <v>499</v>
      </c>
      <c r="N1559">
        <v>1</v>
      </c>
      <c r="O1559">
        <v>55521.0105349687</v>
      </c>
      <c r="P1559">
        <v>0</v>
      </c>
    </row>
    <row r="1560" spans="1:16" x14ac:dyDescent="0.2">
      <c r="A1560" s="3" t="s">
        <v>49</v>
      </c>
      <c r="B1560" s="3" t="s">
        <v>50</v>
      </c>
      <c r="C1560">
        <v>16</v>
      </c>
      <c r="D1560">
        <v>17000</v>
      </c>
      <c r="E1560">
        <v>499</v>
      </c>
      <c r="F1560">
        <v>1</v>
      </c>
      <c r="G1560">
        <v>65872.258119671897</v>
      </c>
      <c r="H1560">
        <v>3.1244399999999999E-4</v>
      </c>
      <c r="I1560">
        <v>2961</v>
      </c>
      <c r="J1560">
        <v>2937</v>
      </c>
      <c r="K1560">
        <v>24</v>
      </c>
      <c r="L1560">
        <v>500</v>
      </c>
      <c r="M1560">
        <v>499</v>
      </c>
      <c r="N1560">
        <v>1</v>
      </c>
      <c r="O1560">
        <v>55627.199068753602</v>
      </c>
      <c r="P1560">
        <v>0</v>
      </c>
    </row>
    <row r="1561" spans="1:16" x14ac:dyDescent="0.2">
      <c r="A1561" s="3" t="s">
        <v>49</v>
      </c>
      <c r="B1561" s="3" t="s">
        <v>50</v>
      </c>
      <c r="C1561">
        <v>27</v>
      </c>
      <c r="D1561">
        <v>17000</v>
      </c>
      <c r="E1561">
        <v>499</v>
      </c>
      <c r="F1561">
        <v>1</v>
      </c>
      <c r="G1561">
        <v>17000</v>
      </c>
      <c r="H1561">
        <v>3.12362E-4</v>
      </c>
      <c r="I1561">
        <v>2959</v>
      </c>
      <c r="J1561">
        <v>2917</v>
      </c>
      <c r="K1561">
        <v>42</v>
      </c>
      <c r="L1561">
        <v>500</v>
      </c>
      <c r="M1561">
        <v>499</v>
      </c>
      <c r="N1561">
        <v>1</v>
      </c>
      <c r="O1561">
        <v>14041</v>
      </c>
      <c r="P1561">
        <v>1</v>
      </c>
    </row>
    <row r="1562" spans="1:16" x14ac:dyDescent="0.2">
      <c r="A1562" s="3" t="s">
        <v>49</v>
      </c>
      <c r="B1562" s="3" t="s">
        <v>50</v>
      </c>
      <c r="C1562">
        <v>48</v>
      </c>
      <c r="D1562">
        <v>17000</v>
      </c>
      <c r="E1562">
        <v>499</v>
      </c>
      <c r="F1562">
        <v>1</v>
      </c>
      <c r="G1562">
        <v>65872.258119671897</v>
      </c>
      <c r="H1562">
        <v>3.1233500000000001E-4</v>
      </c>
      <c r="I1562">
        <v>2963</v>
      </c>
      <c r="J1562">
        <v>2931</v>
      </c>
      <c r="K1562">
        <v>32</v>
      </c>
      <c r="L1562">
        <v>500</v>
      </c>
      <c r="M1562">
        <v>499</v>
      </c>
      <c r="N1562">
        <v>1</v>
      </c>
      <c r="O1562">
        <v>55554.262329641599</v>
      </c>
      <c r="P1562">
        <v>0</v>
      </c>
    </row>
    <row r="1563" spans="1:16" x14ac:dyDescent="0.2">
      <c r="A1563" s="3" t="s">
        <v>49</v>
      </c>
      <c r="B1563" s="3" t="s">
        <v>50</v>
      </c>
      <c r="C1563">
        <v>35</v>
      </c>
      <c r="D1563">
        <v>16000</v>
      </c>
      <c r="E1563">
        <v>499</v>
      </c>
      <c r="F1563">
        <v>1</v>
      </c>
      <c r="G1563">
        <v>16000</v>
      </c>
      <c r="H1563">
        <v>3.12307E-4</v>
      </c>
      <c r="I1563">
        <v>2944</v>
      </c>
      <c r="J1563">
        <v>2907</v>
      </c>
      <c r="K1563">
        <v>37</v>
      </c>
      <c r="L1563">
        <v>500</v>
      </c>
      <c r="M1563">
        <v>499</v>
      </c>
      <c r="N1563">
        <v>1</v>
      </c>
      <c r="O1563">
        <v>13056</v>
      </c>
      <c r="P1563">
        <v>1</v>
      </c>
    </row>
    <row r="1564" spans="1:16" x14ac:dyDescent="0.2">
      <c r="A1564" s="3" t="s">
        <v>49</v>
      </c>
      <c r="B1564" s="3" t="s">
        <v>50</v>
      </c>
      <c r="C1564">
        <v>46</v>
      </c>
      <c r="D1564">
        <v>17000</v>
      </c>
      <c r="E1564">
        <v>499</v>
      </c>
      <c r="F1564">
        <v>1</v>
      </c>
      <c r="G1564">
        <v>65872.258119671897</v>
      </c>
      <c r="H1564">
        <v>3.1226099999999998E-4</v>
      </c>
      <c r="I1564">
        <v>2932</v>
      </c>
      <c r="J1564">
        <v>2906</v>
      </c>
      <c r="K1564">
        <v>26</v>
      </c>
      <c r="L1564">
        <v>500</v>
      </c>
      <c r="M1564">
        <v>499</v>
      </c>
      <c r="N1564">
        <v>1</v>
      </c>
      <c r="O1564">
        <v>55784.118591395199</v>
      </c>
      <c r="P1564">
        <v>0</v>
      </c>
    </row>
    <row r="1565" spans="1:16" x14ac:dyDescent="0.2">
      <c r="A1565" s="3" t="s">
        <v>49</v>
      </c>
      <c r="B1565" s="3" t="s">
        <v>50</v>
      </c>
      <c r="C1565">
        <v>42</v>
      </c>
      <c r="D1565">
        <v>17000</v>
      </c>
      <c r="E1565">
        <v>499</v>
      </c>
      <c r="F1565">
        <v>1</v>
      </c>
      <c r="G1565">
        <v>17000</v>
      </c>
      <c r="H1565">
        <v>3.1226099999999998E-4</v>
      </c>
      <c r="I1565">
        <v>3018</v>
      </c>
      <c r="J1565">
        <v>2972</v>
      </c>
      <c r="K1565">
        <v>46</v>
      </c>
      <c r="L1565">
        <v>500</v>
      </c>
      <c r="M1565">
        <v>499</v>
      </c>
      <c r="N1565">
        <v>1</v>
      </c>
      <c r="O1565">
        <v>13982</v>
      </c>
      <c r="P1565">
        <v>1</v>
      </c>
    </row>
    <row r="1566" spans="1:16" x14ac:dyDescent="0.2">
      <c r="A1566" s="3" t="s">
        <v>49</v>
      </c>
      <c r="B1566" s="3" t="s">
        <v>50</v>
      </c>
      <c r="C1566">
        <v>44</v>
      </c>
      <c r="D1566">
        <v>12000</v>
      </c>
      <c r="E1566">
        <v>499</v>
      </c>
      <c r="F1566">
        <v>1</v>
      </c>
      <c r="G1566">
        <v>50533.323552418398</v>
      </c>
      <c r="H1566">
        <v>3.1209599999999999E-4</v>
      </c>
      <c r="I1566">
        <v>2782</v>
      </c>
      <c r="J1566">
        <v>2760</v>
      </c>
      <c r="K1566">
        <v>22</v>
      </c>
      <c r="L1566">
        <v>500</v>
      </c>
      <c r="M1566">
        <v>499</v>
      </c>
      <c r="N1566">
        <v>1</v>
      </c>
      <c r="O1566">
        <v>39891.529214438298</v>
      </c>
      <c r="P1566">
        <v>0</v>
      </c>
    </row>
    <row r="1567" spans="1:16" x14ac:dyDescent="0.2">
      <c r="A1567" s="3" t="s">
        <v>49</v>
      </c>
      <c r="B1567" s="3" t="s">
        <v>50</v>
      </c>
      <c r="C1567">
        <v>43</v>
      </c>
      <c r="D1567">
        <v>16000</v>
      </c>
      <c r="E1567">
        <v>499</v>
      </c>
      <c r="F1567">
        <v>1</v>
      </c>
      <c r="G1567">
        <v>64781.839036288002</v>
      </c>
      <c r="H1567">
        <v>3.1191299999999998E-4</v>
      </c>
      <c r="I1567">
        <v>2929</v>
      </c>
      <c r="J1567">
        <v>2890</v>
      </c>
      <c r="K1567">
        <v>39</v>
      </c>
      <c r="L1567">
        <v>500</v>
      </c>
      <c r="M1567">
        <v>499</v>
      </c>
      <c r="N1567">
        <v>1</v>
      </c>
      <c r="O1567">
        <v>54161.251121446599</v>
      </c>
      <c r="P1567">
        <v>0</v>
      </c>
    </row>
    <row r="1568" spans="1:16" x14ac:dyDescent="0.2">
      <c r="A1568" s="3" t="s">
        <v>49</v>
      </c>
      <c r="B1568" s="3" t="s">
        <v>50</v>
      </c>
      <c r="C1568">
        <v>29</v>
      </c>
      <c r="D1568">
        <v>17000</v>
      </c>
      <c r="E1568">
        <v>499</v>
      </c>
      <c r="F1568">
        <v>1</v>
      </c>
      <c r="G1568">
        <v>17000</v>
      </c>
      <c r="H1568">
        <v>3.1169299999999999E-4</v>
      </c>
      <c r="I1568">
        <v>2934</v>
      </c>
      <c r="J1568">
        <v>2901</v>
      </c>
      <c r="K1568">
        <v>33</v>
      </c>
      <c r="L1568">
        <v>500</v>
      </c>
      <c r="M1568">
        <v>499</v>
      </c>
      <c r="N1568">
        <v>1</v>
      </c>
      <c r="O1568">
        <v>14066</v>
      </c>
      <c r="P1568">
        <v>1</v>
      </c>
    </row>
    <row r="1569" spans="1:16" x14ac:dyDescent="0.2">
      <c r="A1569" s="3" t="s">
        <v>49</v>
      </c>
      <c r="B1569" s="3" t="s">
        <v>50</v>
      </c>
      <c r="C1569">
        <v>25</v>
      </c>
      <c r="D1569">
        <v>16000</v>
      </c>
      <c r="E1569">
        <v>499</v>
      </c>
      <c r="F1569">
        <v>1</v>
      </c>
      <c r="G1569">
        <v>64781.839036288002</v>
      </c>
      <c r="H1569">
        <v>3.1152799999999999E-4</v>
      </c>
      <c r="I1569">
        <v>2992</v>
      </c>
      <c r="J1569">
        <v>2958</v>
      </c>
      <c r="K1569">
        <v>34</v>
      </c>
      <c r="L1569">
        <v>500</v>
      </c>
      <c r="M1569">
        <v>499</v>
      </c>
      <c r="N1569">
        <v>1</v>
      </c>
      <c r="O1569">
        <v>53977.573550951602</v>
      </c>
      <c r="P1569">
        <v>0</v>
      </c>
    </row>
    <row r="1570" spans="1:16" x14ac:dyDescent="0.2">
      <c r="A1570" s="3" t="s">
        <v>49</v>
      </c>
      <c r="B1570" s="3" t="s">
        <v>50</v>
      </c>
      <c r="C1570">
        <v>25</v>
      </c>
      <c r="D1570">
        <v>17000</v>
      </c>
      <c r="E1570">
        <v>499</v>
      </c>
      <c r="F1570">
        <v>1</v>
      </c>
      <c r="G1570">
        <v>65872.258119671897</v>
      </c>
      <c r="H1570">
        <v>3.1139900000000002E-4</v>
      </c>
      <c r="I1570">
        <v>2975</v>
      </c>
      <c r="J1570">
        <v>2938</v>
      </c>
      <c r="K1570">
        <v>37</v>
      </c>
      <c r="L1570">
        <v>500</v>
      </c>
      <c r="M1570">
        <v>499</v>
      </c>
      <c r="N1570">
        <v>1</v>
      </c>
      <c r="O1570">
        <v>55531.615076773902</v>
      </c>
      <c r="P1570">
        <v>0</v>
      </c>
    </row>
    <row r="1571" spans="1:16" x14ac:dyDescent="0.2">
      <c r="A1571" s="3" t="s">
        <v>49</v>
      </c>
      <c r="B1571" s="3" t="s">
        <v>50</v>
      </c>
      <c r="C1571">
        <v>45</v>
      </c>
      <c r="D1571">
        <v>15000</v>
      </c>
      <c r="E1571">
        <v>499</v>
      </c>
      <c r="F1571">
        <v>1</v>
      </c>
      <c r="G1571">
        <v>15000</v>
      </c>
      <c r="H1571">
        <v>3.1139900000000002E-4</v>
      </c>
      <c r="I1571">
        <v>2842</v>
      </c>
      <c r="J1571">
        <v>2814</v>
      </c>
      <c r="K1571">
        <v>28</v>
      </c>
      <c r="L1571">
        <v>500</v>
      </c>
      <c r="M1571">
        <v>499</v>
      </c>
      <c r="N1571">
        <v>1</v>
      </c>
      <c r="O1571">
        <v>12158</v>
      </c>
      <c r="P1571">
        <v>1</v>
      </c>
    </row>
    <row r="1572" spans="1:16" x14ac:dyDescent="0.2">
      <c r="A1572" s="3" t="s">
        <v>49</v>
      </c>
      <c r="B1572" s="3" t="s">
        <v>50</v>
      </c>
      <c r="C1572">
        <v>48</v>
      </c>
      <c r="D1572">
        <v>17000</v>
      </c>
      <c r="E1572">
        <v>499</v>
      </c>
      <c r="F1572">
        <v>1</v>
      </c>
      <c r="G1572">
        <v>17000</v>
      </c>
      <c r="H1572">
        <v>3.1117100000000001E-4</v>
      </c>
      <c r="I1572">
        <v>2904</v>
      </c>
      <c r="J1572">
        <v>2870</v>
      </c>
      <c r="K1572">
        <v>34</v>
      </c>
      <c r="L1572">
        <v>500</v>
      </c>
      <c r="M1572">
        <v>499</v>
      </c>
      <c r="N1572">
        <v>1</v>
      </c>
      <c r="O1572">
        <v>14096</v>
      </c>
      <c r="P1572">
        <v>1</v>
      </c>
    </row>
    <row r="1573" spans="1:16" x14ac:dyDescent="0.2">
      <c r="A1573" s="3" t="s">
        <v>49</v>
      </c>
      <c r="B1573" s="3" t="s">
        <v>50</v>
      </c>
      <c r="C1573">
        <v>28</v>
      </c>
      <c r="D1573">
        <v>15000</v>
      </c>
      <c r="E1573">
        <v>499</v>
      </c>
      <c r="F1573">
        <v>1</v>
      </c>
      <c r="G1573">
        <v>60572.237308582698</v>
      </c>
      <c r="H1573">
        <v>3.11033E-4</v>
      </c>
      <c r="I1573">
        <v>2912</v>
      </c>
      <c r="J1573">
        <v>2882</v>
      </c>
      <c r="K1573">
        <v>30</v>
      </c>
      <c r="L1573">
        <v>500</v>
      </c>
      <c r="M1573">
        <v>499</v>
      </c>
      <c r="N1573">
        <v>1</v>
      </c>
      <c r="O1573">
        <v>50228.286570328302</v>
      </c>
      <c r="P1573">
        <v>0</v>
      </c>
    </row>
    <row r="1574" spans="1:16" x14ac:dyDescent="0.2">
      <c r="A1574" s="3" t="s">
        <v>49</v>
      </c>
      <c r="B1574" s="3" t="s">
        <v>50</v>
      </c>
      <c r="C1574">
        <v>9</v>
      </c>
      <c r="D1574">
        <v>17000</v>
      </c>
      <c r="E1574">
        <v>499</v>
      </c>
      <c r="F1574">
        <v>1</v>
      </c>
      <c r="G1574">
        <v>65872.258119671897</v>
      </c>
      <c r="H1574">
        <v>3.1063E-4</v>
      </c>
      <c r="I1574">
        <v>2973</v>
      </c>
      <c r="J1574">
        <v>2937</v>
      </c>
      <c r="K1574">
        <v>36</v>
      </c>
      <c r="L1574">
        <v>500</v>
      </c>
      <c r="M1574">
        <v>499</v>
      </c>
      <c r="N1574">
        <v>1</v>
      </c>
      <c r="O1574">
        <v>55500.689111411702</v>
      </c>
      <c r="P1574">
        <v>0</v>
      </c>
    </row>
    <row r="1575" spans="1:16" x14ac:dyDescent="0.2">
      <c r="A1575" s="3" t="s">
        <v>49</v>
      </c>
      <c r="B1575" s="3" t="s">
        <v>50</v>
      </c>
      <c r="C1575">
        <v>33</v>
      </c>
      <c r="D1575">
        <v>16000</v>
      </c>
      <c r="E1575">
        <v>499</v>
      </c>
      <c r="F1575">
        <v>1</v>
      </c>
      <c r="G1575">
        <v>64781.839036288002</v>
      </c>
      <c r="H1575">
        <v>3.1061100000000003E-4</v>
      </c>
      <c r="I1575">
        <v>2942</v>
      </c>
      <c r="J1575">
        <v>2912</v>
      </c>
      <c r="K1575">
        <v>30</v>
      </c>
      <c r="L1575">
        <v>500</v>
      </c>
      <c r="M1575">
        <v>499</v>
      </c>
      <c r="N1575">
        <v>1</v>
      </c>
      <c r="O1575">
        <v>54171.496185625103</v>
      </c>
      <c r="P1575">
        <v>0</v>
      </c>
    </row>
    <row r="1576" spans="1:16" x14ac:dyDescent="0.2">
      <c r="A1576" s="3" t="s">
        <v>49</v>
      </c>
      <c r="B1576" s="3" t="s">
        <v>50</v>
      </c>
      <c r="C1576">
        <v>33</v>
      </c>
      <c r="D1576">
        <v>17000</v>
      </c>
      <c r="E1576">
        <v>499</v>
      </c>
      <c r="F1576">
        <v>1</v>
      </c>
      <c r="G1576">
        <v>17000</v>
      </c>
      <c r="H1576">
        <v>3.1060199999999999E-4</v>
      </c>
      <c r="I1576">
        <v>2984</v>
      </c>
      <c r="J1576">
        <v>2956</v>
      </c>
      <c r="K1576">
        <v>28</v>
      </c>
      <c r="L1576">
        <v>500</v>
      </c>
      <c r="M1576">
        <v>499</v>
      </c>
      <c r="N1576">
        <v>1</v>
      </c>
      <c r="O1576">
        <v>14016</v>
      </c>
      <c r="P1576">
        <v>1</v>
      </c>
    </row>
    <row r="1577" spans="1:16" x14ac:dyDescent="0.2">
      <c r="A1577" s="3" t="s">
        <v>49</v>
      </c>
      <c r="B1577" s="3" t="s">
        <v>50</v>
      </c>
      <c r="C1577">
        <v>21</v>
      </c>
      <c r="D1577">
        <v>16000</v>
      </c>
      <c r="E1577">
        <v>499</v>
      </c>
      <c r="F1577">
        <v>1</v>
      </c>
      <c r="G1577">
        <v>16000</v>
      </c>
      <c r="H1577">
        <v>3.1058300000000002E-4</v>
      </c>
      <c r="I1577">
        <v>2964</v>
      </c>
      <c r="J1577">
        <v>2924</v>
      </c>
      <c r="K1577">
        <v>40</v>
      </c>
      <c r="L1577">
        <v>500</v>
      </c>
      <c r="M1577">
        <v>499</v>
      </c>
      <c r="N1577">
        <v>1</v>
      </c>
      <c r="O1577">
        <v>13036</v>
      </c>
      <c r="P1577">
        <v>1</v>
      </c>
    </row>
    <row r="1578" spans="1:16" x14ac:dyDescent="0.2">
      <c r="A1578" s="3" t="s">
        <v>49</v>
      </c>
      <c r="B1578" s="3" t="s">
        <v>50</v>
      </c>
      <c r="C1578">
        <v>50</v>
      </c>
      <c r="D1578">
        <v>17000</v>
      </c>
      <c r="E1578">
        <v>499</v>
      </c>
      <c r="F1578">
        <v>1</v>
      </c>
      <c r="G1578">
        <v>65872.258119671897</v>
      </c>
      <c r="H1578">
        <v>3.1026300000000002E-4</v>
      </c>
      <c r="I1578">
        <v>2968</v>
      </c>
      <c r="J1578">
        <v>2925</v>
      </c>
      <c r="K1578">
        <v>43</v>
      </c>
      <c r="L1578">
        <v>500</v>
      </c>
      <c r="M1578">
        <v>499</v>
      </c>
      <c r="N1578">
        <v>1</v>
      </c>
      <c r="O1578">
        <v>55592.771417159303</v>
      </c>
      <c r="P1578">
        <v>0</v>
      </c>
    </row>
    <row r="1579" spans="1:16" x14ac:dyDescent="0.2">
      <c r="A1579" s="3" t="s">
        <v>49</v>
      </c>
      <c r="B1579" s="3" t="s">
        <v>50</v>
      </c>
      <c r="C1579">
        <v>13</v>
      </c>
      <c r="D1579">
        <v>17000</v>
      </c>
      <c r="E1579">
        <v>499</v>
      </c>
      <c r="F1579">
        <v>1</v>
      </c>
      <c r="G1579">
        <v>17000</v>
      </c>
      <c r="H1579">
        <v>3.10162E-4</v>
      </c>
      <c r="I1579">
        <v>2960</v>
      </c>
      <c r="J1579">
        <v>2934</v>
      </c>
      <c r="K1579">
        <v>26</v>
      </c>
      <c r="L1579">
        <v>500</v>
      </c>
      <c r="M1579">
        <v>499</v>
      </c>
      <c r="N1579">
        <v>1</v>
      </c>
      <c r="O1579">
        <v>14040</v>
      </c>
      <c r="P1579">
        <v>1</v>
      </c>
    </row>
    <row r="1580" spans="1:16" x14ac:dyDescent="0.2">
      <c r="A1580" s="3" t="s">
        <v>49</v>
      </c>
      <c r="B1580" s="3" t="s">
        <v>50</v>
      </c>
      <c r="C1580">
        <v>38</v>
      </c>
      <c r="D1580">
        <v>16000</v>
      </c>
      <c r="E1580">
        <v>499</v>
      </c>
      <c r="F1580">
        <v>1</v>
      </c>
      <c r="G1580">
        <v>16000</v>
      </c>
      <c r="H1580">
        <v>3.1012599999999998E-4</v>
      </c>
      <c r="I1580">
        <v>2970</v>
      </c>
      <c r="J1580">
        <v>2931</v>
      </c>
      <c r="K1580">
        <v>39</v>
      </c>
      <c r="L1580">
        <v>500</v>
      </c>
      <c r="M1580">
        <v>499</v>
      </c>
      <c r="N1580">
        <v>1</v>
      </c>
      <c r="O1580">
        <v>13030</v>
      </c>
      <c r="P1580">
        <v>1</v>
      </c>
    </row>
    <row r="1581" spans="1:16" x14ac:dyDescent="0.2">
      <c r="A1581" s="3" t="s">
        <v>49</v>
      </c>
      <c r="B1581" s="3" t="s">
        <v>50</v>
      </c>
      <c r="C1581">
        <v>26</v>
      </c>
      <c r="D1581">
        <v>17000</v>
      </c>
      <c r="E1581">
        <v>499</v>
      </c>
      <c r="F1581">
        <v>1</v>
      </c>
      <c r="G1581">
        <v>65872.258119671897</v>
      </c>
      <c r="H1581">
        <v>3.1006099999999998E-4</v>
      </c>
      <c r="I1581">
        <v>2941</v>
      </c>
      <c r="J1581">
        <v>2912</v>
      </c>
      <c r="K1581">
        <v>29</v>
      </c>
      <c r="L1581">
        <v>500</v>
      </c>
      <c r="M1581">
        <v>499</v>
      </c>
      <c r="N1581">
        <v>1</v>
      </c>
      <c r="O1581">
        <v>55619.868596862303</v>
      </c>
      <c r="P1581">
        <v>0</v>
      </c>
    </row>
    <row r="1582" spans="1:16" x14ac:dyDescent="0.2">
      <c r="A1582" s="3" t="s">
        <v>49</v>
      </c>
      <c r="B1582" s="3" t="s">
        <v>50</v>
      </c>
      <c r="C1582">
        <v>11</v>
      </c>
      <c r="D1582">
        <v>15000</v>
      </c>
      <c r="E1582">
        <v>499</v>
      </c>
      <c r="F1582">
        <v>1</v>
      </c>
      <c r="G1582">
        <v>15000</v>
      </c>
      <c r="H1582">
        <v>3.1005300000000002E-4</v>
      </c>
      <c r="I1582">
        <v>2888</v>
      </c>
      <c r="J1582">
        <v>2862</v>
      </c>
      <c r="K1582">
        <v>26</v>
      </c>
      <c r="L1582">
        <v>500</v>
      </c>
      <c r="M1582">
        <v>499</v>
      </c>
      <c r="N1582">
        <v>1</v>
      </c>
      <c r="O1582">
        <v>12112</v>
      </c>
      <c r="P1582">
        <v>1</v>
      </c>
    </row>
    <row r="1583" spans="1:16" x14ac:dyDescent="0.2">
      <c r="A1583" s="3" t="s">
        <v>49</v>
      </c>
      <c r="B1583" s="3" t="s">
        <v>50</v>
      </c>
      <c r="C1583">
        <v>14</v>
      </c>
      <c r="D1583">
        <v>17000</v>
      </c>
      <c r="E1583">
        <v>499</v>
      </c>
      <c r="F1583">
        <v>1</v>
      </c>
      <c r="G1583">
        <v>65872.258119671897</v>
      </c>
      <c r="H1583">
        <v>3.0998799999999997E-4</v>
      </c>
      <c r="I1583">
        <v>2951</v>
      </c>
      <c r="J1583">
        <v>2917</v>
      </c>
      <c r="K1583">
        <v>34</v>
      </c>
      <c r="L1583">
        <v>500</v>
      </c>
      <c r="M1583">
        <v>499</v>
      </c>
      <c r="N1583">
        <v>1</v>
      </c>
      <c r="O1583">
        <v>55596.454379764997</v>
      </c>
      <c r="P1583">
        <v>0</v>
      </c>
    </row>
    <row r="1584" spans="1:16" x14ac:dyDescent="0.2">
      <c r="A1584" s="3" t="s">
        <v>49</v>
      </c>
      <c r="B1584" s="3" t="s">
        <v>50</v>
      </c>
      <c r="C1584">
        <v>12</v>
      </c>
      <c r="D1584">
        <v>16000</v>
      </c>
      <c r="E1584">
        <v>499</v>
      </c>
      <c r="F1584">
        <v>1</v>
      </c>
      <c r="G1584">
        <v>64781.839036288002</v>
      </c>
      <c r="H1584">
        <v>3.0997899999999999E-4</v>
      </c>
      <c r="I1584">
        <v>2969</v>
      </c>
      <c r="J1584">
        <v>2935</v>
      </c>
      <c r="K1584">
        <v>34</v>
      </c>
      <c r="L1584">
        <v>500</v>
      </c>
      <c r="M1584">
        <v>499</v>
      </c>
      <c r="N1584">
        <v>1</v>
      </c>
      <c r="O1584">
        <v>54217.072314261</v>
      </c>
      <c r="P1584">
        <v>0</v>
      </c>
    </row>
    <row r="1585" spans="1:16" x14ac:dyDescent="0.2">
      <c r="A1585" s="3" t="s">
        <v>49</v>
      </c>
      <c r="B1585" s="3" t="s">
        <v>50</v>
      </c>
      <c r="C1585">
        <v>17</v>
      </c>
      <c r="D1585">
        <v>17000</v>
      </c>
      <c r="E1585">
        <v>499</v>
      </c>
      <c r="F1585">
        <v>1</v>
      </c>
      <c r="G1585">
        <v>17000</v>
      </c>
      <c r="H1585">
        <v>3.0995099999999999E-4</v>
      </c>
      <c r="I1585">
        <v>2952</v>
      </c>
      <c r="J1585">
        <v>2920</v>
      </c>
      <c r="K1585">
        <v>32</v>
      </c>
      <c r="L1585">
        <v>500</v>
      </c>
      <c r="M1585">
        <v>499</v>
      </c>
      <c r="N1585">
        <v>1</v>
      </c>
      <c r="O1585">
        <v>14048</v>
      </c>
      <c r="P1585">
        <v>1</v>
      </c>
    </row>
    <row r="1586" spans="1:16" x14ac:dyDescent="0.2">
      <c r="A1586" s="3" t="s">
        <v>49</v>
      </c>
      <c r="B1586" s="3" t="s">
        <v>50</v>
      </c>
      <c r="C1586">
        <v>30</v>
      </c>
      <c r="D1586">
        <v>17000</v>
      </c>
      <c r="E1586">
        <v>499</v>
      </c>
      <c r="F1586">
        <v>1</v>
      </c>
      <c r="G1586">
        <v>17000</v>
      </c>
      <c r="H1586">
        <v>3.0979500000000002E-4</v>
      </c>
      <c r="I1586">
        <v>2971</v>
      </c>
      <c r="J1586">
        <v>2925</v>
      </c>
      <c r="K1586">
        <v>46</v>
      </c>
      <c r="L1586">
        <v>500</v>
      </c>
      <c r="M1586">
        <v>499</v>
      </c>
      <c r="N1586">
        <v>1</v>
      </c>
      <c r="O1586">
        <v>14029</v>
      </c>
      <c r="P1586">
        <v>1</v>
      </c>
    </row>
    <row r="1587" spans="1:16" x14ac:dyDescent="0.2">
      <c r="A1587" s="3" t="s">
        <v>49</v>
      </c>
      <c r="B1587" s="3" t="s">
        <v>50</v>
      </c>
      <c r="C1587">
        <v>40</v>
      </c>
      <c r="D1587">
        <v>17000</v>
      </c>
      <c r="E1587">
        <v>499</v>
      </c>
      <c r="F1587">
        <v>1</v>
      </c>
      <c r="G1587">
        <v>17000</v>
      </c>
      <c r="H1587">
        <v>3.0966799999999998E-4</v>
      </c>
      <c r="I1587">
        <v>2919</v>
      </c>
      <c r="J1587">
        <v>2887</v>
      </c>
      <c r="K1587">
        <v>32</v>
      </c>
      <c r="L1587">
        <v>500</v>
      </c>
      <c r="M1587">
        <v>499</v>
      </c>
      <c r="N1587">
        <v>1</v>
      </c>
      <c r="O1587">
        <v>14081</v>
      </c>
      <c r="P1587">
        <v>1</v>
      </c>
    </row>
    <row r="1588" spans="1:16" x14ac:dyDescent="0.2">
      <c r="A1588" s="3" t="s">
        <v>49</v>
      </c>
      <c r="B1588" s="3" t="s">
        <v>50</v>
      </c>
      <c r="C1588">
        <v>5</v>
      </c>
      <c r="D1588">
        <v>17000</v>
      </c>
      <c r="E1588">
        <v>499</v>
      </c>
      <c r="F1588">
        <v>1</v>
      </c>
      <c r="G1588">
        <v>65872.258119671897</v>
      </c>
      <c r="H1588">
        <v>3.0946599999999999E-4</v>
      </c>
      <c r="I1588">
        <v>2961</v>
      </c>
      <c r="J1588">
        <v>2934</v>
      </c>
      <c r="K1588">
        <v>27</v>
      </c>
      <c r="L1588">
        <v>500</v>
      </c>
      <c r="M1588">
        <v>499</v>
      </c>
      <c r="N1588">
        <v>1</v>
      </c>
      <c r="O1588">
        <v>55587.193079257202</v>
      </c>
      <c r="P1588">
        <v>0</v>
      </c>
    </row>
    <row r="1589" spans="1:16" x14ac:dyDescent="0.2">
      <c r="A1589" s="3" t="s">
        <v>49</v>
      </c>
      <c r="B1589" s="3" t="s">
        <v>50</v>
      </c>
      <c r="C1589">
        <v>20</v>
      </c>
      <c r="D1589">
        <v>17000</v>
      </c>
      <c r="E1589">
        <v>499</v>
      </c>
      <c r="F1589">
        <v>1</v>
      </c>
      <c r="G1589">
        <v>65872.258119671897</v>
      </c>
      <c r="H1589">
        <v>3.0912600000000001E-4</v>
      </c>
      <c r="I1589">
        <v>2900</v>
      </c>
      <c r="J1589">
        <v>2867</v>
      </c>
      <c r="K1589">
        <v>33</v>
      </c>
      <c r="L1589">
        <v>500</v>
      </c>
      <c r="M1589">
        <v>499</v>
      </c>
      <c r="N1589">
        <v>1</v>
      </c>
      <c r="O1589">
        <v>55722.330207377803</v>
      </c>
      <c r="P1589">
        <v>0</v>
      </c>
    </row>
    <row r="1590" spans="1:16" x14ac:dyDescent="0.2">
      <c r="A1590" s="3" t="s">
        <v>49</v>
      </c>
      <c r="B1590" s="3" t="s">
        <v>50</v>
      </c>
      <c r="C1590">
        <v>4</v>
      </c>
      <c r="D1590">
        <v>15000</v>
      </c>
      <c r="E1590">
        <v>499</v>
      </c>
      <c r="F1590">
        <v>1</v>
      </c>
      <c r="G1590">
        <v>15000</v>
      </c>
      <c r="H1590">
        <v>3.0897100000000001E-4</v>
      </c>
      <c r="I1590">
        <v>2870</v>
      </c>
      <c r="J1590">
        <v>2841</v>
      </c>
      <c r="K1590">
        <v>29</v>
      </c>
      <c r="L1590">
        <v>500</v>
      </c>
      <c r="M1590">
        <v>499</v>
      </c>
      <c r="N1590">
        <v>1</v>
      </c>
      <c r="O1590">
        <v>12130</v>
      </c>
      <c r="P1590">
        <v>1</v>
      </c>
    </row>
    <row r="1591" spans="1:16" x14ac:dyDescent="0.2">
      <c r="A1591" s="3" t="s">
        <v>49</v>
      </c>
      <c r="B1591" s="3" t="s">
        <v>50</v>
      </c>
      <c r="C1591">
        <v>13</v>
      </c>
      <c r="D1591">
        <v>15000</v>
      </c>
      <c r="E1591">
        <v>499</v>
      </c>
      <c r="F1591">
        <v>1</v>
      </c>
      <c r="G1591">
        <v>60572.237308582698</v>
      </c>
      <c r="H1591">
        <v>3.08943E-4</v>
      </c>
      <c r="I1591">
        <v>2912</v>
      </c>
      <c r="J1591">
        <v>2885</v>
      </c>
      <c r="K1591">
        <v>27</v>
      </c>
      <c r="L1591">
        <v>500</v>
      </c>
      <c r="M1591">
        <v>499</v>
      </c>
      <c r="N1591">
        <v>1</v>
      </c>
      <c r="O1591">
        <v>50291.742382659002</v>
      </c>
      <c r="P1591">
        <v>0</v>
      </c>
    </row>
    <row r="1592" spans="1:16" x14ac:dyDescent="0.2">
      <c r="A1592" s="3" t="s">
        <v>49</v>
      </c>
      <c r="B1592" s="3" t="s">
        <v>50</v>
      </c>
      <c r="C1592">
        <v>21</v>
      </c>
      <c r="D1592">
        <v>12000</v>
      </c>
      <c r="E1592">
        <v>499</v>
      </c>
      <c r="F1592">
        <v>1</v>
      </c>
      <c r="G1592">
        <v>50533.323552418398</v>
      </c>
      <c r="H1592">
        <v>3.0891600000000001E-4</v>
      </c>
      <c r="I1592">
        <v>2799</v>
      </c>
      <c r="J1592">
        <v>2775</v>
      </c>
      <c r="K1592">
        <v>24</v>
      </c>
      <c r="L1592">
        <v>500</v>
      </c>
      <c r="M1592">
        <v>499</v>
      </c>
      <c r="N1592">
        <v>1</v>
      </c>
      <c r="O1592">
        <v>39805.714863718102</v>
      </c>
      <c r="P1592">
        <v>0</v>
      </c>
    </row>
    <row r="1593" spans="1:16" x14ac:dyDescent="0.2">
      <c r="A1593" s="3" t="s">
        <v>49</v>
      </c>
      <c r="B1593" s="3" t="s">
        <v>50</v>
      </c>
      <c r="C1593">
        <v>10</v>
      </c>
      <c r="D1593">
        <v>15000</v>
      </c>
      <c r="E1593">
        <v>499</v>
      </c>
      <c r="F1593">
        <v>1</v>
      </c>
      <c r="G1593">
        <v>60572.237308582698</v>
      </c>
      <c r="H1593">
        <v>3.0881499999999999E-4</v>
      </c>
      <c r="I1593">
        <v>2909</v>
      </c>
      <c r="J1593">
        <v>2884</v>
      </c>
      <c r="K1593">
        <v>25</v>
      </c>
      <c r="L1593">
        <v>500</v>
      </c>
      <c r="M1593">
        <v>499</v>
      </c>
      <c r="N1593">
        <v>1</v>
      </c>
      <c r="O1593">
        <v>50205.3749356716</v>
      </c>
      <c r="P1593">
        <v>0</v>
      </c>
    </row>
    <row r="1594" spans="1:16" x14ac:dyDescent="0.2">
      <c r="A1594" s="3" t="s">
        <v>49</v>
      </c>
      <c r="B1594" s="3" t="s">
        <v>50</v>
      </c>
      <c r="C1594">
        <v>13</v>
      </c>
      <c r="D1594">
        <v>17000</v>
      </c>
      <c r="E1594">
        <v>499</v>
      </c>
      <c r="F1594">
        <v>1</v>
      </c>
      <c r="G1594">
        <v>65872.258119671897</v>
      </c>
      <c r="H1594">
        <v>3.0864100000000002E-4</v>
      </c>
      <c r="I1594">
        <v>2966</v>
      </c>
      <c r="J1594">
        <v>2929</v>
      </c>
      <c r="K1594">
        <v>37</v>
      </c>
      <c r="L1594">
        <v>500</v>
      </c>
      <c r="M1594">
        <v>499</v>
      </c>
      <c r="N1594">
        <v>1</v>
      </c>
      <c r="O1594">
        <v>55592.810563045598</v>
      </c>
      <c r="P1594">
        <v>0</v>
      </c>
    </row>
    <row r="1595" spans="1:16" x14ac:dyDescent="0.2">
      <c r="A1595" s="3" t="s">
        <v>49</v>
      </c>
      <c r="B1595" s="3" t="s">
        <v>50</v>
      </c>
      <c r="C1595">
        <v>11</v>
      </c>
      <c r="D1595">
        <v>17000</v>
      </c>
      <c r="E1595">
        <v>499</v>
      </c>
      <c r="F1595">
        <v>1</v>
      </c>
      <c r="G1595">
        <v>65872.258119671897</v>
      </c>
      <c r="H1595">
        <v>3.0849399999999998E-4</v>
      </c>
      <c r="I1595">
        <v>2961</v>
      </c>
      <c r="J1595">
        <v>2939</v>
      </c>
      <c r="K1595">
        <v>22</v>
      </c>
      <c r="L1595">
        <v>500</v>
      </c>
      <c r="M1595">
        <v>499</v>
      </c>
      <c r="N1595">
        <v>1</v>
      </c>
      <c r="O1595">
        <v>55572.5837860959</v>
      </c>
      <c r="P1595">
        <v>0</v>
      </c>
    </row>
    <row r="1596" spans="1:16" x14ac:dyDescent="0.2">
      <c r="A1596" s="3" t="s">
        <v>49</v>
      </c>
      <c r="B1596" s="3" t="s">
        <v>50</v>
      </c>
      <c r="C1596">
        <v>30</v>
      </c>
      <c r="D1596">
        <v>17000</v>
      </c>
      <c r="E1596">
        <v>499</v>
      </c>
      <c r="F1596">
        <v>1</v>
      </c>
      <c r="G1596">
        <v>65872.258119671897</v>
      </c>
      <c r="H1596">
        <v>3.0848399999999998E-4</v>
      </c>
      <c r="I1596">
        <v>2928</v>
      </c>
      <c r="J1596">
        <v>2900</v>
      </c>
      <c r="K1596">
        <v>28</v>
      </c>
      <c r="L1596">
        <v>500</v>
      </c>
      <c r="M1596">
        <v>499</v>
      </c>
      <c r="N1596">
        <v>1</v>
      </c>
      <c r="O1596">
        <v>55637.406891897801</v>
      </c>
      <c r="P1596">
        <v>0</v>
      </c>
    </row>
    <row r="1597" spans="1:16" x14ac:dyDescent="0.2">
      <c r="A1597" s="3" t="s">
        <v>49</v>
      </c>
      <c r="B1597" s="3" t="s">
        <v>50</v>
      </c>
      <c r="C1597">
        <v>21</v>
      </c>
      <c r="D1597">
        <v>17000</v>
      </c>
      <c r="E1597">
        <v>499</v>
      </c>
      <c r="F1597">
        <v>1</v>
      </c>
      <c r="G1597">
        <v>17000</v>
      </c>
      <c r="H1597">
        <v>3.0843E-4</v>
      </c>
      <c r="I1597">
        <v>2955</v>
      </c>
      <c r="J1597">
        <v>2914</v>
      </c>
      <c r="K1597">
        <v>41</v>
      </c>
      <c r="L1597">
        <v>500</v>
      </c>
      <c r="M1597">
        <v>499</v>
      </c>
      <c r="N1597">
        <v>1</v>
      </c>
      <c r="O1597">
        <v>14045</v>
      </c>
      <c r="P1597">
        <v>1</v>
      </c>
    </row>
    <row r="1598" spans="1:16" x14ac:dyDescent="0.2">
      <c r="A1598" s="3" t="s">
        <v>49</v>
      </c>
      <c r="B1598" s="3" t="s">
        <v>50</v>
      </c>
      <c r="C1598">
        <v>15</v>
      </c>
      <c r="D1598">
        <v>17000</v>
      </c>
      <c r="E1598">
        <v>499</v>
      </c>
      <c r="F1598">
        <v>1</v>
      </c>
      <c r="G1598">
        <v>17000</v>
      </c>
      <c r="H1598">
        <v>3.0834699999999999E-4</v>
      </c>
      <c r="I1598">
        <v>2990</v>
      </c>
      <c r="J1598">
        <v>2958</v>
      </c>
      <c r="K1598">
        <v>32</v>
      </c>
      <c r="L1598">
        <v>500</v>
      </c>
      <c r="M1598">
        <v>499</v>
      </c>
      <c r="N1598">
        <v>1</v>
      </c>
      <c r="O1598">
        <v>14010</v>
      </c>
      <c r="P1598">
        <v>1</v>
      </c>
    </row>
    <row r="1599" spans="1:16" x14ac:dyDescent="0.2">
      <c r="A1599" s="3" t="s">
        <v>49</v>
      </c>
      <c r="B1599" s="3" t="s">
        <v>50</v>
      </c>
      <c r="C1599">
        <v>23</v>
      </c>
      <c r="D1599">
        <v>17000</v>
      </c>
      <c r="E1599">
        <v>499</v>
      </c>
      <c r="F1599">
        <v>1</v>
      </c>
      <c r="G1599">
        <v>17000</v>
      </c>
      <c r="H1599">
        <v>3.0828399999999998E-4</v>
      </c>
      <c r="I1599">
        <v>2928</v>
      </c>
      <c r="J1599">
        <v>2897</v>
      </c>
      <c r="K1599">
        <v>31</v>
      </c>
      <c r="L1599">
        <v>500</v>
      </c>
      <c r="M1599">
        <v>499</v>
      </c>
      <c r="N1599">
        <v>1</v>
      </c>
      <c r="O1599">
        <v>14072</v>
      </c>
      <c r="P1599">
        <v>1</v>
      </c>
    </row>
    <row r="1600" spans="1:16" x14ac:dyDescent="0.2">
      <c r="A1600" s="3" t="s">
        <v>49</v>
      </c>
      <c r="B1600" s="3" t="s">
        <v>50</v>
      </c>
      <c r="C1600">
        <v>26</v>
      </c>
      <c r="D1600">
        <v>16000</v>
      </c>
      <c r="E1600">
        <v>499</v>
      </c>
      <c r="F1600">
        <v>1</v>
      </c>
      <c r="G1600">
        <v>64781.839036288002</v>
      </c>
      <c r="H1600">
        <v>3.0827399999999998E-4</v>
      </c>
      <c r="I1600">
        <v>2997</v>
      </c>
      <c r="J1600">
        <v>2963</v>
      </c>
      <c r="K1600">
        <v>34</v>
      </c>
      <c r="L1600">
        <v>500</v>
      </c>
      <c r="M1600">
        <v>499</v>
      </c>
      <c r="N1600">
        <v>1</v>
      </c>
      <c r="O1600">
        <v>54032.669974955897</v>
      </c>
      <c r="P1600">
        <v>0</v>
      </c>
    </row>
    <row r="1601" spans="1:16" x14ac:dyDescent="0.2">
      <c r="A1601" s="3" t="s">
        <v>49</v>
      </c>
      <c r="B1601" s="3" t="s">
        <v>50</v>
      </c>
      <c r="C1601">
        <v>42</v>
      </c>
      <c r="D1601">
        <v>17000</v>
      </c>
      <c r="E1601">
        <v>499</v>
      </c>
      <c r="F1601">
        <v>1</v>
      </c>
      <c r="G1601">
        <v>65872.258119671897</v>
      </c>
      <c r="H1601">
        <v>3.0821899999999998E-4</v>
      </c>
      <c r="I1601">
        <v>2979</v>
      </c>
      <c r="J1601">
        <v>2950</v>
      </c>
      <c r="K1601">
        <v>29</v>
      </c>
      <c r="L1601">
        <v>500</v>
      </c>
      <c r="M1601">
        <v>499</v>
      </c>
      <c r="N1601">
        <v>1</v>
      </c>
      <c r="O1601">
        <v>55597.552479445003</v>
      </c>
      <c r="P1601">
        <v>0</v>
      </c>
    </row>
    <row r="1602" spans="1:16" x14ac:dyDescent="0.2">
      <c r="A1602" s="3" t="s">
        <v>49</v>
      </c>
      <c r="B1602" s="3" t="s">
        <v>50</v>
      </c>
      <c r="C1602">
        <v>22</v>
      </c>
      <c r="D1602">
        <v>16000</v>
      </c>
      <c r="E1602">
        <v>499</v>
      </c>
      <c r="F1602">
        <v>1</v>
      </c>
      <c r="G1602">
        <v>16000</v>
      </c>
      <c r="H1602">
        <v>3.0816399999999999E-4</v>
      </c>
      <c r="I1602">
        <v>2987</v>
      </c>
      <c r="J1602">
        <v>2959</v>
      </c>
      <c r="K1602">
        <v>28</v>
      </c>
      <c r="L1602">
        <v>500</v>
      </c>
      <c r="M1602">
        <v>499</v>
      </c>
      <c r="N1602">
        <v>1</v>
      </c>
      <c r="O1602">
        <v>13013</v>
      </c>
      <c r="P1602">
        <v>1</v>
      </c>
    </row>
    <row r="1603" spans="1:16" x14ac:dyDescent="0.2">
      <c r="A1603" s="3" t="s">
        <v>49</v>
      </c>
      <c r="B1603" s="3" t="s">
        <v>50</v>
      </c>
      <c r="C1603">
        <v>22</v>
      </c>
      <c r="D1603">
        <v>15000</v>
      </c>
      <c r="E1603">
        <v>499</v>
      </c>
      <c r="F1603">
        <v>1</v>
      </c>
      <c r="G1603">
        <v>15000</v>
      </c>
      <c r="H1603">
        <v>3.0800800000000002E-4</v>
      </c>
      <c r="I1603">
        <v>2931</v>
      </c>
      <c r="J1603">
        <v>2895</v>
      </c>
      <c r="K1603">
        <v>36</v>
      </c>
      <c r="L1603">
        <v>500</v>
      </c>
      <c r="M1603">
        <v>499</v>
      </c>
      <c r="N1603">
        <v>1</v>
      </c>
      <c r="O1603">
        <v>12069</v>
      </c>
      <c r="P1603">
        <v>1</v>
      </c>
    </row>
    <row r="1604" spans="1:16" x14ac:dyDescent="0.2">
      <c r="A1604" s="3" t="s">
        <v>49</v>
      </c>
      <c r="B1604" s="3" t="s">
        <v>50</v>
      </c>
      <c r="C1604">
        <v>6</v>
      </c>
      <c r="D1604">
        <v>17000</v>
      </c>
      <c r="E1604">
        <v>499</v>
      </c>
      <c r="F1604">
        <v>1</v>
      </c>
      <c r="G1604">
        <v>17000</v>
      </c>
      <c r="H1604">
        <v>3.0783399999999999E-4</v>
      </c>
      <c r="I1604">
        <v>2958</v>
      </c>
      <c r="J1604">
        <v>2915</v>
      </c>
      <c r="K1604">
        <v>43</v>
      </c>
      <c r="L1604">
        <v>500</v>
      </c>
      <c r="M1604">
        <v>499</v>
      </c>
      <c r="N1604">
        <v>1</v>
      </c>
      <c r="O1604">
        <v>14042</v>
      </c>
      <c r="P1604">
        <v>1</v>
      </c>
    </row>
    <row r="1605" spans="1:16" x14ac:dyDescent="0.2">
      <c r="A1605" s="3" t="s">
        <v>49</v>
      </c>
      <c r="B1605" s="3" t="s">
        <v>50</v>
      </c>
      <c r="C1605">
        <v>30</v>
      </c>
      <c r="D1605">
        <v>14000</v>
      </c>
      <c r="E1605">
        <v>499</v>
      </c>
      <c r="F1605">
        <v>1</v>
      </c>
      <c r="G1605">
        <v>58565.0323707059</v>
      </c>
      <c r="H1605">
        <v>3.0781599999999998E-4</v>
      </c>
      <c r="I1605">
        <v>2849</v>
      </c>
      <c r="J1605">
        <v>2822</v>
      </c>
      <c r="K1605">
        <v>27</v>
      </c>
      <c r="L1605">
        <v>500</v>
      </c>
      <c r="M1605">
        <v>499</v>
      </c>
      <c r="N1605">
        <v>1</v>
      </c>
      <c r="O1605">
        <v>48260.352676696697</v>
      </c>
      <c r="P1605">
        <v>0</v>
      </c>
    </row>
    <row r="1606" spans="1:16" x14ac:dyDescent="0.2">
      <c r="A1606" s="3" t="s">
        <v>49</v>
      </c>
      <c r="B1606" s="3" t="s">
        <v>50</v>
      </c>
      <c r="C1606">
        <v>2</v>
      </c>
      <c r="D1606">
        <v>17000</v>
      </c>
      <c r="E1606">
        <v>499</v>
      </c>
      <c r="F1606">
        <v>1</v>
      </c>
      <c r="G1606">
        <v>65872.258119671897</v>
      </c>
      <c r="H1606">
        <v>3.0769700000000001E-4</v>
      </c>
      <c r="I1606">
        <v>2912</v>
      </c>
      <c r="J1606">
        <v>2885</v>
      </c>
      <c r="K1606">
        <v>27</v>
      </c>
      <c r="L1606">
        <v>500</v>
      </c>
      <c r="M1606">
        <v>499</v>
      </c>
      <c r="N1606">
        <v>1</v>
      </c>
      <c r="O1606">
        <v>55696.378420578701</v>
      </c>
      <c r="P1606">
        <v>0</v>
      </c>
    </row>
    <row r="1607" spans="1:16" x14ac:dyDescent="0.2">
      <c r="A1607" s="3" t="s">
        <v>49</v>
      </c>
      <c r="B1607" s="3" t="s">
        <v>50</v>
      </c>
      <c r="C1607">
        <v>29</v>
      </c>
      <c r="D1607">
        <v>17000</v>
      </c>
      <c r="E1607">
        <v>499</v>
      </c>
      <c r="F1607">
        <v>1</v>
      </c>
      <c r="G1607">
        <v>65872.258119671897</v>
      </c>
      <c r="H1607">
        <v>3.0767899999999999E-4</v>
      </c>
      <c r="I1607">
        <v>2957</v>
      </c>
      <c r="J1607">
        <v>2923</v>
      </c>
      <c r="K1607">
        <v>34</v>
      </c>
      <c r="L1607">
        <v>500</v>
      </c>
      <c r="M1607">
        <v>499</v>
      </c>
      <c r="N1607">
        <v>1</v>
      </c>
      <c r="O1607">
        <v>55554.934473036999</v>
      </c>
      <c r="P1607">
        <v>0</v>
      </c>
    </row>
    <row r="1608" spans="1:16" x14ac:dyDescent="0.2">
      <c r="A1608" s="3" t="s">
        <v>49</v>
      </c>
      <c r="B1608" s="3" t="s">
        <v>50</v>
      </c>
      <c r="C1608">
        <v>31</v>
      </c>
      <c r="D1608">
        <v>16000</v>
      </c>
      <c r="E1608">
        <v>499</v>
      </c>
      <c r="F1608">
        <v>1</v>
      </c>
      <c r="G1608">
        <v>16000</v>
      </c>
      <c r="H1608">
        <v>3.07669E-4</v>
      </c>
      <c r="I1608">
        <v>2997</v>
      </c>
      <c r="J1608">
        <v>2958</v>
      </c>
      <c r="K1608">
        <v>39</v>
      </c>
      <c r="L1608">
        <v>500</v>
      </c>
      <c r="M1608">
        <v>499</v>
      </c>
      <c r="N1608">
        <v>1</v>
      </c>
      <c r="O1608">
        <v>13003</v>
      </c>
      <c r="P1608">
        <v>1</v>
      </c>
    </row>
    <row r="1609" spans="1:16" x14ac:dyDescent="0.2">
      <c r="A1609" s="3" t="s">
        <v>49</v>
      </c>
      <c r="B1609" s="3" t="s">
        <v>50</v>
      </c>
      <c r="C1609">
        <v>41</v>
      </c>
      <c r="D1609">
        <v>17000</v>
      </c>
      <c r="E1609">
        <v>499</v>
      </c>
      <c r="F1609">
        <v>1</v>
      </c>
      <c r="G1609">
        <v>17000</v>
      </c>
      <c r="H1609">
        <v>3.0756799999999998E-4</v>
      </c>
      <c r="I1609">
        <v>2957</v>
      </c>
      <c r="J1609">
        <v>2919</v>
      </c>
      <c r="K1609">
        <v>38</v>
      </c>
      <c r="L1609">
        <v>500</v>
      </c>
      <c r="M1609">
        <v>499</v>
      </c>
      <c r="N1609">
        <v>1</v>
      </c>
      <c r="O1609">
        <v>14043</v>
      </c>
      <c r="P1609">
        <v>1</v>
      </c>
    </row>
    <row r="1610" spans="1:16" x14ac:dyDescent="0.2">
      <c r="A1610" s="3" t="s">
        <v>49</v>
      </c>
      <c r="B1610" s="3" t="s">
        <v>50</v>
      </c>
      <c r="C1610">
        <v>44</v>
      </c>
      <c r="D1610">
        <v>17000</v>
      </c>
      <c r="E1610">
        <v>499</v>
      </c>
      <c r="F1610">
        <v>1</v>
      </c>
      <c r="G1610">
        <v>65872.258119671897</v>
      </c>
      <c r="H1610">
        <v>3.07504E-4</v>
      </c>
      <c r="I1610">
        <v>2939</v>
      </c>
      <c r="J1610">
        <v>2903</v>
      </c>
      <c r="K1610">
        <v>36</v>
      </c>
      <c r="L1610">
        <v>500</v>
      </c>
      <c r="M1610">
        <v>499</v>
      </c>
      <c r="N1610">
        <v>1</v>
      </c>
      <c r="O1610">
        <v>55569.848271738803</v>
      </c>
      <c r="P1610">
        <v>0</v>
      </c>
    </row>
    <row r="1611" spans="1:16" x14ac:dyDescent="0.2">
      <c r="A1611" s="3" t="s">
        <v>49</v>
      </c>
      <c r="B1611" s="3" t="s">
        <v>50</v>
      </c>
      <c r="C1611">
        <v>8</v>
      </c>
      <c r="D1611">
        <v>16000</v>
      </c>
      <c r="E1611">
        <v>499</v>
      </c>
      <c r="F1611">
        <v>1</v>
      </c>
      <c r="G1611">
        <v>64781.839036288002</v>
      </c>
      <c r="H1611">
        <v>3.0748499999999997E-4</v>
      </c>
      <c r="I1611">
        <v>2950</v>
      </c>
      <c r="J1611">
        <v>2915</v>
      </c>
      <c r="K1611">
        <v>35</v>
      </c>
      <c r="L1611">
        <v>500</v>
      </c>
      <c r="M1611">
        <v>499</v>
      </c>
      <c r="N1611">
        <v>1</v>
      </c>
      <c r="O1611">
        <v>54262.609530522801</v>
      </c>
      <c r="P1611">
        <v>0</v>
      </c>
    </row>
    <row r="1612" spans="1:16" x14ac:dyDescent="0.2">
      <c r="A1612" s="3" t="s">
        <v>49</v>
      </c>
      <c r="B1612" s="3" t="s">
        <v>50</v>
      </c>
      <c r="C1612">
        <v>48</v>
      </c>
      <c r="D1612">
        <v>16000</v>
      </c>
      <c r="E1612">
        <v>499</v>
      </c>
      <c r="F1612">
        <v>1</v>
      </c>
      <c r="G1612">
        <v>16000</v>
      </c>
      <c r="H1612">
        <v>3.0742999999999998E-4</v>
      </c>
      <c r="I1612">
        <v>3001</v>
      </c>
      <c r="J1612">
        <v>2972</v>
      </c>
      <c r="K1612">
        <v>29</v>
      </c>
      <c r="L1612">
        <v>500</v>
      </c>
      <c r="M1612">
        <v>499</v>
      </c>
      <c r="N1612">
        <v>1</v>
      </c>
      <c r="O1612">
        <v>12999</v>
      </c>
      <c r="P1612">
        <v>1</v>
      </c>
    </row>
    <row r="1613" spans="1:16" x14ac:dyDescent="0.2">
      <c r="A1613" s="3" t="s">
        <v>49</v>
      </c>
      <c r="B1613" s="3" t="s">
        <v>50</v>
      </c>
      <c r="C1613">
        <v>41</v>
      </c>
      <c r="D1613">
        <v>16000</v>
      </c>
      <c r="E1613">
        <v>499</v>
      </c>
      <c r="F1613">
        <v>1</v>
      </c>
      <c r="G1613">
        <v>64781.839036288002</v>
      </c>
      <c r="H1613">
        <v>3.0731999999999998E-4</v>
      </c>
      <c r="I1613">
        <v>3001</v>
      </c>
      <c r="J1613">
        <v>2975</v>
      </c>
      <c r="K1613">
        <v>26</v>
      </c>
      <c r="L1613">
        <v>500</v>
      </c>
      <c r="M1613">
        <v>499</v>
      </c>
      <c r="N1613">
        <v>1</v>
      </c>
      <c r="O1613">
        <v>53984.850375020302</v>
      </c>
      <c r="P1613">
        <v>0</v>
      </c>
    </row>
    <row r="1614" spans="1:16" x14ac:dyDescent="0.2">
      <c r="A1614" s="3" t="s">
        <v>49</v>
      </c>
      <c r="B1614" s="3" t="s">
        <v>50</v>
      </c>
      <c r="C1614">
        <v>41</v>
      </c>
      <c r="D1614">
        <v>17000</v>
      </c>
      <c r="E1614">
        <v>499</v>
      </c>
      <c r="F1614">
        <v>1</v>
      </c>
      <c r="G1614">
        <v>65872.258119671897</v>
      </c>
      <c r="H1614">
        <v>3.07256E-4</v>
      </c>
      <c r="I1614">
        <v>2942</v>
      </c>
      <c r="J1614">
        <v>2908</v>
      </c>
      <c r="K1614">
        <v>34</v>
      </c>
      <c r="L1614">
        <v>500</v>
      </c>
      <c r="M1614">
        <v>499</v>
      </c>
      <c r="N1614">
        <v>1</v>
      </c>
      <c r="O1614">
        <v>55594.756465026199</v>
      </c>
      <c r="P1614">
        <v>0</v>
      </c>
    </row>
    <row r="1615" spans="1:16" x14ac:dyDescent="0.2">
      <c r="A1615" s="3" t="s">
        <v>49</v>
      </c>
      <c r="B1615" s="3" t="s">
        <v>50</v>
      </c>
      <c r="C1615">
        <v>44</v>
      </c>
      <c r="D1615">
        <v>17000</v>
      </c>
      <c r="E1615">
        <v>499</v>
      </c>
      <c r="F1615">
        <v>1</v>
      </c>
      <c r="G1615">
        <v>17000</v>
      </c>
      <c r="H1615">
        <v>3.0715499999999998E-4</v>
      </c>
      <c r="I1615">
        <v>2925</v>
      </c>
      <c r="J1615">
        <v>2894</v>
      </c>
      <c r="K1615">
        <v>31</v>
      </c>
      <c r="L1615">
        <v>500</v>
      </c>
      <c r="M1615">
        <v>499</v>
      </c>
      <c r="N1615">
        <v>1</v>
      </c>
      <c r="O1615">
        <v>14075</v>
      </c>
      <c r="P1615">
        <v>1</v>
      </c>
    </row>
    <row r="1616" spans="1:16" x14ac:dyDescent="0.2">
      <c r="A1616" s="3" t="s">
        <v>49</v>
      </c>
      <c r="B1616" s="3" t="s">
        <v>50</v>
      </c>
      <c r="C1616">
        <v>10</v>
      </c>
      <c r="D1616">
        <v>17000</v>
      </c>
      <c r="E1616">
        <v>499</v>
      </c>
      <c r="F1616">
        <v>1</v>
      </c>
      <c r="G1616">
        <v>65872.258119671897</v>
      </c>
      <c r="H1616">
        <v>3.0701799999999999E-4</v>
      </c>
      <c r="I1616">
        <v>2883</v>
      </c>
      <c r="J1616">
        <v>2858</v>
      </c>
      <c r="K1616">
        <v>25</v>
      </c>
      <c r="L1616">
        <v>500</v>
      </c>
      <c r="M1616">
        <v>499</v>
      </c>
      <c r="N1616">
        <v>1</v>
      </c>
      <c r="O1616">
        <v>55797.151708922203</v>
      </c>
      <c r="P1616">
        <v>0</v>
      </c>
    </row>
    <row r="1617" spans="1:16" x14ac:dyDescent="0.2">
      <c r="A1617" s="3" t="s">
        <v>49</v>
      </c>
      <c r="B1617" s="3" t="s">
        <v>50</v>
      </c>
      <c r="C1617">
        <v>15</v>
      </c>
      <c r="D1617">
        <v>15000</v>
      </c>
      <c r="E1617">
        <v>499</v>
      </c>
      <c r="F1617">
        <v>1</v>
      </c>
      <c r="G1617">
        <v>60572.237308582698</v>
      </c>
      <c r="H1617">
        <v>3.0696299999999999E-4</v>
      </c>
      <c r="I1617">
        <v>2928</v>
      </c>
      <c r="J1617">
        <v>2896</v>
      </c>
      <c r="K1617">
        <v>32</v>
      </c>
      <c r="L1617">
        <v>500</v>
      </c>
      <c r="M1617">
        <v>499</v>
      </c>
      <c r="N1617">
        <v>1</v>
      </c>
      <c r="O1617">
        <v>50159.2096919502</v>
      </c>
      <c r="P1617">
        <v>0</v>
      </c>
    </row>
    <row r="1618" spans="1:16" x14ac:dyDescent="0.2">
      <c r="A1618" s="3" t="s">
        <v>49</v>
      </c>
      <c r="B1618" s="3" t="s">
        <v>50</v>
      </c>
      <c r="C1618">
        <v>35</v>
      </c>
      <c r="D1618">
        <v>17000</v>
      </c>
      <c r="E1618">
        <v>499</v>
      </c>
      <c r="F1618">
        <v>1</v>
      </c>
      <c r="G1618">
        <v>65872.258119671897</v>
      </c>
      <c r="H1618">
        <v>3.0682600000000001E-4</v>
      </c>
      <c r="I1618">
        <v>2942</v>
      </c>
      <c r="J1618">
        <v>2909</v>
      </c>
      <c r="K1618">
        <v>33</v>
      </c>
      <c r="L1618">
        <v>500</v>
      </c>
      <c r="M1618">
        <v>499</v>
      </c>
      <c r="N1618">
        <v>1</v>
      </c>
      <c r="O1618">
        <v>55617.794611986101</v>
      </c>
      <c r="P1618">
        <v>0</v>
      </c>
    </row>
    <row r="1619" spans="1:16" x14ac:dyDescent="0.2">
      <c r="A1619" s="3" t="s">
        <v>49</v>
      </c>
      <c r="B1619" s="3" t="s">
        <v>50</v>
      </c>
      <c r="C1619">
        <v>19</v>
      </c>
      <c r="D1619">
        <v>15000</v>
      </c>
      <c r="E1619">
        <v>499</v>
      </c>
      <c r="F1619">
        <v>1</v>
      </c>
      <c r="G1619">
        <v>15000</v>
      </c>
      <c r="H1619">
        <v>3.0623E-4</v>
      </c>
      <c r="I1619">
        <v>2907</v>
      </c>
      <c r="J1619">
        <v>2882</v>
      </c>
      <c r="K1619">
        <v>25</v>
      </c>
      <c r="L1619">
        <v>500</v>
      </c>
      <c r="M1619">
        <v>499</v>
      </c>
      <c r="N1619">
        <v>1</v>
      </c>
      <c r="O1619">
        <v>12093</v>
      </c>
      <c r="P1619">
        <v>1</v>
      </c>
    </row>
    <row r="1620" spans="1:16" x14ac:dyDescent="0.2">
      <c r="A1620" s="3" t="s">
        <v>49</v>
      </c>
      <c r="B1620" s="3" t="s">
        <v>50</v>
      </c>
      <c r="C1620">
        <v>49</v>
      </c>
      <c r="D1620">
        <v>15000</v>
      </c>
      <c r="E1620">
        <v>499</v>
      </c>
      <c r="F1620">
        <v>1</v>
      </c>
      <c r="G1620">
        <v>15000</v>
      </c>
      <c r="H1620">
        <v>3.0621199999999999E-4</v>
      </c>
      <c r="I1620">
        <v>2914</v>
      </c>
      <c r="J1620">
        <v>2883</v>
      </c>
      <c r="K1620">
        <v>31</v>
      </c>
      <c r="L1620">
        <v>500</v>
      </c>
      <c r="M1620">
        <v>499</v>
      </c>
      <c r="N1620">
        <v>1</v>
      </c>
      <c r="O1620">
        <v>12086</v>
      </c>
      <c r="P1620">
        <v>1</v>
      </c>
    </row>
    <row r="1621" spans="1:16" x14ac:dyDescent="0.2">
      <c r="A1621" s="3" t="s">
        <v>49</v>
      </c>
      <c r="B1621" s="3" t="s">
        <v>50</v>
      </c>
      <c r="C1621">
        <v>16</v>
      </c>
      <c r="D1621">
        <v>16000</v>
      </c>
      <c r="E1621">
        <v>499</v>
      </c>
      <c r="F1621">
        <v>1</v>
      </c>
      <c r="G1621">
        <v>64781.839036288002</v>
      </c>
      <c r="H1621">
        <v>3.0621100000000003E-4</v>
      </c>
      <c r="I1621">
        <v>2993</v>
      </c>
      <c r="J1621">
        <v>2959</v>
      </c>
      <c r="K1621">
        <v>34</v>
      </c>
      <c r="L1621">
        <v>500</v>
      </c>
      <c r="M1621">
        <v>499</v>
      </c>
      <c r="N1621">
        <v>1</v>
      </c>
      <c r="O1621">
        <v>54036.359558272998</v>
      </c>
      <c r="P1621">
        <v>0</v>
      </c>
    </row>
    <row r="1622" spans="1:16" x14ac:dyDescent="0.2">
      <c r="A1622" s="3" t="s">
        <v>49</v>
      </c>
      <c r="B1622" s="3" t="s">
        <v>50</v>
      </c>
      <c r="C1622">
        <v>18</v>
      </c>
      <c r="D1622">
        <v>15000</v>
      </c>
      <c r="E1622">
        <v>499</v>
      </c>
      <c r="F1622">
        <v>1</v>
      </c>
      <c r="G1622">
        <v>15000</v>
      </c>
      <c r="H1622">
        <v>3.0620199999999999E-4</v>
      </c>
      <c r="I1622">
        <v>2952</v>
      </c>
      <c r="J1622">
        <v>2932</v>
      </c>
      <c r="K1622">
        <v>20</v>
      </c>
      <c r="L1622">
        <v>500</v>
      </c>
      <c r="M1622">
        <v>499</v>
      </c>
      <c r="N1622">
        <v>1</v>
      </c>
      <c r="O1622">
        <v>12048</v>
      </c>
      <c r="P1622">
        <v>1</v>
      </c>
    </row>
    <row r="1623" spans="1:16" x14ac:dyDescent="0.2">
      <c r="A1623" s="3" t="s">
        <v>49</v>
      </c>
      <c r="B1623" s="3" t="s">
        <v>50</v>
      </c>
      <c r="C1623">
        <v>10</v>
      </c>
      <c r="D1623">
        <v>16000</v>
      </c>
      <c r="E1623">
        <v>499</v>
      </c>
      <c r="F1623">
        <v>1</v>
      </c>
      <c r="G1623">
        <v>64781.839036288002</v>
      </c>
      <c r="H1623">
        <v>3.0612899999999998E-4</v>
      </c>
      <c r="I1623">
        <v>2960</v>
      </c>
      <c r="J1623">
        <v>2930</v>
      </c>
      <c r="K1623">
        <v>30</v>
      </c>
      <c r="L1623">
        <v>500</v>
      </c>
      <c r="M1623">
        <v>499</v>
      </c>
      <c r="N1623">
        <v>1</v>
      </c>
      <c r="O1623">
        <v>54116.281140738902</v>
      </c>
      <c r="P1623">
        <v>0</v>
      </c>
    </row>
    <row r="1624" spans="1:16" x14ac:dyDescent="0.2">
      <c r="A1624" s="3" t="s">
        <v>49</v>
      </c>
      <c r="B1624" s="3" t="s">
        <v>50</v>
      </c>
      <c r="C1624">
        <v>43</v>
      </c>
      <c r="D1624">
        <v>17000</v>
      </c>
      <c r="E1624">
        <v>499</v>
      </c>
      <c r="F1624">
        <v>1</v>
      </c>
      <c r="G1624">
        <v>17000</v>
      </c>
      <c r="H1624">
        <v>3.0592800000000002E-4</v>
      </c>
      <c r="I1624">
        <v>2935</v>
      </c>
      <c r="J1624">
        <v>2908</v>
      </c>
      <c r="K1624">
        <v>27</v>
      </c>
      <c r="L1624">
        <v>500</v>
      </c>
      <c r="M1624">
        <v>499</v>
      </c>
      <c r="N1624">
        <v>1</v>
      </c>
      <c r="O1624">
        <v>14065</v>
      </c>
      <c r="P1624">
        <v>1</v>
      </c>
    </row>
    <row r="1625" spans="1:16" x14ac:dyDescent="0.2">
      <c r="A1625" s="3" t="s">
        <v>49</v>
      </c>
      <c r="B1625" s="3" t="s">
        <v>50</v>
      </c>
      <c r="C1625">
        <v>50</v>
      </c>
      <c r="D1625">
        <v>16000</v>
      </c>
      <c r="E1625">
        <v>499</v>
      </c>
      <c r="F1625">
        <v>1</v>
      </c>
      <c r="G1625">
        <v>16000</v>
      </c>
      <c r="H1625">
        <v>3.0572500000000002E-4</v>
      </c>
      <c r="I1625">
        <v>2934</v>
      </c>
      <c r="J1625">
        <v>2899</v>
      </c>
      <c r="K1625">
        <v>35</v>
      </c>
      <c r="L1625">
        <v>500</v>
      </c>
      <c r="M1625">
        <v>499</v>
      </c>
      <c r="N1625">
        <v>1</v>
      </c>
      <c r="O1625">
        <v>13066</v>
      </c>
      <c r="P1625">
        <v>1</v>
      </c>
    </row>
    <row r="1626" spans="1:16" x14ac:dyDescent="0.2">
      <c r="A1626" s="3" t="s">
        <v>49</v>
      </c>
      <c r="B1626" s="3" t="s">
        <v>50</v>
      </c>
      <c r="C1626">
        <v>4</v>
      </c>
      <c r="D1626">
        <v>16000</v>
      </c>
      <c r="E1626">
        <v>499</v>
      </c>
      <c r="F1626">
        <v>1</v>
      </c>
      <c r="G1626">
        <v>64781.839036288002</v>
      </c>
      <c r="H1626">
        <v>3.05524E-4</v>
      </c>
      <c r="I1626">
        <v>2934</v>
      </c>
      <c r="J1626">
        <v>2904</v>
      </c>
      <c r="K1626">
        <v>30</v>
      </c>
      <c r="L1626">
        <v>500</v>
      </c>
      <c r="M1626">
        <v>499</v>
      </c>
      <c r="N1626">
        <v>1</v>
      </c>
      <c r="O1626">
        <v>54254.035567623803</v>
      </c>
      <c r="P1626">
        <v>0</v>
      </c>
    </row>
    <row r="1627" spans="1:16" x14ac:dyDescent="0.2">
      <c r="A1627" s="3" t="s">
        <v>49</v>
      </c>
      <c r="B1627" s="3" t="s">
        <v>50</v>
      </c>
      <c r="C1627">
        <v>41</v>
      </c>
      <c r="D1627">
        <v>14000</v>
      </c>
      <c r="E1627">
        <v>499</v>
      </c>
      <c r="F1627">
        <v>1</v>
      </c>
      <c r="G1627">
        <v>14000</v>
      </c>
      <c r="H1627">
        <v>3.0526799999999998E-4</v>
      </c>
      <c r="I1627">
        <v>2814</v>
      </c>
      <c r="J1627">
        <v>2784</v>
      </c>
      <c r="K1627">
        <v>30</v>
      </c>
      <c r="L1627">
        <v>500</v>
      </c>
      <c r="M1627">
        <v>499</v>
      </c>
      <c r="N1627">
        <v>1</v>
      </c>
      <c r="O1627">
        <v>11186</v>
      </c>
      <c r="P1627">
        <v>1</v>
      </c>
    </row>
    <row r="1628" spans="1:16" x14ac:dyDescent="0.2">
      <c r="A1628" s="3" t="s">
        <v>49</v>
      </c>
      <c r="B1628" s="3" t="s">
        <v>50</v>
      </c>
      <c r="C1628">
        <v>45</v>
      </c>
      <c r="D1628">
        <v>17000</v>
      </c>
      <c r="E1628">
        <v>499</v>
      </c>
      <c r="F1628">
        <v>1</v>
      </c>
      <c r="G1628">
        <v>17000</v>
      </c>
      <c r="H1628">
        <v>3.0512099999999999E-4</v>
      </c>
      <c r="I1628">
        <v>2946</v>
      </c>
      <c r="J1628">
        <v>2921</v>
      </c>
      <c r="K1628">
        <v>25</v>
      </c>
      <c r="L1628">
        <v>500</v>
      </c>
      <c r="M1628">
        <v>499</v>
      </c>
      <c r="N1628">
        <v>1</v>
      </c>
      <c r="O1628">
        <v>14054</v>
      </c>
      <c r="P1628">
        <v>1</v>
      </c>
    </row>
    <row r="1629" spans="1:16" x14ac:dyDescent="0.2">
      <c r="A1629" s="3" t="s">
        <v>49</v>
      </c>
      <c r="B1629" s="3" t="s">
        <v>50</v>
      </c>
      <c r="C1629">
        <v>39</v>
      </c>
      <c r="D1629">
        <v>10000</v>
      </c>
      <c r="E1629">
        <v>499</v>
      </c>
      <c r="F1629">
        <v>1</v>
      </c>
      <c r="G1629">
        <v>10000</v>
      </c>
      <c r="H1629">
        <v>3.05111E-4</v>
      </c>
      <c r="I1629">
        <v>2720</v>
      </c>
      <c r="J1629">
        <v>2700</v>
      </c>
      <c r="K1629">
        <v>20</v>
      </c>
      <c r="L1629">
        <v>500</v>
      </c>
      <c r="M1629">
        <v>499</v>
      </c>
      <c r="N1629">
        <v>1</v>
      </c>
      <c r="O1629">
        <v>7280</v>
      </c>
      <c r="P1629">
        <v>1</v>
      </c>
    </row>
    <row r="1630" spans="1:16" x14ac:dyDescent="0.2">
      <c r="A1630" s="3" t="s">
        <v>49</v>
      </c>
      <c r="B1630" s="3" t="s">
        <v>50</v>
      </c>
      <c r="C1630">
        <v>47</v>
      </c>
      <c r="D1630">
        <v>16000</v>
      </c>
      <c r="E1630">
        <v>499</v>
      </c>
      <c r="F1630">
        <v>1</v>
      </c>
      <c r="G1630">
        <v>64781.839036288002</v>
      </c>
      <c r="H1630">
        <v>3.0497400000000001E-4</v>
      </c>
      <c r="I1630">
        <v>2935</v>
      </c>
      <c r="J1630">
        <v>2903</v>
      </c>
      <c r="K1630">
        <v>32</v>
      </c>
      <c r="L1630">
        <v>500</v>
      </c>
      <c r="M1630">
        <v>499</v>
      </c>
      <c r="N1630">
        <v>1</v>
      </c>
      <c r="O1630">
        <v>54085.946573552399</v>
      </c>
      <c r="P1630">
        <v>0</v>
      </c>
    </row>
    <row r="1631" spans="1:16" x14ac:dyDescent="0.2">
      <c r="A1631" s="3" t="s">
        <v>49</v>
      </c>
      <c r="B1631" s="3" t="s">
        <v>50</v>
      </c>
      <c r="C1631">
        <v>17</v>
      </c>
      <c r="D1631">
        <v>17000</v>
      </c>
      <c r="E1631">
        <v>499</v>
      </c>
      <c r="F1631">
        <v>1</v>
      </c>
      <c r="G1631">
        <v>65872.258119671897</v>
      </c>
      <c r="H1631">
        <v>3.0465400000000001E-4</v>
      </c>
      <c r="I1631">
        <v>2927</v>
      </c>
      <c r="J1631">
        <v>2904</v>
      </c>
      <c r="K1631">
        <v>23</v>
      </c>
      <c r="L1631">
        <v>500</v>
      </c>
      <c r="M1631">
        <v>499</v>
      </c>
      <c r="N1631">
        <v>1</v>
      </c>
      <c r="O1631">
        <v>55601.142260398999</v>
      </c>
      <c r="P1631">
        <v>0</v>
      </c>
    </row>
    <row r="1632" spans="1:16" x14ac:dyDescent="0.2">
      <c r="A1632" s="3" t="s">
        <v>49</v>
      </c>
      <c r="B1632" s="3" t="s">
        <v>50</v>
      </c>
      <c r="C1632">
        <v>32</v>
      </c>
      <c r="D1632">
        <v>16000</v>
      </c>
      <c r="E1632">
        <v>499</v>
      </c>
      <c r="F1632">
        <v>1</v>
      </c>
      <c r="G1632">
        <v>64781.839036288002</v>
      </c>
      <c r="H1632">
        <v>3.0444199999999998E-4</v>
      </c>
      <c r="I1632">
        <v>2925</v>
      </c>
      <c r="J1632">
        <v>2895</v>
      </c>
      <c r="K1632">
        <v>30</v>
      </c>
      <c r="L1632">
        <v>500</v>
      </c>
      <c r="M1632">
        <v>499</v>
      </c>
      <c r="N1632">
        <v>1</v>
      </c>
      <c r="O1632">
        <v>54204.250604991801</v>
      </c>
      <c r="P1632">
        <v>0</v>
      </c>
    </row>
    <row r="1633" spans="1:16" x14ac:dyDescent="0.2">
      <c r="A1633" s="3" t="s">
        <v>49</v>
      </c>
      <c r="B1633" s="3" t="s">
        <v>50</v>
      </c>
      <c r="C1633">
        <v>23</v>
      </c>
      <c r="D1633">
        <v>11000</v>
      </c>
      <c r="E1633">
        <v>499</v>
      </c>
      <c r="F1633">
        <v>1</v>
      </c>
      <c r="G1633">
        <v>11000</v>
      </c>
      <c r="H1633">
        <v>3.0432300000000001E-4</v>
      </c>
      <c r="I1633">
        <v>2789</v>
      </c>
      <c r="J1633">
        <v>2769</v>
      </c>
      <c r="K1633">
        <v>20</v>
      </c>
      <c r="L1633">
        <v>500</v>
      </c>
      <c r="M1633">
        <v>499</v>
      </c>
      <c r="N1633">
        <v>1</v>
      </c>
      <c r="O1633">
        <v>8211</v>
      </c>
      <c r="P1633">
        <v>1</v>
      </c>
    </row>
    <row r="1634" spans="1:16" x14ac:dyDescent="0.2">
      <c r="A1634" s="3" t="s">
        <v>49</v>
      </c>
      <c r="B1634" s="3" t="s">
        <v>50</v>
      </c>
      <c r="C1634">
        <v>28</v>
      </c>
      <c r="D1634">
        <v>16000</v>
      </c>
      <c r="E1634">
        <v>499</v>
      </c>
      <c r="F1634">
        <v>1</v>
      </c>
      <c r="G1634">
        <v>16000</v>
      </c>
      <c r="H1634">
        <v>3.0427699999999999E-4</v>
      </c>
      <c r="I1634">
        <v>2990</v>
      </c>
      <c r="J1634">
        <v>2958</v>
      </c>
      <c r="K1634">
        <v>32</v>
      </c>
      <c r="L1634">
        <v>500</v>
      </c>
      <c r="M1634">
        <v>499</v>
      </c>
      <c r="N1634">
        <v>1</v>
      </c>
      <c r="O1634">
        <v>13010</v>
      </c>
      <c r="P1634">
        <v>1</v>
      </c>
    </row>
    <row r="1635" spans="1:16" x14ac:dyDescent="0.2">
      <c r="A1635" s="3" t="s">
        <v>49</v>
      </c>
      <c r="B1635" s="3" t="s">
        <v>50</v>
      </c>
      <c r="C1635">
        <v>27</v>
      </c>
      <c r="D1635">
        <v>16000</v>
      </c>
      <c r="E1635">
        <v>499</v>
      </c>
      <c r="F1635">
        <v>1</v>
      </c>
      <c r="G1635">
        <v>64781.839036288002</v>
      </c>
      <c r="H1635">
        <v>3.0425E-4</v>
      </c>
      <c r="I1635">
        <v>2958</v>
      </c>
      <c r="J1635">
        <v>2914</v>
      </c>
      <c r="K1635">
        <v>44</v>
      </c>
      <c r="L1635">
        <v>500</v>
      </c>
      <c r="M1635">
        <v>499</v>
      </c>
      <c r="N1635">
        <v>1</v>
      </c>
      <c r="O1635">
        <v>54152.379619019397</v>
      </c>
      <c r="P1635">
        <v>0</v>
      </c>
    </row>
    <row r="1636" spans="1:16" x14ac:dyDescent="0.2">
      <c r="A1636" s="3" t="s">
        <v>49</v>
      </c>
      <c r="B1636" s="3" t="s">
        <v>50</v>
      </c>
      <c r="C1636">
        <v>2</v>
      </c>
      <c r="D1636">
        <v>16000</v>
      </c>
      <c r="E1636">
        <v>499</v>
      </c>
      <c r="F1636">
        <v>1</v>
      </c>
      <c r="G1636">
        <v>16000</v>
      </c>
      <c r="H1636">
        <v>3.0402000000000001E-4</v>
      </c>
      <c r="I1636">
        <v>2997</v>
      </c>
      <c r="J1636">
        <v>2970</v>
      </c>
      <c r="K1636">
        <v>27</v>
      </c>
      <c r="L1636">
        <v>500</v>
      </c>
      <c r="M1636">
        <v>499</v>
      </c>
      <c r="N1636">
        <v>1</v>
      </c>
      <c r="O1636">
        <v>13003</v>
      </c>
      <c r="P1636">
        <v>1</v>
      </c>
    </row>
    <row r="1637" spans="1:16" x14ac:dyDescent="0.2">
      <c r="A1637" s="3" t="s">
        <v>49</v>
      </c>
      <c r="B1637" s="3" t="s">
        <v>50</v>
      </c>
      <c r="C1637">
        <v>17</v>
      </c>
      <c r="D1637">
        <v>16000</v>
      </c>
      <c r="E1637">
        <v>499</v>
      </c>
      <c r="F1637">
        <v>1</v>
      </c>
      <c r="G1637">
        <v>64781.839036288002</v>
      </c>
      <c r="H1637">
        <v>3.0368099999999998E-4</v>
      </c>
      <c r="I1637">
        <v>2953</v>
      </c>
      <c r="J1637">
        <v>2921</v>
      </c>
      <c r="K1637">
        <v>32</v>
      </c>
      <c r="L1637">
        <v>500</v>
      </c>
      <c r="M1637">
        <v>499</v>
      </c>
      <c r="N1637">
        <v>1</v>
      </c>
      <c r="O1637">
        <v>54162.693167768499</v>
      </c>
      <c r="P1637">
        <v>0</v>
      </c>
    </row>
    <row r="1638" spans="1:16" x14ac:dyDescent="0.2">
      <c r="A1638" s="3" t="s">
        <v>49</v>
      </c>
      <c r="B1638" s="3" t="s">
        <v>50</v>
      </c>
      <c r="C1638">
        <v>8</v>
      </c>
      <c r="D1638">
        <v>15000</v>
      </c>
      <c r="E1638">
        <v>499</v>
      </c>
      <c r="F1638">
        <v>1</v>
      </c>
      <c r="G1638">
        <v>15000</v>
      </c>
      <c r="H1638">
        <v>3.03627E-4</v>
      </c>
      <c r="I1638">
        <v>2934</v>
      </c>
      <c r="J1638">
        <v>2906</v>
      </c>
      <c r="K1638">
        <v>28</v>
      </c>
      <c r="L1638">
        <v>500</v>
      </c>
      <c r="M1638">
        <v>499</v>
      </c>
      <c r="N1638">
        <v>1</v>
      </c>
      <c r="O1638">
        <v>12066</v>
      </c>
      <c r="P1638">
        <v>1</v>
      </c>
    </row>
    <row r="1639" spans="1:16" x14ac:dyDescent="0.2">
      <c r="A1639" s="3" t="s">
        <v>49</v>
      </c>
      <c r="B1639" s="3" t="s">
        <v>50</v>
      </c>
      <c r="C1639">
        <v>6</v>
      </c>
      <c r="D1639">
        <v>17000</v>
      </c>
      <c r="E1639">
        <v>499</v>
      </c>
      <c r="F1639">
        <v>1</v>
      </c>
      <c r="G1639">
        <v>65872.258119671897</v>
      </c>
      <c r="H1639">
        <v>3.0348000000000001E-4</v>
      </c>
      <c r="I1639">
        <v>2947</v>
      </c>
      <c r="J1639">
        <v>2925</v>
      </c>
      <c r="K1639">
        <v>22</v>
      </c>
      <c r="L1639">
        <v>500</v>
      </c>
      <c r="M1639">
        <v>499</v>
      </c>
      <c r="N1639">
        <v>1</v>
      </c>
      <c r="O1639">
        <v>55628.294052609803</v>
      </c>
      <c r="P1639">
        <v>0</v>
      </c>
    </row>
    <row r="1640" spans="1:16" x14ac:dyDescent="0.2">
      <c r="A1640" s="3" t="s">
        <v>49</v>
      </c>
      <c r="B1640" s="3" t="s">
        <v>50</v>
      </c>
      <c r="C1640">
        <v>7</v>
      </c>
      <c r="D1640">
        <v>14000</v>
      </c>
      <c r="E1640">
        <v>499</v>
      </c>
      <c r="F1640">
        <v>1</v>
      </c>
      <c r="G1640">
        <v>58565.0323707059</v>
      </c>
      <c r="H1640">
        <v>3.03479E-4</v>
      </c>
      <c r="I1640">
        <v>2868</v>
      </c>
      <c r="J1640">
        <v>2842</v>
      </c>
      <c r="K1640">
        <v>26</v>
      </c>
      <c r="L1640">
        <v>500</v>
      </c>
      <c r="M1640">
        <v>499</v>
      </c>
      <c r="N1640">
        <v>1</v>
      </c>
      <c r="O1640">
        <v>48254.851059791901</v>
      </c>
      <c r="P1640">
        <v>0</v>
      </c>
    </row>
    <row r="1641" spans="1:16" x14ac:dyDescent="0.2">
      <c r="A1641" s="3" t="s">
        <v>49</v>
      </c>
      <c r="B1641" s="3" t="s">
        <v>50</v>
      </c>
      <c r="C1641">
        <v>25</v>
      </c>
      <c r="D1641">
        <v>17000</v>
      </c>
      <c r="E1641">
        <v>499</v>
      </c>
      <c r="F1641">
        <v>1</v>
      </c>
      <c r="G1641">
        <v>17000</v>
      </c>
      <c r="H1641">
        <v>3.0344299999999997E-4</v>
      </c>
      <c r="I1641">
        <v>2966</v>
      </c>
      <c r="J1641">
        <v>2934</v>
      </c>
      <c r="K1641">
        <v>32</v>
      </c>
      <c r="L1641">
        <v>500</v>
      </c>
      <c r="M1641">
        <v>499</v>
      </c>
      <c r="N1641">
        <v>1</v>
      </c>
      <c r="O1641">
        <v>14034</v>
      </c>
      <c r="P1641">
        <v>1</v>
      </c>
    </row>
    <row r="1642" spans="1:16" x14ac:dyDescent="0.2">
      <c r="A1642" s="3" t="s">
        <v>49</v>
      </c>
      <c r="B1642" s="3" t="s">
        <v>50</v>
      </c>
      <c r="C1642">
        <v>42</v>
      </c>
      <c r="D1642">
        <v>15000</v>
      </c>
      <c r="E1642">
        <v>499</v>
      </c>
      <c r="F1642">
        <v>1</v>
      </c>
      <c r="G1642">
        <v>60572.237308582698</v>
      </c>
      <c r="H1642">
        <v>3.0317799999999998E-4</v>
      </c>
      <c r="I1642">
        <v>2867</v>
      </c>
      <c r="J1642">
        <v>2837</v>
      </c>
      <c r="K1642">
        <v>30</v>
      </c>
      <c r="L1642">
        <v>500</v>
      </c>
      <c r="M1642">
        <v>499</v>
      </c>
      <c r="N1642">
        <v>1</v>
      </c>
      <c r="O1642">
        <v>50266.1122425785</v>
      </c>
      <c r="P1642">
        <v>0</v>
      </c>
    </row>
    <row r="1643" spans="1:16" x14ac:dyDescent="0.2">
      <c r="A1643" s="3" t="s">
        <v>49</v>
      </c>
      <c r="B1643" s="3" t="s">
        <v>50</v>
      </c>
      <c r="C1643">
        <v>21</v>
      </c>
      <c r="D1643">
        <v>16000</v>
      </c>
      <c r="E1643">
        <v>499</v>
      </c>
      <c r="F1643">
        <v>1</v>
      </c>
      <c r="G1643">
        <v>64781.839036288002</v>
      </c>
      <c r="H1643">
        <v>3.0304000000000003E-4</v>
      </c>
      <c r="I1643">
        <v>2980</v>
      </c>
      <c r="J1643">
        <v>2956</v>
      </c>
      <c r="K1643">
        <v>24</v>
      </c>
      <c r="L1643">
        <v>500</v>
      </c>
      <c r="M1643">
        <v>499</v>
      </c>
      <c r="N1643">
        <v>1</v>
      </c>
      <c r="O1643">
        <v>54055.417879195498</v>
      </c>
      <c r="P1643">
        <v>0</v>
      </c>
    </row>
    <row r="1644" spans="1:16" x14ac:dyDescent="0.2">
      <c r="A1644" s="3" t="s">
        <v>49</v>
      </c>
      <c r="B1644" s="3" t="s">
        <v>50</v>
      </c>
      <c r="C1644">
        <v>11</v>
      </c>
      <c r="D1644">
        <v>15000</v>
      </c>
      <c r="E1644">
        <v>499</v>
      </c>
      <c r="F1644">
        <v>1</v>
      </c>
      <c r="G1644">
        <v>60572.237308582698</v>
      </c>
      <c r="H1644">
        <v>3.0295799999999998E-4</v>
      </c>
      <c r="I1644">
        <v>2896</v>
      </c>
      <c r="J1644">
        <v>2868</v>
      </c>
      <c r="K1644">
        <v>28</v>
      </c>
      <c r="L1644">
        <v>500</v>
      </c>
      <c r="M1644">
        <v>499</v>
      </c>
      <c r="N1644">
        <v>1</v>
      </c>
      <c r="O1644">
        <v>50313.199321121298</v>
      </c>
      <c r="P1644">
        <v>0</v>
      </c>
    </row>
    <row r="1645" spans="1:16" x14ac:dyDescent="0.2">
      <c r="A1645" s="3" t="s">
        <v>49</v>
      </c>
      <c r="B1645" s="3" t="s">
        <v>50</v>
      </c>
      <c r="C1645">
        <v>42</v>
      </c>
      <c r="D1645">
        <v>16000</v>
      </c>
      <c r="E1645">
        <v>499</v>
      </c>
      <c r="F1645">
        <v>1</v>
      </c>
      <c r="G1645">
        <v>64781.839036288002</v>
      </c>
      <c r="H1645">
        <v>3.0295799999999998E-4</v>
      </c>
      <c r="I1645">
        <v>2959</v>
      </c>
      <c r="J1645">
        <v>2935</v>
      </c>
      <c r="K1645">
        <v>24</v>
      </c>
      <c r="L1645">
        <v>500</v>
      </c>
      <c r="M1645">
        <v>499</v>
      </c>
      <c r="N1645">
        <v>1</v>
      </c>
      <c r="O1645">
        <v>54204.985498842099</v>
      </c>
      <c r="P1645">
        <v>0</v>
      </c>
    </row>
    <row r="1646" spans="1:16" x14ac:dyDescent="0.2">
      <c r="A1646" s="3" t="s">
        <v>49</v>
      </c>
      <c r="B1646" s="3" t="s">
        <v>50</v>
      </c>
      <c r="C1646">
        <v>22</v>
      </c>
      <c r="D1646">
        <v>16000</v>
      </c>
      <c r="E1646">
        <v>499</v>
      </c>
      <c r="F1646">
        <v>1</v>
      </c>
      <c r="G1646">
        <v>64781.839036288002</v>
      </c>
      <c r="H1646">
        <v>3.0273799999999999E-4</v>
      </c>
      <c r="I1646">
        <v>2931</v>
      </c>
      <c r="J1646">
        <v>2912</v>
      </c>
      <c r="K1646">
        <v>19</v>
      </c>
      <c r="L1646">
        <v>500</v>
      </c>
      <c r="M1646">
        <v>499</v>
      </c>
      <c r="N1646">
        <v>1</v>
      </c>
      <c r="O1646">
        <v>54235.831183477603</v>
      </c>
      <c r="P1646">
        <v>0</v>
      </c>
    </row>
    <row r="1647" spans="1:16" x14ac:dyDescent="0.2">
      <c r="A1647" s="3" t="s">
        <v>49</v>
      </c>
      <c r="B1647" s="3" t="s">
        <v>50</v>
      </c>
      <c r="C1647">
        <v>16</v>
      </c>
      <c r="D1647">
        <v>15000</v>
      </c>
      <c r="E1647">
        <v>499</v>
      </c>
      <c r="F1647">
        <v>1</v>
      </c>
      <c r="G1647">
        <v>60572.237308582698</v>
      </c>
      <c r="H1647">
        <v>3.02646E-4</v>
      </c>
      <c r="I1647">
        <v>2897</v>
      </c>
      <c r="J1647">
        <v>2874</v>
      </c>
      <c r="K1647">
        <v>23</v>
      </c>
      <c r="L1647">
        <v>500</v>
      </c>
      <c r="M1647">
        <v>499</v>
      </c>
      <c r="N1647">
        <v>1</v>
      </c>
      <c r="O1647">
        <v>50241.311421608902</v>
      </c>
      <c r="P1647">
        <v>0</v>
      </c>
    </row>
    <row r="1648" spans="1:16" x14ac:dyDescent="0.2">
      <c r="A1648" s="3" t="s">
        <v>49</v>
      </c>
      <c r="B1648" s="3" t="s">
        <v>50</v>
      </c>
      <c r="C1648">
        <v>25</v>
      </c>
      <c r="D1648">
        <v>15000</v>
      </c>
      <c r="E1648">
        <v>499</v>
      </c>
      <c r="F1648">
        <v>1</v>
      </c>
      <c r="G1648">
        <v>60572.237308582698</v>
      </c>
      <c r="H1648">
        <v>3.0254499999999998E-4</v>
      </c>
      <c r="I1648">
        <v>2866</v>
      </c>
      <c r="J1648">
        <v>2842</v>
      </c>
      <c r="K1648">
        <v>24</v>
      </c>
      <c r="L1648">
        <v>500</v>
      </c>
      <c r="M1648">
        <v>499</v>
      </c>
      <c r="N1648">
        <v>1</v>
      </c>
      <c r="O1648">
        <v>50363.4748505506</v>
      </c>
      <c r="P1648">
        <v>0</v>
      </c>
    </row>
    <row r="1649" spans="1:16" x14ac:dyDescent="0.2">
      <c r="A1649" s="3" t="s">
        <v>49</v>
      </c>
      <c r="B1649" s="3" t="s">
        <v>50</v>
      </c>
      <c r="C1649">
        <v>46</v>
      </c>
      <c r="D1649">
        <v>16000</v>
      </c>
      <c r="E1649">
        <v>499</v>
      </c>
      <c r="F1649">
        <v>1</v>
      </c>
      <c r="G1649">
        <v>64781.839036288002</v>
      </c>
      <c r="H1649">
        <v>3.0252700000000003E-4</v>
      </c>
      <c r="I1649">
        <v>2907</v>
      </c>
      <c r="J1649">
        <v>2876</v>
      </c>
      <c r="K1649">
        <v>31</v>
      </c>
      <c r="L1649">
        <v>500</v>
      </c>
      <c r="M1649">
        <v>499</v>
      </c>
      <c r="N1649">
        <v>1</v>
      </c>
      <c r="O1649">
        <v>54261.207774640003</v>
      </c>
      <c r="P1649">
        <v>0</v>
      </c>
    </row>
    <row r="1650" spans="1:16" x14ac:dyDescent="0.2">
      <c r="A1650" s="3" t="s">
        <v>49</v>
      </c>
      <c r="B1650" s="3" t="s">
        <v>50</v>
      </c>
      <c r="C1650">
        <v>13</v>
      </c>
      <c r="D1650">
        <v>16000</v>
      </c>
      <c r="E1650">
        <v>499</v>
      </c>
      <c r="F1650">
        <v>1</v>
      </c>
      <c r="G1650">
        <v>16000</v>
      </c>
      <c r="H1650">
        <v>3.0220600000000001E-4</v>
      </c>
      <c r="I1650">
        <v>2996</v>
      </c>
      <c r="J1650">
        <v>2960</v>
      </c>
      <c r="K1650">
        <v>36</v>
      </c>
      <c r="L1650">
        <v>500</v>
      </c>
      <c r="M1650">
        <v>499</v>
      </c>
      <c r="N1650">
        <v>1</v>
      </c>
      <c r="O1650">
        <v>13004</v>
      </c>
      <c r="P1650">
        <v>1</v>
      </c>
    </row>
    <row r="1651" spans="1:16" x14ac:dyDescent="0.2">
      <c r="A1651" s="3" t="s">
        <v>49</v>
      </c>
      <c r="B1651" s="3" t="s">
        <v>50</v>
      </c>
      <c r="C1651">
        <v>15</v>
      </c>
      <c r="D1651">
        <v>14000</v>
      </c>
      <c r="E1651">
        <v>499</v>
      </c>
      <c r="F1651">
        <v>1</v>
      </c>
      <c r="G1651">
        <v>14000</v>
      </c>
      <c r="H1651">
        <v>3.02095E-4</v>
      </c>
      <c r="I1651">
        <v>2871</v>
      </c>
      <c r="J1651">
        <v>2850</v>
      </c>
      <c r="K1651">
        <v>21</v>
      </c>
      <c r="L1651">
        <v>500</v>
      </c>
      <c r="M1651">
        <v>499</v>
      </c>
      <c r="N1651">
        <v>1</v>
      </c>
      <c r="O1651">
        <v>11129</v>
      </c>
      <c r="P1651">
        <v>1</v>
      </c>
    </row>
    <row r="1652" spans="1:16" x14ac:dyDescent="0.2">
      <c r="A1652" s="3" t="s">
        <v>49</v>
      </c>
      <c r="B1652" s="3" t="s">
        <v>50</v>
      </c>
      <c r="C1652">
        <v>43</v>
      </c>
      <c r="D1652">
        <v>15000</v>
      </c>
      <c r="E1652">
        <v>499</v>
      </c>
      <c r="F1652">
        <v>1</v>
      </c>
      <c r="G1652">
        <v>60572.237308582698</v>
      </c>
      <c r="H1652">
        <v>3.01885E-4</v>
      </c>
      <c r="I1652">
        <v>2904</v>
      </c>
      <c r="J1652">
        <v>2879</v>
      </c>
      <c r="K1652">
        <v>25</v>
      </c>
      <c r="L1652">
        <v>500</v>
      </c>
      <c r="M1652">
        <v>499</v>
      </c>
      <c r="N1652">
        <v>1</v>
      </c>
      <c r="O1652">
        <v>50200.238061252901</v>
      </c>
      <c r="P1652">
        <v>0</v>
      </c>
    </row>
    <row r="1653" spans="1:16" x14ac:dyDescent="0.2">
      <c r="A1653" s="3" t="s">
        <v>49</v>
      </c>
      <c r="B1653" s="3" t="s">
        <v>50</v>
      </c>
      <c r="C1653">
        <v>9</v>
      </c>
      <c r="D1653">
        <v>16000</v>
      </c>
      <c r="E1653">
        <v>499</v>
      </c>
      <c r="F1653">
        <v>1</v>
      </c>
      <c r="G1653">
        <v>64781.839036288002</v>
      </c>
      <c r="H1653">
        <v>3.0186699999999999E-4</v>
      </c>
      <c r="I1653">
        <v>2954</v>
      </c>
      <c r="J1653">
        <v>2921</v>
      </c>
      <c r="K1653">
        <v>33</v>
      </c>
      <c r="L1653">
        <v>500</v>
      </c>
      <c r="M1653">
        <v>499</v>
      </c>
      <c r="N1653">
        <v>1</v>
      </c>
      <c r="O1653">
        <v>54099.831341230602</v>
      </c>
      <c r="P1653">
        <v>0</v>
      </c>
    </row>
    <row r="1654" spans="1:16" x14ac:dyDescent="0.2">
      <c r="A1654" s="3" t="s">
        <v>49</v>
      </c>
      <c r="B1654" s="3" t="s">
        <v>50</v>
      </c>
      <c r="C1654">
        <v>34</v>
      </c>
      <c r="D1654">
        <v>16000</v>
      </c>
      <c r="E1654">
        <v>499</v>
      </c>
      <c r="F1654">
        <v>1</v>
      </c>
      <c r="G1654">
        <v>16000</v>
      </c>
      <c r="H1654">
        <v>3.01775E-4</v>
      </c>
      <c r="I1654">
        <v>2989</v>
      </c>
      <c r="J1654">
        <v>2964</v>
      </c>
      <c r="K1654">
        <v>25</v>
      </c>
      <c r="L1654">
        <v>500</v>
      </c>
      <c r="M1654">
        <v>499</v>
      </c>
      <c r="N1654">
        <v>1</v>
      </c>
      <c r="O1654">
        <v>13011</v>
      </c>
      <c r="P1654">
        <v>1</v>
      </c>
    </row>
    <row r="1655" spans="1:16" x14ac:dyDescent="0.2">
      <c r="A1655" s="3" t="s">
        <v>49</v>
      </c>
      <c r="B1655" s="3" t="s">
        <v>50</v>
      </c>
      <c r="C1655">
        <v>50</v>
      </c>
      <c r="D1655">
        <v>15000</v>
      </c>
      <c r="E1655">
        <v>499</v>
      </c>
      <c r="F1655">
        <v>1</v>
      </c>
      <c r="G1655">
        <v>60572.237308582698</v>
      </c>
      <c r="H1655">
        <v>3.0173800000000002E-4</v>
      </c>
      <c r="I1655">
        <v>2888</v>
      </c>
      <c r="J1655">
        <v>2857</v>
      </c>
      <c r="K1655">
        <v>31</v>
      </c>
      <c r="L1655">
        <v>500</v>
      </c>
      <c r="M1655">
        <v>499</v>
      </c>
      <c r="N1655">
        <v>1</v>
      </c>
      <c r="O1655">
        <v>50302.657496573796</v>
      </c>
      <c r="P1655">
        <v>0</v>
      </c>
    </row>
    <row r="1656" spans="1:16" x14ac:dyDescent="0.2">
      <c r="A1656" s="3" t="s">
        <v>49</v>
      </c>
      <c r="B1656" s="3" t="s">
        <v>50</v>
      </c>
      <c r="C1656">
        <v>50</v>
      </c>
      <c r="D1656">
        <v>16000</v>
      </c>
      <c r="E1656">
        <v>499</v>
      </c>
      <c r="F1656">
        <v>1</v>
      </c>
      <c r="G1656">
        <v>64781.839036288002</v>
      </c>
      <c r="H1656">
        <v>3.0170099999999998E-4</v>
      </c>
      <c r="I1656">
        <v>2971</v>
      </c>
      <c r="J1656">
        <v>2944</v>
      </c>
      <c r="K1656">
        <v>27</v>
      </c>
      <c r="L1656">
        <v>500</v>
      </c>
      <c r="M1656">
        <v>499</v>
      </c>
      <c r="N1656">
        <v>1</v>
      </c>
      <c r="O1656">
        <v>54067.614226190097</v>
      </c>
      <c r="P1656">
        <v>0</v>
      </c>
    </row>
    <row r="1657" spans="1:16" x14ac:dyDescent="0.2">
      <c r="A1657" s="3" t="s">
        <v>49</v>
      </c>
      <c r="B1657" s="3" t="s">
        <v>50</v>
      </c>
      <c r="C1657">
        <v>35</v>
      </c>
      <c r="D1657">
        <v>16000</v>
      </c>
      <c r="E1657">
        <v>499</v>
      </c>
      <c r="F1657">
        <v>1</v>
      </c>
      <c r="G1657">
        <v>64781.839036288002</v>
      </c>
      <c r="H1657">
        <v>3.0166500000000001E-4</v>
      </c>
      <c r="I1657">
        <v>2946</v>
      </c>
      <c r="J1657">
        <v>2909</v>
      </c>
      <c r="K1657">
        <v>37</v>
      </c>
      <c r="L1657">
        <v>500</v>
      </c>
      <c r="M1657">
        <v>499</v>
      </c>
      <c r="N1657">
        <v>1</v>
      </c>
      <c r="O1657">
        <v>54128.280481501097</v>
      </c>
      <c r="P1657">
        <v>0</v>
      </c>
    </row>
    <row r="1658" spans="1:16" x14ac:dyDescent="0.2">
      <c r="A1658" s="3" t="s">
        <v>49</v>
      </c>
      <c r="B1658" s="3" t="s">
        <v>50</v>
      </c>
      <c r="C1658">
        <v>20</v>
      </c>
      <c r="D1658">
        <v>17000</v>
      </c>
      <c r="E1658">
        <v>499</v>
      </c>
      <c r="F1658">
        <v>1</v>
      </c>
      <c r="G1658">
        <v>17000</v>
      </c>
      <c r="H1658">
        <v>3.0155399999999999E-4</v>
      </c>
      <c r="I1658">
        <v>2967</v>
      </c>
      <c r="J1658">
        <v>2928</v>
      </c>
      <c r="K1658">
        <v>39</v>
      </c>
      <c r="L1658">
        <v>500</v>
      </c>
      <c r="M1658">
        <v>499</v>
      </c>
      <c r="N1658">
        <v>1</v>
      </c>
      <c r="O1658">
        <v>14033</v>
      </c>
      <c r="P1658">
        <v>1</v>
      </c>
    </row>
    <row r="1659" spans="1:16" x14ac:dyDescent="0.2">
      <c r="A1659" s="3" t="s">
        <v>49</v>
      </c>
      <c r="B1659" s="3" t="s">
        <v>50</v>
      </c>
      <c r="C1659">
        <v>25</v>
      </c>
      <c r="D1659">
        <v>16000</v>
      </c>
      <c r="E1659">
        <v>499</v>
      </c>
      <c r="F1659">
        <v>1</v>
      </c>
      <c r="G1659">
        <v>16000</v>
      </c>
      <c r="H1659">
        <v>3.0150899999999999E-4</v>
      </c>
      <c r="I1659">
        <v>2955</v>
      </c>
      <c r="J1659">
        <v>2921</v>
      </c>
      <c r="K1659">
        <v>34</v>
      </c>
      <c r="L1659">
        <v>500</v>
      </c>
      <c r="M1659">
        <v>499</v>
      </c>
      <c r="N1659">
        <v>1</v>
      </c>
      <c r="O1659">
        <v>13045</v>
      </c>
      <c r="P1659">
        <v>1</v>
      </c>
    </row>
    <row r="1660" spans="1:16" x14ac:dyDescent="0.2">
      <c r="A1660" s="3" t="s">
        <v>49</v>
      </c>
      <c r="B1660" s="3" t="s">
        <v>50</v>
      </c>
      <c r="C1660">
        <v>30</v>
      </c>
      <c r="D1660">
        <v>16000</v>
      </c>
      <c r="E1660">
        <v>499</v>
      </c>
      <c r="F1660">
        <v>1</v>
      </c>
      <c r="G1660">
        <v>16000</v>
      </c>
      <c r="H1660">
        <v>3.0144500000000001E-4</v>
      </c>
      <c r="I1660">
        <v>2983</v>
      </c>
      <c r="J1660">
        <v>2946</v>
      </c>
      <c r="K1660">
        <v>37</v>
      </c>
      <c r="L1660">
        <v>500</v>
      </c>
      <c r="M1660">
        <v>499</v>
      </c>
      <c r="N1660">
        <v>1</v>
      </c>
      <c r="O1660">
        <v>13017</v>
      </c>
      <c r="P1660">
        <v>1</v>
      </c>
    </row>
    <row r="1661" spans="1:16" x14ac:dyDescent="0.2">
      <c r="A1661" s="3" t="s">
        <v>49</v>
      </c>
      <c r="B1661" s="3" t="s">
        <v>50</v>
      </c>
      <c r="C1661">
        <v>5</v>
      </c>
      <c r="D1661">
        <v>16000</v>
      </c>
      <c r="E1661">
        <v>499</v>
      </c>
      <c r="F1661">
        <v>1</v>
      </c>
      <c r="G1661">
        <v>64781.839036288002</v>
      </c>
      <c r="H1661">
        <v>3.01372E-4</v>
      </c>
      <c r="I1661">
        <v>2919</v>
      </c>
      <c r="J1661">
        <v>2878</v>
      </c>
      <c r="K1661">
        <v>41</v>
      </c>
      <c r="L1661">
        <v>500</v>
      </c>
      <c r="M1661">
        <v>499</v>
      </c>
      <c r="N1661">
        <v>1</v>
      </c>
      <c r="O1661">
        <v>54261.328065934802</v>
      </c>
      <c r="P1661">
        <v>0</v>
      </c>
    </row>
    <row r="1662" spans="1:16" x14ac:dyDescent="0.2">
      <c r="A1662" s="3" t="s">
        <v>49</v>
      </c>
      <c r="B1662" s="3" t="s">
        <v>50</v>
      </c>
      <c r="C1662">
        <v>43</v>
      </c>
      <c r="D1662">
        <v>16000</v>
      </c>
      <c r="E1662">
        <v>499</v>
      </c>
      <c r="F1662">
        <v>1</v>
      </c>
      <c r="G1662">
        <v>16000</v>
      </c>
      <c r="H1662">
        <v>3.0132599999999998E-4</v>
      </c>
      <c r="I1662">
        <v>2987</v>
      </c>
      <c r="J1662">
        <v>2951</v>
      </c>
      <c r="K1662">
        <v>36</v>
      </c>
      <c r="L1662">
        <v>500</v>
      </c>
      <c r="M1662">
        <v>499</v>
      </c>
      <c r="N1662">
        <v>1</v>
      </c>
      <c r="O1662">
        <v>13013</v>
      </c>
      <c r="P1662">
        <v>1</v>
      </c>
    </row>
    <row r="1663" spans="1:16" x14ac:dyDescent="0.2">
      <c r="A1663" s="3" t="s">
        <v>49</v>
      </c>
      <c r="B1663" s="3" t="s">
        <v>50</v>
      </c>
      <c r="C1663">
        <v>29</v>
      </c>
      <c r="D1663">
        <v>16000</v>
      </c>
      <c r="E1663">
        <v>499</v>
      </c>
      <c r="F1663">
        <v>1</v>
      </c>
      <c r="G1663">
        <v>64781.839036288002</v>
      </c>
      <c r="H1663">
        <v>3.0111500000000002E-4</v>
      </c>
      <c r="I1663">
        <v>2959</v>
      </c>
      <c r="J1663">
        <v>2936</v>
      </c>
      <c r="K1663">
        <v>23</v>
      </c>
      <c r="L1663">
        <v>500</v>
      </c>
      <c r="M1663">
        <v>499</v>
      </c>
      <c r="N1663">
        <v>1</v>
      </c>
      <c r="O1663">
        <v>53997.202987926597</v>
      </c>
      <c r="P1663">
        <v>0</v>
      </c>
    </row>
    <row r="1664" spans="1:16" x14ac:dyDescent="0.2">
      <c r="A1664" s="3" t="s">
        <v>49</v>
      </c>
      <c r="B1664" s="3" t="s">
        <v>50</v>
      </c>
      <c r="C1664">
        <v>35</v>
      </c>
      <c r="D1664">
        <v>15000</v>
      </c>
      <c r="E1664">
        <v>499</v>
      </c>
      <c r="F1664">
        <v>1</v>
      </c>
      <c r="G1664">
        <v>15000</v>
      </c>
      <c r="H1664">
        <v>3.0109700000000001E-4</v>
      </c>
      <c r="I1664">
        <v>2851</v>
      </c>
      <c r="J1664">
        <v>2815</v>
      </c>
      <c r="K1664">
        <v>36</v>
      </c>
      <c r="L1664">
        <v>500</v>
      </c>
      <c r="M1664">
        <v>499</v>
      </c>
      <c r="N1664">
        <v>1</v>
      </c>
      <c r="O1664">
        <v>12149</v>
      </c>
      <c r="P1664">
        <v>1</v>
      </c>
    </row>
    <row r="1665" spans="1:16" x14ac:dyDescent="0.2">
      <c r="A1665" s="3" t="s">
        <v>49</v>
      </c>
      <c r="B1665" s="3" t="s">
        <v>50</v>
      </c>
      <c r="C1665">
        <v>8</v>
      </c>
      <c r="D1665">
        <v>16000</v>
      </c>
      <c r="E1665">
        <v>499</v>
      </c>
      <c r="F1665">
        <v>1</v>
      </c>
      <c r="G1665">
        <v>16000</v>
      </c>
      <c r="H1665">
        <v>3.0069299999999999E-4</v>
      </c>
      <c r="I1665">
        <v>2942</v>
      </c>
      <c r="J1665">
        <v>2913</v>
      </c>
      <c r="K1665">
        <v>29</v>
      </c>
      <c r="L1665">
        <v>500</v>
      </c>
      <c r="M1665">
        <v>499</v>
      </c>
      <c r="N1665">
        <v>1</v>
      </c>
      <c r="O1665">
        <v>13058</v>
      </c>
      <c r="P1665">
        <v>1</v>
      </c>
    </row>
    <row r="1666" spans="1:16" x14ac:dyDescent="0.2">
      <c r="A1666" s="3" t="s">
        <v>49</v>
      </c>
      <c r="B1666" s="3" t="s">
        <v>50</v>
      </c>
      <c r="C1666">
        <v>26</v>
      </c>
      <c r="D1666">
        <v>16000</v>
      </c>
      <c r="E1666">
        <v>499</v>
      </c>
      <c r="F1666">
        <v>1</v>
      </c>
      <c r="G1666">
        <v>16000</v>
      </c>
      <c r="H1666">
        <v>3.0069299999999999E-4</v>
      </c>
      <c r="I1666">
        <v>2947</v>
      </c>
      <c r="J1666">
        <v>2907</v>
      </c>
      <c r="K1666">
        <v>40</v>
      </c>
      <c r="L1666">
        <v>500</v>
      </c>
      <c r="M1666">
        <v>499</v>
      </c>
      <c r="N1666">
        <v>1</v>
      </c>
      <c r="O1666">
        <v>13053</v>
      </c>
      <c r="P1666">
        <v>1</v>
      </c>
    </row>
    <row r="1667" spans="1:16" x14ac:dyDescent="0.2">
      <c r="A1667" s="3" t="s">
        <v>49</v>
      </c>
      <c r="B1667" s="3" t="s">
        <v>50</v>
      </c>
      <c r="C1667">
        <v>5</v>
      </c>
      <c r="D1667">
        <v>16000</v>
      </c>
      <c r="E1667">
        <v>499</v>
      </c>
      <c r="F1667">
        <v>1</v>
      </c>
      <c r="G1667">
        <v>16000</v>
      </c>
      <c r="H1667">
        <v>3.00363E-4</v>
      </c>
      <c r="I1667">
        <v>2972</v>
      </c>
      <c r="J1667">
        <v>2943</v>
      </c>
      <c r="K1667">
        <v>29</v>
      </c>
      <c r="L1667">
        <v>500</v>
      </c>
      <c r="M1667">
        <v>499</v>
      </c>
      <c r="N1667">
        <v>1</v>
      </c>
      <c r="O1667">
        <v>13028</v>
      </c>
      <c r="P1667">
        <v>1</v>
      </c>
    </row>
    <row r="1668" spans="1:16" x14ac:dyDescent="0.2">
      <c r="A1668" s="3" t="s">
        <v>49</v>
      </c>
      <c r="B1668" s="3" t="s">
        <v>50</v>
      </c>
      <c r="C1668">
        <v>33</v>
      </c>
      <c r="D1668">
        <v>16000</v>
      </c>
      <c r="E1668">
        <v>499</v>
      </c>
      <c r="F1668">
        <v>1</v>
      </c>
      <c r="G1668">
        <v>16000</v>
      </c>
      <c r="H1668">
        <v>3.0034499999999998E-4</v>
      </c>
      <c r="I1668">
        <v>2934</v>
      </c>
      <c r="J1668">
        <v>2903</v>
      </c>
      <c r="K1668">
        <v>31</v>
      </c>
      <c r="L1668">
        <v>500</v>
      </c>
      <c r="M1668">
        <v>499</v>
      </c>
      <c r="N1668">
        <v>1</v>
      </c>
      <c r="O1668">
        <v>13066</v>
      </c>
      <c r="P1668">
        <v>1</v>
      </c>
    </row>
    <row r="1669" spans="1:16" x14ac:dyDescent="0.2">
      <c r="A1669" s="3" t="s">
        <v>49</v>
      </c>
      <c r="B1669" s="3" t="s">
        <v>50</v>
      </c>
      <c r="C1669">
        <v>30</v>
      </c>
      <c r="D1669">
        <v>16000</v>
      </c>
      <c r="E1669">
        <v>499</v>
      </c>
      <c r="F1669">
        <v>1</v>
      </c>
      <c r="G1669">
        <v>64781.839036288002</v>
      </c>
      <c r="H1669">
        <v>3.0023499999999999E-4</v>
      </c>
      <c r="I1669">
        <v>2974</v>
      </c>
      <c r="J1669">
        <v>2941</v>
      </c>
      <c r="K1669">
        <v>33</v>
      </c>
      <c r="L1669">
        <v>500</v>
      </c>
      <c r="M1669">
        <v>499</v>
      </c>
      <c r="N1669">
        <v>1</v>
      </c>
      <c r="O1669">
        <v>54017.993965690403</v>
      </c>
      <c r="P1669">
        <v>0</v>
      </c>
    </row>
    <row r="1670" spans="1:16" x14ac:dyDescent="0.2">
      <c r="A1670" s="3" t="s">
        <v>49</v>
      </c>
      <c r="B1670" s="3" t="s">
        <v>50</v>
      </c>
      <c r="C1670">
        <v>32</v>
      </c>
      <c r="D1670">
        <v>16000</v>
      </c>
      <c r="E1670">
        <v>499</v>
      </c>
      <c r="F1670">
        <v>1</v>
      </c>
      <c r="G1670">
        <v>16000</v>
      </c>
      <c r="H1670">
        <v>3.0023499999999999E-4</v>
      </c>
      <c r="I1670">
        <v>2970</v>
      </c>
      <c r="J1670">
        <v>2932</v>
      </c>
      <c r="K1670">
        <v>38</v>
      </c>
      <c r="L1670">
        <v>500</v>
      </c>
      <c r="M1670">
        <v>499</v>
      </c>
      <c r="N1670">
        <v>1</v>
      </c>
      <c r="O1670">
        <v>13030</v>
      </c>
      <c r="P1670">
        <v>1</v>
      </c>
    </row>
    <row r="1671" spans="1:16" x14ac:dyDescent="0.2">
      <c r="A1671" s="3" t="s">
        <v>49</v>
      </c>
      <c r="B1671" s="3" t="s">
        <v>50</v>
      </c>
      <c r="C1671">
        <v>44</v>
      </c>
      <c r="D1671">
        <v>10000</v>
      </c>
      <c r="E1671">
        <v>499</v>
      </c>
      <c r="F1671">
        <v>1</v>
      </c>
      <c r="G1671">
        <v>10000</v>
      </c>
      <c r="H1671">
        <v>3.0010600000000002E-4</v>
      </c>
      <c r="I1671">
        <v>2738</v>
      </c>
      <c r="J1671">
        <v>2720</v>
      </c>
      <c r="K1671">
        <v>18</v>
      </c>
      <c r="L1671">
        <v>500</v>
      </c>
      <c r="M1671">
        <v>499</v>
      </c>
      <c r="N1671">
        <v>1</v>
      </c>
      <c r="O1671">
        <v>7262</v>
      </c>
      <c r="P1671">
        <v>1</v>
      </c>
    </row>
    <row r="1672" spans="1:16" x14ac:dyDescent="0.2">
      <c r="A1672" s="3" t="s">
        <v>49</v>
      </c>
      <c r="B1672" s="3" t="s">
        <v>50</v>
      </c>
      <c r="C1672">
        <v>6</v>
      </c>
      <c r="D1672">
        <v>16000</v>
      </c>
      <c r="E1672">
        <v>499</v>
      </c>
      <c r="F1672">
        <v>1</v>
      </c>
      <c r="G1672">
        <v>16000</v>
      </c>
      <c r="H1672">
        <v>2.9995E-4</v>
      </c>
      <c r="I1672">
        <v>2939</v>
      </c>
      <c r="J1672">
        <v>2905</v>
      </c>
      <c r="K1672">
        <v>34</v>
      </c>
      <c r="L1672">
        <v>500</v>
      </c>
      <c r="M1672">
        <v>499</v>
      </c>
      <c r="N1672">
        <v>1</v>
      </c>
      <c r="O1672">
        <v>13061</v>
      </c>
      <c r="P1672">
        <v>1</v>
      </c>
    </row>
    <row r="1673" spans="1:16" x14ac:dyDescent="0.2">
      <c r="A1673" s="3" t="s">
        <v>49</v>
      </c>
      <c r="B1673" s="3" t="s">
        <v>50</v>
      </c>
      <c r="C1673">
        <v>13</v>
      </c>
      <c r="D1673">
        <v>11000</v>
      </c>
      <c r="E1673">
        <v>499</v>
      </c>
      <c r="F1673">
        <v>1</v>
      </c>
      <c r="G1673">
        <v>44062.122210792702</v>
      </c>
      <c r="H1673">
        <v>2.99785E-4</v>
      </c>
      <c r="I1673">
        <v>2805</v>
      </c>
      <c r="J1673">
        <v>2783</v>
      </c>
      <c r="K1673">
        <v>22</v>
      </c>
      <c r="L1673">
        <v>500</v>
      </c>
      <c r="M1673">
        <v>499</v>
      </c>
      <c r="N1673">
        <v>1</v>
      </c>
      <c r="O1673">
        <v>33871.133274772503</v>
      </c>
      <c r="P1673">
        <v>0</v>
      </c>
    </row>
    <row r="1674" spans="1:16" x14ac:dyDescent="0.2">
      <c r="A1674" s="3" t="s">
        <v>49</v>
      </c>
      <c r="B1674" s="3" t="s">
        <v>50</v>
      </c>
      <c r="C1674">
        <v>38</v>
      </c>
      <c r="D1674">
        <v>15000</v>
      </c>
      <c r="E1674">
        <v>499</v>
      </c>
      <c r="F1674">
        <v>1</v>
      </c>
      <c r="G1674">
        <v>60572.237308582698</v>
      </c>
      <c r="H1674">
        <v>2.9974899999999998E-4</v>
      </c>
      <c r="I1674">
        <v>2885</v>
      </c>
      <c r="J1674">
        <v>2854</v>
      </c>
      <c r="K1674">
        <v>31</v>
      </c>
      <c r="L1674">
        <v>500</v>
      </c>
      <c r="M1674">
        <v>499</v>
      </c>
      <c r="N1674">
        <v>1</v>
      </c>
      <c r="O1674">
        <v>50303.396154132002</v>
      </c>
      <c r="P1674">
        <v>0</v>
      </c>
    </row>
    <row r="1675" spans="1:16" x14ac:dyDescent="0.2">
      <c r="A1675" s="3" t="s">
        <v>49</v>
      </c>
      <c r="B1675" s="3" t="s">
        <v>50</v>
      </c>
      <c r="C1675">
        <v>48</v>
      </c>
      <c r="D1675">
        <v>15000</v>
      </c>
      <c r="E1675">
        <v>499</v>
      </c>
      <c r="F1675">
        <v>1</v>
      </c>
      <c r="G1675">
        <v>60572.237308582698</v>
      </c>
      <c r="H1675">
        <v>2.9970300000000001E-4</v>
      </c>
      <c r="I1675">
        <v>2920</v>
      </c>
      <c r="J1675">
        <v>2889</v>
      </c>
      <c r="K1675">
        <v>31</v>
      </c>
      <c r="L1675">
        <v>500</v>
      </c>
      <c r="M1675">
        <v>499</v>
      </c>
      <c r="N1675">
        <v>1</v>
      </c>
      <c r="O1675">
        <v>50193.176809937599</v>
      </c>
      <c r="P1675">
        <v>0</v>
      </c>
    </row>
    <row r="1676" spans="1:16" x14ac:dyDescent="0.2">
      <c r="A1676" s="3" t="s">
        <v>49</v>
      </c>
      <c r="B1676" s="3" t="s">
        <v>50</v>
      </c>
      <c r="C1676">
        <v>49</v>
      </c>
      <c r="D1676">
        <v>16000</v>
      </c>
      <c r="E1676">
        <v>499</v>
      </c>
      <c r="F1676">
        <v>1</v>
      </c>
      <c r="G1676">
        <v>16000</v>
      </c>
      <c r="H1676">
        <v>2.9950099999999998E-4</v>
      </c>
      <c r="I1676">
        <v>2976</v>
      </c>
      <c r="J1676">
        <v>2941</v>
      </c>
      <c r="K1676">
        <v>35</v>
      </c>
      <c r="L1676">
        <v>500</v>
      </c>
      <c r="M1676">
        <v>499</v>
      </c>
      <c r="N1676">
        <v>1</v>
      </c>
      <c r="O1676">
        <v>13024</v>
      </c>
      <c r="P1676">
        <v>1</v>
      </c>
    </row>
    <row r="1677" spans="1:16" x14ac:dyDescent="0.2">
      <c r="A1677" s="3" t="s">
        <v>49</v>
      </c>
      <c r="B1677" s="3" t="s">
        <v>50</v>
      </c>
      <c r="C1677">
        <v>29</v>
      </c>
      <c r="D1677">
        <v>16000</v>
      </c>
      <c r="E1677">
        <v>499</v>
      </c>
      <c r="F1677">
        <v>1</v>
      </c>
      <c r="G1677">
        <v>16000</v>
      </c>
      <c r="H1677">
        <v>2.9918000000000002E-4</v>
      </c>
      <c r="I1677">
        <v>2969</v>
      </c>
      <c r="J1677">
        <v>2940</v>
      </c>
      <c r="K1677">
        <v>29</v>
      </c>
      <c r="L1677">
        <v>500</v>
      </c>
      <c r="M1677">
        <v>499</v>
      </c>
      <c r="N1677">
        <v>1</v>
      </c>
      <c r="O1677">
        <v>13031</v>
      </c>
      <c r="P1677">
        <v>1</v>
      </c>
    </row>
    <row r="1678" spans="1:16" x14ac:dyDescent="0.2">
      <c r="A1678" s="3" t="s">
        <v>49</v>
      </c>
      <c r="B1678" s="3" t="s">
        <v>50</v>
      </c>
      <c r="C1678">
        <v>43</v>
      </c>
      <c r="D1678">
        <v>14000</v>
      </c>
      <c r="E1678">
        <v>499</v>
      </c>
      <c r="F1678">
        <v>1</v>
      </c>
      <c r="G1678">
        <v>58565.0323707059</v>
      </c>
      <c r="H1678">
        <v>2.9908000000000002E-4</v>
      </c>
      <c r="I1678">
        <v>2891</v>
      </c>
      <c r="J1678">
        <v>2868</v>
      </c>
      <c r="K1678">
        <v>23</v>
      </c>
      <c r="L1678">
        <v>500</v>
      </c>
      <c r="M1678">
        <v>499</v>
      </c>
      <c r="N1678">
        <v>1</v>
      </c>
      <c r="O1678">
        <v>48197.178831397803</v>
      </c>
      <c r="P1678">
        <v>0</v>
      </c>
    </row>
    <row r="1679" spans="1:16" x14ac:dyDescent="0.2">
      <c r="A1679" s="3" t="s">
        <v>49</v>
      </c>
      <c r="B1679" s="3" t="s">
        <v>50</v>
      </c>
      <c r="C1679">
        <v>23</v>
      </c>
      <c r="D1679">
        <v>16000</v>
      </c>
      <c r="E1679">
        <v>499</v>
      </c>
      <c r="F1679">
        <v>1</v>
      </c>
      <c r="G1679">
        <v>16000</v>
      </c>
      <c r="H1679">
        <v>2.9899700000000001E-4</v>
      </c>
      <c r="I1679">
        <v>2942</v>
      </c>
      <c r="J1679">
        <v>2911</v>
      </c>
      <c r="K1679">
        <v>31</v>
      </c>
      <c r="L1679">
        <v>500</v>
      </c>
      <c r="M1679">
        <v>499</v>
      </c>
      <c r="N1679">
        <v>1</v>
      </c>
      <c r="O1679">
        <v>13058</v>
      </c>
      <c r="P1679">
        <v>1</v>
      </c>
    </row>
    <row r="1680" spans="1:16" x14ac:dyDescent="0.2">
      <c r="A1680" s="3" t="s">
        <v>49</v>
      </c>
      <c r="B1680" s="3" t="s">
        <v>50</v>
      </c>
      <c r="C1680">
        <v>1</v>
      </c>
      <c r="D1680">
        <v>16000</v>
      </c>
      <c r="E1680">
        <v>499</v>
      </c>
      <c r="F1680">
        <v>1</v>
      </c>
      <c r="G1680">
        <v>64781.839036288002</v>
      </c>
      <c r="H1680">
        <v>2.9898799999999998E-4</v>
      </c>
      <c r="I1680">
        <v>2934</v>
      </c>
      <c r="J1680">
        <v>2902</v>
      </c>
      <c r="K1680">
        <v>32</v>
      </c>
      <c r="L1680">
        <v>500</v>
      </c>
      <c r="M1680">
        <v>499</v>
      </c>
      <c r="N1680">
        <v>1</v>
      </c>
      <c r="O1680">
        <v>54212.275465800201</v>
      </c>
      <c r="P1680">
        <v>0</v>
      </c>
    </row>
    <row r="1681" spans="1:16" x14ac:dyDescent="0.2">
      <c r="A1681" s="3" t="s">
        <v>49</v>
      </c>
      <c r="B1681" s="3" t="s">
        <v>50</v>
      </c>
      <c r="C1681">
        <v>45</v>
      </c>
      <c r="D1681">
        <v>16000</v>
      </c>
      <c r="E1681">
        <v>499</v>
      </c>
      <c r="F1681">
        <v>1</v>
      </c>
      <c r="G1681">
        <v>16000</v>
      </c>
      <c r="H1681">
        <v>2.9877799999999998E-4</v>
      </c>
      <c r="I1681">
        <v>2960</v>
      </c>
      <c r="J1681">
        <v>2928</v>
      </c>
      <c r="K1681">
        <v>32</v>
      </c>
      <c r="L1681">
        <v>500</v>
      </c>
      <c r="M1681">
        <v>499</v>
      </c>
      <c r="N1681">
        <v>1</v>
      </c>
      <c r="O1681">
        <v>13040</v>
      </c>
      <c r="P1681">
        <v>1</v>
      </c>
    </row>
    <row r="1682" spans="1:16" x14ac:dyDescent="0.2">
      <c r="A1682" s="3" t="s">
        <v>49</v>
      </c>
      <c r="B1682" s="3" t="s">
        <v>50</v>
      </c>
      <c r="C1682">
        <v>18</v>
      </c>
      <c r="D1682">
        <v>16000</v>
      </c>
      <c r="E1682">
        <v>499</v>
      </c>
      <c r="F1682">
        <v>1</v>
      </c>
      <c r="G1682">
        <v>64781.839036288002</v>
      </c>
      <c r="H1682">
        <v>2.9864900000000001E-4</v>
      </c>
      <c r="I1682">
        <v>3004</v>
      </c>
      <c r="J1682">
        <v>2972</v>
      </c>
      <c r="K1682">
        <v>32</v>
      </c>
      <c r="L1682">
        <v>500</v>
      </c>
      <c r="M1682">
        <v>499</v>
      </c>
      <c r="N1682">
        <v>1</v>
      </c>
      <c r="O1682">
        <v>54040.462971166802</v>
      </c>
      <c r="P1682">
        <v>0</v>
      </c>
    </row>
    <row r="1683" spans="1:16" x14ac:dyDescent="0.2">
      <c r="A1683" s="3" t="s">
        <v>49</v>
      </c>
      <c r="B1683" s="3" t="s">
        <v>50</v>
      </c>
      <c r="C1683">
        <v>16</v>
      </c>
      <c r="D1683">
        <v>16000</v>
      </c>
      <c r="E1683">
        <v>499</v>
      </c>
      <c r="F1683">
        <v>1</v>
      </c>
      <c r="G1683">
        <v>16000</v>
      </c>
      <c r="H1683">
        <v>2.9862999999999998E-4</v>
      </c>
      <c r="I1683">
        <v>2944</v>
      </c>
      <c r="J1683">
        <v>2917</v>
      </c>
      <c r="K1683">
        <v>27</v>
      </c>
      <c r="L1683">
        <v>500</v>
      </c>
      <c r="M1683">
        <v>499</v>
      </c>
      <c r="N1683">
        <v>1</v>
      </c>
      <c r="O1683">
        <v>13056</v>
      </c>
      <c r="P1683">
        <v>1</v>
      </c>
    </row>
    <row r="1684" spans="1:16" x14ac:dyDescent="0.2">
      <c r="A1684" s="3" t="s">
        <v>49</v>
      </c>
      <c r="B1684" s="3" t="s">
        <v>50</v>
      </c>
      <c r="C1684">
        <v>40</v>
      </c>
      <c r="D1684">
        <v>16000</v>
      </c>
      <c r="E1684">
        <v>499</v>
      </c>
      <c r="F1684">
        <v>1</v>
      </c>
      <c r="G1684">
        <v>16000</v>
      </c>
      <c r="H1684">
        <v>2.9842900000000001E-4</v>
      </c>
      <c r="I1684">
        <v>2936</v>
      </c>
      <c r="J1684">
        <v>2895</v>
      </c>
      <c r="K1684">
        <v>41</v>
      </c>
      <c r="L1684">
        <v>500</v>
      </c>
      <c r="M1684">
        <v>499</v>
      </c>
      <c r="N1684">
        <v>1</v>
      </c>
      <c r="O1684">
        <v>13064</v>
      </c>
      <c r="P1684">
        <v>1</v>
      </c>
    </row>
    <row r="1685" spans="1:16" x14ac:dyDescent="0.2">
      <c r="A1685" s="3" t="s">
        <v>49</v>
      </c>
      <c r="B1685" s="3" t="s">
        <v>50</v>
      </c>
      <c r="C1685">
        <v>24</v>
      </c>
      <c r="D1685">
        <v>16000</v>
      </c>
      <c r="E1685">
        <v>499</v>
      </c>
      <c r="F1685">
        <v>1</v>
      </c>
      <c r="G1685">
        <v>64781.839036288002</v>
      </c>
      <c r="H1685">
        <v>2.98411E-4</v>
      </c>
      <c r="I1685">
        <v>2993</v>
      </c>
      <c r="J1685">
        <v>2957</v>
      </c>
      <c r="K1685">
        <v>36</v>
      </c>
      <c r="L1685">
        <v>500</v>
      </c>
      <c r="M1685">
        <v>499</v>
      </c>
      <c r="N1685">
        <v>1</v>
      </c>
      <c r="O1685">
        <v>54061.025918337502</v>
      </c>
      <c r="P1685">
        <v>0</v>
      </c>
    </row>
    <row r="1686" spans="1:16" x14ac:dyDescent="0.2">
      <c r="A1686" s="3" t="s">
        <v>49</v>
      </c>
      <c r="B1686" s="3" t="s">
        <v>50</v>
      </c>
      <c r="C1686">
        <v>23</v>
      </c>
      <c r="D1686">
        <v>16000</v>
      </c>
      <c r="E1686">
        <v>499</v>
      </c>
      <c r="F1686">
        <v>1</v>
      </c>
      <c r="G1686">
        <v>64781.839036288002</v>
      </c>
      <c r="H1686">
        <v>2.98273E-4</v>
      </c>
      <c r="I1686">
        <v>2968</v>
      </c>
      <c r="J1686">
        <v>2941</v>
      </c>
      <c r="K1686">
        <v>27</v>
      </c>
      <c r="L1686">
        <v>500</v>
      </c>
      <c r="M1686">
        <v>499</v>
      </c>
      <c r="N1686">
        <v>1</v>
      </c>
      <c r="O1686">
        <v>54095.954652668297</v>
      </c>
      <c r="P1686">
        <v>0</v>
      </c>
    </row>
    <row r="1687" spans="1:16" x14ac:dyDescent="0.2">
      <c r="A1687" s="3" t="s">
        <v>49</v>
      </c>
      <c r="B1687" s="3" t="s">
        <v>50</v>
      </c>
      <c r="C1687">
        <v>36</v>
      </c>
      <c r="D1687">
        <v>16000</v>
      </c>
      <c r="E1687">
        <v>499</v>
      </c>
      <c r="F1687">
        <v>1</v>
      </c>
      <c r="G1687">
        <v>64781.839036288002</v>
      </c>
      <c r="H1687">
        <v>2.9820900000000002E-4</v>
      </c>
      <c r="I1687">
        <v>2937</v>
      </c>
      <c r="J1687">
        <v>2904</v>
      </c>
      <c r="K1687">
        <v>33</v>
      </c>
      <c r="L1687">
        <v>500</v>
      </c>
      <c r="M1687">
        <v>499</v>
      </c>
      <c r="N1687">
        <v>1</v>
      </c>
      <c r="O1687">
        <v>54141.925775662297</v>
      </c>
      <c r="P1687">
        <v>0</v>
      </c>
    </row>
    <row r="1688" spans="1:16" x14ac:dyDescent="0.2">
      <c r="A1688" s="3" t="s">
        <v>49</v>
      </c>
      <c r="B1688" s="3" t="s">
        <v>50</v>
      </c>
      <c r="C1688">
        <v>45</v>
      </c>
      <c r="D1688">
        <v>14000</v>
      </c>
      <c r="E1688">
        <v>499</v>
      </c>
      <c r="F1688">
        <v>1</v>
      </c>
      <c r="G1688">
        <v>58565.0323707059</v>
      </c>
      <c r="H1688">
        <v>2.9798900000000002E-4</v>
      </c>
      <c r="I1688">
        <v>2822</v>
      </c>
      <c r="J1688">
        <v>2793</v>
      </c>
      <c r="K1688">
        <v>29</v>
      </c>
      <c r="L1688">
        <v>500</v>
      </c>
      <c r="M1688">
        <v>499</v>
      </c>
      <c r="N1688">
        <v>1</v>
      </c>
      <c r="O1688">
        <v>48323.013215512401</v>
      </c>
      <c r="P1688">
        <v>0</v>
      </c>
    </row>
    <row r="1689" spans="1:16" x14ac:dyDescent="0.2">
      <c r="A1689" s="3" t="s">
        <v>49</v>
      </c>
      <c r="B1689" s="3" t="s">
        <v>50</v>
      </c>
      <c r="C1689">
        <v>30</v>
      </c>
      <c r="D1689">
        <v>15000</v>
      </c>
      <c r="E1689">
        <v>499</v>
      </c>
      <c r="F1689">
        <v>1</v>
      </c>
      <c r="G1689">
        <v>60572.237308582698</v>
      </c>
      <c r="H1689">
        <v>2.9776899999999997E-4</v>
      </c>
      <c r="I1689">
        <v>2928</v>
      </c>
      <c r="J1689">
        <v>2900</v>
      </c>
      <c r="K1689">
        <v>28</v>
      </c>
      <c r="L1689">
        <v>500</v>
      </c>
      <c r="M1689">
        <v>499</v>
      </c>
      <c r="N1689">
        <v>1</v>
      </c>
      <c r="O1689">
        <v>50131.039203344197</v>
      </c>
      <c r="P1689">
        <v>0</v>
      </c>
    </row>
    <row r="1690" spans="1:16" x14ac:dyDescent="0.2">
      <c r="A1690" s="3" t="s">
        <v>49</v>
      </c>
      <c r="B1690" s="3" t="s">
        <v>50</v>
      </c>
      <c r="C1690">
        <v>6</v>
      </c>
      <c r="D1690">
        <v>16000</v>
      </c>
      <c r="E1690">
        <v>499</v>
      </c>
      <c r="F1690">
        <v>1</v>
      </c>
      <c r="G1690">
        <v>64781.839036288002</v>
      </c>
      <c r="H1690">
        <v>2.9768600000000002E-4</v>
      </c>
      <c r="I1690">
        <v>2930</v>
      </c>
      <c r="J1690">
        <v>2895</v>
      </c>
      <c r="K1690">
        <v>35</v>
      </c>
      <c r="L1690">
        <v>500</v>
      </c>
      <c r="M1690">
        <v>499</v>
      </c>
      <c r="N1690">
        <v>1</v>
      </c>
      <c r="O1690">
        <v>54215.698793990501</v>
      </c>
      <c r="P1690">
        <v>0</v>
      </c>
    </row>
    <row r="1691" spans="1:16" x14ac:dyDescent="0.2">
      <c r="A1691" s="3" t="s">
        <v>49</v>
      </c>
      <c r="B1691" s="3" t="s">
        <v>50</v>
      </c>
      <c r="C1691">
        <v>31</v>
      </c>
      <c r="D1691">
        <v>15000</v>
      </c>
      <c r="E1691">
        <v>499</v>
      </c>
      <c r="F1691">
        <v>1</v>
      </c>
      <c r="G1691">
        <v>60572.237308582698</v>
      </c>
      <c r="H1691">
        <v>2.9766800000000001E-4</v>
      </c>
      <c r="I1691">
        <v>2873</v>
      </c>
      <c r="J1691">
        <v>2842</v>
      </c>
      <c r="K1691">
        <v>31</v>
      </c>
      <c r="L1691">
        <v>500</v>
      </c>
      <c r="M1691">
        <v>499</v>
      </c>
      <c r="N1691">
        <v>1</v>
      </c>
      <c r="O1691">
        <v>50258.733502203097</v>
      </c>
      <c r="P1691">
        <v>0</v>
      </c>
    </row>
    <row r="1692" spans="1:16" x14ac:dyDescent="0.2">
      <c r="A1692" s="3" t="s">
        <v>49</v>
      </c>
      <c r="B1692" s="3" t="s">
        <v>50</v>
      </c>
      <c r="C1692">
        <v>1</v>
      </c>
      <c r="D1692">
        <v>16000</v>
      </c>
      <c r="E1692">
        <v>499</v>
      </c>
      <c r="F1692">
        <v>1</v>
      </c>
      <c r="G1692">
        <v>16000</v>
      </c>
      <c r="H1692">
        <v>2.9738399999999998E-4</v>
      </c>
      <c r="I1692">
        <v>2923</v>
      </c>
      <c r="J1692">
        <v>2876</v>
      </c>
      <c r="K1692">
        <v>47</v>
      </c>
      <c r="L1692">
        <v>500</v>
      </c>
      <c r="M1692">
        <v>499</v>
      </c>
      <c r="N1692">
        <v>1</v>
      </c>
      <c r="O1692">
        <v>13077</v>
      </c>
      <c r="P1692">
        <v>1</v>
      </c>
    </row>
    <row r="1693" spans="1:16" x14ac:dyDescent="0.2">
      <c r="A1693" s="3" t="s">
        <v>49</v>
      </c>
      <c r="B1693" s="3" t="s">
        <v>50</v>
      </c>
      <c r="C1693">
        <v>15</v>
      </c>
      <c r="D1693">
        <v>15000</v>
      </c>
      <c r="E1693">
        <v>499</v>
      </c>
      <c r="F1693">
        <v>1</v>
      </c>
      <c r="G1693">
        <v>15000</v>
      </c>
      <c r="H1693">
        <v>2.9736600000000003E-4</v>
      </c>
      <c r="I1693">
        <v>2894</v>
      </c>
      <c r="J1693">
        <v>2871</v>
      </c>
      <c r="K1693">
        <v>23</v>
      </c>
      <c r="L1693">
        <v>500</v>
      </c>
      <c r="M1693">
        <v>499</v>
      </c>
      <c r="N1693">
        <v>1</v>
      </c>
      <c r="O1693">
        <v>12106</v>
      </c>
      <c r="P1693">
        <v>1</v>
      </c>
    </row>
    <row r="1694" spans="1:16" x14ac:dyDescent="0.2">
      <c r="A1694" s="3" t="s">
        <v>49</v>
      </c>
      <c r="B1694" s="3" t="s">
        <v>50</v>
      </c>
      <c r="C1694">
        <v>21</v>
      </c>
      <c r="D1694">
        <v>14000</v>
      </c>
      <c r="E1694">
        <v>499</v>
      </c>
      <c r="F1694">
        <v>1</v>
      </c>
      <c r="G1694">
        <v>58565.0323707059</v>
      </c>
      <c r="H1694">
        <v>2.9732899999999999E-4</v>
      </c>
      <c r="I1694">
        <v>2854</v>
      </c>
      <c r="J1694">
        <v>2824</v>
      </c>
      <c r="K1694">
        <v>30</v>
      </c>
      <c r="L1694">
        <v>500</v>
      </c>
      <c r="M1694">
        <v>499</v>
      </c>
      <c r="N1694">
        <v>1</v>
      </c>
      <c r="O1694">
        <v>48312.843667992202</v>
      </c>
      <c r="P1694">
        <v>0</v>
      </c>
    </row>
    <row r="1695" spans="1:16" x14ac:dyDescent="0.2">
      <c r="A1695" s="3" t="s">
        <v>49</v>
      </c>
      <c r="B1695" s="3" t="s">
        <v>50</v>
      </c>
      <c r="C1695">
        <v>19</v>
      </c>
      <c r="D1695">
        <v>16000</v>
      </c>
      <c r="E1695">
        <v>499</v>
      </c>
      <c r="F1695">
        <v>1</v>
      </c>
      <c r="G1695">
        <v>64781.839036288002</v>
      </c>
      <c r="H1695">
        <v>2.9732899999999999E-4</v>
      </c>
      <c r="I1695">
        <v>3001</v>
      </c>
      <c r="J1695">
        <v>2967</v>
      </c>
      <c r="K1695">
        <v>34</v>
      </c>
      <c r="L1695">
        <v>500</v>
      </c>
      <c r="M1695">
        <v>499</v>
      </c>
      <c r="N1695">
        <v>1</v>
      </c>
      <c r="O1695">
        <v>54053.340021732802</v>
      </c>
      <c r="P1695">
        <v>0</v>
      </c>
    </row>
    <row r="1696" spans="1:16" x14ac:dyDescent="0.2">
      <c r="A1696" s="3" t="s">
        <v>49</v>
      </c>
      <c r="B1696" s="3" t="s">
        <v>50</v>
      </c>
      <c r="C1696">
        <v>24</v>
      </c>
      <c r="D1696">
        <v>10000</v>
      </c>
      <c r="E1696">
        <v>499</v>
      </c>
      <c r="F1696">
        <v>1</v>
      </c>
      <c r="G1696">
        <v>10000</v>
      </c>
      <c r="H1696">
        <v>2.9732899999999999E-4</v>
      </c>
      <c r="I1696">
        <v>2711</v>
      </c>
      <c r="J1696">
        <v>2689</v>
      </c>
      <c r="K1696">
        <v>22</v>
      </c>
      <c r="L1696">
        <v>500</v>
      </c>
      <c r="M1696">
        <v>499</v>
      </c>
      <c r="N1696">
        <v>1</v>
      </c>
      <c r="O1696">
        <v>7289</v>
      </c>
      <c r="P1696">
        <v>1</v>
      </c>
    </row>
    <row r="1697" spans="1:16" x14ac:dyDescent="0.2">
      <c r="A1697" s="3" t="s">
        <v>49</v>
      </c>
      <c r="B1697" s="3" t="s">
        <v>50</v>
      </c>
      <c r="C1697">
        <v>45</v>
      </c>
      <c r="D1697">
        <v>16000</v>
      </c>
      <c r="E1697">
        <v>499</v>
      </c>
      <c r="F1697">
        <v>1</v>
      </c>
      <c r="G1697">
        <v>64781.839036288002</v>
      </c>
      <c r="H1697">
        <v>2.9730099999999998E-4</v>
      </c>
      <c r="I1697">
        <v>2922</v>
      </c>
      <c r="J1697">
        <v>2890</v>
      </c>
      <c r="K1697">
        <v>32</v>
      </c>
      <c r="L1697">
        <v>500</v>
      </c>
      <c r="M1697">
        <v>499</v>
      </c>
      <c r="N1697">
        <v>1</v>
      </c>
      <c r="O1697">
        <v>54281.734461884997</v>
      </c>
      <c r="P1697">
        <v>0</v>
      </c>
    </row>
    <row r="1698" spans="1:16" x14ac:dyDescent="0.2">
      <c r="A1698" s="3" t="s">
        <v>49</v>
      </c>
      <c r="B1698" s="3" t="s">
        <v>50</v>
      </c>
      <c r="C1698">
        <v>26</v>
      </c>
      <c r="D1698">
        <v>13000</v>
      </c>
      <c r="E1698">
        <v>499</v>
      </c>
      <c r="F1698">
        <v>1</v>
      </c>
      <c r="G1698">
        <v>13000</v>
      </c>
      <c r="H1698">
        <v>2.9729300000000001E-4</v>
      </c>
      <c r="I1698">
        <v>2843</v>
      </c>
      <c r="J1698">
        <v>2822</v>
      </c>
      <c r="K1698">
        <v>21</v>
      </c>
      <c r="L1698">
        <v>500</v>
      </c>
      <c r="M1698">
        <v>499</v>
      </c>
      <c r="N1698">
        <v>1</v>
      </c>
      <c r="O1698">
        <v>10157</v>
      </c>
      <c r="P1698">
        <v>1</v>
      </c>
    </row>
    <row r="1699" spans="1:16" x14ac:dyDescent="0.2">
      <c r="A1699" s="3" t="s">
        <v>49</v>
      </c>
      <c r="B1699" s="3" t="s">
        <v>50</v>
      </c>
      <c r="C1699">
        <v>3</v>
      </c>
      <c r="D1699">
        <v>16000</v>
      </c>
      <c r="E1699">
        <v>499</v>
      </c>
      <c r="F1699">
        <v>1</v>
      </c>
      <c r="G1699">
        <v>64781.839036288002</v>
      </c>
      <c r="H1699">
        <v>2.9728300000000002E-4</v>
      </c>
      <c r="I1699">
        <v>2932</v>
      </c>
      <c r="J1699">
        <v>2902</v>
      </c>
      <c r="K1699">
        <v>30</v>
      </c>
      <c r="L1699">
        <v>500</v>
      </c>
      <c r="M1699">
        <v>499</v>
      </c>
      <c r="N1699">
        <v>1</v>
      </c>
      <c r="O1699">
        <v>54251.873026027803</v>
      </c>
      <c r="P1699">
        <v>0</v>
      </c>
    </row>
    <row r="1700" spans="1:16" x14ac:dyDescent="0.2">
      <c r="A1700" s="3" t="s">
        <v>49</v>
      </c>
      <c r="B1700" s="3" t="s">
        <v>50</v>
      </c>
      <c r="C1700">
        <v>13</v>
      </c>
      <c r="D1700">
        <v>15000</v>
      </c>
      <c r="E1700">
        <v>499</v>
      </c>
      <c r="F1700">
        <v>1</v>
      </c>
      <c r="G1700">
        <v>15000</v>
      </c>
      <c r="H1700">
        <v>2.9709099999999998E-4</v>
      </c>
      <c r="I1700">
        <v>2905</v>
      </c>
      <c r="J1700">
        <v>2879</v>
      </c>
      <c r="K1700">
        <v>26</v>
      </c>
      <c r="L1700">
        <v>500</v>
      </c>
      <c r="M1700">
        <v>499</v>
      </c>
      <c r="N1700">
        <v>1</v>
      </c>
      <c r="O1700">
        <v>12095</v>
      </c>
      <c r="P1700">
        <v>1</v>
      </c>
    </row>
    <row r="1701" spans="1:16" x14ac:dyDescent="0.2">
      <c r="A1701" s="3" t="s">
        <v>49</v>
      </c>
      <c r="B1701" s="3" t="s">
        <v>50</v>
      </c>
      <c r="C1701">
        <v>25</v>
      </c>
      <c r="D1701">
        <v>15000</v>
      </c>
      <c r="E1701">
        <v>499</v>
      </c>
      <c r="F1701">
        <v>1</v>
      </c>
      <c r="G1701">
        <v>15000</v>
      </c>
      <c r="H1701">
        <v>2.9662299999999998E-4</v>
      </c>
      <c r="I1701">
        <v>2864</v>
      </c>
      <c r="J1701">
        <v>2845</v>
      </c>
      <c r="K1701">
        <v>19</v>
      </c>
      <c r="L1701">
        <v>500</v>
      </c>
      <c r="M1701">
        <v>499</v>
      </c>
      <c r="N1701">
        <v>1</v>
      </c>
      <c r="O1701">
        <v>12136</v>
      </c>
      <c r="P1701">
        <v>1</v>
      </c>
    </row>
    <row r="1702" spans="1:16" x14ac:dyDescent="0.2">
      <c r="A1702" s="3" t="s">
        <v>49</v>
      </c>
      <c r="B1702" s="3" t="s">
        <v>50</v>
      </c>
      <c r="C1702">
        <v>3</v>
      </c>
      <c r="D1702">
        <v>16000</v>
      </c>
      <c r="E1702">
        <v>499</v>
      </c>
      <c r="F1702">
        <v>1</v>
      </c>
      <c r="G1702">
        <v>16000</v>
      </c>
      <c r="H1702">
        <v>2.9653999999999998E-4</v>
      </c>
      <c r="I1702">
        <v>2927</v>
      </c>
      <c r="J1702">
        <v>2898</v>
      </c>
      <c r="K1702">
        <v>29</v>
      </c>
      <c r="L1702">
        <v>500</v>
      </c>
      <c r="M1702">
        <v>499</v>
      </c>
      <c r="N1702">
        <v>1</v>
      </c>
      <c r="O1702">
        <v>13073</v>
      </c>
      <c r="P1702">
        <v>1</v>
      </c>
    </row>
    <row r="1703" spans="1:16" x14ac:dyDescent="0.2">
      <c r="A1703" s="3" t="s">
        <v>49</v>
      </c>
      <c r="B1703" s="3" t="s">
        <v>50</v>
      </c>
      <c r="C1703">
        <v>34</v>
      </c>
      <c r="D1703">
        <v>16000</v>
      </c>
      <c r="E1703">
        <v>499</v>
      </c>
      <c r="F1703">
        <v>1</v>
      </c>
      <c r="G1703">
        <v>64781.839036288002</v>
      </c>
      <c r="H1703">
        <v>2.9653200000000001E-4</v>
      </c>
      <c r="I1703">
        <v>2941</v>
      </c>
      <c r="J1703">
        <v>2905</v>
      </c>
      <c r="K1703">
        <v>36</v>
      </c>
      <c r="L1703">
        <v>500</v>
      </c>
      <c r="M1703">
        <v>499</v>
      </c>
      <c r="N1703">
        <v>1</v>
      </c>
      <c r="O1703">
        <v>54099.048395667698</v>
      </c>
      <c r="P1703">
        <v>0</v>
      </c>
    </row>
    <row r="1704" spans="1:16" x14ac:dyDescent="0.2">
      <c r="A1704" s="3" t="s">
        <v>49</v>
      </c>
      <c r="B1704" s="3" t="s">
        <v>50</v>
      </c>
      <c r="C1704">
        <v>27</v>
      </c>
      <c r="D1704">
        <v>14000</v>
      </c>
      <c r="E1704">
        <v>499</v>
      </c>
      <c r="F1704">
        <v>1</v>
      </c>
      <c r="G1704">
        <v>58565.0323707059</v>
      </c>
      <c r="H1704">
        <v>2.9650400000000001E-4</v>
      </c>
      <c r="I1704">
        <v>2886</v>
      </c>
      <c r="J1704">
        <v>2862</v>
      </c>
      <c r="K1704">
        <v>24</v>
      </c>
      <c r="L1704">
        <v>500</v>
      </c>
      <c r="M1704">
        <v>499</v>
      </c>
      <c r="N1704">
        <v>1</v>
      </c>
      <c r="O1704">
        <v>48182.888802602101</v>
      </c>
      <c r="P1704">
        <v>0</v>
      </c>
    </row>
    <row r="1705" spans="1:16" x14ac:dyDescent="0.2">
      <c r="A1705" s="3" t="s">
        <v>49</v>
      </c>
      <c r="B1705" s="3" t="s">
        <v>50</v>
      </c>
      <c r="C1705">
        <v>19</v>
      </c>
      <c r="D1705">
        <v>16000</v>
      </c>
      <c r="E1705">
        <v>499</v>
      </c>
      <c r="F1705">
        <v>1</v>
      </c>
      <c r="G1705">
        <v>16000</v>
      </c>
      <c r="H1705">
        <v>2.9603600000000001E-4</v>
      </c>
      <c r="I1705">
        <v>2915</v>
      </c>
      <c r="J1705">
        <v>2886</v>
      </c>
      <c r="K1705">
        <v>29</v>
      </c>
      <c r="L1705">
        <v>500</v>
      </c>
      <c r="M1705">
        <v>499</v>
      </c>
      <c r="N1705">
        <v>1</v>
      </c>
      <c r="O1705">
        <v>13085</v>
      </c>
      <c r="P1705">
        <v>1</v>
      </c>
    </row>
    <row r="1706" spans="1:16" x14ac:dyDescent="0.2">
      <c r="A1706" s="3" t="s">
        <v>49</v>
      </c>
      <c r="B1706" s="3" t="s">
        <v>50</v>
      </c>
      <c r="C1706">
        <v>37</v>
      </c>
      <c r="D1706">
        <v>14000</v>
      </c>
      <c r="E1706">
        <v>499</v>
      </c>
      <c r="F1706">
        <v>1</v>
      </c>
      <c r="G1706">
        <v>58565.0323707059</v>
      </c>
      <c r="H1706">
        <v>2.9598100000000001E-4</v>
      </c>
      <c r="I1706">
        <v>2842</v>
      </c>
      <c r="J1706">
        <v>2806</v>
      </c>
      <c r="K1706">
        <v>36</v>
      </c>
      <c r="L1706">
        <v>500</v>
      </c>
      <c r="M1706">
        <v>499</v>
      </c>
      <c r="N1706">
        <v>1</v>
      </c>
      <c r="O1706">
        <v>48364.589894727098</v>
      </c>
      <c r="P1706">
        <v>0</v>
      </c>
    </row>
    <row r="1707" spans="1:16" x14ac:dyDescent="0.2">
      <c r="A1707" s="3" t="s">
        <v>49</v>
      </c>
      <c r="B1707" s="3" t="s">
        <v>50</v>
      </c>
      <c r="C1707">
        <v>12</v>
      </c>
      <c r="D1707">
        <v>15000</v>
      </c>
      <c r="E1707">
        <v>499</v>
      </c>
      <c r="F1707">
        <v>1</v>
      </c>
      <c r="G1707">
        <v>60572.237308582698</v>
      </c>
      <c r="H1707">
        <v>2.9588999999999999E-4</v>
      </c>
      <c r="I1707">
        <v>2855</v>
      </c>
      <c r="J1707">
        <v>2827</v>
      </c>
      <c r="K1707">
        <v>28</v>
      </c>
      <c r="L1707">
        <v>500</v>
      </c>
      <c r="M1707">
        <v>499</v>
      </c>
      <c r="N1707">
        <v>1</v>
      </c>
      <c r="O1707">
        <v>50417.9016801213</v>
      </c>
      <c r="P1707">
        <v>0</v>
      </c>
    </row>
    <row r="1708" spans="1:16" x14ac:dyDescent="0.2">
      <c r="A1708" s="3" t="s">
        <v>49</v>
      </c>
      <c r="B1708" s="3" t="s">
        <v>50</v>
      </c>
      <c r="C1708">
        <v>35</v>
      </c>
      <c r="D1708">
        <v>14000</v>
      </c>
      <c r="E1708">
        <v>499</v>
      </c>
      <c r="F1708">
        <v>1</v>
      </c>
      <c r="G1708">
        <v>58565.0323707059</v>
      </c>
      <c r="H1708">
        <v>2.9577999999999999E-4</v>
      </c>
      <c r="I1708">
        <v>2867</v>
      </c>
      <c r="J1708">
        <v>2846</v>
      </c>
      <c r="K1708">
        <v>21</v>
      </c>
      <c r="L1708">
        <v>500</v>
      </c>
      <c r="M1708">
        <v>499</v>
      </c>
      <c r="N1708">
        <v>1</v>
      </c>
      <c r="O1708">
        <v>48240.007401788003</v>
      </c>
      <c r="P1708">
        <v>0</v>
      </c>
    </row>
    <row r="1709" spans="1:16" x14ac:dyDescent="0.2">
      <c r="A1709" s="3" t="s">
        <v>49</v>
      </c>
      <c r="B1709" s="3" t="s">
        <v>50</v>
      </c>
      <c r="C1709">
        <v>14</v>
      </c>
      <c r="D1709">
        <v>16000</v>
      </c>
      <c r="E1709">
        <v>499</v>
      </c>
      <c r="F1709">
        <v>1</v>
      </c>
      <c r="G1709">
        <v>16000</v>
      </c>
      <c r="H1709">
        <v>2.95715E-4</v>
      </c>
      <c r="I1709">
        <v>2938</v>
      </c>
      <c r="J1709">
        <v>2909</v>
      </c>
      <c r="K1709">
        <v>29</v>
      </c>
      <c r="L1709">
        <v>500</v>
      </c>
      <c r="M1709">
        <v>499</v>
      </c>
      <c r="N1709">
        <v>1</v>
      </c>
      <c r="O1709">
        <v>13062</v>
      </c>
      <c r="P1709">
        <v>1</v>
      </c>
    </row>
    <row r="1710" spans="1:16" x14ac:dyDescent="0.2">
      <c r="A1710" s="3" t="s">
        <v>49</v>
      </c>
      <c r="B1710" s="3" t="s">
        <v>50</v>
      </c>
      <c r="C1710">
        <v>5</v>
      </c>
      <c r="D1710">
        <v>14000</v>
      </c>
      <c r="E1710">
        <v>499</v>
      </c>
      <c r="F1710">
        <v>1</v>
      </c>
      <c r="G1710">
        <v>58565.0323707059</v>
      </c>
      <c r="H1710">
        <v>2.9565199999999998E-4</v>
      </c>
      <c r="I1710">
        <v>2871</v>
      </c>
      <c r="J1710">
        <v>2837</v>
      </c>
      <c r="K1710">
        <v>34</v>
      </c>
      <c r="L1710">
        <v>500</v>
      </c>
      <c r="M1710">
        <v>499</v>
      </c>
      <c r="N1710">
        <v>1</v>
      </c>
      <c r="O1710">
        <v>48287.169755712399</v>
      </c>
      <c r="P1710">
        <v>0</v>
      </c>
    </row>
    <row r="1711" spans="1:16" x14ac:dyDescent="0.2">
      <c r="A1711" s="3" t="s">
        <v>49</v>
      </c>
      <c r="B1711" s="3" t="s">
        <v>50</v>
      </c>
      <c r="C1711">
        <v>39</v>
      </c>
      <c r="D1711">
        <v>15000</v>
      </c>
      <c r="E1711">
        <v>499</v>
      </c>
      <c r="F1711">
        <v>1</v>
      </c>
      <c r="G1711">
        <v>60572.237308582698</v>
      </c>
      <c r="H1711">
        <v>2.9535800000000001E-4</v>
      </c>
      <c r="I1711">
        <v>2901</v>
      </c>
      <c r="J1711">
        <v>2868</v>
      </c>
      <c r="K1711">
        <v>33</v>
      </c>
      <c r="L1711">
        <v>500</v>
      </c>
      <c r="M1711">
        <v>499</v>
      </c>
      <c r="N1711">
        <v>1</v>
      </c>
      <c r="O1711">
        <v>50275.553853085003</v>
      </c>
      <c r="P1711">
        <v>0</v>
      </c>
    </row>
    <row r="1712" spans="1:16" x14ac:dyDescent="0.2">
      <c r="A1712" s="3" t="s">
        <v>49</v>
      </c>
      <c r="B1712" s="3" t="s">
        <v>50</v>
      </c>
      <c r="C1712">
        <v>17</v>
      </c>
      <c r="D1712">
        <v>14000</v>
      </c>
      <c r="E1712">
        <v>499</v>
      </c>
      <c r="F1712">
        <v>1</v>
      </c>
      <c r="G1712">
        <v>58565.0323707059</v>
      </c>
      <c r="H1712">
        <v>2.9507399999999999E-4</v>
      </c>
      <c r="I1712">
        <v>2890</v>
      </c>
      <c r="J1712">
        <v>2857</v>
      </c>
      <c r="K1712">
        <v>33</v>
      </c>
      <c r="L1712">
        <v>500</v>
      </c>
      <c r="M1712">
        <v>499</v>
      </c>
      <c r="N1712">
        <v>1</v>
      </c>
      <c r="O1712">
        <v>48223.759952518601</v>
      </c>
      <c r="P1712">
        <v>0</v>
      </c>
    </row>
    <row r="1713" spans="1:16" x14ac:dyDescent="0.2">
      <c r="A1713" s="3" t="s">
        <v>49</v>
      </c>
      <c r="B1713" s="3" t="s">
        <v>50</v>
      </c>
      <c r="C1713">
        <v>6</v>
      </c>
      <c r="D1713">
        <v>12000</v>
      </c>
      <c r="E1713">
        <v>499</v>
      </c>
      <c r="F1713">
        <v>1</v>
      </c>
      <c r="G1713">
        <v>50533.323552418398</v>
      </c>
      <c r="H1713">
        <v>2.9505500000000001E-4</v>
      </c>
      <c r="I1713">
        <v>2780</v>
      </c>
      <c r="J1713">
        <v>2756</v>
      </c>
      <c r="K1713">
        <v>24</v>
      </c>
      <c r="L1713">
        <v>500</v>
      </c>
      <c r="M1713">
        <v>499</v>
      </c>
      <c r="N1713">
        <v>1</v>
      </c>
      <c r="O1713">
        <v>39963.313524643403</v>
      </c>
      <c r="P1713">
        <v>0</v>
      </c>
    </row>
    <row r="1714" spans="1:16" x14ac:dyDescent="0.2">
      <c r="A1714" s="3" t="s">
        <v>49</v>
      </c>
      <c r="B1714" s="3" t="s">
        <v>50</v>
      </c>
      <c r="C1714">
        <v>10</v>
      </c>
      <c r="D1714">
        <v>12000</v>
      </c>
      <c r="E1714">
        <v>499</v>
      </c>
      <c r="F1714">
        <v>1</v>
      </c>
      <c r="G1714">
        <v>12000</v>
      </c>
      <c r="H1714">
        <v>2.9486399999999999E-4</v>
      </c>
      <c r="I1714">
        <v>2786</v>
      </c>
      <c r="J1714">
        <v>2766</v>
      </c>
      <c r="K1714">
        <v>20</v>
      </c>
      <c r="L1714">
        <v>500</v>
      </c>
      <c r="M1714">
        <v>499</v>
      </c>
      <c r="N1714">
        <v>1</v>
      </c>
      <c r="O1714">
        <v>9214</v>
      </c>
      <c r="P1714">
        <v>1</v>
      </c>
    </row>
    <row r="1715" spans="1:16" x14ac:dyDescent="0.2">
      <c r="A1715" s="3" t="s">
        <v>49</v>
      </c>
      <c r="B1715" s="3" t="s">
        <v>50</v>
      </c>
      <c r="C1715">
        <v>36</v>
      </c>
      <c r="D1715">
        <v>15000</v>
      </c>
      <c r="E1715">
        <v>499</v>
      </c>
      <c r="F1715">
        <v>1</v>
      </c>
      <c r="G1715">
        <v>60572.237308582698</v>
      </c>
      <c r="H1715">
        <v>2.9429499999999997E-4</v>
      </c>
      <c r="I1715">
        <v>2893</v>
      </c>
      <c r="J1715">
        <v>2860</v>
      </c>
      <c r="K1715">
        <v>33</v>
      </c>
      <c r="L1715">
        <v>500</v>
      </c>
      <c r="M1715">
        <v>499</v>
      </c>
      <c r="N1715">
        <v>1</v>
      </c>
      <c r="O1715">
        <v>50266.443602122003</v>
      </c>
      <c r="P1715">
        <v>0</v>
      </c>
    </row>
    <row r="1716" spans="1:16" x14ac:dyDescent="0.2">
      <c r="A1716" s="3" t="s">
        <v>49</v>
      </c>
      <c r="B1716" s="3" t="s">
        <v>50</v>
      </c>
      <c r="C1716">
        <v>20</v>
      </c>
      <c r="D1716">
        <v>16000</v>
      </c>
      <c r="E1716">
        <v>499</v>
      </c>
      <c r="F1716">
        <v>1</v>
      </c>
      <c r="G1716">
        <v>64781.839036288002</v>
      </c>
      <c r="H1716">
        <v>2.94259E-4</v>
      </c>
      <c r="I1716">
        <v>2967</v>
      </c>
      <c r="J1716">
        <v>2930</v>
      </c>
      <c r="K1716">
        <v>37</v>
      </c>
      <c r="L1716">
        <v>500</v>
      </c>
      <c r="M1716">
        <v>499</v>
      </c>
      <c r="N1716">
        <v>1</v>
      </c>
      <c r="O1716">
        <v>54109.046034565203</v>
      </c>
      <c r="P1716">
        <v>0</v>
      </c>
    </row>
    <row r="1717" spans="1:16" x14ac:dyDescent="0.2">
      <c r="A1717" s="3" t="s">
        <v>49</v>
      </c>
      <c r="B1717" s="3" t="s">
        <v>50</v>
      </c>
      <c r="C1717">
        <v>34</v>
      </c>
      <c r="D1717">
        <v>13000</v>
      </c>
      <c r="E1717">
        <v>499</v>
      </c>
      <c r="F1717">
        <v>1</v>
      </c>
      <c r="G1717">
        <v>13000</v>
      </c>
      <c r="H1717">
        <v>2.9345199999999998E-4</v>
      </c>
      <c r="I1717">
        <v>2778</v>
      </c>
      <c r="J1717">
        <v>2754</v>
      </c>
      <c r="K1717">
        <v>24</v>
      </c>
      <c r="L1717">
        <v>500</v>
      </c>
      <c r="M1717">
        <v>499</v>
      </c>
      <c r="N1717">
        <v>1</v>
      </c>
      <c r="O1717">
        <v>10222</v>
      </c>
      <c r="P1717">
        <v>1</v>
      </c>
    </row>
    <row r="1718" spans="1:16" x14ac:dyDescent="0.2">
      <c r="A1718" s="3" t="s">
        <v>49</v>
      </c>
      <c r="B1718" s="3" t="s">
        <v>50</v>
      </c>
      <c r="C1718">
        <v>48</v>
      </c>
      <c r="D1718">
        <v>16000</v>
      </c>
      <c r="E1718">
        <v>499</v>
      </c>
      <c r="F1718">
        <v>1</v>
      </c>
      <c r="G1718">
        <v>64781.839036288002</v>
      </c>
      <c r="H1718">
        <v>2.9317600000000003E-4</v>
      </c>
      <c r="I1718">
        <v>2934</v>
      </c>
      <c r="J1718">
        <v>2897</v>
      </c>
      <c r="K1718">
        <v>37</v>
      </c>
      <c r="L1718">
        <v>500</v>
      </c>
      <c r="M1718">
        <v>499</v>
      </c>
      <c r="N1718">
        <v>1</v>
      </c>
      <c r="O1718">
        <v>54146.598157400003</v>
      </c>
      <c r="P1718">
        <v>0</v>
      </c>
    </row>
    <row r="1719" spans="1:16" x14ac:dyDescent="0.2">
      <c r="A1719" s="3" t="s">
        <v>49</v>
      </c>
      <c r="B1719" s="3" t="s">
        <v>50</v>
      </c>
      <c r="C1719">
        <v>20</v>
      </c>
      <c r="D1719">
        <v>15000</v>
      </c>
      <c r="E1719">
        <v>499</v>
      </c>
      <c r="F1719">
        <v>1</v>
      </c>
      <c r="G1719">
        <v>60572.237308582698</v>
      </c>
      <c r="H1719">
        <v>2.93057E-4</v>
      </c>
      <c r="I1719">
        <v>2931</v>
      </c>
      <c r="J1719">
        <v>2886</v>
      </c>
      <c r="K1719">
        <v>45</v>
      </c>
      <c r="L1719">
        <v>500</v>
      </c>
      <c r="M1719">
        <v>499</v>
      </c>
      <c r="N1719">
        <v>1</v>
      </c>
      <c r="O1719">
        <v>50145.051110583503</v>
      </c>
      <c r="P1719">
        <v>0</v>
      </c>
    </row>
    <row r="1720" spans="1:16" x14ac:dyDescent="0.2">
      <c r="A1720" s="3" t="s">
        <v>49</v>
      </c>
      <c r="B1720" s="3" t="s">
        <v>50</v>
      </c>
      <c r="C1720">
        <v>40</v>
      </c>
      <c r="D1720">
        <v>15000</v>
      </c>
      <c r="E1720">
        <v>499</v>
      </c>
      <c r="F1720">
        <v>1</v>
      </c>
      <c r="G1720">
        <v>60572.237308582698</v>
      </c>
      <c r="H1720">
        <v>2.92324E-4</v>
      </c>
      <c r="I1720">
        <v>2947</v>
      </c>
      <c r="J1720">
        <v>2916</v>
      </c>
      <c r="K1720">
        <v>31</v>
      </c>
      <c r="L1720">
        <v>500</v>
      </c>
      <c r="M1720">
        <v>499</v>
      </c>
      <c r="N1720">
        <v>1</v>
      </c>
      <c r="O1720">
        <v>50175.224445688102</v>
      </c>
      <c r="P1720">
        <v>0</v>
      </c>
    </row>
    <row r="1721" spans="1:16" x14ac:dyDescent="0.2">
      <c r="A1721" s="3" t="s">
        <v>49</v>
      </c>
      <c r="B1721" s="3" t="s">
        <v>50</v>
      </c>
      <c r="C1721">
        <v>48</v>
      </c>
      <c r="D1721">
        <v>14000</v>
      </c>
      <c r="E1721">
        <v>499</v>
      </c>
      <c r="F1721">
        <v>1</v>
      </c>
      <c r="G1721">
        <v>14000</v>
      </c>
      <c r="H1721">
        <v>2.9224200000000001E-4</v>
      </c>
      <c r="I1721">
        <v>2867</v>
      </c>
      <c r="J1721">
        <v>2842</v>
      </c>
      <c r="K1721">
        <v>25</v>
      </c>
      <c r="L1721">
        <v>500</v>
      </c>
      <c r="M1721">
        <v>499</v>
      </c>
      <c r="N1721">
        <v>1</v>
      </c>
      <c r="O1721">
        <v>11133</v>
      </c>
      <c r="P1721">
        <v>1</v>
      </c>
    </row>
    <row r="1722" spans="1:16" x14ac:dyDescent="0.2">
      <c r="A1722" s="3" t="s">
        <v>49</v>
      </c>
      <c r="B1722" s="3" t="s">
        <v>50</v>
      </c>
      <c r="C1722">
        <v>17</v>
      </c>
      <c r="D1722">
        <v>16000</v>
      </c>
      <c r="E1722">
        <v>499</v>
      </c>
      <c r="F1722">
        <v>1</v>
      </c>
      <c r="G1722">
        <v>16000</v>
      </c>
      <c r="H1722">
        <v>2.9174600000000001E-4</v>
      </c>
      <c r="I1722">
        <v>2980</v>
      </c>
      <c r="J1722">
        <v>2944</v>
      </c>
      <c r="K1722">
        <v>36</v>
      </c>
      <c r="L1722">
        <v>500</v>
      </c>
      <c r="M1722">
        <v>499</v>
      </c>
      <c r="N1722">
        <v>1</v>
      </c>
      <c r="O1722">
        <v>13020</v>
      </c>
      <c r="P1722">
        <v>1</v>
      </c>
    </row>
    <row r="1723" spans="1:16" x14ac:dyDescent="0.2">
      <c r="A1723" s="3" t="s">
        <v>49</v>
      </c>
      <c r="B1723" s="3" t="s">
        <v>50</v>
      </c>
      <c r="C1723">
        <v>34</v>
      </c>
      <c r="D1723">
        <v>15000</v>
      </c>
      <c r="E1723">
        <v>499</v>
      </c>
      <c r="F1723">
        <v>1</v>
      </c>
      <c r="G1723">
        <v>60572.237308582698</v>
      </c>
      <c r="H1723">
        <v>2.9158199999999997E-4</v>
      </c>
      <c r="I1723">
        <v>2870</v>
      </c>
      <c r="J1723">
        <v>2833</v>
      </c>
      <c r="K1723">
        <v>37</v>
      </c>
      <c r="L1723">
        <v>500</v>
      </c>
      <c r="M1723">
        <v>499</v>
      </c>
      <c r="N1723">
        <v>1</v>
      </c>
      <c r="O1723">
        <v>50335.099135364202</v>
      </c>
      <c r="P1723">
        <v>0</v>
      </c>
    </row>
    <row r="1724" spans="1:16" x14ac:dyDescent="0.2">
      <c r="A1724" s="3" t="s">
        <v>49</v>
      </c>
      <c r="B1724" s="3" t="s">
        <v>50</v>
      </c>
      <c r="C1724">
        <v>2</v>
      </c>
      <c r="D1724">
        <v>15000</v>
      </c>
      <c r="E1724">
        <v>499</v>
      </c>
      <c r="F1724">
        <v>1</v>
      </c>
      <c r="G1724">
        <v>60572.237308582698</v>
      </c>
      <c r="H1724">
        <v>2.9147199999999998E-4</v>
      </c>
      <c r="I1724">
        <v>2901</v>
      </c>
      <c r="J1724">
        <v>2874</v>
      </c>
      <c r="K1724">
        <v>27</v>
      </c>
      <c r="L1724">
        <v>500</v>
      </c>
      <c r="M1724">
        <v>499</v>
      </c>
      <c r="N1724">
        <v>1</v>
      </c>
      <c r="O1724">
        <v>50280.433276380099</v>
      </c>
      <c r="P1724">
        <v>0</v>
      </c>
    </row>
    <row r="1725" spans="1:16" x14ac:dyDescent="0.2">
      <c r="A1725" s="3" t="s">
        <v>49</v>
      </c>
      <c r="B1725" s="3" t="s">
        <v>50</v>
      </c>
      <c r="C1725">
        <v>16</v>
      </c>
      <c r="D1725">
        <v>15000</v>
      </c>
      <c r="E1725">
        <v>499</v>
      </c>
      <c r="F1725">
        <v>1</v>
      </c>
      <c r="G1725">
        <v>15000</v>
      </c>
      <c r="H1725">
        <v>2.9147100000000002E-4</v>
      </c>
      <c r="I1725">
        <v>2908</v>
      </c>
      <c r="J1725">
        <v>2873</v>
      </c>
      <c r="K1725">
        <v>35</v>
      </c>
      <c r="L1725">
        <v>500</v>
      </c>
      <c r="M1725">
        <v>499</v>
      </c>
      <c r="N1725">
        <v>1</v>
      </c>
      <c r="O1725">
        <v>12092</v>
      </c>
      <c r="P1725">
        <v>1</v>
      </c>
    </row>
    <row r="1726" spans="1:16" x14ac:dyDescent="0.2">
      <c r="A1726" s="3" t="s">
        <v>49</v>
      </c>
      <c r="B1726" s="3" t="s">
        <v>50</v>
      </c>
      <c r="C1726">
        <v>1</v>
      </c>
      <c r="D1726">
        <v>14000</v>
      </c>
      <c r="E1726">
        <v>499</v>
      </c>
      <c r="F1726">
        <v>1</v>
      </c>
      <c r="G1726">
        <v>58565.0323707059</v>
      </c>
      <c r="H1726">
        <v>2.9144400000000002E-4</v>
      </c>
      <c r="I1726">
        <v>2853</v>
      </c>
      <c r="J1726">
        <v>2835</v>
      </c>
      <c r="K1726">
        <v>18</v>
      </c>
      <c r="L1726">
        <v>500</v>
      </c>
      <c r="M1726">
        <v>499</v>
      </c>
      <c r="N1726">
        <v>1</v>
      </c>
      <c r="O1726">
        <v>48268.5419738083</v>
      </c>
      <c r="P1726">
        <v>0</v>
      </c>
    </row>
    <row r="1727" spans="1:16" x14ac:dyDescent="0.2">
      <c r="A1727" s="3" t="s">
        <v>49</v>
      </c>
      <c r="B1727" s="3" t="s">
        <v>50</v>
      </c>
      <c r="C1727">
        <v>36</v>
      </c>
      <c r="D1727">
        <v>16000</v>
      </c>
      <c r="E1727">
        <v>499</v>
      </c>
      <c r="F1727">
        <v>1</v>
      </c>
      <c r="G1727">
        <v>16000</v>
      </c>
      <c r="H1727">
        <v>2.9137100000000001E-4</v>
      </c>
      <c r="I1727">
        <v>2913</v>
      </c>
      <c r="J1727">
        <v>2884</v>
      </c>
      <c r="K1727">
        <v>29</v>
      </c>
      <c r="L1727">
        <v>500</v>
      </c>
      <c r="M1727">
        <v>499</v>
      </c>
      <c r="N1727">
        <v>1</v>
      </c>
      <c r="O1727">
        <v>13087</v>
      </c>
      <c r="P1727">
        <v>1</v>
      </c>
    </row>
    <row r="1728" spans="1:16" x14ac:dyDescent="0.2">
      <c r="A1728" s="3" t="s">
        <v>49</v>
      </c>
      <c r="B1728" s="3" t="s">
        <v>50</v>
      </c>
      <c r="C1728">
        <v>34</v>
      </c>
      <c r="D1728">
        <v>13000</v>
      </c>
      <c r="E1728">
        <v>499</v>
      </c>
      <c r="F1728">
        <v>1</v>
      </c>
      <c r="G1728">
        <v>53044.701099550097</v>
      </c>
      <c r="H1728">
        <v>2.9127899999999997E-4</v>
      </c>
      <c r="I1728">
        <v>2825</v>
      </c>
      <c r="J1728">
        <v>2803</v>
      </c>
      <c r="K1728">
        <v>22</v>
      </c>
      <c r="L1728">
        <v>500</v>
      </c>
      <c r="M1728">
        <v>499</v>
      </c>
      <c r="N1728">
        <v>1</v>
      </c>
      <c r="O1728">
        <v>42733.337817393302</v>
      </c>
      <c r="P1728">
        <v>0</v>
      </c>
    </row>
    <row r="1729" spans="1:16" x14ac:dyDescent="0.2">
      <c r="A1729" s="3" t="s">
        <v>49</v>
      </c>
      <c r="B1729" s="3" t="s">
        <v>50</v>
      </c>
      <c r="C1729">
        <v>37</v>
      </c>
      <c r="D1729">
        <v>15000</v>
      </c>
      <c r="E1729">
        <v>499</v>
      </c>
      <c r="F1729">
        <v>1</v>
      </c>
      <c r="G1729">
        <v>60572.237308582698</v>
      </c>
      <c r="H1729">
        <v>2.91215E-4</v>
      </c>
      <c r="I1729">
        <v>2879</v>
      </c>
      <c r="J1729">
        <v>2853</v>
      </c>
      <c r="K1729">
        <v>26</v>
      </c>
      <c r="L1729">
        <v>500</v>
      </c>
      <c r="M1729">
        <v>499</v>
      </c>
      <c r="N1729">
        <v>1</v>
      </c>
      <c r="O1729">
        <v>50374.426950083398</v>
      </c>
      <c r="P1729">
        <v>0</v>
      </c>
    </row>
    <row r="1730" spans="1:16" x14ac:dyDescent="0.2">
      <c r="A1730" s="3" t="s">
        <v>49</v>
      </c>
      <c r="B1730" s="3" t="s">
        <v>50</v>
      </c>
      <c r="C1730">
        <v>17</v>
      </c>
      <c r="D1730">
        <v>15000</v>
      </c>
      <c r="E1730">
        <v>499</v>
      </c>
      <c r="F1730">
        <v>1</v>
      </c>
      <c r="G1730">
        <v>15000</v>
      </c>
      <c r="H1730">
        <v>2.9117800000000001E-4</v>
      </c>
      <c r="I1730">
        <v>2905</v>
      </c>
      <c r="J1730">
        <v>2879</v>
      </c>
      <c r="K1730">
        <v>26</v>
      </c>
      <c r="L1730">
        <v>500</v>
      </c>
      <c r="M1730">
        <v>499</v>
      </c>
      <c r="N1730">
        <v>1</v>
      </c>
      <c r="O1730">
        <v>12095</v>
      </c>
      <c r="P1730">
        <v>1</v>
      </c>
    </row>
    <row r="1731" spans="1:16" x14ac:dyDescent="0.2">
      <c r="A1731" s="3" t="s">
        <v>49</v>
      </c>
      <c r="B1731" s="3" t="s">
        <v>50</v>
      </c>
      <c r="C1731">
        <v>33</v>
      </c>
      <c r="D1731">
        <v>15000</v>
      </c>
      <c r="E1731">
        <v>499</v>
      </c>
      <c r="F1731">
        <v>1</v>
      </c>
      <c r="G1731">
        <v>15000</v>
      </c>
      <c r="H1731">
        <v>2.9109600000000002E-4</v>
      </c>
      <c r="I1731">
        <v>2897</v>
      </c>
      <c r="J1731">
        <v>2871</v>
      </c>
      <c r="K1731">
        <v>26</v>
      </c>
      <c r="L1731">
        <v>500</v>
      </c>
      <c r="M1731">
        <v>499</v>
      </c>
      <c r="N1731">
        <v>1</v>
      </c>
      <c r="O1731">
        <v>12103</v>
      </c>
      <c r="P1731">
        <v>1</v>
      </c>
    </row>
    <row r="1732" spans="1:16" x14ac:dyDescent="0.2">
      <c r="A1732" s="3" t="s">
        <v>49</v>
      </c>
      <c r="B1732" s="3" t="s">
        <v>50</v>
      </c>
      <c r="C1732">
        <v>10</v>
      </c>
      <c r="D1732">
        <v>15000</v>
      </c>
      <c r="E1732">
        <v>499</v>
      </c>
      <c r="F1732">
        <v>1</v>
      </c>
      <c r="G1732">
        <v>15000</v>
      </c>
      <c r="H1732">
        <v>2.9103199999999999E-4</v>
      </c>
      <c r="I1732">
        <v>2867</v>
      </c>
      <c r="J1732">
        <v>2844</v>
      </c>
      <c r="K1732">
        <v>23</v>
      </c>
      <c r="L1732">
        <v>500</v>
      </c>
      <c r="M1732">
        <v>499</v>
      </c>
      <c r="N1732">
        <v>1</v>
      </c>
      <c r="O1732">
        <v>12133</v>
      </c>
      <c r="P1732">
        <v>1</v>
      </c>
    </row>
    <row r="1733" spans="1:16" x14ac:dyDescent="0.2">
      <c r="A1733" s="3" t="s">
        <v>49</v>
      </c>
      <c r="B1733" s="3" t="s">
        <v>50</v>
      </c>
      <c r="C1733">
        <v>28</v>
      </c>
      <c r="D1733">
        <v>10000</v>
      </c>
      <c r="E1733">
        <v>499</v>
      </c>
      <c r="F1733">
        <v>1</v>
      </c>
      <c r="G1733">
        <v>10000</v>
      </c>
      <c r="H1733">
        <v>2.9094899999999998E-4</v>
      </c>
      <c r="I1733">
        <v>2720</v>
      </c>
      <c r="J1733">
        <v>2694</v>
      </c>
      <c r="K1733">
        <v>26</v>
      </c>
      <c r="L1733">
        <v>500</v>
      </c>
      <c r="M1733">
        <v>499</v>
      </c>
      <c r="N1733">
        <v>1</v>
      </c>
      <c r="O1733">
        <v>7280</v>
      </c>
      <c r="P1733">
        <v>1</v>
      </c>
    </row>
    <row r="1734" spans="1:16" x14ac:dyDescent="0.2">
      <c r="A1734" s="3" t="s">
        <v>49</v>
      </c>
      <c r="B1734" s="3" t="s">
        <v>50</v>
      </c>
      <c r="C1734">
        <v>13</v>
      </c>
      <c r="D1734">
        <v>11000</v>
      </c>
      <c r="E1734">
        <v>499</v>
      </c>
      <c r="F1734">
        <v>1</v>
      </c>
      <c r="G1734">
        <v>11000</v>
      </c>
      <c r="H1734">
        <v>2.9089399999999998E-4</v>
      </c>
      <c r="I1734">
        <v>2798</v>
      </c>
      <c r="J1734">
        <v>2771</v>
      </c>
      <c r="K1734">
        <v>27</v>
      </c>
      <c r="L1734">
        <v>500</v>
      </c>
      <c r="M1734">
        <v>499</v>
      </c>
      <c r="N1734">
        <v>1</v>
      </c>
      <c r="O1734">
        <v>8202</v>
      </c>
      <c r="P1734">
        <v>1</v>
      </c>
    </row>
    <row r="1735" spans="1:16" x14ac:dyDescent="0.2">
      <c r="A1735" s="3" t="s">
        <v>49</v>
      </c>
      <c r="B1735" s="3" t="s">
        <v>50</v>
      </c>
      <c r="C1735">
        <v>11</v>
      </c>
      <c r="D1735">
        <v>16000</v>
      </c>
      <c r="E1735">
        <v>499</v>
      </c>
      <c r="F1735">
        <v>1</v>
      </c>
      <c r="G1735">
        <v>16000</v>
      </c>
      <c r="H1735">
        <v>2.9055500000000001E-4</v>
      </c>
      <c r="I1735">
        <v>2935</v>
      </c>
      <c r="J1735">
        <v>2907</v>
      </c>
      <c r="K1735">
        <v>28</v>
      </c>
      <c r="L1735">
        <v>500</v>
      </c>
      <c r="M1735">
        <v>499</v>
      </c>
      <c r="N1735">
        <v>1</v>
      </c>
      <c r="O1735">
        <v>13065</v>
      </c>
      <c r="P1735">
        <v>1</v>
      </c>
    </row>
    <row r="1736" spans="1:16" x14ac:dyDescent="0.2">
      <c r="A1736" s="3" t="s">
        <v>49</v>
      </c>
      <c r="B1736" s="3" t="s">
        <v>50</v>
      </c>
      <c r="C1736">
        <v>45</v>
      </c>
      <c r="D1736">
        <v>13000</v>
      </c>
      <c r="E1736">
        <v>499</v>
      </c>
      <c r="F1736">
        <v>1</v>
      </c>
      <c r="G1736">
        <v>13000</v>
      </c>
      <c r="H1736">
        <v>2.9000500000000003E-4</v>
      </c>
      <c r="I1736">
        <v>2849</v>
      </c>
      <c r="J1736">
        <v>2813</v>
      </c>
      <c r="K1736">
        <v>36</v>
      </c>
      <c r="L1736">
        <v>500</v>
      </c>
      <c r="M1736">
        <v>499</v>
      </c>
      <c r="N1736">
        <v>1</v>
      </c>
      <c r="O1736">
        <v>10151</v>
      </c>
      <c r="P1736">
        <v>1</v>
      </c>
    </row>
    <row r="1737" spans="1:16" x14ac:dyDescent="0.2">
      <c r="A1737" s="3" t="s">
        <v>49</v>
      </c>
      <c r="B1737" s="3" t="s">
        <v>50</v>
      </c>
      <c r="C1737">
        <v>35</v>
      </c>
      <c r="D1737">
        <v>15000</v>
      </c>
      <c r="E1737">
        <v>499</v>
      </c>
      <c r="F1737">
        <v>1</v>
      </c>
      <c r="G1737">
        <v>60572.237308582698</v>
      </c>
      <c r="H1737">
        <v>2.8998700000000001E-4</v>
      </c>
      <c r="I1737">
        <v>2862</v>
      </c>
      <c r="J1737">
        <v>2834</v>
      </c>
      <c r="K1737">
        <v>28</v>
      </c>
      <c r="L1737">
        <v>500</v>
      </c>
      <c r="M1737">
        <v>499</v>
      </c>
      <c r="N1737">
        <v>1</v>
      </c>
      <c r="O1737">
        <v>50307.6920763577</v>
      </c>
      <c r="P1737">
        <v>0</v>
      </c>
    </row>
    <row r="1738" spans="1:16" x14ac:dyDescent="0.2">
      <c r="A1738" s="3" t="s">
        <v>49</v>
      </c>
      <c r="B1738" s="3" t="s">
        <v>50</v>
      </c>
      <c r="C1738">
        <v>43</v>
      </c>
      <c r="D1738">
        <v>15000</v>
      </c>
      <c r="E1738">
        <v>499</v>
      </c>
      <c r="F1738">
        <v>1</v>
      </c>
      <c r="G1738">
        <v>15000</v>
      </c>
      <c r="H1738">
        <v>2.8980299999999999E-4</v>
      </c>
      <c r="I1738">
        <v>2906</v>
      </c>
      <c r="J1738">
        <v>2876</v>
      </c>
      <c r="K1738">
        <v>30</v>
      </c>
      <c r="L1738">
        <v>500</v>
      </c>
      <c r="M1738">
        <v>499</v>
      </c>
      <c r="N1738">
        <v>1</v>
      </c>
      <c r="O1738">
        <v>12094</v>
      </c>
      <c r="P1738">
        <v>1</v>
      </c>
    </row>
    <row r="1739" spans="1:16" x14ac:dyDescent="0.2">
      <c r="A1739" s="3" t="s">
        <v>49</v>
      </c>
      <c r="B1739" s="3" t="s">
        <v>50</v>
      </c>
      <c r="C1739">
        <v>24</v>
      </c>
      <c r="D1739">
        <v>15000</v>
      </c>
      <c r="E1739">
        <v>499</v>
      </c>
      <c r="F1739">
        <v>1</v>
      </c>
      <c r="G1739">
        <v>60572.237308582698</v>
      </c>
      <c r="H1739">
        <v>2.8949999999999999E-4</v>
      </c>
      <c r="I1739">
        <v>2920</v>
      </c>
      <c r="J1739">
        <v>2888</v>
      </c>
      <c r="K1739">
        <v>32</v>
      </c>
      <c r="L1739">
        <v>500</v>
      </c>
      <c r="M1739">
        <v>499</v>
      </c>
      <c r="N1739">
        <v>1</v>
      </c>
      <c r="O1739">
        <v>50088.773044558402</v>
      </c>
      <c r="P1739">
        <v>0</v>
      </c>
    </row>
    <row r="1740" spans="1:16" x14ac:dyDescent="0.2">
      <c r="A1740" s="3" t="s">
        <v>49</v>
      </c>
      <c r="B1740" s="3" t="s">
        <v>50</v>
      </c>
      <c r="C1740">
        <v>28</v>
      </c>
      <c r="D1740">
        <v>15000</v>
      </c>
      <c r="E1740">
        <v>499</v>
      </c>
      <c r="F1740">
        <v>1</v>
      </c>
      <c r="G1740">
        <v>15000</v>
      </c>
      <c r="H1740">
        <v>2.8938999999999999E-4</v>
      </c>
      <c r="I1740">
        <v>2897</v>
      </c>
      <c r="J1740">
        <v>2871</v>
      </c>
      <c r="K1740">
        <v>26</v>
      </c>
      <c r="L1740">
        <v>500</v>
      </c>
      <c r="M1740">
        <v>499</v>
      </c>
      <c r="N1740">
        <v>1</v>
      </c>
      <c r="O1740">
        <v>12103</v>
      </c>
      <c r="P1740">
        <v>1</v>
      </c>
    </row>
    <row r="1741" spans="1:16" x14ac:dyDescent="0.2">
      <c r="A1741" s="3" t="s">
        <v>49</v>
      </c>
      <c r="B1741" s="3" t="s">
        <v>50</v>
      </c>
      <c r="C1741">
        <v>44</v>
      </c>
      <c r="D1741">
        <v>14000</v>
      </c>
      <c r="E1741">
        <v>499</v>
      </c>
      <c r="F1741">
        <v>1</v>
      </c>
      <c r="G1741">
        <v>58565.0323707059</v>
      </c>
      <c r="H1741">
        <v>2.8928999999999999E-4</v>
      </c>
      <c r="I1741">
        <v>2870</v>
      </c>
      <c r="J1741">
        <v>2841</v>
      </c>
      <c r="K1741">
        <v>29</v>
      </c>
      <c r="L1741">
        <v>500</v>
      </c>
      <c r="M1741">
        <v>499</v>
      </c>
      <c r="N1741">
        <v>1</v>
      </c>
      <c r="O1741">
        <v>48274.860646255402</v>
      </c>
      <c r="P1741">
        <v>0</v>
      </c>
    </row>
    <row r="1742" spans="1:16" x14ac:dyDescent="0.2">
      <c r="A1742" s="3" t="s">
        <v>49</v>
      </c>
      <c r="B1742" s="3" t="s">
        <v>50</v>
      </c>
      <c r="C1742">
        <v>27</v>
      </c>
      <c r="D1742">
        <v>15000</v>
      </c>
      <c r="E1742">
        <v>499</v>
      </c>
      <c r="F1742">
        <v>1</v>
      </c>
      <c r="G1742">
        <v>15000</v>
      </c>
      <c r="H1742">
        <v>2.89153E-4</v>
      </c>
      <c r="I1742">
        <v>2930</v>
      </c>
      <c r="J1742">
        <v>2908</v>
      </c>
      <c r="K1742">
        <v>22</v>
      </c>
      <c r="L1742">
        <v>500</v>
      </c>
      <c r="M1742">
        <v>499</v>
      </c>
      <c r="N1742">
        <v>1</v>
      </c>
      <c r="O1742">
        <v>12070</v>
      </c>
      <c r="P1742">
        <v>1</v>
      </c>
    </row>
    <row r="1743" spans="1:16" x14ac:dyDescent="0.2">
      <c r="A1743" s="3" t="s">
        <v>49</v>
      </c>
      <c r="B1743" s="3" t="s">
        <v>50</v>
      </c>
      <c r="C1743">
        <v>6</v>
      </c>
      <c r="D1743">
        <v>15000</v>
      </c>
      <c r="E1743">
        <v>499</v>
      </c>
      <c r="F1743">
        <v>1</v>
      </c>
      <c r="G1743">
        <v>60572.237308582698</v>
      </c>
      <c r="H1743">
        <v>2.8908900000000002E-4</v>
      </c>
      <c r="I1743">
        <v>2878</v>
      </c>
      <c r="J1743">
        <v>2853</v>
      </c>
      <c r="K1743">
        <v>25</v>
      </c>
      <c r="L1743">
        <v>500</v>
      </c>
      <c r="M1743">
        <v>499</v>
      </c>
      <c r="N1743">
        <v>1</v>
      </c>
      <c r="O1743">
        <v>50262.285102361602</v>
      </c>
      <c r="P1743">
        <v>0</v>
      </c>
    </row>
    <row r="1744" spans="1:16" x14ac:dyDescent="0.2">
      <c r="A1744" s="3" t="s">
        <v>49</v>
      </c>
      <c r="B1744" s="3" t="s">
        <v>50</v>
      </c>
      <c r="C1744">
        <v>32</v>
      </c>
      <c r="D1744">
        <v>15000</v>
      </c>
      <c r="E1744">
        <v>499</v>
      </c>
      <c r="F1744">
        <v>1</v>
      </c>
      <c r="G1744">
        <v>60572.237308582698</v>
      </c>
      <c r="H1744">
        <v>2.8896899999999998E-4</v>
      </c>
      <c r="I1744">
        <v>2878</v>
      </c>
      <c r="J1744">
        <v>2856</v>
      </c>
      <c r="K1744">
        <v>22</v>
      </c>
      <c r="L1744">
        <v>500</v>
      </c>
      <c r="M1744">
        <v>499</v>
      </c>
      <c r="N1744">
        <v>1</v>
      </c>
      <c r="O1744">
        <v>50355.386736191002</v>
      </c>
      <c r="P1744">
        <v>0</v>
      </c>
    </row>
    <row r="1745" spans="1:16" x14ac:dyDescent="0.2">
      <c r="A1745" s="3" t="s">
        <v>49</v>
      </c>
      <c r="B1745" s="3" t="s">
        <v>50</v>
      </c>
      <c r="C1745">
        <v>4</v>
      </c>
      <c r="D1745">
        <v>15000</v>
      </c>
      <c r="E1745">
        <v>499</v>
      </c>
      <c r="F1745">
        <v>1</v>
      </c>
      <c r="G1745">
        <v>60572.237308582698</v>
      </c>
      <c r="H1745">
        <v>2.8886800000000001E-4</v>
      </c>
      <c r="I1745">
        <v>2917</v>
      </c>
      <c r="J1745">
        <v>2872</v>
      </c>
      <c r="K1745">
        <v>45</v>
      </c>
      <c r="L1745">
        <v>500</v>
      </c>
      <c r="M1745">
        <v>499</v>
      </c>
      <c r="N1745">
        <v>1</v>
      </c>
      <c r="O1745">
        <v>50209.467051092601</v>
      </c>
      <c r="P1745">
        <v>0</v>
      </c>
    </row>
    <row r="1746" spans="1:16" x14ac:dyDescent="0.2">
      <c r="A1746" s="3" t="s">
        <v>49</v>
      </c>
      <c r="B1746" s="3" t="s">
        <v>50</v>
      </c>
      <c r="C1746">
        <v>9</v>
      </c>
      <c r="D1746">
        <v>15000</v>
      </c>
      <c r="E1746">
        <v>499</v>
      </c>
      <c r="F1746">
        <v>1</v>
      </c>
      <c r="G1746">
        <v>60572.237308582698</v>
      </c>
      <c r="H1746">
        <v>2.8880399999999998E-4</v>
      </c>
      <c r="I1746">
        <v>2878</v>
      </c>
      <c r="J1746">
        <v>2847</v>
      </c>
      <c r="K1746">
        <v>31</v>
      </c>
      <c r="L1746">
        <v>500</v>
      </c>
      <c r="M1746">
        <v>499</v>
      </c>
      <c r="N1746">
        <v>1</v>
      </c>
      <c r="O1746">
        <v>50358.807700659498</v>
      </c>
      <c r="P1746">
        <v>0</v>
      </c>
    </row>
    <row r="1747" spans="1:16" x14ac:dyDescent="0.2">
      <c r="A1747" s="3" t="s">
        <v>49</v>
      </c>
      <c r="B1747" s="3" t="s">
        <v>50</v>
      </c>
      <c r="C1747">
        <v>47</v>
      </c>
      <c r="D1747">
        <v>15000</v>
      </c>
      <c r="E1747">
        <v>499</v>
      </c>
      <c r="F1747">
        <v>1</v>
      </c>
      <c r="G1747">
        <v>15000</v>
      </c>
      <c r="H1747">
        <v>2.8875E-4</v>
      </c>
      <c r="I1747">
        <v>2892</v>
      </c>
      <c r="J1747">
        <v>2861</v>
      </c>
      <c r="K1747">
        <v>31</v>
      </c>
      <c r="L1747">
        <v>500</v>
      </c>
      <c r="M1747">
        <v>499</v>
      </c>
      <c r="N1747">
        <v>1</v>
      </c>
      <c r="O1747">
        <v>12108</v>
      </c>
      <c r="P1747">
        <v>1</v>
      </c>
    </row>
    <row r="1748" spans="1:16" x14ac:dyDescent="0.2">
      <c r="A1748" s="3" t="s">
        <v>49</v>
      </c>
      <c r="B1748" s="3" t="s">
        <v>50</v>
      </c>
      <c r="C1748">
        <v>28</v>
      </c>
      <c r="D1748">
        <v>10000</v>
      </c>
      <c r="E1748">
        <v>499</v>
      </c>
      <c r="F1748">
        <v>1</v>
      </c>
      <c r="G1748">
        <v>39482.677260513999</v>
      </c>
      <c r="H1748">
        <v>2.88602E-4</v>
      </c>
      <c r="I1748">
        <v>2718</v>
      </c>
      <c r="J1748">
        <v>2699</v>
      </c>
      <c r="K1748">
        <v>19</v>
      </c>
      <c r="L1748">
        <v>500</v>
      </c>
      <c r="M1748">
        <v>499</v>
      </c>
      <c r="N1748">
        <v>1</v>
      </c>
      <c r="O1748">
        <v>29791.567520020701</v>
      </c>
      <c r="P1748">
        <v>0</v>
      </c>
    </row>
    <row r="1749" spans="1:16" x14ac:dyDescent="0.2">
      <c r="A1749" s="3" t="s">
        <v>49</v>
      </c>
      <c r="B1749" s="3" t="s">
        <v>50</v>
      </c>
      <c r="C1749">
        <v>42</v>
      </c>
      <c r="D1749">
        <v>15000</v>
      </c>
      <c r="E1749">
        <v>499</v>
      </c>
      <c r="F1749">
        <v>1</v>
      </c>
      <c r="G1749">
        <v>15000</v>
      </c>
      <c r="H1749">
        <v>2.8846500000000001E-4</v>
      </c>
      <c r="I1749">
        <v>2885</v>
      </c>
      <c r="J1749">
        <v>2848</v>
      </c>
      <c r="K1749">
        <v>37</v>
      </c>
      <c r="L1749">
        <v>500</v>
      </c>
      <c r="M1749">
        <v>499</v>
      </c>
      <c r="N1749">
        <v>1</v>
      </c>
      <c r="O1749">
        <v>12115</v>
      </c>
      <c r="P1749">
        <v>1</v>
      </c>
    </row>
    <row r="1750" spans="1:16" x14ac:dyDescent="0.2">
      <c r="A1750" s="3" t="s">
        <v>49</v>
      </c>
      <c r="B1750" s="3" t="s">
        <v>50</v>
      </c>
      <c r="C1750">
        <v>18</v>
      </c>
      <c r="D1750">
        <v>12000</v>
      </c>
      <c r="E1750">
        <v>499</v>
      </c>
      <c r="F1750">
        <v>1</v>
      </c>
      <c r="G1750">
        <v>50533.323552418398</v>
      </c>
      <c r="H1750">
        <v>2.8838300000000002E-4</v>
      </c>
      <c r="I1750">
        <v>2801</v>
      </c>
      <c r="J1750">
        <v>2773</v>
      </c>
      <c r="K1750">
        <v>28</v>
      </c>
      <c r="L1750">
        <v>500</v>
      </c>
      <c r="M1750">
        <v>499</v>
      </c>
      <c r="N1750">
        <v>1</v>
      </c>
      <c r="O1750">
        <v>39873.570593384196</v>
      </c>
      <c r="P1750">
        <v>0</v>
      </c>
    </row>
    <row r="1751" spans="1:16" x14ac:dyDescent="0.2">
      <c r="A1751" s="3" t="s">
        <v>49</v>
      </c>
      <c r="B1751" s="3" t="s">
        <v>50</v>
      </c>
      <c r="C1751">
        <v>14</v>
      </c>
      <c r="D1751">
        <v>13000</v>
      </c>
      <c r="E1751">
        <v>499</v>
      </c>
      <c r="F1751">
        <v>1</v>
      </c>
      <c r="G1751">
        <v>13000</v>
      </c>
      <c r="H1751">
        <v>2.8834599999999998E-4</v>
      </c>
      <c r="I1751">
        <v>2839</v>
      </c>
      <c r="J1751">
        <v>2809</v>
      </c>
      <c r="K1751">
        <v>30</v>
      </c>
      <c r="L1751">
        <v>500</v>
      </c>
      <c r="M1751">
        <v>499</v>
      </c>
      <c r="N1751">
        <v>1</v>
      </c>
      <c r="O1751">
        <v>10161</v>
      </c>
      <c r="P1751">
        <v>1</v>
      </c>
    </row>
    <row r="1752" spans="1:16" x14ac:dyDescent="0.2">
      <c r="A1752" s="3" t="s">
        <v>49</v>
      </c>
      <c r="B1752" s="3" t="s">
        <v>50</v>
      </c>
      <c r="C1752">
        <v>47</v>
      </c>
      <c r="D1752">
        <v>14000</v>
      </c>
      <c r="E1752">
        <v>499</v>
      </c>
      <c r="F1752">
        <v>1</v>
      </c>
      <c r="G1752">
        <v>14000</v>
      </c>
      <c r="H1752">
        <v>2.8827200000000001E-4</v>
      </c>
      <c r="I1752">
        <v>2841</v>
      </c>
      <c r="J1752">
        <v>2810</v>
      </c>
      <c r="K1752">
        <v>31</v>
      </c>
      <c r="L1752">
        <v>500</v>
      </c>
      <c r="M1752">
        <v>499</v>
      </c>
      <c r="N1752">
        <v>1</v>
      </c>
      <c r="O1752">
        <v>11159</v>
      </c>
      <c r="P1752">
        <v>1</v>
      </c>
    </row>
    <row r="1753" spans="1:16" x14ac:dyDescent="0.2">
      <c r="A1753" s="3" t="s">
        <v>49</v>
      </c>
      <c r="B1753" s="3" t="s">
        <v>50</v>
      </c>
      <c r="C1753">
        <v>14</v>
      </c>
      <c r="D1753">
        <v>15000</v>
      </c>
      <c r="E1753">
        <v>499</v>
      </c>
      <c r="F1753">
        <v>1</v>
      </c>
      <c r="G1753">
        <v>60572.237308582698</v>
      </c>
      <c r="H1753">
        <v>2.8812599999999999E-4</v>
      </c>
      <c r="I1753">
        <v>2913</v>
      </c>
      <c r="J1753">
        <v>2876</v>
      </c>
      <c r="K1753">
        <v>37</v>
      </c>
      <c r="L1753">
        <v>500</v>
      </c>
      <c r="M1753">
        <v>499</v>
      </c>
      <c r="N1753">
        <v>1</v>
      </c>
      <c r="O1753">
        <v>50198.278571987299</v>
      </c>
      <c r="P1753">
        <v>0</v>
      </c>
    </row>
    <row r="1754" spans="1:16" x14ac:dyDescent="0.2">
      <c r="A1754" s="3" t="s">
        <v>49</v>
      </c>
      <c r="B1754" s="3" t="s">
        <v>50</v>
      </c>
      <c r="C1754">
        <v>34</v>
      </c>
      <c r="D1754">
        <v>15000</v>
      </c>
      <c r="E1754">
        <v>499</v>
      </c>
      <c r="F1754">
        <v>1</v>
      </c>
      <c r="G1754">
        <v>15000</v>
      </c>
      <c r="H1754">
        <v>2.8809000000000001E-4</v>
      </c>
      <c r="I1754">
        <v>2893</v>
      </c>
      <c r="J1754">
        <v>2862</v>
      </c>
      <c r="K1754">
        <v>31</v>
      </c>
      <c r="L1754">
        <v>500</v>
      </c>
      <c r="M1754">
        <v>499</v>
      </c>
      <c r="N1754">
        <v>1</v>
      </c>
      <c r="O1754">
        <v>12107</v>
      </c>
      <c r="P1754">
        <v>1</v>
      </c>
    </row>
    <row r="1755" spans="1:16" x14ac:dyDescent="0.2">
      <c r="A1755" s="3" t="s">
        <v>49</v>
      </c>
      <c r="B1755" s="3" t="s">
        <v>50</v>
      </c>
      <c r="C1755">
        <v>14</v>
      </c>
      <c r="D1755">
        <v>14000</v>
      </c>
      <c r="E1755">
        <v>499</v>
      </c>
      <c r="F1755">
        <v>1</v>
      </c>
      <c r="G1755">
        <v>14000</v>
      </c>
      <c r="H1755">
        <v>2.8804299999999998E-4</v>
      </c>
      <c r="I1755">
        <v>2860</v>
      </c>
      <c r="J1755">
        <v>2832</v>
      </c>
      <c r="K1755">
        <v>28</v>
      </c>
      <c r="L1755">
        <v>500</v>
      </c>
      <c r="M1755">
        <v>499</v>
      </c>
      <c r="N1755">
        <v>1</v>
      </c>
      <c r="O1755">
        <v>11140</v>
      </c>
      <c r="P1755">
        <v>1</v>
      </c>
    </row>
    <row r="1756" spans="1:16" x14ac:dyDescent="0.2">
      <c r="A1756" s="3" t="s">
        <v>49</v>
      </c>
      <c r="B1756" s="3" t="s">
        <v>50</v>
      </c>
      <c r="C1756">
        <v>26</v>
      </c>
      <c r="D1756">
        <v>15000</v>
      </c>
      <c r="E1756">
        <v>499</v>
      </c>
      <c r="F1756">
        <v>1</v>
      </c>
      <c r="G1756">
        <v>15000</v>
      </c>
      <c r="H1756">
        <v>2.8794200000000002E-4</v>
      </c>
      <c r="I1756">
        <v>2918</v>
      </c>
      <c r="J1756">
        <v>2881</v>
      </c>
      <c r="K1756">
        <v>37</v>
      </c>
      <c r="L1756">
        <v>500</v>
      </c>
      <c r="M1756">
        <v>499</v>
      </c>
      <c r="N1756">
        <v>1</v>
      </c>
      <c r="O1756">
        <v>12082</v>
      </c>
      <c r="P1756">
        <v>1</v>
      </c>
    </row>
    <row r="1757" spans="1:16" x14ac:dyDescent="0.2">
      <c r="A1757" s="3" t="s">
        <v>49</v>
      </c>
      <c r="B1757" s="3" t="s">
        <v>50</v>
      </c>
      <c r="C1757">
        <v>47</v>
      </c>
      <c r="D1757">
        <v>15000</v>
      </c>
      <c r="E1757">
        <v>499</v>
      </c>
      <c r="F1757">
        <v>1</v>
      </c>
      <c r="G1757">
        <v>60572.237308582698</v>
      </c>
      <c r="H1757">
        <v>2.8765799999999999E-4</v>
      </c>
      <c r="I1757">
        <v>2945</v>
      </c>
      <c r="J1757">
        <v>2913</v>
      </c>
      <c r="K1757">
        <v>32</v>
      </c>
      <c r="L1757">
        <v>500</v>
      </c>
      <c r="M1757">
        <v>499</v>
      </c>
      <c r="N1757">
        <v>1</v>
      </c>
      <c r="O1757">
        <v>50122.388375964001</v>
      </c>
      <c r="P1757">
        <v>0</v>
      </c>
    </row>
    <row r="1758" spans="1:16" x14ac:dyDescent="0.2">
      <c r="A1758" s="3" t="s">
        <v>49</v>
      </c>
      <c r="B1758" s="3" t="s">
        <v>50</v>
      </c>
      <c r="C1758">
        <v>39</v>
      </c>
      <c r="D1758">
        <v>15000</v>
      </c>
      <c r="E1758">
        <v>499</v>
      </c>
      <c r="F1758">
        <v>1</v>
      </c>
      <c r="G1758">
        <v>15000</v>
      </c>
      <c r="H1758">
        <v>2.8765799999999999E-4</v>
      </c>
      <c r="I1758">
        <v>2896</v>
      </c>
      <c r="J1758">
        <v>2869</v>
      </c>
      <c r="K1758">
        <v>27</v>
      </c>
      <c r="L1758">
        <v>500</v>
      </c>
      <c r="M1758">
        <v>499</v>
      </c>
      <c r="N1758">
        <v>1</v>
      </c>
      <c r="O1758">
        <v>12104</v>
      </c>
      <c r="P1758">
        <v>1</v>
      </c>
    </row>
    <row r="1759" spans="1:16" x14ac:dyDescent="0.2">
      <c r="A1759" s="3" t="s">
        <v>49</v>
      </c>
      <c r="B1759" s="3" t="s">
        <v>50</v>
      </c>
      <c r="C1759">
        <v>18</v>
      </c>
      <c r="D1759">
        <v>14000</v>
      </c>
      <c r="E1759">
        <v>499</v>
      </c>
      <c r="F1759">
        <v>1</v>
      </c>
      <c r="G1759">
        <v>58565.0323707059</v>
      </c>
      <c r="H1759">
        <v>2.87621E-4</v>
      </c>
      <c r="I1759">
        <v>2844</v>
      </c>
      <c r="J1759">
        <v>2813</v>
      </c>
      <c r="K1759">
        <v>31</v>
      </c>
      <c r="L1759">
        <v>500</v>
      </c>
      <c r="M1759">
        <v>499</v>
      </c>
      <c r="N1759">
        <v>1</v>
      </c>
      <c r="O1759">
        <v>48288.320741838601</v>
      </c>
      <c r="P1759">
        <v>0</v>
      </c>
    </row>
    <row r="1760" spans="1:16" x14ac:dyDescent="0.2">
      <c r="A1760" s="3" t="s">
        <v>49</v>
      </c>
      <c r="B1760" s="3" t="s">
        <v>50</v>
      </c>
      <c r="C1760">
        <v>8</v>
      </c>
      <c r="D1760">
        <v>15000</v>
      </c>
      <c r="E1760">
        <v>499</v>
      </c>
      <c r="F1760">
        <v>1</v>
      </c>
      <c r="G1760">
        <v>60572.237308582698</v>
      </c>
      <c r="H1760">
        <v>2.8754799999999999E-4</v>
      </c>
      <c r="I1760">
        <v>2879</v>
      </c>
      <c r="J1760">
        <v>2848</v>
      </c>
      <c r="K1760">
        <v>31</v>
      </c>
      <c r="L1760">
        <v>500</v>
      </c>
      <c r="M1760">
        <v>499</v>
      </c>
      <c r="N1760">
        <v>1</v>
      </c>
      <c r="O1760">
        <v>50315.9174473315</v>
      </c>
      <c r="P1760">
        <v>0</v>
      </c>
    </row>
    <row r="1761" spans="1:16" x14ac:dyDescent="0.2">
      <c r="A1761" s="3" t="s">
        <v>49</v>
      </c>
      <c r="B1761" s="3" t="s">
        <v>50</v>
      </c>
      <c r="C1761">
        <v>29</v>
      </c>
      <c r="D1761">
        <v>15000</v>
      </c>
      <c r="E1761">
        <v>499</v>
      </c>
      <c r="F1761">
        <v>1</v>
      </c>
      <c r="G1761">
        <v>15000</v>
      </c>
      <c r="H1761">
        <v>2.8751999999999998E-4</v>
      </c>
      <c r="I1761">
        <v>2883</v>
      </c>
      <c r="J1761">
        <v>2856</v>
      </c>
      <c r="K1761">
        <v>27</v>
      </c>
      <c r="L1761">
        <v>500</v>
      </c>
      <c r="M1761">
        <v>499</v>
      </c>
      <c r="N1761">
        <v>1</v>
      </c>
      <c r="O1761">
        <v>12117</v>
      </c>
      <c r="P1761">
        <v>1</v>
      </c>
    </row>
    <row r="1762" spans="1:16" x14ac:dyDescent="0.2">
      <c r="A1762" s="3" t="s">
        <v>49</v>
      </c>
      <c r="B1762" s="3" t="s">
        <v>50</v>
      </c>
      <c r="C1762">
        <v>3</v>
      </c>
      <c r="D1762">
        <v>15000</v>
      </c>
      <c r="E1762">
        <v>499</v>
      </c>
      <c r="F1762">
        <v>1</v>
      </c>
      <c r="G1762">
        <v>60572.237308582698</v>
      </c>
      <c r="H1762">
        <v>2.8747499999999998E-4</v>
      </c>
      <c r="I1762">
        <v>2836</v>
      </c>
      <c r="J1762">
        <v>2812</v>
      </c>
      <c r="K1762">
        <v>24</v>
      </c>
      <c r="L1762">
        <v>500</v>
      </c>
      <c r="M1762">
        <v>499</v>
      </c>
      <c r="N1762">
        <v>1</v>
      </c>
      <c r="O1762">
        <v>50400.230277263901</v>
      </c>
      <c r="P1762">
        <v>0</v>
      </c>
    </row>
    <row r="1763" spans="1:16" x14ac:dyDescent="0.2">
      <c r="A1763" s="3" t="s">
        <v>49</v>
      </c>
      <c r="B1763" s="3" t="s">
        <v>50</v>
      </c>
      <c r="C1763">
        <v>38</v>
      </c>
      <c r="D1763">
        <v>14000</v>
      </c>
      <c r="E1763">
        <v>499</v>
      </c>
      <c r="F1763">
        <v>1</v>
      </c>
      <c r="G1763">
        <v>14000</v>
      </c>
      <c r="H1763">
        <v>2.8729999999999999E-4</v>
      </c>
      <c r="I1763">
        <v>2853</v>
      </c>
      <c r="J1763">
        <v>2819</v>
      </c>
      <c r="K1763">
        <v>34</v>
      </c>
      <c r="L1763">
        <v>500</v>
      </c>
      <c r="M1763">
        <v>499</v>
      </c>
      <c r="N1763">
        <v>1</v>
      </c>
      <c r="O1763">
        <v>11147</v>
      </c>
      <c r="P1763">
        <v>1</v>
      </c>
    </row>
    <row r="1764" spans="1:16" x14ac:dyDescent="0.2">
      <c r="A1764" s="3" t="s">
        <v>49</v>
      </c>
      <c r="B1764" s="3" t="s">
        <v>50</v>
      </c>
      <c r="C1764">
        <v>21</v>
      </c>
      <c r="D1764">
        <v>15000</v>
      </c>
      <c r="E1764">
        <v>499</v>
      </c>
      <c r="F1764">
        <v>1</v>
      </c>
      <c r="G1764">
        <v>60572.237308582698</v>
      </c>
      <c r="H1764">
        <v>2.8727400000000001E-4</v>
      </c>
      <c r="I1764">
        <v>2902</v>
      </c>
      <c r="J1764">
        <v>2869</v>
      </c>
      <c r="K1764">
        <v>33</v>
      </c>
      <c r="L1764">
        <v>500</v>
      </c>
      <c r="M1764">
        <v>499</v>
      </c>
      <c r="N1764">
        <v>1</v>
      </c>
      <c r="O1764">
        <v>50244.578225135498</v>
      </c>
      <c r="P1764">
        <v>0</v>
      </c>
    </row>
    <row r="1765" spans="1:16" x14ac:dyDescent="0.2">
      <c r="A1765" s="3" t="s">
        <v>49</v>
      </c>
      <c r="B1765" s="3" t="s">
        <v>50</v>
      </c>
      <c r="C1765">
        <v>3</v>
      </c>
      <c r="D1765">
        <v>15000</v>
      </c>
      <c r="E1765">
        <v>499</v>
      </c>
      <c r="F1765">
        <v>1</v>
      </c>
      <c r="G1765">
        <v>15000</v>
      </c>
      <c r="H1765">
        <v>2.8707100000000002E-4</v>
      </c>
      <c r="I1765">
        <v>2918</v>
      </c>
      <c r="J1765">
        <v>2888</v>
      </c>
      <c r="K1765">
        <v>30</v>
      </c>
      <c r="L1765">
        <v>500</v>
      </c>
      <c r="M1765">
        <v>499</v>
      </c>
      <c r="N1765">
        <v>1</v>
      </c>
      <c r="O1765">
        <v>12082</v>
      </c>
      <c r="P1765">
        <v>1</v>
      </c>
    </row>
    <row r="1766" spans="1:16" x14ac:dyDescent="0.2">
      <c r="A1766" s="3" t="s">
        <v>49</v>
      </c>
      <c r="B1766" s="3" t="s">
        <v>50</v>
      </c>
      <c r="C1766">
        <v>29</v>
      </c>
      <c r="D1766">
        <v>15000</v>
      </c>
      <c r="E1766">
        <v>499</v>
      </c>
      <c r="F1766">
        <v>1</v>
      </c>
      <c r="G1766">
        <v>60572.237308582698</v>
      </c>
      <c r="H1766">
        <v>2.8690600000000002E-4</v>
      </c>
      <c r="I1766">
        <v>2877</v>
      </c>
      <c r="J1766">
        <v>2840</v>
      </c>
      <c r="K1766">
        <v>37</v>
      </c>
      <c r="L1766">
        <v>500</v>
      </c>
      <c r="M1766">
        <v>499</v>
      </c>
      <c r="N1766">
        <v>1</v>
      </c>
      <c r="O1766">
        <v>50280.564601839302</v>
      </c>
      <c r="P1766">
        <v>0</v>
      </c>
    </row>
    <row r="1767" spans="1:16" x14ac:dyDescent="0.2">
      <c r="A1767" s="3" t="s">
        <v>49</v>
      </c>
      <c r="B1767" s="3" t="s">
        <v>50</v>
      </c>
      <c r="C1767">
        <v>15</v>
      </c>
      <c r="D1767">
        <v>14000</v>
      </c>
      <c r="E1767">
        <v>499</v>
      </c>
      <c r="F1767">
        <v>1</v>
      </c>
      <c r="G1767">
        <v>58565.0323707059</v>
      </c>
      <c r="H1767">
        <v>2.8687E-4</v>
      </c>
      <c r="I1767">
        <v>2840</v>
      </c>
      <c r="J1767">
        <v>2810</v>
      </c>
      <c r="K1767">
        <v>30</v>
      </c>
      <c r="L1767">
        <v>500</v>
      </c>
      <c r="M1767">
        <v>499</v>
      </c>
      <c r="N1767">
        <v>1</v>
      </c>
      <c r="O1767">
        <v>48299.813211162698</v>
      </c>
      <c r="P1767">
        <v>0</v>
      </c>
    </row>
    <row r="1768" spans="1:16" x14ac:dyDescent="0.2">
      <c r="A1768" s="3" t="s">
        <v>49</v>
      </c>
      <c r="B1768" s="3" t="s">
        <v>50</v>
      </c>
      <c r="C1768">
        <v>7</v>
      </c>
      <c r="D1768">
        <v>15000</v>
      </c>
      <c r="E1768">
        <v>499</v>
      </c>
      <c r="F1768">
        <v>1</v>
      </c>
      <c r="G1768">
        <v>15000</v>
      </c>
      <c r="H1768">
        <v>2.8677800000000001E-4</v>
      </c>
      <c r="I1768">
        <v>2909</v>
      </c>
      <c r="J1768">
        <v>2881</v>
      </c>
      <c r="K1768">
        <v>28</v>
      </c>
      <c r="L1768">
        <v>500</v>
      </c>
      <c r="M1768">
        <v>499</v>
      </c>
      <c r="N1768">
        <v>1</v>
      </c>
      <c r="O1768">
        <v>12091</v>
      </c>
      <c r="P1768">
        <v>1</v>
      </c>
    </row>
    <row r="1769" spans="1:16" x14ac:dyDescent="0.2">
      <c r="A1769" s="3" t="s">
        <v>49</v>
      </c>
      <c r="B1769" s="3" t="s">
        <v>50</v>
      </c>
      <c r="C1769">
        <v>19</v>
      </c>
      <c r="D1769">
        <v>14000</v>
      </c>
      <c r="E1769">
        <v>499</v>
      </c>
      <c r="F1769">
        <v>1</v>
      </c>
      <c r="G1769">
        <v>14000</v>
      </c>
      <c r="H1769">
        <v>2.8675899999999998E-4</v>
      </c>
      <c r="I1769">
        <v>2849</v>
      </c>
      <c r="J1769">
        <v>2821</v>
      </c>
      <c r="K1769">
        <v>28</v>
      </c>
      <c r="L1769">
        <v>500</v>
      </c>
      <c r="M1769">
        <v>499</v>
      </c>
      <c r="N1769">
        <v>1</v>
      </c>
      <c r="O1769">
        <v>11151</v>
      </c>
      <c r="P1769">
        <v>1</v>
      </c>
    </row>
    <row r="1770" spans="1:16" x14ac:dyDescent="0.2">
      <c r="A1770" s="3" t="s">
        <v>49</v>
      </c>
      <c r="B1770" s="3" t="s">
        <v>50</v>
      </c>
      <c r="C1770">
        <v>5</v>
      </c>
      <c r="D1770">
        <v>15000</v>
      </c>
      <c r="E1770">
        <v>499</v>
      </c>
      <c r="F1770">
        <v>1</v>
      </c>
      <c r="G1770">
        <v>60572.237308582698</v>
      </c>
      <c r="H1770">
        <v>2.8666800000000001E-4</v>
      </c>
      <c r="I1770">
        <v>2888</v>
      </c>
      <c r="J1770">
        <v>2858</v>
      </c>
      <c r="K1770">
        <v>30</v>
      </c>
      <c r="L1770">
        <v>500</v>
      </c>
      <c r="M1770">
        <v>499</v>
      </c>
      <c r="N1770">
        <v>1</v>
      </c>
      <c r="O1770">
        <v>50344.951587116098</v>
      </c>
      <c r="P1770">
        <v>0</v>
      </c>
    </row>
    <row r="1771" spans="1:16" x14ac:dyDescent="0.2">
      <c r="A1771" s="3" t="s">
        <v>49</v>
      </c>
      <c r="B1771" s="3" t="s">
        <v>50</v>
      </c>
      <c r="C1771">
        <v>45</v>
      </c>
      <c r="D1771">
        <v>15000</v>
      </c>
      <c r="E1771">
        <v>499</v>
      </c>
      <c r="F1771">
        <v>1</v>
      </c>
      <c r="G1771">
        <v>60572.237308582698</v>
      </c>
      <c r="H1771">
        <v>2.8658600000000002E-4</v>
      </c>
      <c r="I1771">
        <v>2879</v>
      </c>
      <c r="J1771">
        <v>2851</v>
      </c>
      <c r="K1771">
        <v>28</v>
      </c>
      <c r="L1771">
        <v>500</v>
      </c>
      <c r="M1771">
        <v>499</v>
      </c>
      <c r="N1771">
        <v>1</v>
      </c>
      <c r="O1771">
        <v>50287.318380957098</v>
      </c>
      <c r="P1771">
        <v>0</v>
      </c>
    </row>
    <row r="1772" spans="1:16" x14ac:dyDescent="0.2">
      <c r="A1772" s="3" t="s">
        <v>49</v>
      </c>
      <c r="B1772" s="3" t="s">
        <v>50</v>
      </c>
      <c r="C1772">
        <v>2</v>
      </c>
      <c r="D1772">
        <v>14000</v>
      </c>
      <c r="E1772">
        <v>499</v>
      </c>
      <c r="F1772">
        <v>1</v>
      </c>
      <c r="G1772">
        <v>58565.0323707059</v>
      </c>
      <c r="H1772">
        <v>2.8653000000000001E-4</v>
      </c>
      <c r="I1772">
        <v>2841</v>
      </c>
      <c r="J1772">
        <v>2815</v>
      </c>
      <c r="K1772">
        <v>26</v>
      </c>
      <c r="L1772">
        <v>500</v>
      </c>
      <c r="M1772">
        <v>499</v>
      </c>
      <c r="N1772">
        <v>1</v>
      </c>
      <c r="O1772">
        <v>48315.743492644302</v>
      </c>
      <c r="P1772">
        <v>0</v>
      </c>
    </row>
    <row r="1773" spans="1:16" x14ac:dyDescent="0.2">
      <c r="A1773" s="3" t="s">
        <v>49</v>
      </c>
      <c r="B1773" s="3" t="s">
        <v>50</v>
      </c>
      <c r="C1773">
        <v>27</v>
      </c>
      <c r="D1773">
        <v>15000</v>
      </c>
      <c r="E1773">
        <v>499</v>
      </c>
      <c r="F1773">
        <v>1</v>
      </c>
      <c r="G1773">
        <v>60572.237308582698</v>
      </c>
      <c r="H1773">
        <v>2.8643000000000001E-4</v>
      </c>
      <c r="I1773">
        <v>2900</v>
      </c>
      <c r="J1773">
        <v>2862</v>
      </c>
      <c r="K1773">
        <v>38</v>
      </c>
      <c r="L1773">
        <v>500</v>
      </c>
      <c r="M1773">
        <v>499</v>
      </c>
      <c r="N1773">
        <v>1</v>
      </c>
      <c r="O1773">
        <v>50222.888861144696</v>
      </c>
      <c r="P1773">
        <v>0</v>
      </c>
    </row>
    <row r="1774" spans="1:16" x14ac:dyDescent="0.2">
      <c r="A1774" s="3" t="s">
        <v>49</v>
      </c>
      <c r="B1774" s="3" t="s">
        <v>50</v>
      </c>
      <c r="C1774">
        <v>48</v>
      </c>
      <c r="D1774">
        <v>15000</v>
      </c>
      <c r="E1774">
        <v>499</v>
      </c>
      <c r="F1774">
        <v>1</v>
      </c>
      <c r="G1774">
        <v>15000</v>
      </c>
      <c r="H1774">
        <v>2.8638399999999999E-4</v>
      </c>
      <c r="I1774">
        <v>2936</v>
      </c>
      <c r="J1774">
        <v>2900</v>
      </c>
      <c r="K1774">
        <v>36</v>
      </c>
      <c r="L1774">
        <v>500</v>
      </c>
      <c r="M1774">
        <v>499</v>
      </c>
      <c r="N1774">
        <v>1</v>
      </c>
      <c r="O1774">
        <v>12064</v>
      </c>
      <c r="P1774">
        <v>1</v>
      </c>
    </row>
    <row r="1775" spans="1:16" x14ac:dyDescent="0.2">
      <c r="A1775" s="3" t="s">
        <v>49</v>
      </c>
      <c r="B1775" s="3" t="s">
        <v>50</v>
      </c>
      <c r="C1775">
        <v>23</v>
      </c>
      <c r="D1775">
        <v>15000</v>
      </c>
      <c r="E1775">
        <v>499</v>
      </c>
      <c r="F1775">
        <v>1</v>
      </c>
      <c r="G1775">
        <v>60572.237308582698</v>
      </c>
      <c r="H1775">
        <v>2.85944E-4</v>
      </c>
      <c r="I1775">
        <v>2888</v>
      </c>
      <c r="J1775">
        <v>2864</v>
      </c>
      <c r="K1775">
        <v>24</v>
      </c>
      <c r="L1775">
        <v>500</v>
      </c>
      <c r="M1775">
        <v>499</v>
      </c>
      <c r="N1775">
        <v>1</v>
      </c>
      <c r="O1775">
        <v>50279.312180929803</v>
      </c>
      <c r="P1775">
        <v>0</v>
      </c>
    </row>
    <row r="1776" spans="1:16" x14ac:dyDescent="0.2">
      <c r="A1776" s="3" t="s">
        <v>49</v>
      </c>
      <c r="B1776" s="3" t="s">
        <v>50</v>
      </c>
      <c r="C1776">
        <v>6</v>
      </c>
      <c r="D1776">
        <v>15000</v>
      </c>
      <c r="E1776">
        <v>499</v>
      </c>
      <c r="F1776">
        <v>1</v>
      </c>
      <c r="G1776">
        <v>15000</v>
      </c>
      <c r="H1776">
        <v>2.8589000000000002E-4</v>
      </c>
      <c r="I1776">
        <v>2903</v>
      </c>
      <c r="J1776">
        <v>2868</v>
      </c>
      <c r="K1776">
        <v>35</v>
      </c>
      <c r="L1776">
        <v>500</v>
      </c>
      <c r="M1776">
        <v>499</v>
      </c>
      <c r="N1776">
        <v>1</v>
      </c>
      <c r="O1776">
        <v>12097</v>
      </c>
      <c r="P1776">
        <v>1</v>
      </c>
    </row>
    <row r="1777" spans="1:16" x14ac:dyDescent="0.2">
      <c r="A1777" s="3" t="s">
        <v>49</v>
      </c>
      <c r="B1777" s="3" t="s">
        <v>50</v>
      </c>
      <c r="C1777">
        <v>7</v>
      </c>
      <c r="D1777">
        <v>15000</v>
      </c>
      <c r="E1777">
        <v>499</v>
      </c>
      <c r="F1777">
        <v>1</v>
      </c>
      <c r="G1777">
        <v>60572.237308582698</v>
      </c>
      <c r="H1777">
        <v>2.8568700000000002E-4</v>
      </c>
      <c r="I1777">
        <v>2910</v>
      </c>
      <c r="J1777">
        <v>2878</v>
      </c>
      <c r="K1777">
        <v>32</v>
      </c>
      <c r="L1777">
        <v>500</v>
      </c>
      <c r="M1777">
        <v>499</v>
      </c>
      <c r="N1777">
        <v>1</v>
      </c>
      <c r="O1777">
        <v>50179.901517664301</v>
      </c>
      <c r="P1777">
        <v>0</v>
      </c>
    </row>
    <row r="1778" spans="1:16" x14ac:dyDescent="0.2">
      <c r="A1778" s="3" t="s">
        <v>49</v>
      </c>
      <c r="B1778" s="3" t="s">
        <v>50</v>
      </c>
      <c r="C1778">
        <v>40</v>
      </c>
      <c r="D1778">
        <v>15000</v>
      </c>
      <c r="E1778">
        <v>499</v>
      </c>
      <c r="F1778">
        <v>1</v>
      </c>
      <c r="G1778">
        <v>15000</v>
      </c>
      <c r="H1778">
        <v>2.85266E-4</v>
      </c>
      <c r="I1778">
        <v>2930</v>
      </c>
      <c r="J1778">
        <v>2893</v>
      </c>
      <c r="K1778">
        <v>37</v>
      </c>
      <c r="L1778">
        <v>500</v>
      </c>
      <c r="M1778">
        <v>499</v>
      </c>
      <c r="N1778">
        <v>1</v>
      </c>
      <c r="O1778">
        <v>12070</v>
      </c>
      <c r="P1778">
        <v>1</v>
      </c>
    </row>
    <row r="1779" spans="1:16" x14ac:dyDescent="0.2">
      <c r="A1779" s="3" t="s">
        <v>49</v>
      </c>
      <c r="B1779" s="3" t="s">
        <v>50</v>
      </c>
      <c r="C1779">
        <v>41</v>
      </c>
      <c r="D1779">
        <v>15000</v>
      </c>
      <c r="E1779">
        <v>499</v>
      </c>
      <c r="F1779">
        <v>1</v>
      </c>
      <c r="G1779">
        <v>15000</v>
      </c>
      <c r="H1779">
        <v>2.8504600000000001E-4</v>
      </c>
      <c r="I1779">
        <v>2867</v>
      </c>
      <c r="J1779">
        <v>2844</v>
      </c>
      <c r="K1779">
        <v>23</v>
      </c>
      <c r="L1779">
        <v>500</v>
      </c>
      <c r="M1779">
        <v>499</v>
      </c>
      <c r="N1779">
        <v>1</v>
      </c>
      <c r="O1779">
        <v>12133</v>
      </c>
      <c r="P1779">
        <v>1</v>
      </c>
    </row>
    <row r="1780" spans="1:16" x14ac:dyDescent="0.2">
      <c r="A1780" s="3" t="s">
        <v>49</v>
      </c>
      <c r="B1780" s="3" t="s">
        <v>50</v>
      </c>
      <c r="C1780">
        <v>44</v>
      </c>
      <c r="D1780">
        <v>15000</v>
      </c>
      <c r="E1780">
        <v>499</v>
      </c>
      <c r="F1780">
        <v>1</v>
      </c>
      <c r="G1780">
        <v>60572.237308582698</v>
      </c>
      <c r="H1780">
        <v>2.84725E-4</v>
      </c>
      <c r="I1780">
        <v>2924</v>
      </c>
      <c r="J1780">
        <v>2892</v>
      </c>
      <c r="K1780">
        <v>32</v>
      </c>
      <c r="L1780">
        <v>500</v>
      </c>
      <c r="M1780">
        <v>499</v>
      </c>
      <c r="N1780">
        <v>1</v>
      </c>
      <c r="O1780">
        <v>50171.006885061499</v>
      </c>
      <c r="P1780">
        <v>0</v>
      </c>
    </row>
    <row r="1781" spans="1:16" x14ac:dyDescent="0.2">
      <c r="A1781" s="3" t="s">
        <v>49</v>
      </c>
      <c r="B1781" s="3" t="s">
        <v>50</v>
      </c>
      <c r="C1781">
        <v>27</v>
      </c>
      <c r="D1781">
        <v>12000</v>
      </c>
      <c r="E1781">
        <v>499</v>
      </c>
      <c r="F1781">
        <v>1</v>
      </c>
      <c r="G1781">
        <v>12000</v>
      </c>
      <c r="H1781">
        <v>2.8460600000000002E-4</v>
      </c>
      <c r="I1781">
        <v>2750</v>
      </c>
      <c r="J1781">
        <v>2729</v>
      </c>
      <c r="K1781">
        <v>21</v>
      </c>
      <c r="L1781">
        <v>500</v>
      </c>
      <c r="M1781">
        <v>499</v>
      </c>
      <c r="N1781">
        <v>1</v>
      </c>
      <c r="O1781">
        <v>9250</v>
      </c>
      <c r="P1781">
        <v>1</v>
      </c>
    </row>
    <row r="1782" spans="1:16" x14ac:dyDescent="0.2">
      <c r="A1782" s="3" t="s">
        <v>49</v>
      </c>
      <c r="B1782" s="3" t="s">
        <v>50</v>
      </c>
      <c r="C1782">
        <v>6</v>
      </c>
      <c r="D1782">
        <v>13000</v>
      </c>
      <c r="E1782">
        <v>499</v>
      </c>
      <c r="F1782">
        <v>1</v>
      </c>
      <c r="G1782">
        <v>53044.701099550097</v>
      </c>
      <c r="H1782">
        <v>2.8456E-4</v>
      </c>
      <c r="I1782">
        <v>2825</v>
      </c>
      <c r="J1782">
        <v>2802</v>
      </c>
      <c r="K1782">
        <v>23</v>
      </c>
      <c r="L1782">
        <v>500</v>
      </c>
      <c r="M1782">
        <v>499</v>
      </c>
      <c r="N1782">
        <v>1</v>
      </c>
      <c r="O1782">
        <v>42623.461436119796</v>
      </c>
      <c r="P1782">
        <v>0</v>
      </c>
    </row>
    <row r="1783" spans="1:16" x14ac:dyDescent="0.2">
      <c r="A1783" s="3" t="s">
        <v>49</v>
      </c>
      <c r="B1783" s="3" t="s">
        <v>50</v>
      </c>
      <c r="C1783">
        <v>36</v>
      </c>
      <c r="D1783">
        <v>14000</v>
      </c>
      <c r="E1783">
        <v>499</v>
      </c>
      <c r="F1783">
        <v>1</v>
      </c>
      <c r="G1783">
        <v>58565.0323707059</v>
      </c>
      <c r="H1783">
        <v>2.8454199999999999E-4</v>
      </c>
      <c r="I1783">
        <v>2828</v>
      </c>
      <c r="J1783">
        <v>2799</v>
      </c>
      <c r="K1783">
        <v>29</v>
      </c>
      <c r="L1783">
        <v>500</v>
      </c>
      <c r="M1783">
        <v>499</v>
      </c>
      <c r="N1783">
        <v>1</v>
      </c>
      <c r="O1783">
        <v>48381.893587297898</v>
      </c>
      <c r="P1783">
        <v>0</v>
      </c>
    </row>
    <row r="1784" spans="1:16" x14ac:dyDescent="0.2">
      <c r="A1784" s="3" t="s">
        <v>49</v>
      </c>
      <c r="B1784" s="3" t="s">
        <v>50</v>
      </c>
      <c r="C1784">
        <v>50</v>
      </c>
      <c r="D1784">
        <v>15000</v>
      </c>
      <c r="E1784">
        <v>499</v>
      </c>
      <c r="F1784">
        <v>1</v>
      </c>
      <c r="G1784">
        <v>15000</v>
      </c>
      <c r="H1784">
        <v>2.8432199999999999E-4</v>
      </c>
      <c r="I1784">
        <v>2888</v>
      </c>
      <c r="J1784">
        <v>2864</v>
      </c>
      <c r="K1784">
        <v>24</v>
      </c>
      <c r="L1784">
        <v>500</v>
      </c>
      <c r="M1784">
        <v>499</v>
      </c>
      <c r="N1784">
        <v>1</v>
      </c>
      <c r="O1784">
        <v>12112</v>
      </c>
      <c r="P1784">
        <v>1</v>
      </c>
    </row>
    <row r="1785" spans="1:16" x14ac:dyDescent="0.2">
      <c r="A1785" s="3" t="s">
        <v>49</v>
      </c>
      <c r="B1785" s="3" t="s">
        <v>50</v>
      </c>
      <c r="C1785">
        <v>26</v>
      </c>
      <c r="D1785">
        <v>14000</v>
      </c>
      <c r="E1785">
        <v>499</v>
      </c>
      <c r="F1785">
        <v>1</v>
      </c>
      <c r="G1785">
        <v>58565.0323707059</v>
      </c>
      <c r="H1785">
        <v>2.8432099999999998E-4</v>
      </c>
      <c r="I1785">
        <v>2835</v>
      </c>
      <c r="J1785">
        <v>2805</v>
      </c>
      <c r="K1785">
        <v>30</v>
      </c>
      <c r="L1785">
        <v>500</v>
      </c>
      <c r="M1785">
        <v>499</v>
      </c>
      <c r="N1785">
        <v>1</v>
      </c>
      <c r="O1785">
        <v>48389.136916757598</v>
      </c>
      <c r="P1785">
        <v>0</v>
      </c>
    </row>
    <row r="1786" spans="1:16" x14ac:dyDescent="0.2">
      <c r="A1786" s="3" t="s">
        <v>49</v>
      </c>
      <c r="B1786" s="3" t="s">
        <v>50</v>
      </c>
      <c r="C1786">
        <v>36</v>
      </c>
      <c r="D1786">
        <v>14000</v>
      </c>
      <c r="E1786">
        <v>499</v>
      </c>
      <c r="F1786">
        <v>1</v>
      </c>
      <c r="G1786">
        <v>14000</v>
      </c>
      <c r="H1786">
        <v>2.8419300000000002E-4</v>
      </c>
      <c r="I1786">
        <v>2913</v>
      </c>
      <c r="J1786">
        <v>2890</v>
      </c>
      <c r="K1786">
        <v>23</v>
      </c>
      <c r="L1786">
        <v>500</v>
      </c>
      <c r="M1786">
        <v>499</v>
      </c>
      <c r="N1786">
        <v>1</v>
      </c>
      <c r="O1786">
        <v>11087</v>
      </c>
      <c r="P1786">
        <v>1</v>
      </c>
    </row>
    <row r="1787" spans="1:16" x14ac:dyDescent="0.2">
      <c r="A1787" s="3" t="s">
        <v>49</v>
      </c>
      <c r="B1787" s="3" t="s">
        <v>50</v>
      </c>
      <c r="C1787">
        <v>37</v>
      </c>
      <c r="D1787">
        <v>15000</v>
      </c>
      <c r="E1787">
        <v>499</v>
      </c>
      <c r="F1787">
        <v>1</v>
      </c>
      <c r="G1787">
        <v>15000</v>
      </c>
      <c r="H1787">
        <v>2.8391799999999997E-4</v>
      </c>
      <c r="I1787">
        <v>2881</v>
      </c>
      <c r="J1787">
        <v>2854</v>
      </c>
      <c r="K1787">
        <v>27</v>
      </c>
      <c r="L1787">
        <v>500</v>
      </c>
      <c r="M1787">
        <v>499</v>
      </c>
      <c r="N1787">
        <v>1</v>
      </c>
      <c r="O1787">
        <v>12119</v>
      </c>
      <c r="P1787">
        <v>1</v>
      </c>
    </row>
    <row r="1788" spans="1:16" x14ac:dyDescent="0.2">
      <c r="A1788" s="3" t="s">
        <v>49</v>
      </c>
      <c r="B1788" s="3" t="s">
        <v>50</v>
      </c>
      <c r="C1788">
        <v>8</v>
      </c>
      <c r="D1788">
        <v>14000</v>
      </c>
      <c r="E1788">
        <v>499</v>
      </c>
      <c r="F1788">
        <v>1</v>
      </c>
      <c r="G1788">
        <v>58565.0323707059</v>
      </c>
      <c r="H1788">
        <v>2.8390000000000002E-4</v>
      </c>
      <c r="I1788">
        <v>2854</v>
      </c>
      <c r="J1788">
        <v>2819</v>
      </c>
      <c r="K1788">
        <v>35</v>
      </c>
      <c r="L1788">
        <v>500</v>
      </c>
      <c r="M1788">
        <v>499</v>
      </c>
      <c r="N1788">
        <v>1</v>
      </c>
      <c r="O1788">
        <v>48209.658934245497</v>
      </c>
      <c r="P1788">
        <v>0</v>
      </c>
    </row>
    <row r="1789" spans="1:16" x14ac:dyDescent="0.2">
      <c r="A1789" s="3" t="s">
        <v>49</v>
      </c>
      <c r="B1789" s="3" t="s">
        <v>50</v>
      </c>
      <c r="C1789">
        <v>49</v>
      </c>
      <c r="D1789">
        <v>15000</v>
      </c>
      <c r="E1789">
        <v>499</v>
      </c>
      <c r="F1789">
        <v>1</v>
      </c>
      <c r="G1789">
        <v>60572.237308582698</v>
      </c>
      <c r="H1789">
        <v>2.8387300000000002E-4</v>
      </c>
      <c r="I1789">
        <v>2895</v>
      </c>
      <c r="J1789">
        <v>2871</v>
      </c>
      <c r="K1789">
        <v>24</v>
      </c>
      <c r="L1789">
        <v>500</v>
      </c>
      <c r="M1789">
        <v>499</v>
      </c>
      <c r="N1789">
        <v>1</v>
      </c>
      <c r="O1789">
        <v>50249.034759376402</v>
      </c>
      <c r="P1789">
        <v>0</v>
      </c>
    </row>
    <row r="1790" spans="1:16" x14ac:dyDescent="0.2">
      <c r="A1790" s="3" t="s">
        <v>49</v>
      </c>
      <c r="B1790" s="3" t="s">
        <v>50</v>
      </c>
      <c r="C1790">
        <v>44</v>
      </c>
      <c r="D1790">
        <v>15000</v>
      </c>
      <c r="E1790">
        <v>499</v>
      </c>
      <c r="F1790">
        <v>1</v>
      </c>
      <c r="G1790">
        <v>15000</v>
      </c>
      <c r="H1790">
        <v>2.8345099999999999E-4</v>
      </c>
      <c r="I1790">
        <v>2878</v>
      </c>
      <c r="J1790">
        <v>2855</v>
      </c>
      <c r="K1790">
        <v>23</v>
      </c>
      <c r="L1790">
        <v>500</v>
      </c>
      <c r="M1790">
        <v>499</v>
      </c>
      <c r="N1790">
        <v>1</v>
      </c>
      <c r="O1790">
        <v>12122</v>
      </c>
      <c r="P1790">
        <v>1</v>
      </c>
    </row>
    <row r="1791" spans="1:16" x14ac:dyDescent="0.2">
      <c r="A1791" s="3" t="s">
        <v>49</v>
      </c>
      <c r="B1791" s="3" t="s">
        <v>50</v>
      </c>
      <c r="C1791">
        <v>26</v>
      </c>
      <c r="D1791">
        <v>15000</v>
      </c>
      <c r="E1791">
        <v>499</v>
      </c>
      <c r="F1791">
        <v>1</v>
      </c>
      <c r="G1791">
        <v>60572.237308582698</v>
      </c>
      <c r="H1791">
        <v>2.8341400000000001E-4</v>
      </c>
      <c r="I1791">
        <v>2908</v>
      </c>
      <c r="J1791">
        <v>2879</v>
      </c>
      <c r="K1791">
        <v>29</v>
      </c>
      <c r="L1791">
        <v>500</v>
      </c>
      <c r="M1791">
        <v>499</v>
      </c>
      <c r="N1791">
        <v>1</v>
      </c>
      <c r="O1791">
        <v>50198.899780678403</v>
      </c>
      <c r="P1791">
        <v>0</v>
      </c>
    </row>
    <row r="1792" spans="1:16" x14ac:dyDescent="0.2">
      <c r="A1792" s="3" t="s">
        <v>49</v>
      </c>
      <c r="B1792" s="3" t="s">
        <v>50</v>
      </c>
      <c r="C1792">
        <v>1</v>
      </c>
      <c r="D1792">
        <v>15000</v>
      </c>
      <c r="E1792">
        <v>499</v>
      </c>
      <c r="F1792">
        <v>1</v>
      </c>
      <c r="G1792">
        <v>15000</v>
      </c>
      <c r="H1792">
        <v>2.83231E-4</v>
      </c>
      <c r="I1792">
        <v>2870</v>
      </c>
      <c r="J1792">
        <v>2837</v>
      </c>
      <c r="K1792">
        <v>33</v>
      </c>
      <c r="L1792">
        <v>500</v>
      </c>
      <c r="M1792">
        <v>499</v>
      </c>
      <c r="N1792">
        <v>1</v>
      </c>
      <c r="O1792">
        <v>12130</v>
      </c>
      <c r="P1792">
        <v>1</v>
      </c>
    </row>
    <row r="1793" spans="1:16" x14ac:dyDescent="0.2">
      <c r="A1793" s="3" t="s">
        <v>49</v>
      </c>
      <c r="B1793" s="3" t="s">
        <v>50</v>
      </c>
      <c r="C1793">
        <v>24</v>
      </c>
      <c r="D1793">
        <v>15000</v>
      </c>
      <c r="E1793">
        <v>499</v>
      </c>
      <c r="F1793">
        <v>1</v>
      </c>
      <c r="G1793">
        <v>15000</v>
      </c>
      <c r="H1793">
        <v>2.8300200000000003E-4</v>
      </c>
      <c r="I1793">
        <v>2898</v>
      </c>
      <c r="J1793">
        <v>2861</v>
      </c>
      <c r="K1793">
        <v>37</v>
      </c>
      <c r="L1793">
        <v>500</v>
      </c>
      <c r="M1793">
        <v>499</v>
      </c>
      <c r="N1793">
        <v>1</v>
      </c>
      <c r="O1793">
        <v>12102</v>
      </c>
      <c r="P1793">
        <v>1</v>
      </c>
    </row>
    <row r="1794" spans="1:16" x14ac:dyDescent="0.2">
      <c r="A1794" s="3" t="s">
        <v>49</v>
      </c>
      <c r="B1794" s="3" t="s">
        <v>50</v>
      </c>
      <c r="C1794">
        <v>16</v>
      </c>
      <c r="D1794">
        <v>14000</v>
      </c>
      <c r="E1794">
        <v>499</v>
      </c>
      <c r="F1794">
        <v>1</v>
      </c>
      <c r="G1794">
        <v>58565.0323707059</v>
      </c>
      <c r="H1794">
        <v>2.8299299999999999E-4</v>
      </c>
      <c r="I1794">
        <v>2848</v>
      </c>
      <c r="J1794">
        <v>2826</v>
      </c>
      <c r="K1794">
        <v>22</v>
      </c>
      <c r="L1794">
        <v>500</v>
      </c>
      <c r="M1794">
        <v>499</v>
      </c>
      <c r="N1794">
        <v>1</v>
      </c>
      <c r="O1794">
        <v>48295.093124112398</v>
      </c>
      <c r="P1794">
        <v>0</v>
      </c>
    </row>
    <row r="1795" spans="1:16" x14ac:dyDescent="0.2">
      <c r="A1795" s="3" t="s">
        <v>49</v>
      </c>
      <c r="B1795" s="3" t="s">
        <v>50</v>
      </c>
      <c r="C1795">
        <v>1</v>
      </c>
      <c r="D1795">
        <v>15000</v>
      </c>
      <c r="E1795">
        <v>499</v>
      </c>
      <c r="F1795">
        <v>1</v>
      </c>
      <c r="G1795">
        <v>60572.237308582698</v>
      </c>
      <c r="H1795">
        <v>2.8290100000000001E-4</v>
      </c>
      <c r="I1795">
        <v>2894</v>
      </c>
      <c r="J1795">
        <v>2860</v>
      </c>
      <c r="K1795">
        <v>34</v>
      </c>
      <c r="L1795">
        <v>500</v>
      </c>
      <c r="M1795">
        <v>499</v>
      </c>
      <c r="N1795">
        <v>1</v>
      </c>
      <c r="O1795">
        <v>50243.562333430702</v>
      </c>
      <c r="P1795">
        <v>0</v>
      </c>
    </row>
    <row r="1796" spans="1:16" x14ac:dyDescent="0.2">
      <c r="A1796" s="3" t="s">
        <v>49</v>
      </c>
      <c r="B1796" s="3" t="s">
        <v>50</v>
      </c>
      <c r="C1796">
        <v>19</v>
      </c>
      <c r="D1796">
        <v>15000</v>
      </c>
      <c r="E1796">
        <v>499</v>
      </c>
      <c r="F1796">
        <v>1</v>
      </c>
      <c r="G1796">
        <v>60572.237308582698</v>
      </c>
      <c r="H1796">
        <v>2.8265300000000001E-4</v>
      </c>
      <c r="I1796">
        <v>2899</v>
      </c>
      <c r="J1796">
        <v>2873</v>
      </c>
      <c r="K1796">
        <v>26</v>
      </c>
      <c r="L1796">
        <v>500</v>
      </c>
      <c r="M1796">
        <v>499</v>
      </c>
      <c r="N1796">
        <v>1</v>
      </c>
      <c r="O1796">
        <v>50206.079118474699</v>
      </c>
      <c r="P1796">
        <v>0</v>
      </c>
    </row>
    <row r="1797" spans="1:16" x14ac:dyDescent="0.2">
      <c r="A1797" s="3" t="s">
        <v>49</v>
      </c>
      <c r="B1797" s="3" t="s">
        <v>50</v>
      </c>
      <c r="C1797">
        <v>8</v>
      </c>
      <c r="D1797">
        <v>13000</v>
      </c>
      <c r="E1797">
        <v>499</v>
      </c>
      <c r="F1797">
        <v>1</v>
      </c>
      <c r="G1797">
        <v>13000</v>
      </c>
      <c r="H1797">
        <v>2.8248900000000003E-4</v>
      </c>
      <c r="I1797">
        <v>2795</v>
      </c>
      <c r="J1797">
        <v>2762</v>
      </c>
      <c r="K1797">
        <v>33</v>
      </c>
      <c r="L1797">
        <v>500</v>
      </c>
      <c r="M1797">
        <v>499</v>
      </c>
      <c r="N1797">
        <v>1</v>
      </c>
      <c r="O1797">
        <v>10205</v>
      </c>
      <c r="P1797">
        <v>1</v>
      </c>
    </row>
    <row r="1798" spans="1:16" x14ac:dyDescent="0.2">
      <c r="A1798" s="3" t="s">
        <v>49</v>
      </c>
      <c r="B1798" s="3" t="s">
        <v>50</v>
      </c>
      <c r="C1798">
        <v>32</v>
      </c>
      <c r="D1798">
        <v>14000</v>
      </c>
      <c r="E1798">
        <v>499</v>
      </c>
      <c r="F1798">
        <v>1</v>
      </c>
      <c r="G1798">
        <v>14000</v>
      </c>
      <c r="H1798">
        <v>2.8248800000000001E-4</v>
      </c>
      <c r="I1798">
        <v>2874</v>
      </c>
      <c r="J1798">
        <v>2853</v>
      </c>
      <c r="K1798">
        <v>21</v>
      </c>
      <c r="L1798">
        <v>500</v>
      </c>
      <c r="M1798">
        <v>499</v>
      </c>
      <c r="N1798">
        <v>1</v>
      </c>
      <c r="O1798">
        <v>11126</v>
      </c>
      <c r="P1798">
        <v>1</v>
      </c>
    </row>
    <row r="1799" spans="1:16" x14ac:dyDescent="0.2">
      <c r="A1799" s="3" t="s">
        <v>49</v>
      </c>
      <c r="B1799" s="3" t="s">
        <v>50</v>
      </c>
      <c r="C1799">
        <v>36</v>
      </c>
      <c r="D1799">
        <v>15000</v>
      </c>
      <c r="E1799">
        <v>499</v>
      </c>
      <c r="F1799">
        <v>1</v>
      </c>
      <c r="G1799">
        <v>15000</v>
      </c>
      <c r="H1799">
        <v>2.8243300000000001E-4</v>
      </c>
      <c r="I1799">
        <v>2862</v>
      </c>
      <c r="J1799">
        <v>2836</v>
      </c>
      <c r="K1799">
        <v>26</v>
      </c>
      <c r="L1799">
        <v>500</v>
      </c>
      <c r="M1799">
        <v>499</v>
      </c>
      <c r="N1799">
        <v>1</v>
      </c>
      <c r="O1799">
        <v>12138</v>
      </c>
      <c r="P1799">
        <v>1</v>
      </c>
    </row>
    <row r="1800" spans="1:16" x14ac:dyDescent="0.2">
      <c r="A1800" s="3" t="s">
        <v>49</v>
      </c>
      <c r="B1800" s="3" t="s">
        <v>50</v>
      </c>
      <c r="C1800">
        <v>3</v>
      </c>
      <c r="D1800">
        <v>14000</v>
      </c>
      <c r="E1800">
        <v>499</v>
      </c>
      <c r="F1800">
        <v>1</v>
      </c>
      <c r="G1800">
        <v>58565.0323707059</v>
      </c>
      <c r="H1800">
        <v>2.8238699999999999E-4</v>
      </c>
      <c r="I1800">
        <v>2906</v>
      </c>
      <c r="J1800">
        <v>2871</v>
      </c>
      <c r="K1800">
        <v>35</v>
      </c>
      <c r="L1800">
        <v>500</v>
      </c>
      <c r="M1800">
        <v>499</v>
      </c>
      <c r="N1800">
        <v>1</v>
      </c>
      <c r="O1800">
        <v>48094.219013640999</v>
      </c>
      <c r="P1800">
        <v>0</v>
      </c>
    </row>
    <row r="1801" spans="1:16" x14ac:dyDescent="0.2">
      <c r="A1801" s="3" t="s">
        <v>49</v>
      </c>
      <c r="B1801" s="3" t="s">
        <v>50</v>
      </c>
      <c r="C1801">
        <v>46</v>
      </c>
      <c r="D1801">
        <v>13000</v>
      </c>
      <c r="E1801">
        <v>499</v>
      </c>
      <c r="F1801">
        <v>1</v>
      </c>
      <c r="G1801">
        <v>53044.701099550097</v>
      </c>
      <c r="H1801">
        <v>2.8204800000000002E-4</v>
      </c>
      <c r="I1801">
        <v>2837</v>
      </c>
      <c r="J1801">
        <v>2812</v>
      </c>
      <c r="K1801">
        <v>25</v>
      </c>
      <c r="L1801">
        <v>500</v>
      </c>
      <c r="M1801">
        <v>499</v>
      </c>
      <c r="N1801">
        <v>1</v>
      </c>
      <c r="O1801">
        <v>42631.1126237481</v>
      </c>
      <c r="P1801">
        <v>0</v>
      </c>
    </row>
    <row r="1802" spans="1:16" x14ac:dyDescent="0.2">
      <c r="A1802" s="3" t="s">
        <v>49</v>
      </c>
      <c r="B1802" s="3" t="s">
        <v>50</v>
      </c>
      <c r="C1802">
        <v>6</v>
      </c>
      <c r="D1802">
        <v>14000</v>
      </c>
      <c r="E1802">
        <v>499</v>
      </c>
      <c r="F1802">
        <v>1</v>
      </c>
      <c r="G1802">
        <v>14000</v>
      </c>
      <c r="H1802">
        <v>2.8189300000000002E-4</v>
      </c>
      <c r="I1802">
        <v>2831</v>
      </c>
      <c r="J1802">
        <v>2798</v>
      </c>
      <c r="K1802">
        <v>33</v>
      </c>
      <c r="L1802">
        <v>500</v>
      </c>
      <c r="M1802">
        <v>499</v>
      </c>
      <c r="N1802">
        <v>1</v>
      </c>
      <c r="O1802">
        <v>11169</v>
      </c>
      <c r="P1802">
        <v>1</v>
      </c>
    </row>
    <row r="1803" spans="1:16" x14ac:dyDescent="0.2">
      <c r="A1803" s="3" t="s">
        <v>49</v>
      </c>
      <c r="B1803" s="3" t="s">
        <v>50</v>
      </c>
      <c r="C1803">
        <v>2</v>
      </c>
      <c r="D1803">
        <v>15000</v>
      </c>
      <c r="E1803">
        <v>499</v>
      </c>
      <c r="F1803">
        <v>1</v>
      </c>
      <c r="G1803">
        <v>15000</v>
      </c>
      <c r="H1803">
        <v>2.8179099999999999E-4</v>
      </c>
      <c r="I1803">
        <v>2875</v>
      </c>
      <c r="J1803">
        <v>2851</v>
      </c>
      <c r="K1803">
        <v>24</v>
      </c>
      <c r="L1803">
        <v>500</v>
      </c>
      <c r="M1803">
        <v>499</v>
      </c>
      <c r="N1803">
        <v>1</v>
      </c>
      <c r="O1803">
        <v>12125</v>
      </c>
      <c r="P1803">
        <v>1</v>
      </c>
    </row>
    <row r="1804" spans="1:16" x14ac:dyDescent="0.2">
      <c r="A1804" s="3" t="s">
        <v>49</v>
      </c>
      <c r="B1804" s="3" t="s">
        <v>50</v>
      </c>
      <c r="C1804">
        <v>39</v>
      </c>
      <c r="D1804">
        <v>14000</v>
      </c>
      <c r="E1804">
        <v>499</v>
      </c>
      <c r="F1804">
        <v>1</v>
      </c>
      <c r="G1804">
        <v>58565.0323707059</v>
      </c>
      <c r="H1804">
        <v>2.8167200000000001E-4</v>
      </c>
      <c r="I1804">
        <v>2845</v>
      </c>
      <c r="J1804">
        <v>2813</v>
      </c>
      <c r="K1804">
        <v>32</v>
      </c>
      <c r="L1804">
        <v>500</v>
      </c>
      <c r="M1804">
        <v>499</v>
      </c>
      <c r="N1804">
        <v>1</v>
      </c>
      <c r="O1804">
        <v>48295.236165135699</v>
      </c>
      <c r="P1804">
        <v>0</v>
      </c>
    </row>
    <row r="1805" spans="1:16" x14ac:dyDescent="0.2">
      <c r="A1805" s="3" t="s">
        <v>49</v>
      </c>
      <c r="B1805" s="3" t="s">
        <v>50</v>
      </c>
      <c r="C1805">
        <v>38</v>
      </c>
      <c r="D1805">
        <v>15000</v>
      </c>
      <c r="E1805">
        <v>499</v>
      </c>
      <c r="F1805">
        <v>1</v>
      </c>
      <c r="G1805">
        <v>15000</v>
      </c>
      <c r="H1805">
        <v>2.8147099999999999E-4</v>
      </c>
      <c r="I1805">
        <v>2905</v>
      </c>
      <c r="J1805">
        <v>2880</v>
      </c>
      <c r="K1805">
        <v>25</v>
      </c>
      <c r="L1805">
        <v>500</v>
      </c>
      <c r="M1805">
        <v>499</v>
      </c>
      <c r="N1805">
        <v>1</v>
      </c>
      <c r="O1805">
        <v>12095</v>
      </c>
      <c r="P1805">
        <v>1</v>
      </c>
    </row>
    <row r="1806" spans="1:16" x14ac:dyDescent="0.2">
      <c r="A1806" s="3" t="s">
        <v>49</v>
      </c>
      <c r="B1806" s="3" t="s">
        <v>50</v>
      </c>
      <c r="C1806">
        <v>28</v>
      </c>
      <c r="D1806">
        <v>14000</v>
      </c>
      <c r="E1806">
        <v>499</v>
      </c>
      <c r="F1806">
        <v>1</v>
      </c>
      <c r="G1806">
        <v>58565.0323707059</v>
      </c>
      <c r="H1806">
        <v>2.8146200000000001E-4</v>
      </c>
      <c r="I1806">
        <v>2889</v>
      </c>
      <c r="J1806">
        <v>2858</v>
      </c>
      <c r="K1806">
        <v>31</v>
      </c>
      <c r="L1806">
        <v>500</v>
      </c>
      <c r="M1806">
        <v>499</v>
      </c>
      <c r="N1806">
        <v>1</v>
      </c>
      <c r="O1806">
        <v>48243.676187035497</v>
      </c>
      <c r="P1806">
        <v>0</v>
      </c>
    </row>
    <row r="1807" spans="1:16" x14ac:dyDescent="0.2">
      <c r="A1807" s="3" t="s">
        <v>49</v>
      </c>
      <c r="B1807" s="3" t="s">
        <v>50</v>
      </c>
      <c r="C1807">
        <v>33</v>
      </c>
      <c r="D1807">
        <v>15000</v>
      </c>
      <c r="E1807">
        <v>499</v>
      </c>
      <c r="F1807">
        <v>1</v>
      </c>
      <c r="G1807">
        <v>60572.237308582698</v>
      </c>
      <c r="H1807">
        <v>2.8144299999999998E-4</v>
      </c>
      <c r="I1807">
        <v>2842</v>
      </c>
      <c r="J1807">
        <v>2816</v>
      </c>
      <c r="K1807">
        <v>26</v>
      </c>
      <c r="L1807">
        <v>500</v>
      </c>
      <c r="M1807">
        <v>499</v>
      </c>
      <c r="N1807">
        <v>1</v>
      </c>
      <c r="O1807">
        <v>50411.358021807799</v>
      </c>
      <c r="P1807">
        <v>0</v>
      </c>
    </row>
    <row r="1808" spans="1:16" x14ac:dyDescent="0.2">
      <c r="A1808" s="3" t="s">
        <v>49</v>
      </c>
      <c r="B1808" s="3" t="s">
        <v>50</v>
      </c>
      <c r="C1808">
        <v>31</v>
      </c>
      <c r="D1808">
        <v>15000</v>
      </c>
      <c r="E1808">
        <v>499</v>
      </c>
      <c r="F1808">
        <v>1</v>
      </c>
      <c r="G1808">
        <v>15000</v>
      </c>
      <c r="H1808">
        <v>2.81434E-4</v>
      </c>
      <c r="I1808">
        <v>2905</v>
      </c>
      <c r="J1808">
        <v>2870</v>
      </c>
      <c r="K1808">
        <v>35</v>
      </c>
      <c r="L1808">
        <v>500</v>
      </c>
      <c r="M1808">
        <v>499</v>
      </c>
      <c r="N1808">
        <v>1</v>
      </c>
      <c r="O1808">
        <v>12095</v>
      </c>
      <c r="P1808">
        <v>1</v>
      </c>
    </row>
    <row r="1809" spans="1:16" x14ac:dyDescent="0.2">
      <c r="A1809" s="3" t="s">
        <v>49</v>
      </c>
      <c r="B1809" s="3" t="s">
        <v>50</v>
      </c>
      <c r="C1809">
        <v>7</v>
      </c>
      <c r="D1809">
        <v>14000</v>
      </c>
      <c r="E1809">
        <v>499</v>
      </c>
      <c r="F1809">
        <v>1</v>
      </c>
      <c r="G1809">
        <v>14000</v>
      </c>
      <c r="H1809">
        <v>2.8123299999999998E-4</v>
      </c>
      <c r="I1809">
        <v>2845</v>
      </c>
      <c r="J1809">
        <v>2823</v>
      </c>
      <c r="K1809">
        <v>22</v>
      </c>
      <c r="L1809">
        <v>500</v>
      </c>
      <c r="M1809">
        <v>499</v>
      </c>
      <c r="N1809">
        <v>1</v>
      </c>
      <c r="O1809">
        <v>11155</v>
      </c>
      <c r="P1809">
        <v>1</v>
      </c>
    </row>
    <row r="1810" spans="1:16" x14ac:dyDescent="0.2">
      <c r="A1810" s="3" t="s">
        <v>49</v>
      </c>
      <c r="B1810" s="3" t="s">
        <v>50</v>
      </c>
      <c r="C1810">
        <v>22</v>
      </c>
      <c r="D1810">
        <v>15000</v>
      </c>
      <c r="E1810">
        <v>499</v>
      </c>
      <c r="F1810">
        <v>1</v>
      </c>
      <c r="G1810">
        <v>60572.237308582698</v>
      </c>
      <c r="H1810">
        <v>2.8109499999999998E-4</v>
      </c>
      <c r="I1810">
        <v>2881</v>
      </c>
      <c r="J1810">
        <v>2858</v>
      </c>
      <c r="K1810">
        <v>23</v>
      </c>
      <c r="L1810">
        <v>500</v>
      </c>
      <c r="M1810">
        <v>499</v>
      </c>
      <c r="N1810">
        <v>1</v>
      </c>
      <c r="O1810">
        <v>50247.434444254999</v>
      </c>
      <c r="P1810">
        <v>0</v>
      </c>
    </row>
    <row r="1811" spans="1:16" x14ac:dyDescent="0.2">
      <c r="A1811" s="3" t="s">
        <v>49</v>
      </c>
      <c r="B1811" s="3" t="s">
        <v>50</v>
      </c>
      <c r="C1811">
        <v>36</v>
      </c>
      <c r="D1811">
        <v>12000</v>
      </c>
      <c r="E1811">
        <v>499</v>
      </c>
      <c r="F1811">
        <v>1</v>
      </c>
      <c r="G1811">
        <v>50533.323552418398</v>
      </c>
      <c r="H1811">
        <v>2.8076499999999999E-4</v>
      </c>
      <c r="I1811">
        <v>2812</v>
      </c>
      <c r="J1811">
        <v>2794</v>
      </c>
      <c r="K1811">
        <v>18</v>
      </c>
      <c r="L1811">
        <v>500</v>
      </c>
      <c r="M1811">
        <v>499</v>
      </c>
      <c r="N1811">
        <v>1</v>
      </c>
      <c r="O1811">
        <v>39841.075272806796</v>
      </c>
      <c r="P1811">
        <v>0</v>
      </c>
    </row>
    <row r="1812" spans="1:16" x14ac:dyDescent="0.2">
      <c r="A1812" s="3" t="s">
        <v>49</v>
      </c>
      <c r="B1812" s="3" t="s">
        <v>50</v>
      </c>
      <c r="C1812">
        <v>49</v>
      </c>
      <c r="D1812">
        <v>11000</v>
      </c>
      <c r="E1812">
        <v>499</v>
      </c>
      <c r="F1812">
        <v>1</v>
      </c>
      <c r="G1812">
        <v>44062.122210792702</v>
      </c>
      <c r="H1812">
        <v>2.8057199999999998E-4</v>
      </c>
      <c r="I1812">
        <v>2790</v>
      </c>
      <c r="J1812">
        <v>2768</v>
      </c>
      <c r="K1812">
        <v>22</v>
      </c>
      <c r="L1812">
        <v>500</v>
      </c>
      <c r="M1812">
        <v>499</v>
      </c>
      <c r="N1812">
        <v>1</v>
      </c>
      <c r="O1812">
        <v>33932.862496676396</v>
      </c>
      <c r="P1812">
        <v>0</v>
      </c>
    </row>
    <row r="1813" spans="1:16" x14ac:dyDescent="0.2">
      <c r="A1813" s="3" t="s">
        <v>49</v>
      </c>
      <c r="B1813" s="3" t="s">
        <v>50</v>
      </c>
      <c r="C1813">
        <v>31</v>
      </c>
      <c r="D1813">
        <v>14000</v>
      </c>
      <c r="E1813">
        <v>499</v>
      </c>
      <c r="F1813">
        <v>1</v>
      </c>
      <c r="G1813">
        <v>58565.0323707059</v>
      </c>
      <c r="H1813">
        <v>2.8037100000000002E-4</v>
      </c>
      <c r="I1813">
        <v>2857</v>
      </c>
      <c r="J1813">
        <v>2829</v>
      </c>
      <c r="K1813">
        <v>28</v>
      </c>
      <c r="L1813">
        <v>500</v>
      </c>
      <c r="M1813">
        <v>499</v>
      </c>
      <c r="N1813">
        <v>1</v>
      </c>
      <c r="O1813">
        <v>48263.229951043802</v>
      </c>
      <c r="P1813">
        <v>0</v>
      </c>
    </row>
    <row r="1814" spans="1:16" x14ac:dyDescent="0.2">
      <c r="A1814" s="3" t="s">
        <v>49</v>
      </c>
      <c r="B1814" s="3" t="s">
        <v>50</v>
      </c>
      <c r="C1814">
        <v>5</v>
      </c>
      <c r="D1814">
        <v>13000</v>
      </c>
      <c r="E1814">
        <v>499</v>
      </c>
      <c r="F1814">
        <v>1</v>
      </c>
      <c r="G1814">
        <v>13000</v>
      </c>
      <c r="H1814">
        <v>2.8015899999999999E-4</v>
      </c>
      <c r="I1814">
        <v>2836</v>
      </c>
      <c r="J1814">
        <v>2813</v>
      </c>
      <c r="K1814">
        <v>23</v>
      </c>
      <c r="L1814">
        <v>500</v>
      </c>
      <c r="M1814">
        <v>499</v>
      </c>
      <c r="N1814">
        <v>1</v>
      </c>
      <c r="O1814">
        <v>10164</v>
      </c>
      <c r="P1814">
        <v>1</v>
      </c>
    </row>
    <row r="1815" spans="1:16" x14ac:dyDescent="0.2">
      <c r="A1815" s="3" t="s">
        <v>49</v>
      </c>
      <c r="B1815" s="3" t="s">
        <v>50</v>
      </c>
      <c r="C1815">
        <v>16</v>
      </c>
      <c r="D1815">
        <v>12000</v>
      </c>
      <c r="E1815">
        <v>499</v>
      </c>
      <c r="F1815">
        <v>1</v>
      </c>
      <c r="G1815">
        <v>12000</v>
      </c>
      <c r="H1815">
        <v>2.80022E-4</v>
      </c>
      <c r="I1815">
        <v>2750</v>
      </c>
      <c r="J1815">
        <v>2740</v>
      </c>
      <c r="K1815">
        <v>10</v>
      </c>
      <c r="L1815">
        <v>500</v>
      </c>
      <c r="M1815">
        <v>499</v>
      </c>
      <c r="N1815">
        <v>1</v>
      </c>
      <c r="O1815">
        <v>9250</v>
      </c>
      <c r="P1815">
        <v>1</v>
      </c>
    </row>
    <row r="1816" spans="1:16" x14ac:dyDescent="0.2">
      <c r="A1816" s="3" t="s">
        <v>49</v>
      </c>
      <c r="B1816" s="3" t="s">
        <v>50</v>
      </c>
      <c r="C1816">
        <v>45</v>
      </c>
      <c r="D1816">
        <v>12000</v>
      </c>
      <c r="E1816">
        <v>499</v>
      </c>
      <c r="F1816">
        <v>1</v>
      </c>
      <c r="G1816">
        <v>12000</v>
      </c>
      <c r="H1816">
        <v>2.7987599999999997E-4</v>
      </c>
      <c r="I1816">
        <v>2823</v>
      </c>
      <c r="J1816">
        <v>2797</v>
      </c>
      <c r="K1816">
        <v>26</v>
      </c>
      <c r="L1816">
        <v>500</v>
      </c>
      <c r="M1816">
        <v>499</v>
      </c>
      <c r="N1816">
        <v>1</v>
      </c>
      <c r="O1816">
        <v>9177</v>
      </c>
      <c r="P1816">
        <v>1</v>
      </c>
    </row>
    <row r="1817" spans="1:16" x14ac:dyDescent="0.2">
      <c r="A1817" s="3" t="s">
        <v>49</v>
      </c>
      <c r="B1817" s="3" t="s">
        <v>50</v>
      </c>
      <c r="C1817">
        <v>20</v>
      </c>
      <c r="D1817">
        <v>15000</v>
      </c>
      <c r="E1817">
        <v>499</v>
      </c>
      <c r="F1817">
        <v>1</v>
      </c>
      <c r="G1817">
        <v>15000</v>
      </c>
      <c r="H1817">
        <v>2.7983000000000001E-4</v>
      </c>
      <c r="I1817">
        <v>2878</v>
      </c>
      <c r="J1817">
        <v>2852</v>
      </c>
      <c r="K1817">
        <v>26</v>
      </c>
      <c r="L1817">
        <v>500</v>
      </c>
      <c r="M1817">
        <v>499</v>
      </c>
      <c r="N1817">
        <v>1</v>
      </c>
      <c r="O1817">
        <v>12122</v>
      </c>
      <c r="P1817">
        <v>1</v>
      </c>
    </row>
    <row r="1818" spans="1:16" x14ac:dyDescent="0.2">
      <c r="A1818" s="3" t="s">
        <v>49</v>
      </c>
      <c r="B1818" s="3" t="s">
        <v>50</v>
      </c>
      <c r="C1818">
        <v>20</v>
      </c>
      <c r="D1818">
        <v>14000</v>
      </c>
      <c r="E1818">
        <v>499</v>
      </c>
      <c r="F1818">
        <v>1</v>
      </c>
      <c r="G1818">
        <v>58565.0323707059</v>
      </c>
      <c r="H1818">
        <v>2.7980300000000002E-4</v>
      </c>
      <c r="I1818">
        <v>2848</v>
      </c>
      <c r="J1818">
        <v>2820</v>
      </c>
      <c r="K1818">
        <v>28</v>
      </c>
      <c r="L1818">
        <v>500</v>
      </c>
      <c r="M1818">
        <v>499</v>
      </c>
      <c r="N1818">
        <v>1</v>
      </c>
      <c r="O1818">
        <v>48311.303643248502</v>
      </c>
      <c r="P1818">
        <v>0</v>
      </c>
    </row>
    <row r="1819" spans="1:16" x14ac:dyDescent="0.2">
      <c r="A1819" s="3" t="s">
        <v>49</v>
      </c>
      <c r="B1819" s="3" t="s">
        <v>50</v>
      </c>
      <c r="C1819">
        <v>5</v>
      </c>
      <c r="D1819">
        <v>11000</v>
      </c>
      <c r="E1819">
        <v>499</v>
      </c>
      <c r="F1819">
        <v>1</v>
      </c>
      <c r="G1819">
        <v>44062.122210792702</v>
      </c>
      <c r="H1819">
        <v>2.7961000000000001E-4</v>
      </c>
      <c r="I1819">
        <v>2794</v>
      </c>
      <c r="J1819">
        <v>2776</v>
      </c>
      <c r="K1819">
        <v>18</v>
      </c>
      <c r="L1819">
        <v>500</v>
      </c>
      <c r="M1819">
        <v>499</v>
      </c>
      <c r="N1819">
        <v>1</v>
      </c>
      <c r="O1819">
        <v>33953.982199718797</v>
      </c>
      <c r="P1819">
        <v>0</v>
      </c>
    </row>
    <row r="1820" spans="1:16" x14ac:dyDescent="0.2">
      <c r="A1820" s="3" t="s">
        <v>49</v>
      </c>
      <c r="B1820" s="3" t="s">
        <v>50</v>
      </c>
      <c r="C1820">
        <v>2</v>
      </c>
      <c r="D1820">
        <v>14000</v>
      </c>
      <c r="E1820">
        <v>499</v>
      </c>
      <c r="F1820">
        <v>1</v>
      </c>
      <c r="G1820">
        <v>14000</v>
      </c>
      <c r="H1820">
        <v>2.7960000000000002E-4</v>
      </c>
      <c r="I1820">
        <v>2856</v>
      </c>
      <c r="J1820">
        <v>2823</v>
      </c>
      <c r="K1820">
        <v>33</v>
      </c>
      <c r="L1820">
        <v>500</v>
      </c>
      <c r="M1820">
        <v>499</v>
      </c>
      <c r="N1820">
        <v>1</v>
      </c>
      <c r="O1820">
        <v>11144</v>
      </c>
      <c r="P1820">
        <v>1</v>
      </c>
    </row>
    <row r="1821" spans="1:16" x14ac:dyDescent="0.2">
      <c r="A1821" s="3" t="s">
        <v>49</v>
      </c>
      <c r="B1821" s="3" t="s">
        <v>50</v>
      </c>
      <c r="C1821">
        <v>28</v>
      </c>
      <c r="D1821">
        <v>13000</v>
      </c>
      <c r="E1821">
        <v>499</v>
      </c>
      <c r="F1821">
        <v>1</v>
      </c>
      <c r="G1821">
        <v>53044.701099550097</v>
      </c>
      <c r="H1821">
        <v>2.7952700000000001E-4</v>
      </c>
      <c r="I1821">
        <v>2814</v>
      </c>
      <c r="J1821">
        <v>2787</v>
      </c>
      <c r="K1821">
        <v>27</v>
      </c>
      <c r="L1821">
        <v>500</v>
      </c>
      <c r="M1821">
        <v>499</v>
      </c>
      <c r="N1821">
        <v>1</v>
      </c>
      <c r="O1821">
        <v>42721.090588310202</v>
      </c>
      <c r="P1821">
        <v>0</v>
      </c>
    </row>
    <row r="1822" spans="1:16" x14ac:dyDescent="0.2">
      <c r="A1822" s="3" t="s">
        <v>49</v>
      </c>
      <c r="B1822" s="3" t="s">
        <v>50</v>
      </c>
      <c r="C1822">
        <v>50</v>
      </c>
      <c r="D1822">
        <v>13000</v>
      </c>
      <c r="E1822">
        <v>499</v>
      </c>
      <c r="F1822">
        <v>1</v>
      </c>
      <c r="G1822">
        <v>53044.701099550097</v>
      </c>
      <c r="H1822">
        <v>2.79509E-4</v>
      </c>
      <c r="I1822">
        <v>2874</v>
      </c>
      <c r="J1822">
        <v>2852</v>
      </c>
      <c r="K1822">
        <v>22</v>
      </c>
      <c r="L1822">
        <v>500</v>
      </c>
      <c r="M1822">
        <v>499</v>
      </c>
      <c r="N1822">
        <v>1</v>
      </c>
      <c r="O1822">
        <v>42526.731987982203</v>
      </c>
      <c r="P1822">
        <v>0</v>
      </c>
    </row>
    <row r="1823" spans="1:16" x14ac:dyDescent="0.2">
      <c r="A1823" s="3" t="s">
        <v>49</v>
      </c>
      <c r="B1823" s="3" t="s">
        <v>50</v>
      </c>
      <c r="C1823">
        <v>10</v>
      </c>
      <c r="D1823">
        <v>13000</v>
      </c>
      <c r="E1823">
        <v>499</v>
      </c>
      <c r="F1823">
        <v>1</v>
      </c>
      <c r="G1823">
        <v>53044.701099550097</v>
      </c>
      <c r="H1823">
        <v>2.7936299999999997E-4</v>
      </c>
      <c r="I1823">
        <v>2850</v>
      </c>
      <c r="J1823">
        <v>2826</v>
      </c>
      <c r="K1823">
        <v>24</v>
      </c>
      <c r="L1823">
        <v>500</v>
      </c>
      <c r="M1823">
        <v>499</v>
      </c>
      <c r="N1823">
        <v>1</v>
      </c>
      <c r="O1823">
        <v>42581.927824264101</v>
      </c>
      <c r="P1823">
        <v>0</v>
      </c>
    </row>
    <row r="1824" spans="1:16" x14ac:dyDescent="0.2">
      <c r="A1824" s="3" t="s">
        <v>49</v>
      </c>
      <c r="B1824" s="3" t="s">
        <v>50</v>
      </c>
      <c r="C1824">
        <v>40</v>
      </c>
      <c r="D1824">
        <v>13000</v>
      </c>
      <c r="E1824">
        <v>499</v>
      </c>
      <c r="F1824">
        <v>1</v>
      </c>
      <c r="G1824">
        <v>53044.701099550097</v>
      </c>
      <c r="H1824">
        <v>2.7932599999999999E-4</v>
      </c>
      <c r="I1824">
        <v>2828</v>
      </c>
      <c r="J1824">
        <v>2811</v>
      </c>
      <c r="K1824">
        <v>17</v>
      </c>
      <c r="L1824">
        <v>500</v>
      </c>
      <c r="M1824">
        <v>499</v>
      </c>
      <c r="N1824">
        <v>1</v>
      </c>
      <c r="O1824">
        <v>42672.312581980601</v>
      </c>
      <c r="P1824">
        <v>0</v>
      </c>
    </row>
    <row r="1825" spans="1:16" x14ac:dyDescent="0.2">
      <c r="A1825" s="3" t="s">
        <v>49</v>
      </c>
      <c r="B1825" s="3" t="s">
        <v>50</v>
      </c>
      <c r="C1825">
        <v>23</v>
      </c>
      <c r="D1825">
        <v>14000</v>
      </c>
      <c r="E1825">
        <v>499</v>
      </c>
      <c r="F1825">
        <v>1</v>
      </c>
      <c r="G1825">
        <v>58565.0323707059</v>
      </c>
      <c r="H1825">
        <v>2.7932599999999999E-4</v>
      </c>
      <c r="I1825">
        <v>2886</v>
      </c>
      <c r="J1825">
        <v>2853</v>
      </c>
      <c r="K1825">
        <v>33</v>
      </c>
      <c r="L1825">
        <v>500</v>
      </c>
      <c r="M1825">
        <v>499</v>
      </c>
      <c r="N1825">
        <v>1</v>
      </c>
      <c r="O1825">
        <v>48209.479266332302</v>
      </c>
      <c r="P1825">
        <v>0</v>
      </c>
    </row>
    <row r="1826" spans="1:16" x14ac:dyDescent="0.2">
      <c r="A1826" s="3" t="s">
        <v>49</v>
      </c>
      <c r="B1826" s="3" t="s">
        <v>50</v>
      </c>
      <c r="C1826">
        <v>23</v>
      </c>
      <c r="D1826">
        <v>15000</v>
      </c>
      <c r="E1826">
        <v>499</v>
      </c>
      <c r="F1826">
        <v>1</v>
      </c>
      <c r="G1826">
        <v>15000</v>
      </c>
      <c r="H1826">
        <v>2.7916099999999999E-4</v>
      </c>
      <c r="I1826">
        <v>2872</v>
      </c>
      <c r="J1826">
        <v>2847</v>
      </c>
      <c r="K1826">
        <v>25</v>
      </c>
      <c r="L1826">
        <v>500</v>
      </c>
      <c r="M1826">
        <v>499</v>
      </c>
      <c r="N1826">
        <v>1</v>
      </c>
      <c r="O1826">
        <v>12128</v>
      </c>
      <c r="P1826">
        <v>1</v>
      </c>
    </row>
    <row r="1827" spans="1:16" x14ac:dyDescent="0.2">
      <c r="A1827" s="3" t="s">
        <v>49</v>
      </c>
      <c r="B1827" s="3" t="s">
        <v>50</v>
      </c>
      <c r="C1827">
        <v>13</v>
      </c>
      <c r="D1827">
        <v>14000</v>
      </c>
      <c r="E1827">
        <v>499</v>
      </c>
      <c r="F1827">
        <v>1</v>
      </c>
      <c r="G1827">
        <v>14000</v>
      </c>
      <c r="H1827">
        <v>2.7901400000000001E-4</v>
      </c>
      <c r="I1827">
        <v>2859</v>
      </c>
      <c r="J1827">
        <v>2833</v>
      </c>
      <c r="K1827">
        <v>26</v>
      </c>
      <c r="L1827">
        <v>500</v>
      </c>
      <c r="M1827">
        <v>499</v>
      </c>
      <c r="N1827">
        <v>1</v>
      </c>
      <c r="O1827">
        <v>11141</v>
      </c>
      <c r="P1827">
        <v>1</v>
      </c>
    </row>
    <row r="1828" spans="1:16" x14ac:dyDescent="0.2">
      <c r="A1828" s="3" t="s">
        <v>49</v>
      </c>
      <c r="B1828" s="3" t="s">
        <v>50</v>
      </c>
      <c r="C1828">
        <v>4</v>
      </c>
      <c r="D1828">
        <v>13000</v>
      </c>
      <c r="E1828">
        <v>499</v>
      </c>
      <c r="F1828">
        <v>1</v>
      </c>
      <c r="G1828">
        <v>53044.701099550097</v>
      </c>
      <c r="H1828">
        <v>2.7895900000000001E-4</v>
      </c>
      <c r="I1828">
        <v>2791</v>
      </c>
      <c r="J1828">
        <v>2762</v>
      </c>
      <c r="K1828">
        <v>29</v>
      </c>
      <c r="L1828">
        <v>500</v>
      </c>
      <c r="M1828">
        <v>499</v>
      </c>
      <c r="N1828">
        <v>1</v>
      </c>
      <c r="O1828">
        <v>42660.2932844877</v>
      </c>
      <c r="P1828">
        <v>0</v>
      </c>
    </row>
    <row r="1829" spans="1:16" x14ac:dyDescent="0.2">
      <c r="A1829" s="3" t="s">
        <v>49</v>
      </c>
      <c r="B1829" s="3" t="s">
        <v>50</v>
      </c>
      <c r="C1829">
        <v>30</v>
      </c>
      <c r="D1829">
        <v>14000</v>
      </c>
      <c r="E1829">
        <v>499</v>
      </c>
      <c r="F1829">
        <v>1</v>
      </c>
      <c r="G1829">
        <v>14000</v>
      </c>
      <c r="H1829">
        <v>2.7889499999999998E-4</v>
      </c>
      <c r="I1829">
        <v>2894</v>
      </c>
      <c r="J1829">
        <v>2856</v>
      </c>
      <c r="K1829">
        <v>38</v>
      </c>
      <c r="L1829">
        <v>500</v>
      </c>
      <c r="M1829">
        <v>499</v>
      </c>
      <c r="N1829">
        <v>1</v>
      </c>
      <c r="O1829">
        <v>11106</v>
      </c>
      <c r="P1829">
        <v>1</v>
      </c>
    </row>
    <row r="1830" spans="1:16" x14ac:dyDescent="0.2">
      <c r="A1830" s="3" t="s">
        <v>49</v>
      </c>
      <c r="B1830" s="3" t="s">
        <v>50</v>
      </c>
      <c r="C1830">
        <v>50</v>
      </c>
      <c r="D1830">
        <v>14000</v>
      </c>
      <c r="E1830">
        <v>499</v>
      </c>
      <c r="F1830">
        <v>1</v>
      </c>
      <c r="G1830">
        <v>58565.0323707059</v>
      </c>
      <c r="H1830">
        <v>2.7881200000000003E-4</v>
      </c>
      <c r="I1830">
        <v>2897</v>
      </c>
      <c r="J1830">
        <v>2871</v>
      </c>
      <c r="K1830">
        <v>26</v>
      </c>
      <c r="L1830">
        <v>500</v>
      </c>
      <c r="M1830">
        <v>499</v>
      </c>
      <c r="N1830">
        <v>1</v>
      </c>
      <c r="O1830">
        <v>48285.921806742801</v>
      </c>
      <c r="P1830">
        <v>0</v>
      </c>
    </row>
    <row r="1831" spans="1:16" x14ac:dyDescent="0.2">
      <c r="A1831" s="3" t="s">
        <v>49</v>
      </c>
      <c r="B1831" s="3" t="s">
        <v>50</v>
      </c>
      <c r="C1831">
        <v>49</v>
      </c>
      <c r="D1831">
        <v>14000</v>
      </c>
      <c r="E1831">
        <v>499</v>
      </c>
      <c r="F1831">
        <v>1</v>
      </c>
      <c r="G1831">
        <v>58565.0323707059</v>
      </c>
      <c r="H1831">
        <v>2.7872900000000002E-4</v>
      </c>
      <c r="I1831">
        <v>2865</v>
      </c>
      <c r="J1831">
        <v>2835</v>
      </c>
      <c r="K1831">
        <v>30</v>
      </c>
      <c r="L1831">
        <v>500</v>
      </c>
      <c r="M1831">
        <v>499</v>
      </c>
      <c r="N1831">
        <v>1</v>
      </c>
      <c r="O1831">
        <v>48258.389378193002</v>
      </c>
      <c r="P1831">
        <v>0</v>
      </c>
    </row>
    <row r="1832" spans="1:16" x14ac:dyDescent="0.2">
      <c r="A1832" s="3" t="s">
        <v>49</v>
      </c>
      <c r="B1832" s="3" t="s">
        <v>50</v>
      </c>
      <c r="C1832">
        <v>13</v>
      </c>
      <c r="D1832">
        <v>12000</v>
      </c>
      <c r="E1832">
        <v>499</v>
      </c>
      <c r="F1832">
        <v>1</v>
      </c>
      <c r="G1832">
        <v>50533.323552418398</v>
      </c>
      <c r="H1832">
        <v>2.78528E-4</v>
      </c>
      <c r="I1832">
        <v>2830</v>
      </c>
      <c r="J1832">
        <v>2805</v>
      </c>
      <c r="K1832">
        <v>25</v>
      </c>
      <c r="L1832">
        <v>500</v>
      </c>
      <c r="M1832">
        <v>499</v>
      </c>
      <c r="N1832">
        <v>1</v>
      </c>
      <c r="O1832">
        <v>39774.4687786012</v>
      </c>
      <c r="P1832">
        <v>0</v>
      </c>
    </row>
    <row r="1833" spans="1:16" x14ac:dyDescent="0.2">
      <c r="A1833" s="3" t="s">
        <v>49</v>
      </c>
      <c r="B1833" s="3" t="s">
        <v>50</v>
      </c>
      <c r="C1833">
        <v>29</v>
      </c>
      <c r="D1833">
        <v>14000</v>
      </c>
      <c r="E1833">
        <v>499</v>
      </c>
      <c r="F1833">
        <v>1</v>
      </c>
      <c r="G1833">
        <v>14000</v>
      </c>
      <c r="H1833">
        <v>2.7850100000000001E-4</v>
      </c>
      <c r="I1833">
        <v>2859</v>
      </c>
      <c r="J1833">
        <v>2832</v>
      </c>
      <c r="K1833">
        <v>27</v>
      </c>
      <c r="L1833">
        <v>500</v>
      </c>
      <c r="M1833">
        <v>499</v>
      </c>
      <c r="N1833">
        <v>1</v>
      </c>
      <c r="O1833">
        <v>11141</v>
      </c>
      <c r="P1833">
        <v>1</v>
      </c>
    </row>
    <row r="1834" spans="1:16" x14ac:dyDescent="0.2">
      <c r="A1834" s="3" t="s">
        <v>49</v>
      </c>
      <c r="B1834" s="3" t="s">
        <v>50</v>
      </c>
      <c r="C1834">
        <v>21</v>
      </c>
      <c r="D1834">
        <v>12000</v>
      </c>
      <c r="E1834">
        <v>499</v>
      </c>
      <c r="F1834">
        <v>1</v>
      </c>
      <c r="G1834">
        <v>12000</v>
      </c>
      <c r="H1834">
        <v>2.7834499999999999E-4</v>
      </c>
      <c r="I1834">
        <v>2764</v>
      </c>
      <c r="J1834">
        <v>2742</v>
      </c>
      <c r="K1834">
        <v>22</v>
      </c>
      <c r="L1834">
        <v>500</v>
      </c>
      <c r="M1834">
        <v>499</v>
      </c>
      <c r="N1834">
        <v>1</v>
      </c>
      <c r="O1834">
        <v>9236</v>
      </c>
      <c r="P1834">
        <v>1</v>
      </c>
    </row>
    <row r="1835" spans="1:16" x14ac:dyDescent="0.2">
      <c r="A1835" s="3" t="s">
        <v>49</v>
      </c>
      <c r="B1835" s="3" t="s">
        <v>50</v>
      </c>
      <c r="C1835">
        <v>22</v>
      </c>
      <c r="D1835">
        <v>14000</v>
      </c>
      <c r="E1835">
        <v>499</v>
      </c>
      <c r="F1835">
        <v>1</v>
      </c>
      <c r="G1835">
        <v>58565.0323707059</v>
      </c>
      <c r="H1835">
        <v>2.7832699999999998E-4</v>
      </c>
      <c r="I1835">
        <v>2853</v>
      </c>
      <c r="J1835">
        <v>2826</v>
      </c>
      <c r="K1835">
        <v>27</v>
      </c>
      <c r="L1835">
        <v>500</v>
      </c>
      <c r="M1835">
        <v>499</v>
      </c>
      <c r="N1835">
        <v>1</v>
      </c>
      <c r="O1835">
        <v>48284.064801520799</v>
      </c>
      <c r="P1835">
        <v>0</v>
      </c>
    </row>
    <row r="1836" spans="1:16" x14ac:dyDescent="0.2">
      <c r="A1836" s="3" t="s">
        <v>49</v>
      </c>
      <c r="B1836" s="3" t="s">
        <v>50</v>
      </c>
      <c r="C1836">
        <v>21</v>
      </c>
      <c r="D1836">
        <v>13000</v>
      </c>
      <c r="E1836">
        <v>499</v>
      </c>
      <c r="F1836">
        <v>1</v>
      </c>
      <c r="G1836">
        <v>53044.701099550097</v>
      </c>
      <c r="H1836">
        <v>2.7829900000000003E-4</v>
      </c>
      <c r="I1836">
        <v>2858</v>
      </c>
      <c r="J1836">
        <v>2826</v>
      </c>
      <c r="K1836">
        <v>32</v>
      </c>
      <c r="L1836">
        <v>500</v>
      </c>
      <c r="M1836">
        <v>499</v>
      </c>
      <c r="N1836">
        <v>1</v>
      </c>
      <c r="O1836">
        <v>42630.918870119101</v>
      </c>
      <c r="P1836">
        <v>0</v>
      </c>
    </row>
    <row r="1837" spans="1:16" x14ac:dyDescent="0.2">
      <c r="A1837" s="3" t="s">
        <v>49</v>
      </c>
      <c r="B1837" s="3" t="s">
        <v>50</v>
      </c>
      <c r="C1837">
        <v>42</v>
      </c>
      <c r="D1837">
        <v>13000</v>
      </c>
      <c r="E1837">
        <v>499</v>
      </c>
      <c r="F1837">
        <v>1</v>
      </c>
      <c r="G1837">
        <v>13000</v>
      </c>
      <c r="H1837">
        <v>2.7780399999999998E-4</v>
      </c>
      <c r="I1837">
        <v>2819</v>
      </c>
      <c r="J1837">
        <v>2799</v>
      </c>
      <c r="K1837">
        <v>20</v>
      </c>
      <c r="L1837">
        <v>500</v>
      </c>
      <c r="M1837">
        <v>499</v>
      </c>
      <c r="N1837">
        <v>1</v>
      </c>
      <c r="O1837">
        <v>10181</v>
      </c>
      <c r="P1837">
        <v>1</v>
      </c>
    </row>
    <row r="1838" spans="1:16" x14ac:dyDescent="0.2">
      <c r="A1838" s="3" t="s">
        <v>49</v>
      </c>
      <c r="B1838" s="3" t="s">
        <v>50</v>
      </c>
      <c r="C1838">
        <v>50</v>
      </c>
      <c r="D1838">
        <v>14000</v>
      </c>
      <c r="E1838">
        <v>499</v>
      </c>
      <c r="F1838">
        <v>1</v>
      </c>
      <c r="G1838">
        <v>14000</v>
      </c>
      <c r="H1838">
        <v>2.7774899999999999E-4</v>
      </c>
      <c r="I1838">
        <v>2896</v>
      </c>
      <c r="J1838">
        <v>2875</v>
      </c>
      <c r="K1838">
        <v>21</v>
      </c>
      <c r="L1838">
        <v>500</v>
      </c>
      <c r="M1838">
        <v>499</v>
      </c>
      <c r="N1838">
        <v>1</v>
      </c>
      <c r="O1838">
        <v>11104</v>
      </c>
      <c r="P1838">
        <v>1</v>
      </c>
    </row>
    <row r="1839" spans="1:16" x14ac:dyDescent="0.2">
      <c r="A1839" s="3" t="s">
        <v>49</v>
      </c>
      <c r="B1839" s="3" t="s">
        <v>50</v>
      </c>
      <c r="C1839">
        <v>47</v>
      </c>
      <c r="D1839">
        <v>14000</v>
      </c>
      <c r="E1839">
        <v>499</v>
      </c>
      <c r="F1839">
        <v>1</v>
      </c>
      <c r="G1839">
        <v>58565.0323707059</v>
      </c>
      <c r="H1839">
        <v>2.7760300000000002E-4</v>
      </c>
      <c r="I1839">
        <v>2858</v>
      </c>
      <c r="J1839">
        <v>2824</v>
      </c>
      <c r="K1839">
        <v>34</v>
      </c>
      <c r="L1839">
        <v>500</v>
      </c>
      <c r="M1839">
        <v>499</v>
      </c>
      <c r="N1839">
        <v>1</v>
      </c>
      <c r="O1839">
        <v>48216.411271648998</v>
      </c>
      <c r="P1839">
        <v>0</v>
      </c>
    </row>
    <row r="1840" spans="1:16" x14ac:dyDescent="0.2">
      <c r="A1840" s="3" t="s">
        <v>49</v>
      </c>
      <c r="B1840" s="3" t="s">
        <v>50</v>
      </c>
      <c r="C1840">
        <v>10</v>
      </c>
      <c r="D1840">
        <v>14000</v>
      </c>
      <c r="E1840">
        <v>499</v>
      </c>
      <c r="F1840">
        <v>1</v>
      </c>
      <c r="G1840">
        <v>58565.0323707059</v>
      </c>
      <c r="H1840">
        <v>2.7758399999999999E-4</v>
      </c>
      <c r="I1840">
        <v>2849</v>
      </c>
      <c r="J1840">
        <v>2822</v>
      </c>
      <c r="K1840">
        <v>27</v>
      </c>
      <c r="L1840">
        <v>500</v>
      </c>
      <c r="M1840">
        <v>499</v>
      </c>
      <c r="N1840">
        <v>1</v>
      </c>
      <c r="O1840">
        <v>48248.958606337401</v>
      </c>
      <c r="P1840">
        <v>0</v>
      </c>
    </row>
    <row r="1841" spans="1:16" x14ac:dyDescent="0.2">
      <c r="A1841" s="3" t="s">
        <v>49</v>
      </c>
      <c r="B1841" s="3" t="s">
        <v>50</v>
      </c>
      <c r="C1841">
        <v>27</v>
      </c>
      <c r="D1841">
        <v>14000</v>
      </c>
      <c r="E1841">
        <v>499</v>
      </c>
      <c r="F1841">
        <v>1</v>
      </c>
      <c r="G1841">
        <v>14000</v>
      </c>
      <c r="H1841">
        <v>2.7741899999999999E-4</v>
      </c>
      <c r="I1841">
        <v>2822</v>
      </c>
      <c r="J1841">
        <v>2794</v>
      </c>
      <c r="K1841">
        <v>28</v>
      </c>
      <c r="L1841">
        <v>500</v>
      </c>
      <c r="M1841">
        <v>499</v>
      </c>
      <c r="N1841">
        <v>1</v>
      </c>
      <c r="O1841">
        <v>11178</v>
      </c>
      <c r="P1841">
        <v>1</v>
      </c>
    </row>
    <row r="1842" spans="1:16" x14ac:dyDescent="0.2">
      <c r="A1842" s="3" t="s">
        <v>49</v>
      </c>
      <c r="B1842" s="3" t="s">
        <v>50</v>
      </c>
      <c r="C1842">
        <v>31</v>
      </c>
      <c r="D1842">
        <v>13000</v>
      </c>
      <c r="E1842">
        <v>499</v>
      </c>
      <c r="F1842">
        <v>1</v>
      </c>
      <c r="G1842">
        <v>53044.701099550097</v>
      </c>
      <c r="H1842">
        <v>2.7694200000000002E-4</v>
      </c>
      <c r="I1842">
        <v>2825</v>
      </c>
      <c r="J1842">
        <v>2800</v>
      </c>
      <c r="K1842">
        <v>25</v>
      </c>
      <c r="L1842">
        <v>500</v>
      </c>
      <c r="M1842">
        <v>499</v>
      </c>
      <c r="N1842">
        <v>1</v>
      </c>
      <c r="O1842">
        <v>42723.363277037803</v>
      </c>
      <c r="P1842">
        <v>0</v>
      </c>
    </row>
    <row r="1843" spans="1:16" x14ac:dyDescent="0.2">
      <c r="A1843" s="3" t="s">
        <v>49</v>
      </c>
      <c r="B1843" s="3" t="s">
        <v>50</v>
      </c>
      <c r="C1843">
        <v>25</v>
      </c>
      <c r="D1843">
        <v>14000</v>
      </c>
      <c r="E1843">
        <v>499</v>
      </c>
      <c r="F1843">
        <v>1</v>
      </c>
      <c r="G1843">
        <v>58565.0323707059</v>
      </c>
      <c r="H1843">
        <v>2.7682299999999999E-4</v>
      </c>
      <c r="I1843">
        <v>2882</v>
      </c>
      <c r="J1843">
        <v>2853</v>
      </c>
      <c r="K1843">
        <v>29</v>
      </c>
      <c r="L1843">
        <v>500</v>
      </c>
      <c r="M1843">
        <v>499</v>
      </c>
      <c r="N1843">
        <v>1</v>
      </c>
      <c r="O1843">
        <v>48157.185300535399</v>
      </c>
      <c r="P1843">
        <v>0</v>
      </c>
    </row>
    <row r="1844" spans="1:16" x14ac:dyDescent="0.2">
      <c r="A1844" s="3" t="s">
        <v>49</v>
      </c>
      <c r="B1844" s="3" t="s">
        <v>50</v>
      </c>
      <c r="C1844">
        <v>25</v>
      </c>
      <c r="D1844">
        <v>13000</v>
      </c>
      <c r="E1844">
        <v>499</v>
      </c>
      <c r="F1844">
        <v>1</v>
      </c>
      <c r="G1844">
        <v>13000</v>
      </c>
      <c r="H1844">
        <v>2.7681400000000001E-4</v>
      </c>
      <c r="I1844">
        <v>2819</v>
      </c>
      <c r="J1844">
        <v>2797</v>
      </c>
      <c r="K1844">
        <v>22</v>
      </c>
      <c r="L1844">
        <v>500</v>
      </c>
      <c r="M1844">
        <v>499</v>
      </c>
      <c r="N1844">
        <v>1</v>
      </c>
      <c r="O1844">
        <v>10181</v>
      </c>
      <c r="P1844">
        <v>1</v>
      </c>
    </row>
    <row r="1845" spans="1:16" x14ac:dyDescent="0.2">
      <c r="A1845" s="3" t="s">
        <v>49</v>
      </c>
      <c r="B1845" s="3" t="s">
        <v>50</v>
      </c>
      <c r="C1845">
        <v>48</v>
      </c>
      <c r="D1845">
        <v>14000</v>
      </c>
      <c r="E1845">
        <v>499</v>
      </c>
      <c r="F1845">
        <v>1</v>
      </c>
      <c r="G1845">
        <v>58565.0323707059</v>
      </c>
      <c r="H1845">
        <v>2.76741E-4</v>
      </c>
      <c r="I1845">
        <v>2878</v>
      </c>
      <c r="J1845">
        <v>2852</v>
      </c>
      <c r="K1845">
        <v>26</v>
      </c>
      <c r="L1845">
        <v>500</v>
      </c>
      <c r="M1845">
        <v>499</v>
      </c>
      <c r="N1845">
        <v>1</v>
      </c>
      <c r="O1845">
        <v>48277.244210332203</v>
      </c>
      <c r="P1845">
        <v>0</v>
      </c>
    </row>
    <row r="1846" spans="1:16" x14ac:dyDescent="0.2">
      <c r="A1846" s="3" t="s">
        <v>49</v>
      </c>
      <c r="B1846" s="3" t="s">
        <v>50</v>
      </c>
      <c r="C1846">
        <v>32</v>
      </c>
      <c r="D1846">
        <v>14000</v>
      </c>
      <c r="E1846">
        <v>499</v>
      </c>
      <c r="F1846">
        <v>1</v>
      </c>
      <c r="G1846">
        <v>58565.0323707059</v>
      </c>
      <c r="H1846">
        <v>2.7644699999999998E-4</v>
      </c>
      <c r="I1846">
        <v>2834</v>
      </c>
      <c r="J1846">
        <v>2817</v>
      </c>
      <c r="K1846">
        <v>17</v>
      </c>
      <c r="L1846">
        <v>500</v>
      </c>
      <c r="M1846">
        <v>499</v>
      </c>
      <c r="N1846">
        <v>1</v>
      </c>
      <c r="O1846">
        <v>48401.144426958097</v>
      </c>
      <c r="P1846">
        <v>0</v>
      </c>
    </row>
    <row r="1847" spans="1:16" x14ac:dyDescent="0.2">
      <c r="A1847" s="3" t="s">
        <v>49</v>
      </c>
      <c r="B1847" s="3" t="s">
        <v>50</v>
      </c>
      <c r="C1847">
        <v>24</v>
      </c>
      <c r="D1847">
        <v>14000</v>
      </c>
      <c r="E1847">
        <v>499</v>
      </c>
      <c r="F1847">
        <v>1</v>
      </c>
      <c r="G1847">
        <v>58565.0323707059</v>
      </c>
      <c r="H1847">
        <v>2.7636499999999999E-4</v>
      </c>
      <c r="I1847">
        <v>2856</v>
      </c>
      <c r="J1847">
        <v>2819</v>
      </c>
      <c r="K1847">
        <v>37</v>
      </c>
      <c r="L1847">
        <v>500</v>
      </c>
      <c r="M1847">
        <v>499</v>
      </c>
      <c r="N1847">
        <v>1</v>
      </c>
      <c r="O1847">
        <v>48297.633848651298</v>
      </c>
      <c r="P1847">
        <v>0</v>
      </c>
    </row>
    <row r="1848" spans="1:16" x14ac:dyDescent="0.2">
      <c r="A1848" s="3" t="s">
        <v>49</v>
      </c>
      <c r="B1848" s="3" t="s">
        <v>50</v>
      </c>
      <c r="C1848">
        <v>26</v>
      </c>
      <c r="D1848">
        <v>14000</v>
      </c>
      <c r="E1848">
        <v>499</v>
      </c>
      <c r="F1848">
        <v>1</v>
      </c>
      <c r="G1848">
        <v>14000</v>
      </c>
      <c r="H1848">
        <v>2.7578800000000001E-4</v>
      </c>
      <c r="I1848">
        <v>2833</v>
      </c>
      <c r="J1848">
        <v>2808</v>
      </c>
      <c r="K1848">
        <v>25</v>
      </c>
      <c r="L1848">
        <v>500</v>
      </c>
      <c r="M1848">
        <v>499</v>
      </c>
      <c r="N1848">
        <v>1</v>
      </c>
      <c r="O1848">
        <v>11167</v>
      </c>
      <c r="P1848">
        <v>1</v>
      </c>
    </row>
    <row r="1849" spans="1:16" x14ac:dyDescent="0.2">
      <c r="A1849" s="3" t="s">
        <v>49</v>
      </c>
      <c r="B1849" s="3" t="s">
        <v>50</v>
      </c>
      <c r="C1849">
        <v>46</v>
      </c>
      <c r="D1849">
        <v>14000</v>
      </c>
      <c r="E1849">
        <v>499</v>
      </c>
      <c r="F1849">
        <v>1</v>
      </c>
      <c r="G1849">
        <v>14000</v>
      </c>
      <c r="H1849">
        <v>2.7577800000000001E-4</v>
      </c>
      <c r="I1849">
        <v>2852</v>
      </c>
      <c r="J1849">
        <v>2826</v>
      </c>
      <c r="K1849">
        <v>26</v>
      </c>
      <c r="L1849">
        <v>500</v>
      </c>
      <c r="M1849">
        <v>499</v>
      </c>
      <c r="N1849">
        <v>1</v>
      </c>
      <c r="O1849">
        <v>11148</v>
      </c>
      <c r="P1849">
        <v>1</v>
      </c>
    </row>
    <row r="1850" spans="1:16" x14ac:dyDescent="0.2">
      <c r="A1850" s="3" t="s">
        <v>49</v>
      </c>
      <c r="B1850" s="3" t="s">
        <v>50</v>
      </c>
      <c r="C1850">
        <v>29</v>
      </c>
      <c r="D1850">
        <v>14000</v>
      </c>
      <c r="E1850">
        <v>499</v>
      </c>
      <c r="F1850">
        <v>1</v>
      </c>
      <c r="G1850">
        <v>58565.0323707059</v>
      </c>
      <c r="H1850">
        <v>2.7565899999999998E-4</v>
      </c>
      <c r="I1850">
        <v>2881</v>
      </c>
      <c r="J1850">
        <v>2845</v>
      </c>
      <c r="K1850">
        <v>36</v>
      </c>
      <c r="L1850">
        <v>500</v>
      </c>
      <c r="M1850">
        <v>499</v>
      </c>
      <c r="N1850">
        <v>1</v>
      </c>
      <c r="O1850">
        <v>48257.476640334899</v>
      </c>
      <c r="P1850">
        <v>0</v>
      </c>
    </row>
    <row r="1851" spans="1:16" x14ac:dyDescent="0.2">
      <c r="A1851" s="3" t="s">
        <v>49</v>
      </c>
      <c r="B1851" s="3" t="s">
        <v>50</v>
      </c>
      <c r="C1851">
        <v>34</v>
      </c>
      <c r="D1851">
        <v>14000</v>
      </c>
      <c r="E1851">
        <v>499</v>
      </c>
      <c r="F1851">
        <v>1</v>
      </c>
      <c r="G1851">
        <v>58565.0323707059</v>
      </c>
      <c r="H1851">
        <v>2.7565000000000001E-4</v>
      </c>
      <c r="I1851">
        <v>2870</v>
      </c>
      <c r="J1851">
        <v>2840</v>
      </c>
      <c r="K1851">
        <v>30</v>
      </c>
      <c r="L1851">
        <v>500</v>
      </c>
      <c r="M1851">
        <v>499</v>
      </c>
      <c r="N1851">
        <v>1</v>
      </c>
      <c r="O1851">
        <v>48273.051788550998</v>
      </c>
      <c r="P1851">
        <v>0</v>
      </c>
    </row>
    <row r="1852" spans="1:16" x14ac:dyDescent="0.2">
      <c r="A1852" s="3" t="s">
        <v>49</v>
      </c>
      <c r="B1852" s="3" t="s">
        <v>50</v>
      </c>
      <c r="C1852">
        <v>25</v>
      </c>
      <c r="D1852">
        <v>14000</v>
      </c>
      <c r="E1852">
        <v>499</v>
      </c>
      <c r="F1852">
        <v>1</v>
      </c>
      <c r="G1852">
        <v>14000</v>
      </c>
      <c r="H1852">
        <v>2.7548500000000001E-4</v>
      </c>
      <c r="I1852">
        <v>2883</v>
      </c>
      <c r="J1852">
        <v>2848</v>
      </c>
      <c r="K1852">
        <v>35</v>
      </c>
      <c r="L1852">
        <v>500</v>
      </c>
      <c r="M1852">
        <v>499</v>
      </c>
      <c r="N1852">
        <v>1</v>
      </c>
      <c r="O1852">
        <v>11117</v>
      </c>
      <c r="P1852">
        <v>1</v>
      </c>
    </row>
    <row r="1853" spans="1:16" x14ac:dyDescent="0.2">
      <c r="A1853" s="3" t="s">
        <v>49</v>
      </c>
      <c r="B1853" s="3" t="s">
        <v>50</v>
      </c>
      <c r="C1853">
        <v>13</v>
      </c>
      <c r="D1853">
        <v>14000</v>
      </c>
      <c r="E1853">
        <v>499</v>
      </c>
      <c r="F1853">
        <v>1</v>
      </c>
      <c r="G1853">
        <v>58565.0323707059</v>
      </c>
      <c r="H1853">
        <v>2.7532000000000001E-4</v>
      </c>
      <c r="I1853">
        <v>2895</v>
      </c>
      <c r="J1853">
        <v>2870</v>
      </c>
      <c r="K1853">
        <v>25</v>
      </c>
      <c r="L1853">
        <v>500</v>
      </c>
      <c r="M1853">
        <v>499</v>
      </c>
      <c r="N1853">
        <v>1</v>
      </c>
      <c r="O1853">
        <v>48185.335936731601</v>
      </c>
      <c r="P1853">
        <v>0</v>
      </c>
    </row>
    <row r="1854" spans="1:16" x14ac:dyDescent="0.2">
      <c r="A1854" s="3" t="s">
        <v>49</v>
      </c>
      <c r="B1854" s="3" t="s">
        <v>50</v>
      </c>
      <c r="C1854">
        <v>16</v>
      </c>
      <c r="D1854">
        <v>13000</v>
      </c>
      <c r="E1854">
        <v>499</v>
      </c>
      <c r="F1854">
        <v>1</v>
      </c>
      <c r="G1854">
        <v>13000</v>
      </c>
      <c r="H1854">
        <v>2.7530099999999999E-4</v>
      </c>
      <c r="I1854">
        <v>2817</v>
      </c>
      <c r="J1854">
        <v>2783</v>
      </c>
      <c r="K1854">
        <v>34</v>
      </c>
      <c r="L1854">
        <v>500</v>
      </c>
      <c r="M1854">
        <v>499</v>
      </c>
      <c r="N1854">
        <v>1</v>
      </c>
      <c r="O1854">
        <v>10183</v>
      </c>
      <c r="P1854">
        <v>1</v>
      </c>
    </row>
    <row r="1855" spans="1:16" x14ac:dyDescent="0.2">
      <c r="A1855" s="3" t="s">
        <v>49</v>
      </c>
      <c r="B1855" s="3" t="s">
        <v>50</v>
      </c>
      <c r="C1855">
        <v>31</v>
      </c>
      <c r="D1855">
        <v>14000</v>
      </c>
      <c r="E1855">
        <v>499</v>
      </c>
      <c r="F1855">
        <v>1</v>
      </c>
      <c r="G1855">
        <v>14000</v>
      </c>
      <c r="H1855">
        <v>2.7530099999999999E-4</v>
      </c>
      <c r="I1855">
        <v>2845</v>
      </c>
      <c r="J1855">
        <v>2803</v>
      </c>
      <c r="K1855">
        <v>42</v>
      </c>
      <c r="L1855">
        <v>500</v>
      </c>
      <c r="M1855">
        <v>499</v>
      </c>
      <c r="N1855">
        <v>1</v>
      </c>
      <c r="O1855">
        <v>11155</v>
      </c>
      <c r="P1855">
        <v>1</v>
      </c>
    </row>
    <row r="1856" spans="1:16" x14ac:dyDescent="0.2">
      <c r="A1856" s="3" t="s">
        <v>49</v>
      </c>
      <c r="B1856" s="3" t="s">
        <v>50</v>
      </c>
      <c r="C1856">
        <v>22</v>
      </c>
      <c r="D1856">
        <v>11000</v>
      </c>
      <c r="E1856">
        <v>499</v>
      </c>
      <c r="F1856">
        <v>1</v>
      </c>
      <c r="G1856">
        <v>11000</v>
      </c>
      <c r="H1856">
        <v>2.7511799999999998E-4</v>
      </c>
      <c r="I1856">
        <v>2820</v>
      </c>
      <c r="J1856">
        <v>2796</v>
      </c>
      <c r="K1856">
        <v>24</v>
      </c>
      <c r="L1856">
        <v>500</v>
      </c>
      <c r="M1856">
        <v>499</v>
      </c>
      <c r="N1856">
        <v>1</v>
      </c>
      <c r="O1856">
        <v>8180</v>
      </c>
      <c r="P1856">
        <v>1</v>
      </c>
    </row>
    <row r="1857" spans="1:16" x14ac:dyDescent="0.2">
      <c r="A1857" s="3" t="s">
        <v>49</v>
      </c>
      <c r="B1857" s="3" t="s">
        <v>50</v>
      </c>
      <c r="C1857">
        <v>14</v>
      </c>
      <c r="D1857">
        <v>13000</v>
      </c>
      <c r="E1857">
        <v>499</v>
      </c>
      <c r="F1857">
        <v>1</v>
      </c>
      <c r="G1857">
        <v>53044.701099550097</v>
      </c>
      <c r="H1857">
        <v>2.75109E-4</v>
      </c>
      <c r="I1857">
        <v>2852</v>
      </c>
      <c r="J1857">
        <v>2827</v>
      </c>
      <c r="K1857">
        <v>25</v>
      </c>
      <c r="L1857">
        <v>500</v>
      </c>
      <c r="M1857">
        <v>499</v>
      </c>
      <c r="N1857">
        <v>1</v>
      </c>
      <c r="O1857">
        <v>42532.051406533799</v>
      </c>
      <c r="P1857">
        <v>0</v>
      </c>
    </row>
    <row r="1858" spans="1:16" x14ac:dyDescent="0.2">
      <c r="A1858" s="3" t="s">
        <v>49</v>
      </c>
      <c r="B1858" s="3" t="s">
        <v>50</v>
      </c>
      <c r="C1858">
        <v>49</v>
      </c>
      <c r="D1858">
        <v>14000</v>
      </c>
      <c r="E1858">
        <v>499</v>
      </c>
      <c r="F1858">
        <v>1</v>
      </c>
      <c r="G1858">
        <v>14000</v>
      </c>
      <c r="H1858">
        <v>2.75109E-4</v>
      </c>
      <c r="I1858">
        <v>2874</v>
      </c>
      <c r="J1858">
        <v>2851</v>
      </c>
      <c r="K1858">
        <v>23</v>
      </c>
      <c r="L1858">
        <v>500</v>
      </c>
      <c r="M1858">
        <v>499</v>
      </c>
      <c r="N1858">
        <v>1</v>
      </c>
      <c r="O1858">
        <v>11126</v>
      </c>
      <c r="P1858">
        <v>1</v>
      </c>
    </row>
    <row r="1859" spans="1:16" x14ac:dyDescent="0.2">
      <c r="A1859" s="3" t="s">
        <v>49</v>
      </c>
      <c r="B1859" s="3" t="s">
        <v>50</v>
      </c>
      <c r="C1859">
        <v>24</v>
      </c>
      <c r="D1859">
        <v>14000</v>
      </c>
      <c r="E1859">
        <v>499</v>
      </c>
      <c r="F1859">
        <v>1</v>
      </c>
      <c r="G1859">
        <v>14000</v>
      </c>
      <c r="H1859">
        <v>2.7507299999999997E-4</v>
      </c>
      <c r="I1859">
        <v>2862</v>
      </c>
      <c r="J1859">
        <v>2823</v>
      </c>
      <c r="K1859">
        <v>39</v>
      </c>
      <c r="L1859">
        <v>500</v>
      </c>
      <c r="M1859">
        <v>499</v>
      </c>
      <c r="N1859">
        <v>1</v>
      </c>
      <c r="O1859">
        <v>11138</v>
      </c>
      <c r="P1859">
        <v>1</v>
      </c>
    </row>
    <row r="1860" spans="1:16" x14ac:dyDescent="0.2">
      <c r="A1860" s="3" t="s">
        <v>49</v>
      </c>
      <c r="B1860" s="3" t="s">
        <v>50</v>
      </c>
      <c r="C1860">
        <v>14</v>
      </c>
      <c r="D1860">
        <v>14000</v>
      </c>
      <c r="E1860">
        <v>499</v>
      </c>
      <c r="F1860">
        <v>1</v>
      </c>
      <c r="G1860">
        <v>58565.0323707059</v>
      </c>
      <c r="H1860">
        <v>2.74954E-4</v>
      </c>
      <c r="I1860">
        <v>2845</v>
      </c>
      <c r="J1860">
        <v>2816</v>
      </c>
      <c r="K1860">
        <v>29</v>
      </c>
      <c r="L1860">
        <v>500</v>
      </c>
      <c r="M1860">
        <v>499</v>
      </c>
      <c r="N1860">
        <v>1</v>
      </c>
      <c r="O1860">
        <v>48276.7360114619</v>
      </c>
      <c r="P1860">
        <v>0</v>
      </c>
    </row>
    <row r="1861" spans="1:16" x14ac:dyDescent="0.2">
      <c r="A1861" s="3" t="s">
        <v>49</v>
      </c>
      <c r="B1861" s="3" t="s">
        <v>50</v>
      </c>
      <c r="C1861">
        <v>13</v>
      </c>
      <c r="D1861">
        <v>13000</v>
      </c>
      <c r="E1861">
        <v>499</v>
      </c>
      <c r="F1861">
        <v>1</v>
      </c>
      <c r="G1861">
        <v>13000</v>
      </c>
      <c r="H1861">
        <v>2.7488000000000002E-4</v>
      </c>
      <c r="I1861">
        <v>2832</v>
      </c>
      <c r="J1861">
        <v>2804</v>
      </c>
      <c r="K1861">
        <v>28</v>
      </c>
      <c r="L1861">
        <v>500</v>
      </c>
      <c r="M1861">
        <v>499</v>
      </c>
      <c r="N1861">
        <v>1</v>
      </c>
      <c r="O1861">
        <v>10168</v>
      </c>
      <c r="P1861">
        <v>1</v>
      </c>
    </row>
    <row r="1862" spans="1:16" x14ac:dyDescent="0.2">
      <c r="A1862" s="3" t="s">
        <v>49</v>
      </c>
      <c r="B1862" s="3" t="s">
        <v>50</v>
      </c>
      <c r="C1862">
        <v>10</v>
      </c>
      <c r="D1862">
        <v>14000</v>
      </c>
      <c r="E1862">
        <v>499</v>
      </c>
      <c r="F1862">
        <v>1</v>
      </c>
      <c r="G1862">
        <v>14000</v>
      </c>
      <c r="H1862">
        <v>2.7487900000000001E-4</v>
      </c>
      <c r="I1862">
        <v>2839</v>
      </c>
      <c r="J1862">
        <v>2811</v>
      </c>
      <c r="K1862">
        <v>28</v>
      </c>
      <c r="L1862">
        <v>500</v>
      </c>
      <c r="M1862">
        <v>499</v>
      </c>
      <c r="N1862">
        <v>1</v>
      </c>
      <c r="O1862">
        <v>11161</v>
      </c>
      <c r="P1862">
        <v>1</v>
      </c>
    </row>
    <row r="1863" spans="1:16" x14ac:dyDescent="0.2">
      <c r="A1863" s="3" t="s">
        <v>49</v>
      </c>
      <c r="B1863" s="3" t="s">
        <v>50</v>
      </c>
      <c r="C1863">
        <v>23</v>
      </c>
      <c r="D1863">
        <v>13000</v>
      </c>
      <c r="E1863">
        <v>499</v>
      </c>
      <c r="F1863">
        <v>1</v>
      </c>
      <c r="G1863">
        <v>53044.701099550097</v>
      </c>
      <c r="H1863">
        <v>2.74596E-4</v>
      </c>
      <c r="I1863">
        <v>2812</v>
      </c>
      <c r="J1863">
        <v>2789</v>
      </c>
      <c r="K1863">
        <v>23</v>
      </c>
      <c r="L1863">
        <v>500</v>
      </c>
      <c r="M1863">
        <v>499</v>
      </c>
      <c r="N1863">
        <v>1</v>
      </c>
      <c r="O1863">
        <v>42699.016526240099</v>
      </c>
      <c r="P1863">
        <v>0</v>
      </c>
    </row>
    <row r="1864" spans="1:16" x14ac:dyDescent="0.2">
      <c r="A1864" s="3" t="s">
        <v>49</v>
      </c>
      <c r="B1864" s="3" t="s">
        <v>50</v>
      </c>
      <c r="C1864">
        <v>3</v>
      </c>
      <c r="D1864">
        <v>10000</v>
      </c>
      <c r="E1864">
        <v>499</v>
      </c>
      <c r="F1864">
        <v>1</v>
      </c>
      <c r="G1864">
        <v>39482.677260513999</v>
      </c>
      <c r="H1864">
        <v>2.7455900000000001E-4</v>
      </c>
      <c r="I1864">
        <v>2721</v>
      </c>
      <c r="J1864">
        <v>2705</v>
      </c>
      <c r="K1864">
        <v>16</v>
      </c>
      <c r="L1864">
        <v>500</v>
      </c>
      <c r="M1864">
        <v>499</v>
      </c>
      <c r="N1864">
        <v>1</v>
      </c>
      <c r="O1864">
        <v>29794.2098040483</v>
      </c>
      <c r="P1864">
        <v>0</v>
      </c>
    </row>
    <row r="1865" spans="1:16" x14ac:dyDescent="0.2">
      <c r="A1865" s="3" t="s">
        <v>49</v>
      </c>
      <c r="B1865" s="3" t="s">
        <v>50</v>
      </c>
      <c r="C1865">
        <v>17</v>
      </c>
      <c r="D1865">
        <v>14000</v>
      </c>
      <c r="E1865">
        <v>499</v>
      </c>
      <c r="F1865">
        <v>1</v>
      </c>
      <c r="G1865">
        <v>14000</v>
      </c>
      <c r="H1865">
        <v>2.7428400000000002E-4</v>
      </c>
      <c r="I1865">
        <v>2862</v>
      </c>
      <c r="J1865">
        <v>2826</v>
      </c>
      <c r="K1865">
        <v>36</v>
      </c>
      <c r="L1865">
        <v>500</v>
      </c>
      <c r="M1865">
        <v>499</v>
      </c>
      <c r="N1865">
        <v>1</v>
      </c>
      <c r="O1865">
        <v>11138</v>
      </c>
      <c r="P1865">
        <v>1</v>
      </c>
    </row>
    <row r="1866" spans="1:16" x14ac:dyDescent="0.2">
      <c r="A1866" s="3" t="s">
        <v>49</v>
      </c>
      <c r="B1866" s="3" t="s">
        <v>50</v>
      </c>
      <c r="C1866">
        <v>8</v>
      </c>
      <c r="D1866">
        <v>13000</v>
      </c>
      <c r="E1866">
        <v>499</v>
      </c>
      <c r="F1866">
        <v>1</v>
      </c>
      <c r="G1866">
        <v>53044.701099550097</v>
      </c>
      <c r="H1866">
        <v>2.7415600000000001E-4</v>
      </c>
      <c r="I1866">
        <v>2811</v>
      </c>
      <c r="J1866">
        <v>2787</v>
      </c>
      <c r="K1866">
        <v>24</v>
      </c>
      <c r="L1866">
        <v>500</v>
      </c>
      <c r="M1866">
        <v>499</v>
      </c>
      <c r="N1866">
        <v>1</v>
      </c>
      <c r="O1866">
        <v>42675.987749518201</v>
      </c>
      <c r="P1866">
        <v>0</v>
      </c>
    </row>
    <row r="1867" spans="1:16" x14ac:dyDescent="0.2">
      <c r="A1867" s="3" t="s">
        <v>49</v>
      </c>
      <c r="B1867" s="3" t="s">
        <v>50</v>
      </c>
      <c r="C1867">
        <v>38</v>
      </c>
      <c r="D1867">
        <v>14000</v>
      </c>
      <c r="E1867">
        <v>499</v>
      </c>
      <c r="F1867">
        <v>1</v>
      </c>
      <c r="G1867">
        <v>58565.0323707059</v>
      </c>
      <c r="H1867">
        <v>2.7410999999999999E-4</v>
      </c>
      <c r="I1867">
        <v>2836</v>
      </c>
      <c r="J1867">
        <v>2807</v>
      </c>
      <c r="K1867">
        <v>29</v>
      </c>
      <c r="L1867">
        <v>500</v>
      </c>
      <c r="M1867">
        <v>499</v>
      </c>
      <c r="N1867">
        <v>1</v>
      </c>
      <c r="O1867">
        <v>48387.015050191898</v>
      </c>
      <c r="P1867">
        <v>0</v>
      </c>
    </row>
    <row r="1868" spans="1:16" x14ac:dyDescent="0.2">
      <c r="A1868" s="3" t="s">
        <v>49</v>
      </c>
      <c r="B1868" s="3" t="s">
        <v>50</v>
      </c>
      <c r="C1868">
        <v>33</v>
      </c>
      <c r="D1868">
        <v>11000</v>
      </c>
      <c r="E1868">
        <v>499</v>
      </c>
      <c r="F1868">
        <v>1</v>
      </c>
      <c r="G1868">
        <v>44062.122210792702</v>
      </c>
      <c r="H1868">
        <v>2.74028E-4</v>
      </c>
      <c r="I1868">
        <v>2799</v>
      </c>
      <c r="J1868">
        <v>2773</v>
      </c>
      <c r="K1868">
        <v>26</v>
      </c>
      <c r="L1868">
        <v>500</v>
      </c>
      <c r="M1868">
        <v>499</v>
      </c>
      <c r="N1868">
        <v>1</v>
      </c>
      <c r="O1868">
        <v>33929.339220365997</v>
      </c>
      <c r="P1868">
        <v>0</v>
      </c>
    </row>
    <row r="1869" spans="1:16" x14ac:dyDescent="0.2">
      <c r="A1869" s="3" t="s">
        <v>49</v>
      </c>
      <c r="B1869" s="3" t="s">
        <v>50</v>
      </c>
      <c r="C1869">
        <v>36</v>
      </c>
      <c r="D1869">
        <v>13000</v>
      </c>
      <c r="E1869">
        <v>499</v>
      </c>
      <c r="F1869">
        <v>1</v>
      </c>
      <c r="G1869">
        <v>53044.701099550097</v>
      </c>
      <c r="H1869">
        <v>2.74018E-4</v>
      </c>
      <c r="I1869">
        <v>2861</v>
      </c>
      <c r="J1869">
        <v>2833</v>
      </c>
      <c r="K1869">
        <v>28</v>
      </c>
      <c r="L1869">
        <v>500</v>
      </c>
      <c r="M1869">
        <v>499</v>
      </c>
      <c r="N1869">
        <v>1</v>
      </c>
      <c r="O1869">
        <v>42537.911550466997</v>
      </c>
      <c r="P1869">
        <v>0</v>
      </c>
    </row>
    <row r="1870" spans="1:16" x14ac:dyDescent="0.2">
      <c r="A1870" s="3" t="s">
        <v>49</v>
      </c>
      <c r="B1870" s="3" t="s">
        <v>50</v>
      </c>
      <c r="C1870">
        <v>21</v>
      </c>
      <c r="D1870">
        <v>13000</v>
      </c>
      <c r="E1870">
        <v>499</v>
      </c>
      <c r="F1870">
        <v>1</v>
      </c>
      <c r="G1870">
        <v>13000</v>
      </c>
      <c r="H1870">
        <v>2.74018E-4</v>
      </c>
      <c r="I1870">
        <v>2818</v>
      </c>
      <c r="J1870">
        <v>2794</v>
      </c>
      <c r="K1870">
        <v>24</v>
      </c>
      <c r="L1870">
        <v>500</v>
      </c>
      <c r="M1870">
        <v>499</v>
      </c>
      <c r="N1870">
        <v>1</v>
      </c>
      <c r="O1870">
        <v>10182</v>
      </c>
      <c r="P1870">
        <v>1</v>
      </c>
    </row>
    <row r="1871" spans="1:16" x14ac:dyDescent="0.2">
      <c r="A1871" s="3" t="s">
        <v>49</v>
      </c>
      <c r="B1871" s="3" t="s">
        <v>50</v>
      </c>
      <c r="C1871">
        <v>5</v>
      </c>
      <c r="D1871">
        <v>14000</v>
      </c>
      <c r="E1871">
        <v>499</v>
      </c>
      <c r="F1871">
        <v>1</v>
      </c>
      <c r="G1871">
        <v>14000</v>
      </c>
      <c r="H1871">
        <v>2.7392699999999998E-4</v>
      </c>
      <c r="I1871">
        <v>2883</v>
      </c>
      <c r="J1871">
        <v>2850</v>
      </c>
      <c r="K1871">
        <v>33</v>
      </c>
      <c r="L1871">
        <v>500</v>
      </c>
      <c r="M1871">
        <v>499</v>
      </c>
      <c r="N1871">
        <v>1</v>
      </c>
      <c r="O1871">
        <v>11117</v>
      </c>
      <c r="P1871">
        <v>1</v>
      </c>
    </row>
    <row r="1872" spans="1:16" x14ac:dyDescent="0.2">
      <c r="A1872" s="3" t="s">
        <v>49</v>
      </c>
      <c r="B1872" s="3" t="s">
        <v>50</v>
      </c>
      <c r="C1872">
        <v>39</v>
      </c>
      <c r="D1872">
        <v>14000</v>
      </c>
      <c r="E1872">
        <v>499</v>
      </c>
      <c r="F1872">
        <v>1</v>
      </c>
      <c r="G1872">
        <v>14000</v>
      </c>
      <c r="H1872">
        <v>2.7388100000000002E-4</v>
      </c>
      <c r="I1872">
        <v>2821</v>
      </c>
      <c r="J1872">
        <v>2789</v>
      </c>
      <c r="K1872">
        <v>32</v>
      </c>
      <c r="L1872">
        <v>500</v>
      </c>
      <c r="M1872">
        <v>499</v>
      </c>
      <c r="N1872">
        <v>1</v>
      </c>
      <c r="O1872">
        <v>11179</v>
      </c>
      <c r="P1872">
        <v>1</v>
      </c>
    </row>
    <row r="1873" spans="1:16" x14ac:dyDescent="0.2">
      <c r="A1873" s="3" t="s">
        <v>49</v>
      </c>
      <c r="B1873" s="3" t="s">
        <v>50</v>
      </c>
      <c r="C1873">
        <v>6</v>
      </c>
      <c r="D1873">
        <v>14000</v>
      </c>
      <c r="E1873">
        <v>499</v>
      </c>
      <c r="F1873">
        <v>1</v>
      </c>
      <c r="G1873">
        <v>58565.0323707059</v>
      </c>
      <c r="H1873">
        <v>2.7375300000000001E-4</v>
      </c>
      <c r="I1873">
        <v>2855</v>
      </c>
      <c r="J1873">
        <v>2826</v>
      </c>
      <c r="K1873">
        <v>29</v>
      </c>
      <c r="L1873">
        <v>500</v>
      </c>
      <c r="M1873">
        <v>499</v>
      </c>
      <c r="N1873">
        <v>1</v>
      </c>
      <c r="O1873">
        <v>48356.572476306203</v>
      </c>
      <c r="P1873">
        <v>0</v>
      </c>
    </row>
    <row r="1874" spans="1:16" x14ac:dyDescent="0.2">
      <c r="A1874" s="3" t="s">
        <v>49</v>
      </c>
      <c r="B1874" s="3" t="s">
        <v>50</v>
      </c>
      <c r="C1874">
        <v>1</v>
      </c>
      <c r="D1874">
        <v>14000</v>
      </c>
      <c r="E1874">
        <v>499</v>
      </c>
      <c r="F1874">
        <v>1</v>
      </c>
      <c r="G1874">
        <v>14000</v>
      </c>
      <c r="H1874">
        <v>2.7369699999999999E-4</v>
      </c>
      <c r="I1874">
        <v>2847</v>
      </c>
      <c r="J1874">
        <v>2816</v>
      </c>
      <c r="K1874">
        <v>31</v>
      </c>
      <c r="L1874">
        <v>500</v>
      </c>
      <c r="M1874">
        <v>499</v>
      </c>
      <c r="N1874">
        <v>1</v>
      </c>
      <c r="O1874">
        <v>11153</v>
      </c>
      <c r="P1874">
        <v>1</v>
      </c>
    </row>
    <row r="1875" spans="1:16" x14ac:dyDescent="0.2">
      <c r="A1875" s="3" t="s">
        <v>49</v>
      </c>
      <c r="B1875" s="3" t="s">
        <v>50</v>
      </c>
      <c r="C1875">
        <v>22</v>
      </c>
      <c r="D1875">
        <v>14000</v>
      </c>
      <c r="E1875">
        <v>499</v>
      </c>
      <c r="F1875">
        <v>1</v>
      </c>
      <c r="G1875">
        <v>14000</v>
      </c>
      <c r="H1875">
        <v>2.7365199999999999E-4</v>
      </c>
      <c r="I1875">
        <v>2880</v>
      </c>
      <c r="J1875">
        <v>2852</v>
      </c>
      <c r="K1875">
        <v>28</v>
      </c>
      <c r="L1875">
        <v>500</v>
      </c>
      <c r="M1875">
        <v>499</v>
      </c>
      <c r="N1875">
        <v>1</v>
      </c>
      <c r="O1875">
        <v>11120</v>
      </c>
      <c r="P1875">
        <v>1</v>
      </c>
    </row>
    <row r="1876" spans="1:16" x14ac:dyDescent="0.2">
      <c r="A1876" s="3" t="s">
        <v>49</v>
      </c>
      <c r="B1876" s="3" t="s">
        <v>50</v>
      </c>
      <c r="C1876">
        <v>15</v>
      </c>
      <c r="D1876">
        <v>13000</v>
      </c>
      <c r="E1876">
        <v>499</v>
      </c>
      <c r="F1876">
        <v>1</v>
      </c>
      <c r="G1876">
        <v>53044.701099550097</v>
      </c>
      <c r="H1876">
        <v>2.7356E-4</v>
      </c>
      <c r="I1876">
        <v>2854</v>
      </c>
      <c r="J1876">
        <v>2824</v>
      </c>
      <c r="K1876">
        <v>30</v>
      </c>
      <c r="L1876">
        <v>500</v>
      </c>
      <c r="M1876">
        <v>499</v>
      </c>
      <c r="N1876">
        <v>1</v>
      </c>
      <c r="O1876">
        <v>42575.125848135598</v>
      </c>
      <c r="P1876">
        <v>0</v>
      </c>
    </row>
    <row r="1877" spans="1:16" x14ac:dyDescent="0.2">
      <c r="A1877" s="3" t="s">
        <v>49</v>
      </c>
      <c r="B1877" s="3" t="s">
        <v>50</v>
      </c>
      <c r="C1877">
        <v>4</v>
      </c>
      <c r="D1877">
        <v>14000</v>
      </c>
      <c r="E1877">
        <v>499</v>
      </c>
      <c r="F1877">
        <v>1</v>
      </c>
      <c r="G1877">
        <v>14000</v>
      </c>
      <c r="H1877">
        <v>2.73477E-4</v>
      </c>
      <c r="I1877">
        <v>2855</v>
      </c>
      <c r="J1877">
        <v>2829</v>
      </c>
      <c r="K1877">
        <v>26</v>
      </c>
      <c r="L1877">
        <v>500</v>
      </c>
      <c r="M1877">
        <v>499</v>
      </c>
      <c r="N1877">
        <v>1</v>
      </c>
      <c r="O1877">
        <v>11145</v>
      </c>
      <c r="P1877">
        <v>1</v>
      </c>
    </row>
    <row r="1878" spans="1:16" x14ac:dyDescent="0.2">
      <c r="A1878" s="3" t="s">
        <v>49</v>
      </c>
      <c r="B1878" s="3" t="s">
        <v>50</v>
      </c>
      <c r="C1878">
        <v>18</v>
      </c>
      <c r="D1878">
        <v>14000</v>
      </c>
      <c r="E1878">
        <v>499</v>
      </c>
      <c r="F1878">
        <v>1</v>
      </c>
      <c r="G1878">
        <v>14000</v>
      </c>
      <c r="H1878">
        <v>2.7333099999999998E-4</v>
      </c>
      <c r="I1878">
        <v>2879</v>
      </c>
      <c r="J1878">
        <v>2857</v>
      </c>
      <c r="K1878">
        <v>22</v>
      </c>
      <c r="L1878">
        <v>500</v>
      </c>
      <c r="M1878">
        <v>499</v>
      </c>
      <c r="N1878">
        <v>1</v>
      </c>
      <c r="O1878">
        <v>11121</v>
      </c>
      <c r="P1878">
        <v>1</v>
      </c>
    </row>
    <row r="1879" spans="1:16" x14ac:dyDescent="0.2">
      <c r="A1879" s="3" t="s">
        <v>49</v>
      </c>
      <c r="B1879" s="3" t="s">
        <v>50</v>
      </c>
      <c r="C1879">
        <v>41</v>
      </c>
      <c r="D1879">
        <v>11000</v>
      </c>
      <c r="E1879">
        <v>499</v>
      </c>
      <c r="F1879">
        <v>1</v>
      </c>
      <c r="G1879">
        <v>44062.122210792702</v>
      </c>
      <c r="H1879">
        <v>2.7312000000000001E-4</v>
      </c>
      <c r="I1879">
        <v>2754</v>
      </c>
      <c r="J1879">
        <v>2735</v>
      </c>
      <c r="K1879">
        <v>19</v>
      </c>
      <c r="L1879">
        <v>500</v>
      </c>
      <c r="M1879">
        <v>499</v>
      </c>
      <c r="N1879">
        <v>1</v>
      </c>
      <c r="O1879">
        <v>34098.813688983901</v>
      </c>
      <c r="P1879">
        <v>0</v>
      </c>
    </row>
    <row r="1880" spans="1:16" x14ac:dyDescent="0.2">
      <c r="A1880" s="3" t="s">
        <v>49</v>
      </c>
      <c r="B1880" s="3" t="s">
        <v>50</v>
      </c>
      <c r="C1880">
        <v>42</v>
      </c>
      <c r="D1880">
        <v>14000</v>
      </c>
      <c r="E1880">
        <v>499</v>
      </c>
      <c r="F1880">
        <v>1</v>
      </c>
      <c r="G1880">
        <v>58565.0323707059</v>
      </c>
      <c r="H1880">
        <v>2.7298200000000001E-4</v>
      </c>
      <c r="I1880">
        <v>2849</v>
      </c>
      <c r="J1880">
        <v>2822</v>
      </c>
      <c r="K1880">
        <v>27</v>
      </c>
      <c r="L1880">
        <v>500</v>
      </c>
      <c r="M1880">
        <v>499</v>
      </c>
      <c r="N1880">
        <v>1</v>
      </c>
      <c r="O1880">
        <v>48236.751043487202</v>
      </c>
      <c r="P1880">
        <v>0</v>
      </c>
    </row>
    <row r="1881" spans="1:16" x14ac:dyDescent="0.2">
      <c r="A1881" s="3" t="s">
        <v>49</v>
      </c>
      <c r="B1881" s="3" t="s">
        <v>50</v>
      </c>
      <c r="C1881">
        <v>42</v>
      </c>
      <c r="D1881">
        <v>14000</v>
      </c>
      <c r="E1881">
        <v>499</v>
      </c>
      <c r="F1881">
        <v>1</v>
      </c>
      <c r="G1881">
        <v>14000</v>
      </c>
      <c r="H1881">
        <v>2.7290000000000002E-4</v>
      </c>
      <c r="I1881">
        <v>2834</v>
      </c>
      <c r="J1881">
        <v>2812</v>
      </c>
      <c r="K1881">
        <v>22</v>
      </c>
      <c r="L1881">
        <v>500</v>
      </c>
      <c r="M1881">
        <v>499</v>
      </c>
      <c r="N1881">
        <v>1</v>
      </c>
      <c r="O1881">
        <v>11166</v>
      </c>
      <c r="P1881">
        <v>1</v>
      </c>
    </row>
    <row r="1882" spans="1:16" x14ac:dyDescent="0.2">
      <c r="A1882" s="3" t="s">
        <v>49</v>
      </c>
      <c r="B1882" s="3" t="s">
        <v>50</v>
      </c>
      <c r="C1882">
        <v>37</v>
      </c>
      <c r="D1882">
        <v>14000</v>
      </c>
      <c r="E1882">
        <v>499</v>
      </c>
      <c r="F1882">
        <v>1</v>
      </c>
      <c r="G1882">
        <v>14000</v>
      </c>
      <c r="H1882">
        <v>2.7289099999999999E-4</v>
      </c>
      <c r="I1882">
        <v>2898</v>
      </c>
      <c r="J1882">
        <v>2877</v>
      </c>
      <c r="K1882">
        <v>21</v>
      </c>
      <c r="L1882">
        <v>500</v>
      </c>
      <c r="M1882">
        <v>499</v>
      </c>
      <c r="N1882">
        <v>1</v>
      </c>
      <c r="O1882">
        <v>11102</v>
      </c>
      <c r="P1882">
        <v>1</v>
      </c>
    </row>
    <row r="1883" spans="1:16" x14ac:dyDescent="0.2">
      <c r="A1883" s="3" t="s">
        <v>49</v>
      </c>
      <c r="B1883" s="3" t="s">
        <v>50</v>
      </c>
      <c r="C1883">
        <v>16</v>
      </c>
      <c r="D1883">
        <v>13000</v>
      </c>
      <c r="E1883">
        <v>499</v>
      </c>
      <c r="F1883">
        <v>1</v>
      </c>
      <c r="G1883">
        <v>53044.701099550097</v>
      </c>
      <c r="H1883">
        <v>2.72606E-4</v>
      </c>
      <c r="I1883">
        <v>2809</v>
      </c>
      <c r="J1883">
        <v>2779</v>
      </c>
      <c r="K1883">
        <v>30</v>
      </c>
      <c r="L1883">
        <v>500</v>
      </c>
      <c r="M1883">
        <v>499</v>
      </c>
      <c r="N1883">
        <v>1</v>
      </c>
      <c r="O1883">
        <v>42732.545505636001</v>
      </c>
      <c r="P1883">
        <v>0</v>
      </c>
    </row>
    <row r="1884" spans="1:16" x14ac:dyDescent="0.2">
      <c r="A1884" s="3" t="s">
        <v>49</v>
      </c>
      <c r="B1884" s="3" t="s">
        <v>50</v>
      </c>
      <c r="C1884">
        <v>11</v>
      </c>
      <c r="D1884">
        <v>14000</v>
      </c>
      <c r="E1884">
        <v>499</v>
      </c>
      <c r="F1884">
        <v>1</v>
      </c>
      <c r="G1884">
        <v>58565.0323707059</v>
      </c>
      <c r="H1884">
        <v>2.7250499999999998E-4</v>
      </c>
      <c r="I1884">
        <v>2822</v>
      </c>
      <c r="J1884">
        <v>2792</v>
      </c>
      <c r="K1884">
        <v>30</v>
      </c>
      <c r="L1884">
        <v>500</v>
      </c>
      <c r="M1884">
        <v>499</v>
      </c>
      <c r="N1884">
        <v>1</v>
      </c>
      <c r="O1884">
        <v>48384.690263453798</v>
      </c>
      <c r="P1884">
        <v>0</v>
      </c>
    </row>
    <row r="1885" spans="1:16" x14ac:dyDescent="0.2">
      <c r="A1885" s="3" t="s">
        <v>49</v>
      </c>
      <c r="B1885" s="3" t="s">
        <v>50</v>
      </c>
      <c r="C1885">
        <v>45</v>
      </c>
      <c r="D1885">
        <v>14000</v>
      </c>
      <c r="E1885">
        <v>499</v>
      </c>
      <c r="F1885">
        <v>1</v>
      </c>
      <c r="G1885">
        <v>14000</v>
      </c>
      <c r="H1885">
        <v>2.7230400000000001E-4</v>
      </c>
      <c r="I1885">
        <v>2912</v>
      </c>
      <c r="J1885">
        <v>2886</v>
      </c>
      <c r="K1885">
        <v>26</v>
      </c>
      <c r="L1885">
        <v>500</v>
      </c>
      <c r="M1885">
        <v>499</v>
      </c>
      <c r="N1885">
        <v>1</v>
      </c>
      <c r="O1885">
        <v>11088</v>
      </c>
      <c r="P1885">
        <v>1</v>
      </c>
    </row>
    <row r="1886" spans="1:16" x14ac:dyDescent="0.2">
      <c r="A1886" s="3" t="s">
        <v>49</v>
      </c>
      <c r="B1886" s="3" t="s">
        <v>50</v>
      </c>
      <c r="C1886">
        <v>16</v>
      </c>
      <c r="D1886">
        <v>14000</v>
      </c>
      <c r="E1886">
        <v>499</v>
      </c>
      <c r="F1886">
        <v>1</v>
      </c>
      <c r="G1886">
        <v>14000</v>
      </c>
      <c r="H1886">
        <v>2.7207400000000002E-4</v>
      </c>
      <c r="I1886">
        <v>2855</v>
      </c>
      <c r="J1886">
        <v>2835</v>
      </c>
      <c r="K1886">
        <v>20</v>
      </c>
      <c r="L1886">
        <v>500</v>
      </c>
      <c r="M1886">
        <v>499</v>
      </c>
      <c r="N1886">
        <v>1</v>
      </c>
      <c r="O1886">
        <v>11145</v>
      </c>
      <c r="P1886">
        <v>1</v>
      </c>
    </row>
    <row r="1887" spans="1:16" x14ac:dyDescent="0.2">
      <c r="A1887" s="3" t="s">
        <v>49</v>
      </c>
      <c r="B1887" s="3" t="s">
        <v>50</v>
      </c>
      <c r="C1887">
        <v>19</v>
      </c>
      <c r="D1887">
        <v>14000</v>
      </c>
      <c r="E1887">
        <v>499</v>
      </c>
      <c r="F1887">
        <v>1</v>
      </c>
      <c r="G1887">
        <v>58565.0323707059</v>
      </c>
      <c r="H1887">
        <v>2.7200199999999998E-4</v>
      </c>
      <c r="I1887">
        <v>2866</v>
      </c>
      <c r="J1887">
        <v>2835</v>
      </c>
      <c r="K1887">
        <v>31</v>
      </c>
      <c r="L1887">
        <v>500</v>
      </c>
      <c r="M1887">
        <v>499</v>
      </c>
      <c r="N1887">
        <v>1</v>
      </c>
      <c r="O1887">
        <v>48285.865760172703</v>
      </c>
      <c r="P1887">
        <v>0</v>
      </c>
    </row>
    <row r="1888" spans="1:16" x14ac:dyDescent="0.2">
      <c r="A1888" s="3" t="s">
        <v>49</v>
      </c>
      <c r="B1888" s="3" t="s">
        <v>50</v>
      </c>
      <c r="C1888">
        <v>28</v>
      </c>
      <c r="D1888">
        <v>12000</v>
      </c>
      <c r="E1888">
        <v>499</v>
      </c>
      <c r="F1888">
        <v>1</v>
      </c>
      <c r="G1888">
        <v>50533.323552418398</v>
      </c>
      <c r="H1888">
        <v>2.71845E-4</v>
      </c>
      <c r="I1888">
        <v>2783</v>
      </c>
      <c r="J1888">
        <v>2757</v>
      </c>
      <c r="K1888">
        <v>26</v>
      </c>
      <c r="L1888">
        <v>500</v>
      </c>
      <c r="M1888">
        <v>499</v>
      </c>
      <c r="N1888">
        <v>1</v>
      </c>
      <c r="O1888">
        <v>39889.536674785399</v>
      </c>
      <c r="P1888">
        <v>0</v>
      </c>
    </row>
    <row r="1889" spans="1:16" x14ac:dyDescent="0.2">
      <c r="A1889" s="3" t="s">
        <v>49</v>
      </c>
      <c r="B1889" s="3" t="s">
        <v>50</v>
      </c>
      <c r="C1889">
        <v>3</v>
      </c>
      <c r="D1889">
        <v>13000</v>
      </c>
      <c r="E1889">
        <v>499</v>
      </c>
      <c r="F1889">
        <v>1</v>
      </c>
      <c r="G1889">
        <v>53044.701099550097</v>
      </c>
      <c r="H1889">
        <v>2.71845E-4</v>
      </c>
      <c r="I1889">
        <v>2883</v>
      </c>
      <c r="J1889">
        <v>2856</v>
      </c>
      <c r="K1889">
        <v>27</v>
      </c>
      <c r="L1889">
        <v>500</v>
      </c>
      <c r="M1889">
        <v>499</v>
      </c>
      <c r="N1889">
        <v>1</v>
      </c>
      <c r="O1889">
        <v>42485.374177293197</v>
      </c>
      <c r="P1889">
        <v>0</v>
      </c>
    </row>
    <row r="1890" spans="1:16" x14ac:dyDescent="0.2">
      <c r="A1890" s="3" t="s">
        <v>49</v>
      </c>
      <c r="B1890" s="3" t="s">
        <v>50</v>
      </c>
      <c r="C1890">
        <v>40</v>
      </c>
      <c r="D1890">
        <v>14000</v>
      </c>
      <c r="E1890">
        <v>499</v>
      </c>
      <c r="F1890">
        <v>1</v>
      </c>
      <c r="G1890">
        <v>14000</v>
      </c>
      <c r="H1890">
        <v>2.7172699999999998E-4</v>
      </c>
      <c r="I1890">
        <v>2848</v>
      </c>
      <c r="J1890">
        <v>2818</v>
      </c>
      <c r="K1890">
        <v>30</v>
      </c>
      <c r="L1890">
        <v>500</v>
      </c>
      <c r="M1890">
        <v>499</v>
      </c>
      <c r="N1890">
        <v>1</v>
      </c>
      <c r="O1890">
        <v>11152</v>
      </c>
      <c r="P1890">
        <v>1</v>
      </c>
    </row>
    <row r="1891" spans="1:16" x14ac:dyDescent="0.2">
      <c r="A1891" s="3" t="s">
        <v>49</v>
      </c>
      <c r="B1891" s="3" t="s">
        <v>50</v>
      </c>
      <c r="C1891">
        <v>33</v>
      </c>
      <c r="D1891">
        <v>14000</v>
      </c>
      <c r="E1891">
        <v>499</v>
      </c>
      <c r="F1891">
        <v>1</v>
      </c>
      <c r="G1891">
        <v>58565.0323707059</v>
      </c>
      <c r="H1891">
        <v>2.7142399999999998E-4</v>
      </c>
      <c r="I1891">
        <v>2848</v>
      </c>
      <c r="J1891">
        <v>2823</v>
      </c>
      <c r="K1891">
        <v>25</v>
      </c>
      <c r="L1891">
        <v>500</v>
      </c>
      <c r="M1891">
        <v>499</v>
      </c>
      <c r="N1891">
        <v>1</v>
      </c>
      <c r="O1891">
        <v>48327.081416422203</v>
      </c>
      <c r="P1891">
        <v>0</v>
      </c>
    </row>
    <row r="1892" spans="1:16" x14ac:dyDescent="0.2">
      <c r="A1892" s="3" t="s">
        <v>49</v>
      </c>
      <c r="B1892" s="3" t="s">
        <v>50</v>
      </c>
      <c r="C1892">
        <v>12</v>
      </c>
      <c r="D1892">
        <v>14000</v>
      </c>
      <c r="E1892">
        <v>499</v>
      </c>
      <c r="F1892">
        <v>1</v>
      </c>
      <c r="G1892">
        <v>14000</v>
      </c>
      <c r="H1892">
        <v>2.7134199999999999E-4</v>
      </c>
      <c r="I1892">
        <v>2823</v>
      </c>
      <c r="J1892">
        <v>2793</v>
      </c>
      <c r="K1892">
        <v>30</v>
      </c>
      <c r="L1892">
        <v>500</v>
      </c>
      <c r="M1892">
        <v>499</v>
      </c>
      <c r="N1892">
        <v>1</v>
      </c>
      <c r="O1892">
        <v>11177</v>
      </c>
      <c r="P1892">
        <v>1</v>
      </c>
    </row>
    <row r="1893" spans="1:16" x14ac:dyDescent="0.2">
      <c r="A1893" s="3" t="s">
        <v>49</v>
      </c>
      <c r="B1893" s="3" t="s">
        <v>50</v>
      </c>
      <c r="C1893">
        <v>21</v>
      </c>
      <c r="D1893">
        <v>14000</v>
      </c>
      <c r="E1893">
        <v>499</v>
      </c>
      <c r="F1893">
        <v>1</v>
      </c>
      <c r="G1893">
        <v>14000</v>
      </c>
      <c r="H1893">
        <v>2.7118599999999997E-4</v>
      </c>
      <c r="I1893">
        <v>2862</v>
      </c>
      <c r="J1893">
        <v>2833</v>
      </c>
      <c r="K1893">
        <v>29</v>
      </c>
      <c r="L1893">
        <v>500</v>
      </c>
      <c r="M1893">
        <v>499</v>
      </c>
      <c r="N1893">
        <v>1</v>
      </c>
      <c r="O1893">
        <v>11138</v>
      </c>
      <c r="P1893">
        <v>1</v>
      </c>
    </row>
    <row r="1894" spans="1:16" x14ac:dyDescent="0.2">
      <c r="A1894" s="3" t="s">
        <v>49</v>
      </c>
      <c r="B1894" s="3" t="s">
        <v>50</v>
      </c>
      <c r="C1894">
        <v>43</v>
      </c>
      <c r="D1894">
        <v>13000</v>
      </c>
      <c r="E1894">
        <v>499</v>
      </c>
      <c r="F1894">
        <v>1</v>
      </c>
      <c r="G1894">
        <v>53044.701099550097</v>
      </c>
      <c r="H1894">
        <v>2.7086500000000002E-4</v>
      </c>
      <c r="I1894">
        <v>2788</v>
      </c>
      <c r="J1894">
        <v>2756</v>
      </c>
      <c r="K1894">
        <v>32</v>
      </c>
      <c r="L1894">
        <v>500</v>
      </c>
      <c r="M1894">
        <v>499</v>
      </c>
      <c r="N1894">
        <v>1</v>
      </c>
      <c r="O1894">
        <v>42758.437594982497</v>
      </c>
      <c r="P1894">
        <v>0</v>
      </c>
    </row>
    <row r="1895" spans="1:16" x14ac:dyDescent="0.2">
      <c r="A1895" s="3" t="s">
        <v>49</v>
      </c>
      <c r="B1895" s="3" t="s">
        <v>50</v>
      </c>
      <c r="C1895">
        <v>18</v>
      </c>
      <c r="D1895">
        <v>13000</v>
      </c>
      <c r="E1895">
        <v>499</v>
      </c>
      <c r="F1895">
        <v>1</v>
      </c>
      <c r="G1895">
        <v>13000</v>
      </c>
      <c r="H1895">
        <v>2.70819E-4</v>
      </c>
      <c r="I1895">
        <v>2799</v>
      </c>
      <c r="J1895">
        <v>2773</v>
      </c>
      <c r="K1895">
        <v>26</v>
      </c>
      <c r="L1895">
        <v>500</v>
      </c>
      <c r="M1895">
        <v>499</v>
      </c>
      <c r="N1895">
        <v>1</v>
      </c>
      <c r="O1895">
        <v>10201</v>
      </c>
      <c r="P1895">
        <v>1</v>
      </c>
    </row>
    <row r="1896" spans="1:16" x14ac:dyDescent="0.2">
      <c r="A1896" s="3" t="s">
        <v>49</v>
      </c>
      <c r="B1896" s="3" t="s">
        <v>50</v>
      </c>
      <c r="C1896">
        <v>12</v>
      </c>
      <c r="D1896">
        <v>14000</v>
      </c>
      <c r="E1896">
        <v>499</v>
      </c>
      <c r="F1896">
        <v>1</v>
      </c>
      <c r="G1896">
        <v>58565.0323707059</v>
      </c>
      <c r="H1896">
        <v>2.7081000000000002E-4</v>
      </c>
      <c r="I1896">
        <v>2826</v>
      </c>
      <c r="J1896">
        <v>2803</v>
      </c>
      <c r="K1896">
        <v>23</v>
      </c>
      <c r="L1896">
        <v>500</v>
      </c>
      <c r="M1896">
        <v>499</v>
      </c>
      <c r="N1896">
        <v>1</v>
      </c>
      <c r="O1896">
        <v>48396.425355974498</v>
      </c>
      <c r="P1896">
        <v>0</v>
      </c>
    </row>
    <row r="1897" spans="1:16" x14ac:dyDescent="0.2">
      <c r="A1897" s="3" t="s">
        <v>49</v>
      </c>
      <c r="B1897" s="3" t="s">
        <v>50</v>
      </c>
      <c r="C1897">
        <v>33</v>
      </c>
      <c r="D1897">
        <v>14000</v>
      </c>
      <c r="E1897">
        <v>499</v>
      </c>
      <c r="F1897">
        <v>1</v>
      </c>
      <c r="G1897">
        <v>14000</v>
      </c>
      <c r="H1897">
        <v>2.70764E-4</v>
      </c>
      <c r="I1897">
        <v>2907</v>
      </c>
      <c r="J1897">
        <v>2881</v>
      </c>
      <c r="K1897">
        <v>26</v>
      </c>
      <c r="L1897">
        <v>500</v>
      </c>
      <c r="M1897">
        <v>499</v>
      </c>
      <c r="N1897">
        <v>1</v>
      </c>
      <c r="O1897">
        <v>11093</v>
      </c>
      <c r="P1897">
        <v>1</v>
      </c>
    </row>
    <row r="1898" spans="1:16" x14ac:dyDescent="0.2">
      <c r="A1898" s="3" t="s">
        <v>49</v>
      </c>
      <c r="B1898" s="3" t="s">
        <v>50</v>
      </c>
      <c r="C1898">
        <v>50</v>
      </c>
      <c r="D1898">
        <v>12000</v>
      </c>
      <c r="E1898">
        <v>499</v>
      </c>
      <c r="F1898">
        <v>1</v>
      </c>
      <c r="G1898">
        <v>50533.323552418398</v>
      </c>
      <c r="H1898">
        <v>2.7067299999999997E-4</v>
      </c>
      <c r="I1898">
        <v>2802</v>
      </c>
      <c r="J1898">
        <v>2779</v>
      </c>
      <c r="K1898">
        <v>23</v>
      </c>
      <c r="L1898">
        <v>500</v>
      </c>
      <c r="M1898">
        <v>499</v>
      </c>
      <c r="N1898">
        <v>1</v>
      </c>
      <c r="O1898">
        <v>39850.928664299303</v>
      </c>
      <c r="P1898">
        <v>0</v>
      </c>
    </row>
    <row r="1899" spans="1:16" x14ac:dyDescent="0.2">
      <c r="A1899" s="3" t="s">
        <v>49</v>
      </c>
      <c r="B1899" s="3" t="s">
        <v>50</v>
      </c>
      <c r="C1899">
        <v>9</v>
      </c>
      <c r="D1899">
        <v>14000</v>
      </c>
      <c r="E1899">
        <v>499</v>
      </c>
      <c r="F1899">
        <v>1</v>
      </c>
      <c r="G1899">
        <v>58565.0323707059</v>
      </c>
      <c r="H1899">
        <v>2.7064500000000002E-4</v>
      </c>
      <c r="I1899">
        <v>2848</v>
      </c>
      <c r="J1899">
        <v>2814</v>
      </c>
      <c r="K1899">
        <v>34</v>
      </c>
      <c r="L1899">
        <v>500</v>
      </c>
      <c r="M1899">
        <v>499</v>
      </c>
      <c r="N1899">
        <v>1</v>
      </c>
      <c r="O1899">
        <v>48238.356470053302</v>
      </c>
      <c r="P1899">
        <v>0</v>
      </c>
    </row>
    <row r="1900" spans="1:16" x14ac:dyDescent="0.2">
      <c r="A1900" s="3" t="s">
        <v>49</v>
      </c>
      <c r="B1900" s="3" t="s">
        <v>50</v>
      </c>
      <c r="C1900">
        <v>42</v>
      </c>
      <c r="D1900">
        <v>13000</v>
      </c>
      <c r="E1900">
        <v>499</v>
      </c>
      <c r="F1900">
        <v>1</v>
      </c>
      <c r="G1900">
        <v>53044.701099550097</v>
      </c>
      <c r="H1900">
        <v>2.7055299999999998E-4</v>
      </c>
      <c r="I1900">
        <v>2819</v>
      </c>
      <c r="J1900">
        <v>2790</v>
      </c>
      <c r="K1900">
        <v>29</v>
      </c>
      <c r="L1900">
        <v>500</v>
      </c>
      <c r="M1900">
        <v>499</v>
      </c>
      <c r="N1900">
        <v>1</v>
      </c>
      <c r="O1900">
        <v>42623.408556102899</v>
      </c>
      <c r="P1900">
        <v>0</v>
      </c>
    </row>
    <row r="1901" spans="1:16" x14ac:dyDescent="0.2">
      <c r="A1901" s="3" t="s">
        <v>49</v>
      </c>
      <c r="B1901" s="3" t="s">
        <v>50</v>
      </c>
      <c r="C1901">
        <v>20</v>
      </c>
      <c r="D1901">
        <v>14000</v>
      </c>
      <c r="E1901">
        <v>499</v>
      </c>
      <c r="F1901">
        <v>1</v>
      </c>
      <c r="G1901">
        <v>14000</v>
      </c>
      <c r="H1901">
        <v>2.7028799999999998E-4</v>
      </c>
      <c r="I1901">
        <v>2814</v>
      </c>
      <c r="J1901">
        <v>2780</v>
      </c>
      <c r="K1901">
        <v>34</v>
      </c>
      <c r="L1901">
        <v>500</v>
      </c>
      <c r="M1901">
        <v>499</v>
      </c>
      <c r="N1901">
        <v>1</v>
      </c>
      <c r="O1901">
        <v>11186</v>
      </c>
      <c r="P1901">
        <v>1</v>
      </c>
    </row>
    <row r="1902" spans="1:16" x14ac:dyDescent="0.2">
      <c r="A1902" s="3" t="s">
        <v>49</v>
      </c>
      <c r="B1902" s="3" t="s">
        <v>50</v>
      </c>
      <c r="C1902">
        <v>43</v>
      </c>
      <c r="D1902">
        <v>10000</v>
      </c>
      <c r="E1902">
        <v>499</v>
      </c>
      <c r="F1902">
        <v>1</v>
      </c>
      <c r="G1902">
        <v>39482.677260513999</v>
      </c>
      <c r="H1902">
        <v>2.70251E-4</v>
      </c>
      <c r="I1902">
        <v>2718</v>
      </c>
      <c r="J1902">
        <v>2697</v>
      </c>
      <c r="K1902">
        <v>21</v>
      </c>
      <c r="L1902">
        <v>500</v>
      </c>
      <c r="M1902">
        <v>499</v>
      </c>
      <c r="N1902">
        <v>1</v>
      </c>
      <c r="O1902">
        <v>29810.397920474701</v>
      </c>
      <c r="P1902">
        <v>0</v>
      </c>
    </row>
    <row r="1903" spans="1:16" x14ac:dyDescent="0.2">
      <c r="A1903" s="3" t="s">
        <v>49</v>
      </c>
      <c r="B1903" s="3" t="s">
        <v>50</v>
      </c>
      <c r="C1903">
        <v>15</v>
      </c>
      <c r="D1903">
        <v>12000</v>
      </c>
      <c r="E1903">
        <v>499</v>
      </c>
      <c r="F1903">
        <v>1</v>
      </c>
      <c r="G1903">
        <v>50533.323552418398</v>
      </c>
      <c r="H1903">
        <v>2.7007700000000002E-4</v>
      </c>
      <c r="I1903">
        <v>2731</v>
      </c>
      <c r="J1903">
        <v>2705</v>
      </c>
      <c r="K1903">
        <v>26</v>
      </c>
      <c r="L1903">
        <v>500</v>
      </c>
      <c r="M1903">
        <v>499</v>
      </c>
      <c r="N1903">
        <v>1</v>
      </c>
      <c r="O1903">
        <v>39909.953806610101</v>
      </c>
      <c r="P1903">
        <v>0</v>
      </c>
    </row>
    <row r="1904" spans="1:16" x14ac:dyDescent="0.2">
      <c r="A1904" s="3" t="s">
        <v>49</v>
      </c>
      <c r="B1904" s="3" t="s">
        <v>50</v>
      </c>
      <c r="C1904">
        <v>12</v>
      </c>
      <c r="D1904">
        <v>13000</v>
      </c>
      <c r="E1904">
        <v>499</v>
      </c>
      <c r="F1904">
        <v>1</v>
      </c>
      <c r="G1904">
        <v>53044.701099550097</v>
      </c>
      <c r="H1904">
        <v>2.7002200000000002E-4</v>
      </c>
      <c r="I1904">
        <v>2858</v>
      </c>
      <c r="J1904">
        <v>2831</v>
      </c>
      <c r="K1904">
        <v>27</v>
      </c>
      <c r="L1904">
        <v>500</v>
      </c>
      <c r="M1904">
        <v>499</v>
      </c>
      <c r="N1904">
        <v>1</v>
      </c>
      <c r="O1904">
        <v>42584.855607720201</v>
      </c>
      <c r="P1904">
        <v>0</v>
      </c>
    </row>
    <row r="1905" spans="1:16" x14ac:dyDescent="0.2">
      <c r="A1905" s="3" t="s">
        <v>49</v>
      </c>
      <c r="B1905" s="3" t="s">
        <v>50</v>
      </c>
      <c r="C1905">
        <v>43</v>
      </c>
      <c r="D1905">
        <v>14000</v>
      </c>
      <c r="E1905">
        <v>499</v>
      </c>
      <c r="F1905">
        <v>1</v>
      </c>
      <c r="G1905">
        <v>14000</v>
      </c>
      <c r="H1905">
        <v>2.7002200000000002E-4</v>
      </c>
      <c r="I1905">
        <v>2870</v>
      </c>
      <c r="J1905">
        <v>2831</v>
      </c>
      <c r="K1905">
        <v>39</v>
      </c>
      <c r="L1905">
        <v>500</v>
      </c>
      <c r="M1905">
        <v>499</v>
      </c>
      <c r="N1905">
        <v>1</v>
      </c>
      <c r="O1905">
        <v>11130</v>
      </c>
      <c r="P1905">
        <v>1</v>
      </c>
    </row>
    <row r="1906" spans="1:16" x14ac:dyDescent="0.2">
      <c r="A1906" s="3" t="s">
        <v>49</v>
      </c>
      <c r="B1906" s="3" t="s">
        <v>50</v>
      </c>
      <c r="C1906">
        <v>3</v>
      </c>
      <c r="D1906">
        <v>14000</v>
      </c>
      <c r="E1906">
        <v>499</v>
      </c>
      <c r="F1906">
        <v>1</v>
      </c>
      <c r="G1906">
        <v>14000</v>
      </c>
      <c r="H1906">
        <v>2.6987499999999999E-4</v>
      </c>
      <c r="I1906">
        <v>2860</v>
      </c>
      <c r="J1906">
        <v>2830</v>
      </c>
      <c r="K1906">
        <v>30</v>
      </c>
      <c r="L1906">
        <v>500</v>
      </c>
      <c r="M1906">
        <v>499</v>
      </c>
      <c r="N1906">
        <v>1</v>
      </c>
      <c r="O1906">
        <v>11140</v>
      </c>
      <c r="P1906">
        <v>1</v>
      </c>
    </row>
    <row r="1907" spans="1:16" x14ac:dyDescent="0.2">
      <c r="A1907" s="3" t="s">
        <v>49</v>
      </c>
      <c r="B1907" s="3" t="s">
        <v>50</v>
      </c>
      <c r="C1907">
        <v>45</v>
      </c>
      <c r="D1907">
        <v>12000</v>
      </c>
      <c r="E1907">
        <v>499</v>
      </c>
      <c r="F1907">
        <v>1</v>
      </c>
      <c r="G1907">
        <v>50533.323552418398</v>
      </c>
      <c r="H1907">
        <v>2.6987400000000003E-4</v>
      </c>
      <c r="I1907">
        <v>2817</v>
      </c>
      <c r="J1907">
        <v>2796</v>
      </c>
      <c r="K1907">
        <v>21</v>
      </c>
      <c r="L1907">
        <v>500</v>
      </c>
      <c r="M1907">
        <v>499</v>
      </c>
      <c r="N1907">
        <v>1</v>
      </c>
      <c r="O1907">
        <v>39792.6902774888</v>
      </c>
      <c r="P1907">
        <v>0</v>
      </c>
    </row>
    <row r="1908" spans="1:16" x14ac:dyDescent="0.2">
      <c r="A1908" s="3" t="s">
        <v>49</v>
      </c>
      <c r="B1908" s="3" t="s">
        <v>50</v>
      </c>
      <c r="C1908">
        <v>41</v>
      </c>
      <c r="D1908">
        <v>14000</v>
      </c>
      <c r="E1908">
        <v>499</v>
      </c>
      <c r="F1908">
        <v>1</v>
      </c>
      <c r="G1908">
        <v>58565.0323707059</v>
      </c>
      <c r="H1908">
        <v>2.6984699999999998E-4</v>
      </c>
      <c r="I1908">
        <v>2839</v>
      </c>
      <c r="J1908">
        <v>2812</v>
      </c>
      <c r="K1908">
        <v>27</v>
      </c>
      <c r="L1908">
        <v>500</v>
      </c>
      <c r="M1908">
        <v>499</v>
      </c>
      <c r="N1908">
        <v>1</v>
      </c>
      <c r="O1908">
        <v>48332.676711214903</v>
      </c>
      <c r="P1908">
        <v>0</v>
      </c>
    </row>
    <row r="1909" spans="1:16" x14ac:dyDescent="0.2">
      <c r="A1909" s="3" t="s">
        <v>49</v>
      </c>
      <c r="B1909" s="3" t="s">
        <v>50</v>
      </c>
      <c r="C1909">
        <v>27</v>
      </c>
      <c r="D1909">
        <v>11000</v>
      </c>
      <c r="E1909">
        <v>499</v>
      </c>
      <c r="F1909">
        <v>1</v>
      </c>
      <c r="G1909">
        <v>11000</v>
      </c>
      <c r="H1909">
        <v>2.6984699999999998E-4</v>
      </c>
      <c r="I1909">
        <v>2826</v>
      </c>
      <c r="J1909">
        <v>2811</v>
      </c>
      <c r="K1909">
        <v>15</v>
      </c>
      <c r="L1909">
        <v>500</v>
      </c>
      <c r="M1909">
        <v>499</v>
      </c>
      <c r="N1909">
        <v>1</v>
      </c>
      <c r="O1909">
        <v>8174</v>
      </c>
      <c r="P1909">
        <v>1</v>
      </c>
    </row>
    <row r="1910" spans="1:16" x14ac:dyDescent="0.2">
      <c r="A1910" s="3" t="s">
        <v>49</v>
      </c>
      <c r="B1910" s="3" t="s">
        <v>50</v>
      </c>
      <c r="C1910">
        <v>35</v>
      </c>
      <c r="D1910">
        <v>14000</v>
      </c>
      <c r="E1910">
        <v>499</v>
      </c>
      <c r="F1910">
        <v>1</v>
      </c>
      <c r="G1910">
        <v>14000</v>
      </c>
      <c r="H1910">
        <v>2.6976499999999999E-4</v>
      </c>
      <c r="I1910">
        <v>2855</v>
      </c>
      <c r="J1910">
        <v>2821</v>
      </c>
      <c r="K1910">
        <v>34</v>
      </c>
      <c r="L1910">
        <v>500</v>
      </c>
      <c r="M1910">
        <v>499</v>
      </c>
      <c r="N1910">
        <v>1</v>
      </c>
      <c r="O1910">
        <v>11145</v>
      </c>
      <c r="P1910">
        <v>1</v>
      </c>
    </row>
    <row r="1911" spans="1:16" x14ac:dyDescent="0.2">
      <c r="A1911" s="3" t="s">
        <v>49</v>
      </c>
      <c r="B1911" s="3" t="s">
        <v>50</v>
      </c>
      <c r="C1911">
        <v>23</v>
      </c>
      <c r="D1911">
        <v>14000</v>
      </c>
      <c r="E1911">
        <v>499</v>
      </c>
      <c r="F1911">
        <v>1</v>
      </c>
      <c r="G1911">
        <v>14000</v>
      </c>
      <c r="H1911">
        <v>2.6963600000000002E-4</v>
      </c>
      <c r="I1911">
        <v>2850</v>
      </c>
      <c r="J1911">
        <v>2821</v>
      </c>
      <c r="K1911">
        <v>29</v>
      </c>
      <c r="L1911">
        <v>500</v>
      </c>
      <c r="M1911">
        <v>499</v>
      </c>
      <c r="N1911">
        <v>1</v>
      </c>
      <c r="O1911">
        <v>11150</v>
      </c>
      <c r="P1911">
        <v>1</v>
      </c>
    </row>
    <row r="1912" spans="1:16" x14ac:dyDescent="0.2">
      <c r="A1912" s="3" t="s">
        <v>49</v>
      </c>
      <c r="B1912" s="3" t="s">
        <v>50</v>
      </c>
      <c r="C1912">
        <v>44</v>
      </c>
      <c r="D1912">
        <v>13000</v>
      </c>
      <c r="E1912">
        <v>499</v>
      </c>
      <c r="F1912">
        <v>1</v>
      </c>
      <c r="G1912">
        <v>53044.701099550097</v>
      </c>
      <c r="H1912">
        <v>2.6962699999999999E-4</v>
      </c>
      <c r="I1912">
        <v>2875</v>
      </c>
      <c r="J1912">
        <v>2839</v>
      </c>
      <c r="K1912">
        <v>36</v>
      </c>
      <c r="L1912">
        <v>500</v>
      </c>
      <c r="M1912">
        <v>499</v>
      </c>
      <c r="N1912">
        <v>1</v>
      </c>
      <c r="O1912">
        <v>42489.904202714402</v>
      </c>
      <c r="P1912">
        <v>0</v>
      </c>
    </row>
    <row r="1913" spans="1:16" x14ac:dyDescent="0.2">
      <c r="A1913" s="3" t="s">
        <v>49</v>
      </c>
      <c r="B1913" s="3" t="s">
        <v>50</v>
      </c>
      <c r="C1913">
        <v>22</v>
      </c>
      <c r="D1913">
        <v>13000</v>
      </c>
      <c r="E1913">
        <v>499</v>
      </c>
      <c r="F1913">
        <v>1</v>
      </c>
      <c r="G1913">
        <v>13000</v>
      </c>
      <c r="H1913">
        <v>2.6916E-4</v>
      </c>
      <c r="I1913">
        <v>2880</v>
      </c>
      <c r="J1913">
        <v>2847</v>
      </c>
      <c r="K1913">
        <v>33</v>
      </c>
      <c r="L1913">
        <v>500</v>
      </c>
      <c r="M1913">
        <v>499</v>
      </c>
      <c r="N1913">
        <v>1</v>
      </c>
      <c r="O1913">
        <v>10120</v>
      </c>
      <c r="P1913">
        <v>1</v>
      </c>
    </row>
    <row r="1914" spans="1:16" x14ac:dyDescent="0.2">
      <c r="A1914" s="3" t="s">
        <v>49</v>
      </c>
      <c r="B1914" s="3" t="s">
        <v>50</v>
      </c>
      <c r="C1914">
        <v>6</v>
      </c>
      <c r="D1914">
        <v>13000</v>
      </c>
      <c r="E1914">
        <v>499</v>
      </c>
      <c r="F1914">
        <v>1</v>
      </c>
      <c r="G1914">
        <v>13000</v>
      </c>
      <c r="H1914">
        <v>2.6882099999999998E-4</v>
      </c>
      <c r="I1914">
        <v>2817</v>
      </c>
      <c r="J1914">
        <v>2797</v>
      </c>
      <c r="K1914">
        <v>20</v>
      </c>
      <c r="L1914">
        <v>500</v>
      </c>
      <c r="M1914">
        <v>499</v>
      </c>
      <c r="N1914">
        <v>1</v>
      </c>
      <c r="O1914">
        <v>10183</v>
      </c>
      <c r="P1914">
        <v>1</v>
      </c>
    </row>
    <row r="1915" spans="1:16" x14ac:dyDescent="0.2">
      <c r="A1915" s="3" t="s">
        <v>49</v>
      </c>
      <c r="B1915" s="3" t="s">
        <v>50</v>
      </c>
      <c r="C1915">
        <v>32</v>
      </c>
      <c r="D1915">
        <v>12000</v>
      </c>
      <c r="E1915">
        <v>499</v>
      </c>
      <c r="F1915">
        <v>1</v>
      </c>
      <c r="G1915">
        <v>12000</v>
      </c>
      <c r="H1915">
        <v>2.6862799999999998E-4</v>
      </c>
      <c r="I1915">
        <v>2794</v>
      </c>
      <c r="J1915">
        <v>2767</v>
      </c>
      <c r="K1915">
        <v>27</v>
      </c>
      <c r="L1915">
        <v>500</v>
      </c>
      <c r="M1915">
        <v>499</v>
      </c>
      <c r="N1915">
        <v>1</v>
      </c>
      <c r="O1915">
        <v>9206</v>
      </c>
      <c r="P1915">
        <v>1</v>
      </c>
    </row>
    <row r="1916" spans="1:16" x14ac:dyDescent="0.2">
      <c r="A1916" s="3" t="s">
        <v>49</v>
      </c>
      <c r="B1916" s="3" t="s">
        <v>50</v>
      </c>
      <c r="C1916">
        <v>45</v>
      </c>
      <c r="D1916">
        <v>11000</v>
      </c>
      <c r="E1916">
        <v>499</v>
      </c>
      <c r="F1916">
        <v>1</v>
      </c>
      <c r="G1916">
        <v>11000</v>
      </c>
      <c r="H1916">
        <v>2.6851799999999998E-4</v>
      </c>
      <c r="I1916">
        <v>2767</v>
      </c>
      <c r="J1916">
        <v>2750</v>
      </c>
      <c r="K1916">
        <v>17</v>
      </c>
      <c r="L1916">
        <v>500</v>
      </c>
      <c r="M1916">
        <v>499</v>
      </c>
      <c r="N1916">
        <v>1</v>
      </c>
      <c r="O1916">
        <v>8233</v>
      </c>
      <c r="P1916">
        <v>1</v>
      </c>
    </row>
    <row r="1917" spans="1:16" x14ac:dyDescent="0.2">
      <c r="A1917" s="3" t="s">
        <v>49</v>
      </c>
      <c r="B1917" s="3" t="s">
        <v>50</v>
      </c>
      <c r="C1917">
        <v>40</v>
      </c>
      <c r="D1917">
        <v>14000</v>
      </c>
      <c r="E1917">
        <v>499</v>
      </c>
      <c r="F1917">
        <v>1</v>
      </c>
      <c r="G1917">
        <v>58565.0323707059</v>
      </c>
      <c r="H1917">
        <v>2.6836200000000002E-4</v>
      </c>
      <c r="I1917">
        <v>2816</v>
      </c>
      <c r="J1917">
        <v>2795</v>
      </c>
      <c r="K1917">
        <v>21</v>
      </c>
      <c r="L1917">
        <v>500</v>
      </c>
      <c r="M1917">
        <v>499</v>
      </c>
      <c r="N1917">
        <v>1</v>
      </c>
      <c r="O1917">
        <v>48335.525183847298</v>
      </c>
      <c r="P1917">
        <v>0</v>
      </c>
    </row>
    <row r="1918" spans="1:16" x14ac:dyDescent="0.2">
      <c r="A1918" s="3" t="s">
        <v>49</v>
      </c>
      <c r="B1918" s="3" t="s">
        <v>50</v>
      </c>
      <c r="C1918">
        <v>43</v>
      </c>
      <c r="D1918">
        <v>12000</v>
      </c>
      <c r="E1918">
        <v>499</v>
      </c>
      <c r="F1918">
        <v>1</v>
      </c>
      <c r="G1918">
        <v>50533.323552418398</v>
      </c>
      <c r="H1918">
        <v>2.6805999999999998E-4</v>
      </c>
      <c r="I1918">
        <v>2781</v>
      </c>
      <c r="J1918">
        <v>2764</v>
      </c>
      <c r="K1918">
        <v>17</v>
      </c>
      <c r="L1918">
        <v>500</v>
      </c>
      <c r="M1918">
        <v>499</v>
      </c>
      <c r="N1918">
        <v>1</v>
      </c>
      <c r="O1918">
        <v>39900.302761811698</v>
      </c>
      <c r="P1918">
        <v>0</v>
      </c>
    </row>
    <row r="1919" spans="1:16" x14ac:dyDescent="0.2">
      <c r="A1919" s="3" t="s">
        <v>49</v>
      </c>
      <c r="B1919" s="3" t="s">
        <v>50</v>
      </c>
      <c r="C1919">
        <v>10</v>
      </c>
      <c r="D1919">
        <v>13000</v>
      </c>
      <c r="E1919">
        <v>499</v>
      </c>
      <c r="F1919">
        <v>1</v>
      </c>
      <c r="G1919">
        <v>13000</v>
      </c>
      <c r="H1919">
        <v>2.6779400000000002E-4</v>
      </c>
      <c r="I1919">
        <v>2851</v>
      </c>
      <c r="J1919">
        <v>2829</v>
      </c>
      <c r="K1919">
        <v>22</v>
      </c>
      <c r="L1919">
        <v>500</v>
      </c>
      <c r="M1919">
        <v>499</v>
      </c>
      <c r="N1919">
        <v>1</v>
      </c>
      <c r="O1919">
        <v>10149</v>
      </c>
      <c r="P1919">
        <v>1</v>
      </c>
    </row>
    <row r="1920" spans="1:16" x14ac:dyDescent="0.2">
      <c r="A1920" s="3" t="s">
        <v>49</v>
      </c>
      <c r="B1920" s="3" t="s">
        <v>50</v>
      </c>
      <c r="C1920">
        <v>5</v>
      </c>
      <c r="D1920">
        <v>13000</v>
      </c>
      <c r="E1920">
        <v>499</v>
      </c>
      <c r="F1920">
        <v>1</v>
      </c>
      <c r="G1920">
        <v>53044.701099550097</v>
      </c>
      <c r="H1920">
        <v>2.6769400000000002E-4</v>
      </c>
      <c r="I1920">
        <v>2817</v>
      </c>
      <c r="J1920">
        <v>2792</v>
      </c>
      <c r="K1920">
        <v>25</v>
      </c>
      <c r="L1920">
        <v>500</v>
      </c>
      <c r="M1920">
        <v>499</v>
      </c>
      <c r="N1920">
        <v>1</v>
      </c>
      <c r="O1920">
        <v>42657.4510037664</v>
      </c>
      <c r="P1920">
        <v>0</v>
      </c>
    </row>
    <row r="1921" spans="1:16" x14ac:dyDescent="0.2">
      <c r="A1921" s="3" t="s">
        <v>49</v>
      </c>
      <c r="B1921" s="3" t="s">
        <v>50</v>
      </c>
      <c r="C1921">
        <v>47</v>
      </c>
      <c r="D1921">
        <v>13000</v>
      </c>
      <c r="E1921">
        <v>499</v>
      </c>
      <c r="F1921">
        <v>1</v>
      </c>
      <c r="G1921">
        <v>53044.701099550097</v>
      </c>
      <c r="H1921">
        <v>2.6766600000000001E-4</v>
      </c>
      <c r="I1921">
        <v>2859</v>
      </c>
      <c r="J1921">
        <v>2821</v>
      </c>
      <c r="K1921">
        <v>38</v>
      </c>
      <c r="L1921">
        <v>500</v>
      </c>
      <c r="M1921">
        <v>499</v>
      </c>
      <c r="N1921">
        <v>1</v>
      </c>
      <c r="O1921">
        <v>42493.306609195599</v>
      </c>
      <c r="P1921">
        <v>0</v>
      </c>
    </row>
    <row r="1922" spans="1:16" x14ac:dyDescent="0.2">
      <c r="A1922" s="3" t="s">
        <v>49</v>
      </c>
      <c r="B1922" s="3" t="s">
        <v>50</v>
      </c>
      <c r="C1922">
        <v>50</v>
      </c>
      <c r="D1922">
        <v>10000</v>
      </c>
      <c r="E1922">
        <v>499</v>
      </c>
      <c r="F1922">
        <v>1</v>
      </c>
      <c r="G1922">
        <v>10000</v>
      </c>
      <c r="H1922">
        <v>2.6760199999999998E-4</v>
      </c>
      <c r="I1922">
        <v>2738</v>
      </c>
      <c r="J1922">
        <v>2728</v>
      </c>
      <c r="K1922">
        <v>10</v>
      </c>
      <c r="L1922">
        <v>500</v>
      </c>
      <c r="M1922">
        <v>499</v>
      </c>
      <c r="N1922">
        <v>1</v>
      </c>
      <c r="O1922">
        <v>7262</v>
      </c>
      <c r="P1922">
        <v>1</v>
      </c>
    </row>
    <row r="1923" spans="1:16" x14ac:dyDescent="0.2">
      <c r="A1923" s="3" t="s">
        <v>49</v>
      </c>
      <c r="B1923" s="3" t="s">
        <v>50</v>
      </c>
      <c r="C1923">
        <v>19</v>
      </c>
      <c r="D1923">
        <v>12000</v>
      </c>
      <c r="E1923">
        <v>499</v>
      </c>
      <c r="F1923">
        <v>1</v>
      </c>
      <c r="G1923">
        <v>12000</v>
      </c>
      <c r="H1923">
        <v>2.6751999999999999E-4</v>
      </c>
      <c r="I1923">
        <v>2765</v>
      </c>
      <c r="J1923">
        <v>2741</v>
      </c>
      <c r="K1923">
        <v>24</v>
      </c>
      <c r="L1923">
        <v>500</v>
      </c>
      <c r="M1923">
        <v>499</v>
      </c>
      <c r="N1923">
        <v>1</v>
      </c>
      <c r="O1923">
        <v>9235</v>
      </c>
      <c r="P1923">
        <v>1</v>
      </c>
    </row>
    <row r="1924" spans="1:16" x14ac:dyDescent="0.2">
      <c r="A1924" s="3" t="s">
        <v>49</v>
      </c>
      <c r="B1924" s="3" t="s">
        <v>50</v>
      </c>
      <c r="C1924">
        <v>25</v>
      </c>
      <c r="D1924">
        <v>13000</v>
      </c>
      <c r="E1924">
        <v>499</v>
      </c>
      <c r="F1924">
        <v>1</v>
      </c>
      <c r="G1924">
        <v>53044.701099550097</v>
      </c>
      <c r="H1924">
        <v>2.6747300000000001E-4</v>
      </c>
      <c r="I1924">
        <v>2812</v>
      </c>
      <c r="J1924">
        <v>2792</v>
      </c>
      <c r="K1924">
        <v>20</v>
      </c>
      <c r="L1924">
        <v>500</v>
      </c>
      <c r="M1924">
        <v>499</v>
      </c>
      <c r="N1924">
        <v>1</v>
      </c>
      <c r="O1924">
        <v>42698.104736516099</v>
      </c>
      <c r="P1924">
        <v>0</v>
      </c>
    </row>
    <row r="1925" spans="1:16" x14ac:dyDescent="0.2">
      <c r="A1925" s="3" t="s">
        <v>49</v>
      </c>
      <c r="B1925" s="3" t="s">
        <v>50</v>
      </c>
      <c r="C1925">
        <v>9</v>
      </c>
      <c r="D1925">
        <v>13000</v>
      </c>
      <c r="E1925">
        <v>499</v>
      </c>
      <c r="F1925">
        <v>1</v>
      </c>
      <c r="G1925">
        <v>13000</v>
      </c>
      <c r="H1925">
        <v>2.6738199999999998E-4</v>
      </c>
      <c r="I1925">
        <v>2852</v>
      </c>
      <c r="J1925">
        <v>2821</v>
      </c>
      <c r="K1925">
        <v>31</v>
      </c>
      <c r="L1925">
        <v>500</v>
      </c>
      <c r="M1925">
        <v>499</v>
      </c>
      <c r="N1925">
        <v>1</v>
      </c>
      <c r="O1925">
        <v>10148</v>
      </c>
      <c r="P1925">
        <v>1</v>
      </c>
    </row>
    <row r="1926" spans="1:16" x14ac:dyDescent="0.2">
      <c r="A1926" s="3" t="s">
        <v>49</v>
      </c>
      <c r="B1926" s="3" t="s">
        <v>50</v>
      </c>
      <c r="C1926">
        <v>27</v>
      </c>
      <c r="D1926">
        <v>13000</v>
      </c>
      <c r="E1926">
        <v>499</v>
      </c>
      <c r="F1926">
        <v>1</v>
      </c>
      <c r="G1926">
        <v>53044.701099550097</v>
      </c>
      <c r="H1926">
        <v>2.67373E-4</v>
      </c>
      <c r="I1926">
        <v>2822</v>
      </c>
      <c r="J1926">
        <v>2799</v>
      </c>
      <c r="K1926">
        <v>23</v>
      </c>
      <c r="L1926">
        <v>500</v>
      </c>
      <c r="M1926">
        <v>499</v>
      </c>
      <c r="N1926">
        <v>1</v>
      </c>
      <c r="O1926">
        <v>42646.521405733598</v>
      </c>
      <c r="P1926">
        <v>0</v>
      </c>
    </row>
    <row r="1927" spans="1:16" x14ac:dyDescent="0.2">
      <c r="A1927" s="3" t="s">
        <v>49</v>
      </c>
      <c r="B1927" s="3" t="s">
        <v>50</v>
      </c>
      <c r="C1927">
        <v>33</v>
      </c>
      <c r="D1927">
        <v>13000</v>
      </c>
      <c r="E1927">
        <v>499</v>
      </c>
      <c r="F1927">
        <v>1</v>
      </c>
      <c r="G1927">
        <v>53044.701099550097</v>
      </c>
      <c r="H1927">
        <v>2.6736300000000001E-4</v>
      </c>
      <c r="I1927">
        <v>2831</v>
      </c>
      <c r="J1927">
        <v>2807</v>
      </c>
      <c r="K1927">
        <v>24</v>
      </c>
      <c r="L1927">
        <v>500</v>
      </c>
      <c r="M1927">
        <v>499</v>
      </c>
      <c r="N1927">
        <v>1</v>
      </c>
      <c r="O1927">
        <v>42679.2961817135</v>
      </c>
      <c r="P1927">
        <v>0</v>
      </c>
    </row>
    <row r="1928" spans="1:16" x14ac:dyDescent="0.2">
      <c r="A1928" s="3" t="s">
        <v>49</v>
      </c>
      <c r="B1928" s="3" t="s">
        <v>50</v>
      </c>
      <c r="C1928">
        <v>2</v>
      </c>
      <c r="D1928">
        <v>13000</v>
      </c>
      <c r="E1928">
        <v>499</v>
      </c>
      <c r="F1928">
        <v>1</v>
      </c>
      <c r="G1928">
        <v>53044.701099550097</v>
      </c>
      <c r="H1928">
        <v>2.6725300000000001E-4</v>
      </c>
      <c r="I1928">
        <v>2829</v>
      </c>
      <c r="J1928">
        <v>2803</v>
      </c>
      <c r="K1928">
        <v>26</v>
      </c>
      <c r="L1928">
        <v>500</v>
      </c>
      <c r="M1928">
        <v>499</v>
      </c>
      <c r="N1928">
        <v>1</v>
      </c>
      <c r="O1928">
        <v>42762.981448175102</v>
      </c>
      <c r="P1928">
        <v>0</v>
      </c>
    </row>
    <row r="1929" spans="1:16" x14ac:dyDescent="0.2">
      <c r="A1929" s="3" t="s">
        <v>49</v>
      </c>
      <c r="B1929" s="3" t="s">
        <v>50</v>
      </c>
      <c r="C1929">
        <v>26</v>
      </c>
      <c r="D1929">
        <v>13000</v>
      </c>
      <c r="E1929">
        <v>499</v>
      </c>
      <c r="F1929">
        <v>1</v>
      </c>
      <c r="G1929">
        <v>53044.701099550097</v>
      </c>
      <c r="H1929">
        <v>2.6710699999999999E-4</v>
      </c>
      <c r="I1929">
        <v>2835</v>
      </c>
      <c r="J1929">
        <v>2806</v>
      </c>
      <c r="K1929">
        <v>29</v>
      </c>
      <c r="L1929">
        <v>500</v>
      </c>
      <c r="M1929">
        <v>499</v>
      </c>
      <c r="N1929">
        <v>1</v>
      </c>
      <c r="O1929">
        <v>42693.286037415099</v>
      </c>
      <c r="P1929">
        <v>0</v>
      </c>
    </row>
    <row r="1930" spans="1:16" x14ac:dyDescent="0.2">
      <c r="A1930" s="3" t="s">
        <v>49</v>
      </c>
      <c r="B1930" s="3" t="s">
        <v>50</v>
      </c>
      <c r="C1930">
        <v>29</v>
      </c>
      <c r="D1930">
        <v>13000</v>
      </c>
      <c r="E1930">
        <v>499</v>
      </c>
      <c r="F1930">
        <v>1</v>
      </c>
      <c r="G1930">
        <v>53044.701099550097</v>
      </c>
      <c r="H1930">
        <v>2.6710699999999999E-4</v>
      </c>
      <c r="I1930">
        <v>2853</v>
      </c>
      <c r="J1930">
        <v>2826</v>
      </c>
      <c r="K1930">
        <v>27</v>
      </c>
      <c r="L1930">
        <v>500</v>
      </c>
      <c r="M1930">
        <v>499</v>
      </c>
      <c r="N1930">
        <v>1</v>
      </c>
      <c r="O1930">
        <v>42594.6400354859</v>
      </c>
      <c r="P1930">
        <v>0</v>
      </c>
    </row>
    <row r="1931" spans="1:16" x14ac:dyDescent="0.2">
      <c r="A1931" s="3" t="s">
        <v>49</v>
      </c>
      <c r="B1931" s="3" t="s">
        <v>50</v>
      </c>
      <c r="C1931">
        <v>22</v>
      </c>
      <c r="D1931">
        <v>13000</v>
      </c>
      <c r="E1931">
        <v>499</v>
      </c>
      <c r="F1931">
        <v>1</v>
      </c>
      <c r="G1931">
        <v>53044.701099550097</v>
      </c>
      <c r="H1931">
        <v>2.66777E-4</v>
      </c>
      <c r="I1931">
        <v>2829</v>
      </c>
      <c r="J1931">
        <v>2804</v>
      </c>
      <c r="K1931">
        <v>25</v>
      </c>
      <c r="L1931">
        <v>500</v>
      </c>
      <c r="M1931">
        <v>499</v>
      </c>
      <c r="N1931">
        <v>1</v>
      </c>
      <c r="O1931">
        <v>42662.734413257698</v>
      </c>
      <c r="P1931">
        <v>0</v>
      </c>
    </row>
    <row r="1932" spans="1:16" x14ac:dyDescent="0.2">
      <c r="A1932" s="3" t="s">
        <v>49</v>
      </c>
      <c r="B1932" s="3" t="s">
        <v>50</v>
      </c>
      <c r="C1932">
        <v>35</v>
      </c>
      <c r="D1932">
        <v>13000</v>
      </c>
      <c r="E1932">
        <v>499</v>
      </c>
      <c r="F1932">
        <v>1</v>
      </c>
      <c r="G1932">
        <v>53044.701099550097</v>
      </c>
      <c r="H1932">
        <v>2.6674000000000001E-4</v>
      </c>
      <c r="I1932">
        <v>2830</v>
      </c>
      <c r="J1932">
        <v>2809</v>
      </c>
      <c r="K1932">
        <v>21</v>
      </c>
      <c r="L1932">
        <v>500</v>
      </c>
      <c r="M1932">
        <v>499</v>
      </c>
      <c r="N1932">
        <v>1</v>
      </c>
      <c r="O1932">
        <v>42691.628312302702</v>
      </c>
      <c r="P1932">
        <v>0</v>
      </c>
    </row>
    <row r="1933" spans="1:16" x14ac:dyDescent="0.2">
      <c r="A1933" s="3" t="s">
        <v>49</v>
      </c>
      <c r="B1933" s="3" t="s">
        <v>50</v>
      </c>
      <c r="C1933">
        <v>23</v>
      </c>
      <c r="D1933">
        <v>13000</v>
      </c>
      <c r="E1933">
        <v>499</v>
      </c>
      <c r="F1933">
        <v>1</v>
      </c>
      <c r="G1933">
        <v>13000</v>
      </c>
      <c r="H1933">
        <v>2.66722E-4</v>
      </c>
      <c r="I1933">
        <v>2825</v>
      </c>
      <c r="J1933">
        <v>2786</v>
      </c>
      <c r="K1933">
        <v>39</v>
      </c>
      <c r="L1933">
        <v>500</v>
      </c>
      <c r="M1933">
        <v>499</v>
      </c>
      <c r="N1933">
        <v>1</v>
      </c>
      <c r="O1933">
        <v>10175</v>
      </c>
      <c r="P1933">
        <v>1</v>
      </c>
    </row>
    <row r="1934" spans="1:16" x14ac:dyDescent="0.2">
      <c r="A1934" s="3" t="s">
        <v>49</v>
      </c>
      <c r="B1934" s="3" t="s">
        <v>50</v>
      </c>
      <c r="C1934">
        <v>45</v>
      </c>
      <c r="D1934">
        <v>13000</v>
      </c>
      <c r="E1934">
        <v>499</v>
      </c>
      <c r="F1934">
        <v>1</v>
      </c>
      <c r="G1934">
        <v>53044.701099550097</v>
      </c>
      <c r="H1934">
        <v>2.6654700000000001E-4</v>
      </c>
      <c r="I1934">
        <v>2846</v>
      </c>
      <c r="J1934">
        <v>2826</v>
      </c>
      <c r="K1934">
        <v>20</v>
      </c>
      <c r="L1934">
        <v>500</v>
      </c>
      <c r="M1934">
        <v>499</v>
      </c>
      <c r="N1934">
        <v>1</v>
      </c>
      <c r="O1934">
        <v>42722.133155739102</v>
      </c>
      <c r="P1934">
        <v>0</v>
      </c>
    </row>
    <row r="1935" spans="1:16" x14ac:dyDescent="0.2">
      <c r="A1935" s="3" t="s">
        <v>49</v>
      </c>
      <c r="B1935" s="3" t="s">
        <v>50</v>
      </c>
      <c r="C1935">
        <v>36</v>
      </c>
      <c r="D1935">
        <v>12000</v>
      </c>
      <c r="E1935">
        <v>499</v>
      </c>
      <c r="F1935">
        <v>1</v>
      </c>
      <c r="G1935">
        <v>12000</v>
      </c>
      <c r="H1935">
        <v>2.6638299999999997E-4</v>
      </c>
      <c r="I1935">
        <v>2789</v>
      </c>
      <c r="J1935">
        <v>2767</v>
      </c>
      <c r="K1935">
        <v>22</v>
      </c>
      <c r="L1935">
        <v>500</v>
      </c>
      <c r="M1935">
        <v>499</v>
      </c>
      <c r="N1935">
        <v>1</v>
      </c>
      <c r="O1935">
        <v>9211</v>
      </c>
      <c r="P1935">
        <v>1</v>
      </c>
    </row>
    <row r="1936" spans="1:16" x14ac:dyDescent="0.2">
      <c r="A1936" s="3" t="s">
        <v>49</v>
      </c>
      <c r="B1936" s="3" t="s">
        <v>50</v>
      </c>
      <c r="C1936">
        <v>8</v>
      </c>
      <c r="D1936">
        <v>11000</v>
      </c>
      <c r="E1936">
        <v>499</v>
      </c>
      <c r="F1936">
        <v>1</v>
      </c>
      <c r="G1936">
        <v>11000</v>
      </c>
      <c r="H1936">
        <v>2.6631799999999998E-4</v>
      </c>
      <c r="I1936">
        <v>2761</v>
      </c>
      <c r="J1936">
        <v>2746</v>
      </c>
      <c r="K1936">
        <v>15</v>
      </c>
      <c r="L1936">
        <v>500</v>
      </c>
      <c r="M1936">
        <v>499</v>
      </c>
      <c r="N1936">
        <v>1</v>
      </c>
      <c r="O1936">
        <v>8239</v>
      </c>
      <c r="P1936">
        <v>1</v>
      </c>
    </row>
    <row r="1937" spans="1:16" x14ac:dyDescent="0.2">
      <c r="A1937" s="3" t="s">
        <v>49</v>
      </c>
      <c r="B1937" s="3" t="s">
        <v>50</v>
      </c>
      <c r="C1937">
        <v>34</v>
      </c>
      <c r="D1937">
        <v>12000</v>
      </c>
      <c r="E1937">
        <v>499</v>
      </c>
      <c r="F1937">
        <v>1</v>
      </c>
      <c r="G1937">
        <v>50533.323552418398</v>
      </c>
      <c r="H1937">
        <v>2.66309E-4</v>
      </c>
      <c r="I1937">
        <v>2761</v>
      </c>
      <c r="J1937">
        <v>2739</v>
      </c>
      <c r="K1937">
        <v>22</v>
      </c>
      <c r="L1937">
        <v>500</v>
      </c>
      <c r="M1937">
        <v>499</v>
      </c>
      <c r="N1937">
        <v>1</v>
      </c>
      <c r="O1937">
        <v>40019.376464099099</v>
      </c>
      <c r="P1937">
        <v>0</v>
      </c>
    </row>
    <row r="1938" spans="1:16" x14ac:dyDescent="0.2">
      <c r="A1938" s="3" t="s">
        <v>49</v>
      </c>
      <c r="B1938" s="3" t="s">
        <v>50</v>
      </c>
      <c r="C1938">
        <v>41</v>
      </c>
      <c r="D1938">
        <v>12000</v>
      </c>
      <c r="E1938">
        <v>499</v>
      </c>
      <c r="F1938">
        <v>1</v>
      </c>
      <c r="G1938">
        <v>12000</v>
      </c>
      <c r="H1938">
        <v>2.66254E-4</v>
      </c>
      <c r="I1938">
        <v>2848</v>
      </c>
      <c r="J1938">
        <v>2811</v>
      </c>
      <c r="K1938">
        <v>37</v>
      </c>
      <c r="L1938">
        <v>500</v>
      </c>
      <c r="M1938">
        <v>499</v>
      </c>
      <c r="N1938">
        <v>1</v>
      </c>
      <c r="O1938">
        <v>9152</v>
      </c>
      <c r="P1938">
        <v>1</v>
      </c>
    </row>
    <row r="1939" spans="1:16" x14ac:dyDescent="0.2">
      <c r="A1939" s="3" t="s">
        <v>49</v>
      </c>
      <c r="B1939" s="3" t="s">
        <v>50</v>
      </c>
      <c r="C1939">
        <v>33</v>
      </c>
      <c r="D1939">
        <v>12000</v>
      </c>
      <c r="E1939">
        <v>499</v>
      </c>
      <c r="F1939">
        <v>1</v>
      </c>
      <c r="G1939">
        <v>12000</v>
      </c>
      <c r="H1939">
        <v>2.66199E-4</v>
      </c>
      <c r="I1939">
        <v>2802</v>
      </c>
      <c r="J1939">
        <v>2775</v>
      </c>
      <c r="K1939">
        <v>27</v>
      </c>
      <c r="L1939">
        <v>500</v>
      </c>
      <c r="M1939">
        <v>499</v>
      </c>
      <c r="N1939">
        <v>1</v>
      </c>
      <c r="O1939">
        <v>9198</v>
      </c>
      <c r="P1939">
        <v>1</v>
      </c>
    </row>
    <row r="1940" spans="1:16" x14ac:dyDescent="0.2">
      <c r="A1940" s="3" t="s">
        <v>49</v>
      </c>
      <c r="B1940" s="3" t="s">
        <v>50</v>
      </c>
      <c r="C1940">
        <v>34</v>
      </c>
      <c r="D1940">
        <v>12000</v>
      </c>
      <c r="E1940">
        <v>499</v>
      </c>
      <c r="F1940">
        <v>1</v>
      </c>
      <c r="G1940">
        <v>12000</v>
      </c>
      <c r="H1940">
        <v>2.66171E-4</v>
      </c>
      <c r="I1940">
        <v>2769</v>
      </c>
      <c r="J1940">
        <v>2742</v>
      </c>
      <c r="K1940">
        <v>27</v>
      </c>
      <c r="L1940">
        <v>500</v>
      </c>
      <c r="M1940">
        <v>499</v>
      </c>
      <c r="N1940">
        <v>1</v>
      </c>
      <c r="O1940">
        <v>9231</v>
      </c>
      <c r="P1940">
        <v>1</v>
      </c>
    </row>
    <row r="1941" spans="1:16" x14ac:dyDescent="0.2">
      <c r="A1941" s="3" t="s">
        <v>49</v>
      </c>
      <c r="B1941" s="3" t="s">
        <v>50</v>
      </c>
      <c r="C1941">
        <v>18</v>
      </c>
      <c r="D1941">
        <v>13000</v>
      </c>
      <c r="E1941">
        <v>499</v>
      </c>
      <c r="F1941">
        <v>1</v>
      </c>
      <c r="G1941">
        <v>53044.701099550097</v>
      </c>
      <c r="H1941">
        <v>2.6604299999999999E-4</v>
      </c>
      <c r="I1941">
        <v>2848</v>
      </c>
      <c r="J1941">
        <v>2819</v>
      </c>
      <c r="K1941">
        <v>29</v>
      </c>
      <c r="L1941">
        <v>500</v>
      </c>
      <c r="M1941">
        <v>499</v>
      </c>
      <c r="N1941">
        <v>1</v>
      </c>
      <c r="O1941">
        <v>42580.372296184702</v>
      </c>
      <c r="P1941">
        <v>0</v>
      </c>
    </row>
    <row r="1942" spans="1:16" x14ac:dyDescent="0.2">
      <c r="A1942" s="3" t="s">
        <v>49</v>
      </c>
      <c r="B1942" s="3" t="s">
        <v>50</v>
      </c>
      <c r="C1942">
        <v>49</v>
      </c>
      <c r="D1942">
        <v>12000</v>
      </c>
      <c r="E1942">
        <v>499</v>
      </c>
      <c r="F1942">
        <v>1</v>
      </c>
      <c r="G1942">
        <v>12000</v>
      </c>
      <c r="H1942">
        <v>2.6573200000000002E-4</v>
      </c>
      <c r="I1942">
        <v>2755</v>
      </c>
      <c r="J1942">
        <v>2736</v>
      </c>
      <c r="K1942">
        <v>19</v>
      </c>
      <c r="L1942">
        <v>500</v>
      </c>
      <c r="M1942">
        <v>499</v>
      </c>
      <c r="N1942">
        <v>1</v>
      </c>
      <c r="O1942">
        <v>9245</v>
      </c>
      <c r="P1942">
        <v>1</v>
      </c>
    </row>
    <row r="1943" spans="1:16" x14ac:dyDescent="0.2">
      <c r="A1943" s="3" t="s">
        <v>49</v>
      </c>
      <c r="B1943" s="3" t="s">
        <v>50</v>
      </c>
      <c r="C1943">
        <v>46</v>
      </c>
      <c r="D1943">
        <v>12000</v>
      </c>
      <c r="E1943">
        <v>499</v>
      </c>
      <c r="F1943">
        <v>1</v>
      </c>
      <c r="G1943">
        <v>12000</v>
      </c>
      <c r="H1943">
        <v>2.6553900000000002E-4</v>
      </c>
      <c r="I1943">
        <v>2825</v>
      </c>
      <c r="J1943">
        <v>2795</v>
      </c>
      <c r="K1943">
        <v>30</v>
      </c>
      <c r="L1943">
        <v>500</v>
      </c>
      <c r="M1943">
        <v>499</v>
      </c>
      <c r="N1943">
        <v>1</v>
      </c>
      <c r="O1943">
        <v>9175</v>
      </c>
      <c r="P1943">
        <v>1</v>
      </c>
    </row>
    <row r="1944" spans="1:16" x14ac:dyDescent="0.2">
      <c r="A1944" s="3" t="s">
        <v>49</v>
      </c>
      <c r="B1944" s="3" t="s">
        <v>50</v>
      </c>
      <c r="C1944">
        <v>38</v>
      </c>
      <c r="D1944">
        <v>13000</v>
      </c>
      <c r="E1944">
        <v>499</v>
      </c>
      <c r="F1944">
        <v>1</v>
      </c>
      <c r="G1944">
        <v>53044.701099550097</v>
      </c>
      <c r="H1944">
        <v>2.6504399999999998E-4</v>
      </c>
      <c r="I1944">
        <v>2850</v>
      </c>
      <c r="J1944">
        <v>2812</v>
      </c>
      <c r="K1944">
        <v>38</v>
      </c>
      <c r="L1944">
        <v>500</v>
      </c>
      <c r="M1944">
        <v>499</v>
      </c>
      <c r="N1944">
        <v>1</v>
      </c>
      <c r="O1944">
        <v>42527.196351581901</v>
      </c>
      <c r="P1944">
        <v>0</v>
      </c>
    </row>
    <row r="1945" spans="1:16" x14ac:dyDescent="0.2">
      <c r="A1945" s="3" t="s">
        <v>49</v>
      </c>
      <c r="B1945" s="3" t="s">
        <v>50</v>
      </c>
      <c r="C1945">
        <v>32</v>
      </c>
      <c r="D1945">
        <v>13000</v>
      </c>
      <c r="E1945">
        <v>499</v>
      </c>
      <c r="F1945">
        <v>1</v>
      </c>
      <c r="G1945">
        <v>53044.701099550097</v>
      </c>
      <c r="H1945">
        <v>2.6502600000000002E-4</v>
      </c>
      <c r="I1945">
        <v>2766</v>
      </c>
      <c r="J1945">
        <v>2744</v>
      </c>
      <c r="K1945">
        <v>22</v>
      </c>
      <c r="L1945">
        <v>500</v>
      </c>
      <c r="M1945">
        <v>499</v>
      </c>
      <c r="N1945">
        <v>1</v>
      </c>
      <c r="O1945">
        <v>42736.3577998209</v>
      </c>
      <c r="P1945">
        <v>0</v>
      </c>
    </row>
    <row r="1946" spans="1:16" x14ac:dyDescent="0.2">
      <c r="A1946" s="3" t="s">
        <v>49</v>
      </c>
      <c r="B1946" s="3" t="s">
        <v>50</v>
      </c>
      <c r="C1946">
        <v>47</v>
      </c>
      <c r="D1946">
        <v>13000</v>
      </c>
      <c r="E1946">
        <v>499</v>
      </c>
      <c r="F1946">
        <v>1</v>
      </c>
      <c r="G1946">
        <v>13000</v>
      </c>
      <c r="H1946">
        <v>2.6454000000000001E-4</v>
      </c>
      <c r="I1946">
        <v>2766</v>
      </c>
      <c r="J1946">
        <v>2746</v>
      </c>
      <c r="K1946">
        <v>20</v>
      </c>
      <c r="L1946">
        <v>500</v>
      </c>
      <c r="M1946">
        <v>499</v>
      </c>
      <c r="N1946">
        <v>1</v>
      </c>
      <c r="O1946">
        <v>10234</v>
      </c>
      <c r="P1946">
        <v>1</v>
      </c>
    </row>
    <row r="1947" spans="1:16" x14ac:dyDescent="0.2">
      <c r="A1947" s="3" t="s">
        <v>49</v>
      </c>
      <c r="B1947" s="3" t="s">
        <v>50</v>
      </c>
      <c r="C1947">
        <v>32</v>
      </c>
      <c r="D1947">
        <v>13000</v>
      </c>
      <c r="E1947">
        <v>499</v>
      </c>
      <c r="F1947">
        <v>1</v>
      </c>
      <c r="G1947">
        <v>13000</v>
      </c>
      <c r="H1947">
        <v>2.6449399999999999E-4</v>
      </c>
      <c r="I1947">
        <v>2828</v>
      </c>
      <c r="J1947">
        <v>2804</v>
      </c>
      <c r="K1947">
        <v>24</v>
      </c>
      <c r="L1947">
        <v>500</v>
      </c>
      <c r="M1947">
        <v>499</v>
      </c>
      <c r="N1947">
        <v>1</v>
      </c>
      <c r="O1947">
        <v>10172</v>
      </c>
      <c r="P1947">
        <v>1</v>
      </c>
    </row>
    <row r="1948" spans="1:16" x14ac:dyDescent="0.2">
      <c r="A1948" s="3" t="s">
        <v>49</v>
      </c>
      <c r="B1948" s="3" t="s">
        <v>50</v>
      </c>
      <c r="C1948">
        <v>46</v>
      </c>
      <c r="D1948">
        <v>13000</v>
      </c>
      <c r="E1948">
        <v>499</v>
      </c>
      <c r="F1948">
        <v>1</v>
      </c>
      <c r="G1948">
        <v>13000</v>
      </c>
      <c r="H1948">
        <v>2.64329E-4</v>
      </c>
      <c r="I1948">
        <v>2841</v>
      </c>
      <c r="J1948">
        <v>2816</v>
      </c>
      <c r="K1948">
        <v>25</v>
      </c>
      <c r="L1948">
        <v>500</v>
      </c>
      <c r="M1948">
        <v>499</v>
      </c>
      <c r="N1948">
        <v>1</v>
      </c>
      <c r="O1948">
        <v>10159</v>
      </c>
      <c r="P1948">
        <v>1</v>
      </c>
    </row>
    <row r="1949" spans="1:16" x14ac:dyDescent="0.2">
      <c r="A1949" s="3" t="s">
        <v>49</v>
      </c>
      <c r="B1949" s="3" t="s">
        <v>50</v>
      </c>
      <c r="C1949">
        <v>9</v>
      </c>
      <c r="D1949">
        <v>13000</v>
      </c>
      <c r="E1949">
        <v>499</v>
      </c>
      <c r="F1949">
        <v>1</v>
      </c>
      <c r="G1949">
        <v>53044.701099550097</v>
      </c>
      <c r="H1949">
        <v>2.6429300000000003E-4</v>
      </c>
      <c r="I1949">
        <v>2807</v>
      </c>
      <c r="J1949">
        <v>2786</v>
      </c>
      <c r="K1949">
        <v>21</v>
      </c>
      <c r="L1949">
        <v>500</v>
      </c>
      <c r="M1949">
        <v>499</v>
      </c>
      <c r="N1949">
        <v>1</v>
      </c>
      <c r="O1949">
        <v>42690.595093679003</v>
      </c>
      <c r="P1949">
        <v>0</v>
      </c>
    </row>
    <row r="1950" spans="1:16" x14ac:dyDescent="0.2">
      <c r="A1950" s="3" t="s">
        <v>49</v>
      </c>
      <c r="B1950" s="3" t="s">
        <v>50</v>
      </c>
      <c r="C1950">
        <v>29</v>
      </c>
      <c r="D1950">
        <v>13000</v>
      </c>
      <c r="E1950">
        <v>499</v>
      </c>
      <c r="F1950">
        <v>1</v>
      </c>
      <c r="G1950">
        <v>13000</v>
      </c>
      <c r="H1950">
        <v>2.64274E-4</v>
      </c>
      <c r="I1950">
        <v>2789</v>
      </c>
      <c r="J1950">
        <v>2764</v>
      </c>
      <c r="K1950">
        <v>25</v>
      </c>
      <c r="L1950">
        <v>500</v>
      </c>
      <c r="M1950">
        <v>499</v>
      </c>
      <c r="N1950">
        <v>1</v>
      </c>
      <c r="O1950">
        <v>10211</v>
      </c>
      <c r="P1950">
        <v>1</v>
      </c>
    </row>
    <row r="1951" spans="1:16" x14ac:dyDescent="0.2">
      <c r="A1951" s="3" t="s">
        <v>49</v>
      </c>
      <c r="B1951" s="3" t="s">
        <v>50</v>
      </c>
      <c r="C1951">
        <v>1</v>
      </c>
      <c r="D1951">
        <v>13000</v>
      </c>
      <c r="E1951">
        <v>499</v>
      </c>
      <c r="F1951">
        <v>1</v>
      </c>
      <c r="G1951">
        <v>53044.701099550097</v>
      </c>
      <c r="H1951">
        <v>2.6414599999999999E-4</v>
      </c>
      <c r="I1951">
        <v>2816</v>
      </c>
      <c r="J1951">
        <v>2793</v>
      </c>
      <c r="K1951">
        <v>23</v>
      </c>
      <c r="L1951">
        <v>500</v>
      </c>
      <c r="M1951">
        <v>499</v>
      </c>
      <c r="N1951">
        <v>1</v>
      </c>
      <c r="O1951">
        <v>42713.397292947302</v>
      </c>
      <c r="P1951">
        <v>0</v>
      </c>
    </row>
    <row r="1952" spans="1:16" x14ac:dyDescent="0.2">
      <c r="A1952" s="3" t="s">
        <v>49</v>
      </c>
      <c r="B1952" s="3" t="s">
        <v>50</v>
      </c>
      <c r="C1952">
        <v>41</v>
      </c>
      <c r="D1952">
        <v>13000</v>
      </c>
      <c r="E1952">
        <v>499</v>
      </c>
      <c r="F1952">
        <v>1</v>
      </c>
      <c r="G1952">
        <v>53044.701099550097</v>
      </c>
      <c r="H1952">
        <v>2.6401700000000002E-4</v>
      </c>
      <c r="I1952">
        <v>2830</v>
      </c>
      <c r="J1952">
        <v>2805</v>
      </c>
      <c r="K1952">
        <v>25</v>
      </c>
      <c r="L1952">
        <v>500</v>
      </c>
      <c r="M1952">
        <v>499</v>
      </c>
      <c r="N1952">
        <v>1</v>
      </c>
      <c r="O1952">
        <v>42653.151531741503</v>
      </c>
      <c r="P1952">
        <v>0</v>
      </c>
    </row>
    <row r="1953" spans="1:16" x14ac:dyDescent="0.2">
      <c r="A1953" s="3" t="s">
        <v>49</v>
      </c>
      <c r="B1953" s="3" t="s">
        <v>50</v>
      </c>
      <c r="C1953">
        <v>24</v>
      </c>
      <c r="D1953">
        <v>13000</v>
      </c>
      <c r="E1953">
        <v>499</v>
      </c>
      <c r="F1953">
        <v>1</v>
      </c>
      <c r="G1953">
        <v>53044.701099550097</v>
      </c>
      <c r="H1953">
        <v>2.6379700000000002E-4</v>
      </c>
      <c r="I1953">
        <v>2852</v>
      </c>
      <c r="J1953">
        <v>2816</v>
      </c>
      <c r="K1953">
        <v>36</v>
      </c>
      <c r="L1953">
        <v>500</v>
      </c>
      <c r="M1953">
        <v>499</v>
      </c>
      <c r="N1953">
        <v>1</v>
      </c>
      <c r="O1953">
        <v>42527.488635483402</v>
      </c>
      <c r="P1953">
        <v>0</v>
      </c>
    </row>
    <row r="1954" spans="1:16" x14ac:dyDescent="0.2">
      <c r="A1954" s="3" t="s">
        <v>49</v>
      </c>
      <c r="B1954" s="3" t="s">
        <v>50</v>
      </c>
      <c r="C1954">
        <v>38</v>
      </c>
      <c r="D1954">
        <v>12000</v>
      </c>
      <c r="E1954">
        <v>499</v>
      </c>
      <c r="F1954">
        <v>1</v>
      </c>
      <c r="G1954">
        <v>50533.323552418398</v>
      </c>
      <c r="H1954">
        <v>2.63403E-4</v>
      </c>
      <c r="I1954">
        <v>2815</v>
      </c>
      <c r="J1954">
        <v>2794</v>
      </c>
      <c r="K1954">
        <v>21</v>
      </c>
      <c r="L1954">
        <v>500</v>
      </c>
      <c r="M1954">
        <v>499</v>
      </c>
      <c r="N1954">
        <v>1</v>
      </c>
      <c r="O1954">
        <v>39893.971062021403</v>
      </c>
      <c r="P1954">
        <v>0</v>
      </c>
    </row>
    <row r="1955" spans="1:16" x14ac:dyDescent="0.2">
      <c r="A1955" s="3" t="s">
        <v>49</v>
      </c>
      <c r="B1955" s="3" t="s">
        <v>50</v>
      </c>
      <c r="C1955">
        <v>35</v>
      </c>
      <c r="D1955">
        <v>13000</v>
      </c>
      <c r="E1955">
        <v>499</v>
      </c>
      <c r="F1955">
        <v>1</v>
      </c>
      <c r="G1955">
        <v>13000</v>
      </c>
      <c r="H1955">
        <v>2.6335699999999998E-4</v>
      </c>
      <c r="I1955">
        <v>2809</v>
      </c>
      <c r="J1955">
        <v>2787</v>
      </c>
      <c r="K1955">
        <v>22</v>
      </c>
      <c r="L1955">
        <v>500</v>
      </c>
      <c r="M1955">
        <v>499</v>
      </c>
      <c r="N1955">
        <v>1</v>
      </c>
      <c r="O1955">
        <v>10191</v>
      </c>
      <c r="P1955">
        <v>1</v>
      </c>
    </row>
    <row r="1956" spans="1:16" x14ac:dyDescent="0.2">
      <c r="A1956" s="3" t="s">
        <v>49</v>
      </c>
      <c r="B1956" s="3" t="s">
        <v>50</v>
      </c>
      <c r="C1956">
        <v>37</v>
      </c>
      <c r="D1956">
        <v>13000</v>
      </c>
      <c r="E1956">
        <v>499</v>
      </c>
      <c r="F1956">
        <v>1</v>
      </c>
      <c r="G1956">
        <v>53044.701099550097</v>
      </c>
      <c r="H1956">
        <v>2.6325699999999998E-4</v>
      </c>
      <c r="I1956">
        <v>2861</v>
      </c>
      <c r="J1956">
        <v>2840</v>
      </c>
      <c r="K1956">
        <v>21</v>
      </c>
      <c r="L1956">
        <v>500</v>
      </c>
      <c r="M1956">
        <v>499</v>
      </c>
      <c r="N1956">
        <v>1</v>
      </c>
      <c r="O1956">
        <v>42572.037862478901</v>
      </c>
      <c r="P1956">
        <v>0</v>
      </c>
    </row>
    <row r="1957" spans="1:16" x14ac:dyDescent="0.2">
      <c r="A1957" s="3" t="s">
        <v>49</v>
      </c>
      <c r="B1957" s="3" t="s">
        <v>50</v>
      </c>
      <c r="C1957">
        <v>43</v>
      </c>
      <c r="D1957">
        <v>13000</v>
      </c>
      <c r="E1957">
        <v>499</v>
      </c>
      <c r="F1957">
        <v>1</v>
      </c>
      <c r="G1957">
        <v>13000</v>
      </c>
      <c r="H1957">
        <v>2.6301900000000002E-4</v>
      </c>
      <c r="I1957">
        <v>2808</v>
      </c>
      <c r="J1957">
        <v>2788</v>
      </c>
      <c r="K1957">
        <v>20</v>
      </c>
      <c r="L1957">
        <v>500</v>
      </c>
      <c r="M1957">
        <v>499</v>
      </c>
      <c r="N1957">
        <v>1</v>
      </c>
      <c r="O1957">
        <v>10192</v>
      </c>
      <c r="P1957">
        <v>1</v>
      </c>
    </row>
    <row r="1958" spans="1:16" x14ac:dyDescent="0.2">
      <c r="A1958" s="3" t="s">
        <v>49</v>
      </c>
      <c r="B1958" s="3" t="s">
        <v>50</v>
      </c>
      <c r="C1958">
        <v>49</v>
      </c>
      <c r="D1958">
        <v>13000</v>
      </c>
      <c r="E1958">
        <v>499</v>
      </c>
      <c r="F1958">
        <v>1</v>
      </c>
      <c r="G1958">
        <v>53044.701099550097</v>
      </c>
      <c r="H1958">
        <v>2.62945E-4</v>
      </c>
      <c r="I1958">
        <v>2835</v>
      </c>
      <c r="J1958">
        <v>2812</v>
      </c>
      <c r="K1958">
        <v>23</v>
      </c>
      <c r="L1958">
        <v>500</v>
      </c>
      <c r="M1958">
        <v>499</v>
      </c>
      <c r="N1958">
        <v>1</v>
      </c>
      <c r="O1958">
        <v>42622.184868026998</v>
      </c>
      <c r="P1958">
        <v>0</v>
      </c>
    </row>
    <row r="1959" spans="1:16" x14ac:dyDescent="0.2">
      <c r="A1959" s="3" t="s">
        <v>49</v>
      </c>
      <c r="B1959" s="3" t="s">
        <v>50</v>
      </c>
      <c r="C1959">
        <v>25</v>
      </c>
      <c r="D1959">
        <v>12000</v>
      </c>
      <c r="E1959">
        <v>499</v>
      </c>
      <c r="F1959">
        <v>1</v>
      </c>
      <c r="G1959">
        <v>50533.323552418398</v>
      </c>
      <c r="H1959">
        <v>2.6292699999999998E-4</v>
      </c>
      <c r="I1959">
        <v>2828</v>
      </c>
      <c r="J1959">
        <v>2803</v>
      </c>
      <c r="K1959">
        <v>25</v>
      </c>
      <c r="L1959">
        <v>500</v>
      </c>
      <c r="M1959">
        <v>499</v>
      </c>
      <c r="N1959">
        <v>1</v>
      </c>
      <c r="O1959">
        <v>39717.824939513099</v>
      </c>
      <c r="P1959">
        <v>0</v>
      </c>
    </row>
    <row r="1960" spans="1:16" x14ac:dyDescent="0.2">
      <c r="A1960" s="3" t="s">
        <v>49</v>
      </c>
      <c r="B1960" s="3" t="s">
        <v>50</v>
      </c>
      <c r="C1960">
        <v>17</v>
      </c>
      <c r="D1960">
        <v>13000</v>
      </c>
      <c r="E1960">
        <v>499</v>
      </c>
      <c r="F1960">
        <v>1</v>
      </c>
      <c r="G1960">
        <v>13000</v>
      </c>
      <c r="H1960">
        <v>2.6288100000000002E-4</v>
      </c>
      <c r="I1960">
        <v>2822</v>
      </c>
      <c r="J1960">
        <v>2785</v>
      </c>
      <c r="K1960">
        <v>37</v>
      </c>
      <c r="L1960">
        <v>500</v>
      </c>
      <c r="M1960">
        <v>499</v>
      </c>
      <c r="N1960">
        <v>1</v>
      </c>
      <c r="O1960">
        <v>10178</v>
      </c>
      <c r="P1960">
        <v>1</v>
      </c>
    </row>
    <row r="1961" spans="1:16" x14ac:dyDescent="0.2">
      <c r="A1961" s="3" t="s">
        <v>49</v>
      </c>
      <c r="B1961" s="3" t="s">
        <v>50</v>
      </c>
      <c r="C1961">
        <v>3</v>
      </c>
      <c r="D1961">
        <v>13000</v>
      </c>
      <c r="E1961">
        <v>499</v>
      </c>
      <c r="F1961">
        <v>1</v>
      </c>
      <c r="G1961">
        <v>13000</v>
      </c>
      <c r="H1961">
        <v>2.6284399999999998E-4</v>
      </c>
      <c r="I1961">
        <v>2817</v>
      </c>
      <c r="J1961">
        <v>2795</v>
      </c>
      <c r="K1961">
        <v>22</v>
      </c>
      <c r="L1961">
        <v>500</v>
      </c>
      <c r="M1961">
        <v>499</v>
      </c>
      <c r="N1961">
        <v>1</v>
      </c>
      <c r="O1961">
        <v>10183</v>
      </c>
      <c r="P1961">
        <v>1</v>
      </c>
    </row>
    <row r="1962" spans="1:16" x14ac:dyDescent="0.2">
      <c r="A1962" s="3" t="s">
        <v>49</v>
      </c>
      <c r="B1962" s="3" t="s">
        <v>50</v>
      </c>
      <c r="C1962">
        <v>13</v>
      </c>
      <c r="D1962">
        <v>13000</v>
      </c>
      <c r="E1962">
        <v>499</v>
      </c>
      <c r="F1962">
        <v>1</v>
      </c>
      <c r="G1962">
        <v>53044.701099550097</v>
      </c>
      <c r="H1962">
        <v>2.6277100000000002E-4</v>
      </c>
      <c r="I1962">
        <v>2871</v>
      </c>
      <c r="J1962">
        <v>2840</v>
      </c>
      <c r="K1962">
        <v>31</v>
      </c>
      <c r="L1962">
        <v>500</v>
      </c>
      <c r="M1962">
        <v>499</v>
      </c>
      <c r="N1962">
        <v>1</v>
      </c>
      <c r="O1962">
        <v>42457.649134958701</v>
      </c>
      <c r="P1962">
        <v>0</v>
      </c>
    </row>
    <row r="1963" spans="1:16" x14ac:dyDescent="0.2">
      <c r="A1963" s="3" t="s">
        <v>49</v>
      </c>
      <c r="B1963" s="3" t="s">
        <v>50</v>
      </c>
      <c r="C1963">
        <v>20</v>
      </c>
      <c r="D1963">
        <v>13000</v>
      </c>
      <c r="E1963">
        <v>499</v>
      </c>
      <c r="F1963">
        <v>1</v>
      </c>
      <c r="G1963">
        <v>53044.701099550097</v>
      </c>
      <c r="H1963">
        <v>2.6265199999999999E-4</v>
      </c>
      <c r="I1963">
        <v>2842</v>
      </c>
      <c r="J1963">
        <v>2815</v>
      </c>
      <c r="K1963">
        <v>27</v>
      </c>
      <c r="L1963">
        <v>500</v>
      </c>
      <c r="M1963">
        <v>499</v>
      </c>
      <c r="N1963">
        <v>1</v>
      </c>
      <c r="O1963">
        <v>42655.103745602297</v>
      </c>
      <c r="P1963">
        <v>0</v>
      </c>
    </row>
    <row r="1964" spans="1:16" x14ac:dyDescent="0.2">
      <c r="A1964" s="3" t="s">
        <v>49</v>
      </c>
      <c r="B1964" s="3" t="s">
        <v>50</v>
      </c>
      <c r="C1964">
        <v>11</v>
      </c>
      <c r="D1964">
        <v>13000</v>
      </c>
      <c r="E1964">
        <v>499</v>
      </c>
      <c r="F1964">
        <v>1</v>
      </c>
      <c r="G1964">
        <v>13000</v>
      </c>
      <c r="H1964">
        <v>2.6259599999999998E-4</v>
      </c>
      <c r="I1964">
        <v>2794</v>
      </c>
      <c r="J1964">
        <v>2757</v>
      </c>
      <c r="K1964">
        <v>37</v>
      </c>
      <c r="L1964">
        <v>500</v>
      </c>
      <c r="M1964">
        <v>499</v>
      </c>
      <c r="N1964">
        <v>1</v>
      </c>
      <c r="O1964">
        <v>10206</v>
      </c>
      <c r="P1964">
        <v>1</v>
      </c>
    </row>
    <row r="1965" spans="1:16" x14ac:dyDescent="0.2">
      <c r="A1965" s="3" t="s">
        <v>49</v>
      </c>
      <c r="B1965" s="3" t="s">
        <v>50</v>
      </c>
      <c r="C1965">
        <v>19</v>
      </c>
      <c r="D1965">
        <v>13000</v>
      </c>
      <c r="E1965">
        <v>499</v>
      </c>
      <c r="F1965">
        <v>1</v>
      </c>
      <c r="G1965">
        <v>53044.701099550097</v>
      </c>
      <c r="H1965">
        <v>2.62532E-4</v>
      </c>
      <c r="I1965">
        <v>2823</v>
      </c>
      <c r="J1965">
        <v>2798</v>
      </c>
      <c r="K1965">
        <v>25</v>
      </c>
      <c r="L1965">
        <v>500</v>
      </c>
      <c r="M1965">
        <v>499</v>
      </c>
      <c r="N1965">
        <v>1</v>
      </c>
      <c r="O1965">
        <v>42592.126006139799</v>
      </c>
      <c r="P1965">
        <v>0</v>
      </c>
    </row>
    <row r="1966" spans="1:16" x14ac:dyDescent="0.2">
      <c r="A1966" s="3" t="s">
        <v>49</v>
      </c>
      <c r="B1966" s="3" t="s">
        <v>50</v>
      </c>
      <c r="C1966">
        <v>11</v>
      </c>
      <c r="D1966">
        <v>12000</v>
      </c>
      <c r="E1966">
        <v>499</v>
      </c>
      <c r="F1966">
        <v>1</v>
      </c>
      <c r="G1966">
        <v>12000</v>
      </c>
      <c r="H1966">
        <v>2.62367E-4</v>
      </c>
      <c r="I1966">
        <v>2743</v>
      </c>
      <c r="J1966">
        <v>2723</v>
      </c>
      <c r="K1966">
        <v>20</v>
      </c>
      <c r="L1966">
        <v>500</v>
      </c>
      <c r="M1966">
        <v>499</v>
      </c>
      <c r="N1966">
        <v>1</v>
      </c>
      <c r="O1966">
        <v>9257</v>
      </c>
      <c r="P1966">
        <v>1</v>
      </c>
    </row>
    <row r="1967" spans="1:16" x14ac:dyDescent="0.2">
      <c r="A1967" s="3" t="s">
        <v>49</v>
      </c>
      <c r="B1967" s="3" t="s">
        <v>50</v>
      </c>
      <c r="C1967">
        <v>40</v>
      </c>
      <c r="D1967">
        <v>13000</v>
      </c>
      <c r="E1967">
        <v>499</v>
      </c>
      <c r="F1967">
        <v>1</v>
      </c>
      <c r="G1967">
        <v>13000</v>
      </c>
      <c r="H1967">
        <v>2.6229399999999999E-4</v>
      </c>
      <c r="I1967">
        <v>2832</v>
      </c>
      <c r="J1967">
        <v>2803</v>
      </c>
      <c r="K1967">
        <v>29</v>
      </c>
      <c r="L1967">
        <v>500</v>
      </c>
      <c r="M1967">
        <v>499</v>
      </c>
      <c r="N1967">
        <v>1</v>
      </c>
      <c r="O1967">
        <v>10168</v>
      </c>
      <c r="P1967">
        <v>1</v>
      </c>
    </row>
    <row r="1968" spans="1:16" x14ac:dyDescent="0.2">
      <c r="A1968" s="3" t="s">
        <v>49</v>
      </c>
      <c r="B1968" s="3" t="s">
        <v>50</v>
      </c>
      <c r="C1968">
        <v>1</v>
      </c>
      <c r="D1968">
        <v>11000</v>
      </c>
      <c r="E1968">
        <v>499</v>
      </c>
      <c r="F1968">
        <v>1</v>
      </c>
      <c r="G1968">
        <v>11000</v>
      </c>
      <c r="H1968">
        <v>2.6225700000000001E-4</v>
      </c>
      <c r="I1968">
        <v>2812</v>
      </c>
      <c r="J1968">
        <v>2783</v>
      </c>
      <c r="K1968">
        <v>29</v>
      </c>
      <c r="L1968">
        <v>500</v>
      </c>
      <c r="M1968">
        <v>499</v>
      </c>
      <c r="N1968">
        <v>1</v>
      </c>
      <c r="O1968">
        <v>8188</v>
      </c>
      <c r="P1968">
        <v>1</v>
      </c>
    </row>
    <row r="1969" spans="1:16" x14ac:dyDescent="0.2">
      <c r="A1969" s="3" t="s">
        <v>49</v>
      </c>
      <c r="B1969" s="3" t="s">
        <v>50</v>
      </c>
      <c r="C1969">
        <v>39</v>
      </c>
      <c r="D1969">
        <v>13000</v>
      </c>
      <c r="E1969">
        <v>499</v>
      </c>
      <c r="F1969">
        <v>1</v>
      </c>
      <c r="G1969">
        <v>13000</v>
      </c>
      <c r="H1969">
        <v>2.6219299999999997E-4</v>
      </c>
      <c r="I1969">
        <v>2841</v>
      </c>
      <c r="J1969">
        <v>2821</v>
      </c>
      <c r="K1969">
        <v>20</v>
      </c>
      <c r="L1969">
        <v>500</v>
      </c>
      <c r="M1969">
        <v>499</v>
      </c>
      <c r="N1969">
        <v>1</v>
      </c>
      <c r="O1969">
        <v>10159</v>
      </c>
      <c r="P1969">
        <v>1</v>
      </c>
    </row>
    <row r="1970" spans="1:16" x14ac:dyDescent="0.2">
      <c r="A1970" s="3" t="s">
        <v>49</v>
      </c>
      <c r="B1970" s="3" t="s">
        <v>50</v>
      </c>
      <c r="C1970">
        <v>48</v>
      </c>
      <c r="D1970">
        <v>13000</v>
      </c>
      <c r="E1970">
        <v>499</v>
      </c>
      <c r="F1970">
        <v>1</v>
      </c>
      <c r="G1970">
        <v>53044.701099550097</v>
      </c>
      <c r="H1970">
        <v>2.62074E-4</v>
      </c>
      <c r="I1970">
        <v>2881</v>
      </c>
      <c r="J1970">
        <v>2859</v>
      </c>
      <c r="K1970">
        <v>22</v>
      </c>
      <c r="L1970">
        <v>500</v>
      </c>
      <c r="M1970">
        <v>499</v>
      </c>
      <c r="N1970">
        <v>1</v>
      </c>
      <c r="O1970">
        <v>42462.715334620101</v>
      </c>
      <c r="P1970">
        <v>0</v>
      </c>
    </row>
    <row r="1971" spans="1:16" x14ac:dyDescent="0.2">
      <c r="A1971" s="3" t="s">
        <v>49</v>
      </c>
      <c r="B1971" s="3" t="s">
        <v>50</v>
      </c>
      <c r="C1971">
        <v>17</v>
      </c>
      <c r="D1971">
        <v>13000</v>
      </c>
      <c r="E1971">
        <v>499</v>
      </c>
      <c r="F1971">
        <v>1</v>
      </c>
      <c r="G1971">
        <v>53044.701099550097</v>
      </c>
      <c r="H1971">
        <v>2.6205599999999999E-4</v>
      </c>
      <c r="I1971">
        <v>2847</v>
      </c>
      <c r="J1971">
        <v>2816</v>
      </c>
      <c r="K1971">
        <v>31</v>
      </c>
      <c r="L1971">
        <v>500</v>
      </c>
      <c r="M1971">
        <v>499</v>
      </c>
      <c r="N1971">
        <v>1</v>
      </c>
      <c r="O1971">
        <v>42601.553613839198</v>
      </c>
      <c r="P1971">
        <v>0</v>
      </c>
    </row>
    <row r="1972" spans="1:16" x14ac:dyDescent="0.2">
      <c r="A1972" s="3" t="s">
        <v>49</v>
      </c>
      <c r="B1972" s="3" t="s">
        <v>50</v>
      </c>
      <c r="C1972">
        <v>22</v>
      </c>
      <c r="D1972">
        <v>11000</v>
      </c>
      <c r="E1972">
        <v>499</v>
      </c>
      <c r="F1972">
        <v>1</v>
      </c>
      <c r="G1972">
        <v>44062.122210792702</v>
      </c>
      <c r="H1972">
        <v>2.6179900000000001E-4</v>
      </c>
      <c r="I1972">
        <v>2802</v>
      </c>
      <c r="J1972">
        <v>2774</v>
      </c>
      <c r="K1972">
        <v>28</v>
      </c>
      <c r="L1972">
        <v>500</v>
      </c>
      <c r="M1972">
        <v>499</v>
      </c>
      <c r="N1972">
        <v>1</v>
      </c>
      <c r="O1972">
        <v>33927.441388390202</v>
      </c>
      <c r="P1972">
        <v>0</v>
      </c>
    </row>
    <row r="1973" spans="1:16" x14ac:dyDescent="0.2">
      <c r="A1973" s="3" t="s">
        <v>49</v>
      </c>
      <c r="B1973" s="3" t="s">
        <v>50</v>
      </c>
      <c r="C1973">
        <v>19</v>
      </c>
      <c r="D1973">
        <v>10000</v>
      </c>
      <c r="E1973">
        <v>499</v>
      </c>
      <c r="F1973">
        <v>1</v>
      </c>
      <c r="G1973">
        <v>10000</v>
      </c>
      <c r="H1973">
        <v>2.6162499999999998E-4</v>
      </c>
      <c r="I1973">
        <v>2750</v>
      </c>
      <c r="J1973">
        <v>2721</v>
      </c>
      <c r="K1973">
        <v>29</v>
      </c>
      <c r="L1973">
        <v>500</v>
      </c>
      <c r="M1973">
        <v>499</v>
      </c>
      <c r="N1973">
        <v>1</v>
      </c>
      <c r="O1973">
        <v>7250</v>
      </c>
      <c r="P1973">
        <v>1</v>
      </c>
    </row>
    <row r="1974" spans="1:16" x14ac:dyDescent="0.2">
      <c r="A1974" s="3" t="s">
        <v>49</v>
      </c>
      <c r="B1974" s="3" t="s">
        <v>50</v>
      </c>
      <c r="C1974">
        <v>23</v>
      </c>
      <c r="D1974">
        <v>12000</v>
      </c>
      <c r="E1974">
        <v>499</v>
      </c>
      <c r="F1974">
        <v>1</v>
      </c>
      <c r="G1974">
        <v>12000</v>
      </c>
      <c r="H1974">
        <v>2.6154200000000002E-4</v>
      </c>
      <c r="I1974">
        <v>2768</v>
      </c>
      <c r="J1974">
        <v>2741</v>
      </c>
      <c r="K1974">
        <v>27</v>
      </c>
      <c r="L1974">
        <v>500</v>
      </c>
      <c r="M1974">
        <v>499</v>
      </c>
      <c r="N1974">
        <v>1</v>
      </c>
      <c r="O1974">
        <v>9232</v>
      </c>
      <c r="P1974">
        <v>1</v>
      </c>
    </row>
    <row r="1975" spans="1:16" x14ac:dyDescent="0.2">
      <c r="A1975" s="3" t="s">
        <v>49</v>
      </c>
      <c r="B1975" s="3" t="s">
        <v>50</v>
      </c>
      <c r="C1975">
        <v>16</v>
      </c>
      <c r="D1975">
        <v>12000</v>
      </c>
      <c r="E1975">
        <v>499</v>
      </c>
      <c r="F1975">
        <v>1</v>
      </c>
      <c r="G1975">
        <v>50533.323552418398</v>
      </c>
      <c r="H1975">
        <v>2.6146900000000001E-4</v>
      </c>
      <c r="I1975">
        <v>2824</v>
      </c>
      <c r="J1975">
        <v>2801</v>
      </c>
      <c r="K1975">
        <v>23</v>
      </c>
      <c r="L1975">
        <v>500</v>
      </c>
      <c r="M1975">
        <v>499</v>
      </c>
      <c r="N1975">
        <v>1</v>
      </c>
      <c r="O1975">
        <v>39810.209454003802</v>
      </c>
      <c r="P1975">
        <v>0</v>
      </c>
    </row>
    <row r="1976" spans="1:16" x14ac:dyDescent="0.2">
      <c r="A1976" s="3" t="s">
        <v>49</v>
      </c>
      <c r="B1976" s="3" t="s">
        <v>50</v>
      </c>
      <c r="C1976">
        <v>41</v>
      </c>
      <c r="D1976">
        <v>13000</v>
      </c>
      <c r="E1976">
        <v>499</v>
      </c>
      <c r="F1976">
        <v>1</v>
      </c>
      <c r="G1976">
        <v>13000</v>
      </c>
      <c r="H1976">
        <v>2.6138600000000001E-4</v>
      </c>
      <c r="I1976">
        <v>2892</v>
      </c>
      <c r="J1976">
        <v>2862</v>
      </c>
      <c r="K1976">
        <v>30</v>
      </c>
      <c r="L1976">
        <v>500</v>
      </c>
      <c r="M1976">
        <v>499</v>
      </c>
      <c r="N1976">
        <v>1</v>
      </c>
      <c r="O1976">
        <v>10108</v>
      </c>
      <c r="P1976">
        <v>1</v>
      </c>
    </row>
    <row r="1977" spans="1:16" x14ac:dyDescent="0.2">
      <c r="A1977" s="3" t="s">
        <v>49</v>
      </c>
      <c r="B1977" s="3" t="s">
        <v>50</v>
      </c>
      <c r="C1977">
        <v>11</v>
      </c>
      <c r="D1977">
        <v>13000</v>
      </c>
      <c r="E1977">
        <v>499</v>
      </c>
      <c r="F1977">
        <v>1</v>
      </c>
      <c r="G1977">
        <v>53044.701099550097</v>
      </c>
      <c r="H1977">
        <v>2.6127600000000001E-4</v>
      </c>
      <c r="I1977">
        <v>2808</v>
      </c>
      <c r="J1977">
        <v>2791</v>
      </c>
      <c r="K1977">
        <v>17</v>
      </c>
      <c r="L1977">
        <v>500</v>
      </c>
      <c r="M1977">
        <v>499</v>
      </c>
      <c r="N1977">
        <v>1</v>
      </c>
      <c r="O1977">
        <v>42627.665699336198</v>
      </c>
      <c r="P1977">
        <v>0</v>
      </c>
    </row>
    <row r="1978" spans="1:16" x14ac:dyDescent="0.2">
      <c r="A1978" s="3" t="s">
        <v>49</v>
      </c>
      <c r="B1978" s="3" t="s">
        <v>50</v>
      </c>
      <c r="C1978">
        <v>20</v>
      </c>
      <c r="D1978">
        <v>13000</v>
      </c>
      <c r="E1978">
        <v>499</v>
      </c>
      <c r="F1978">
        <v>1</v>
      </c>
      <c r="G1978">
        <v>13000</v>
      </c>
      <c r="H1978">
        <v>2.61158E-4</v>
      </c>
      <c r="I1978">
        <v>2832</v>
      </c>
      <c r="J1978">
        <v>2802</v>
      </c>
      <c r="K1978">
        <v>30</v>
      </c>
      <c r="L1978">
        <v>500</v>
      </c>
      <c r="M1978">
        <v>499</v>
      </c>
      <c r="N1978">
        <v>1</v>
      </c>
      <c r="O1978">
        <v>10168</v>
      </c>
      <c r="P1978">
        <v>1</v>
      </c>
    </row>
    <row r="1979" spans="1:16" x14ac:dyDescent="0.2">
      <c r="A1979" s="3" t="s">
        <v>49</v>
      </c>
      <c r="B1979" s="3" t="s">
        <v>50</v>
      </c>
      <c r="C1979">
        <v>40</v>
      </c>
      <c r="D1979">
        <v>12000</v>
      </c>
      <c r="E1979">
        <v>499</v>
      </c>
      <c r="F1979">
        <v>1</v>
      </c>
      <c r="G1979">
        <v>50533.323552418398</v>
      </c>
      <c r="H1979">
        <v>2.6112999999999999E-4</v>
      </c>
      <c r="I1979">
        <v>2828</v>
      </c>
      <c r="J1979">
        <v>2808</v>
      </c>
      <c r="K1979">
        <v>20</v>
      </c>
      <c r="L1979">
        <v>500</v>
      </c>
      <c r="M1979">
        <v>499</v>
      </c>
      <c r="N1979">
        <v>1</v>
      </c>
      <c r="O1979">
        <v>39736.196098680703</v>
      </c>
      <c r="P1979">
        <v>0</v>
      </c>
    </row>
    <row r="1980" spans="1:16" x14ac:dyDescent="0.2">
      <c r="A1980" s="3" t="s">
        <v>49</v>
      </c>
      <c r="B1980" s="3" t="s">
        <v>50</v>
      </c>
      <c r="C1980">
        <v>11</v>
      </c>
      <c r="D1980">
        <v>12000</v>
      </c>
      <c r="E1980">
        <v>499</v>
      </c>
      <c r="F1980">
        <v>1</v>
      </c>
      <c r="G1980">
        <v>50533.323552418398</v>
      </c>
      <c r="H1980">
        <v>2.6081800000000001E-4</v>
      </c>
      <c r="I1980">
        <v>2764</v>
      </c>
      <c r="J1980">
        <v>2745</v>
      </c>
      <c r="K1980">
        <v>19</v>
      </c>
      <c r="L1980">
        <v>500</v>
      </c>
      <c r="M1980">
        <v>499</v>
      </c>
      <c r="N1980">
        <v>1</v>
      </c>
      <c r="O1980">
        <v>39965.887887654702</v>
      </c>
      <c r="P1980">
        <v>0</v>
      </c>
    </row>
    <row r="1981" spans="1:16" x14ac:dyDescent="0.2">
      <c r="A1981" s="3" t="s">
        <v>49</v>
      </c>
      <c r="B1981" s="3" t="s">
        <v>50</v>
      </c>
      <c r="C1981">
        <v>24</v>
      </c>
      <c r="D1981">
        <v>13000</v>
      </c>
      <c r="E1981">
        <v>499</v>
      </c>
      <c r="F1981">
        <v>1</v>
      </c>
      <c r="G1981">
        <v>13000</v>
      </c>
      <c r="H1981">
        <v>2.6037800000000002E-4</v>
      </c>
      <c r="I1981">
        <v>2853</v>
      </c>
      <c r="J1981">
        <v>2810</v>
      </c>
      <c r="K1981">
        <v>43</v>
      </c>
      <c r="L1981">
        <v>500</v>
      </c>
      <c r="M1981">
        <v>499</v>
      </c>
      <c r="N1981">
        <v>1</v>
      </c>
      <c r="O1981">
        <v>10147</v>
      </c>
      <c r="P1981">
        <v>1</v>
      </c>
    </row>
    <row r="1982" spans="1:16" x14ac:dyDescent="0.2">
      <c r="A1982" s="3" t="s">
        <v>49</v>
      </c>
      <c r="B1982" s="3" t="s">
        <v>50</v>
      </c>
      <c r="C1982">
        <v>31</v>
      </c>
      <c r="D1982">
        <v>13000</v>
      </c>
      <c r="E1982">
        <v>499</v>
      </c>
      <c r="F1982">
        <v>1</v>
      </c>
      <c r="G1982">
        <v>13000</v>
      </c>
      <c r="H1982">
        <v>2.6004799999999997E-4</v>
      </c>
      <c r="I1982">
        <v>2845</v>
      </c>
      <c r="J1982">
        <v>2812</v>
      </c>
      <c r="K1982">
        <v>33</v>
      </c>
      <c r="L1982">
        <v>500</v>
      </c>
      <c r="M1982">
        <v>499</v>
      </c>
      <c r="N1982">
        <v>1</v>
      </c>
      <c r="O1982">
        <v>10155</v>
      </c>
      <c r="P1982">
        <v>1</v>
      </c>
    </row>
    <row r="1983" spans="1:16" x14ac:dyDescent="0.2">
      <c r="A1983" s="3" t="s">
        <v>49</v>
      </c>
      <c r="B1983" s="3" t="s">
        <v>50</v>
      </c>
      <c r="C1983">
        <v>39</v>
      </c>
      <c r="D1983">
        <v>13000</v>
      </c>
      <c r="E1983">
        <v>499</v>
      </c>
      <c r="F1983">
        <v>1</v>
      </c>
      <c r="G1983">
        <v>53044.701099550097</v>
      </c>
      <c r="H1983">
        <v>2.5996599999999998E-4</v>
      </c>
      <c r="I1983">
        <v>2836</v>
      </c>
      <c r="J1983">
        <v>2811</v>
      </c>
      <c r="K1983">
        <v>25</v>
      </c>
      <c r="L1983">
        <v>500</v>
      </c>
      <c r="M1983">
        <v>499</v>
      </c>
      <c r="N1983">
        <v>1</v>
      </c>
      <c r="O1983">
        <v>42611.5970894161</v>
      </c>
      <c r="P1983">
        <v>0</v>
      </c>
    </row>
    <row r="1984" spans="1:16" x14ac:dyDescent="0.2">
      <c r="A1984" s="3" t="s">
        <v>49</v>
      </c>
      <c r="B1984" s="3" t="s">
        <v>50</v>
      </c>
      <c r="C1984">
        <v>4</v>
      </c>
      <c r="D1984">
        <v>13000</v>
      </c>
      <c r="E1984">
        <v>499</v>
      </c>
      <c r="F1984">
        <v>1</v>
      </c>
      <c r="G1984">
        <v>13000</v>
      </c>
      <c r="H1984">
        <v>2.5992000000000002E-4</v>
      </c>
      <c r="I1984">
        <v>2815</v>
      </c>
      <c r="J1984">
        <v>2783</v>
      </c>
      <c r="K1984">
        <v>32</v>
      </c>
      <c r="L1984">
        <v>500</v>
      </c>
      <c r="M1984">
        <v>499</v>
      </c>
      <c r="N1984">
        <v>1</v>
      </c>
      <c r="O1984">
        <v>10185</v>
      </c>
      <c r="P1984">
        <v>1</v>
      </c>
    </row>
    <row r="1985" spans="1:16" x14ac:dyDescent="0.2">
      <c r="A1985" s="3" t="s">
        <v>49</v>
      </c>
      <c r="B1985" s="3" t="s">
        <v>50</v>
      </c>
      <c r="C1985">
        <v>28</v>
      </c>
      <c r="D1985">
        <v>13000</v>
      </c>
      <c r="E1985">
        <v>499</v>
      </c>
      <c r="F1985">
        <v>1</v>
      </c>
      <c r="G1985">
        <v>13000</v>
      </c>
      <c r="H1985">
        <v>2.5990099999999999E-4</v>
      </c>
      <c r="I1985">
        <v>2838</v>
      </c>
      <c r="J1985">
        <v>2814</v>
      </c>
      <c r="K1985">
        <v>24</v>
      </c>
      <c r="L1985">
        <v>500</v>
      </c>
      <c r="M1985">
        <v>499</v>
      </c>
      <c r="N1985">
        <v>1</v>
      </c>
      <c r="O1985">
        <v>10162</v>
      </c>
      <c r="P1985">
        <v>1</v>
      </c>
    </row>
    <row r="1986" spans="1:16" x14ac:dyDescent="0.2">
      <c r="A1986" s="3" t="s">
        <v>49</v>
      </c>
      <c r="B1986" s="3" t="s">
        <v>50</v>
      </c>
      <c r="C1986">
        <v>37</v>
      </c>
      <c r="D1986">
        <v>12000</v>
      </c>
      <c r="E1986">
        <v>499</v>
      </c>
      <c r="F1986">
        <v>1</v>
      </c>
      <c r="G1986">
        <v>50533.323552418398</v>
      </c>
      <c r="H1986">
        <v>2.5967200000000002E-4</v>
      </c>
      <c r="I1986">
        <v>2767</v>
      </c>
      <c r="J1986">
        <v>2745</v>
      </c>
      <c r="K1986">
        <v>22</v>
      </c>
      <c r="L1986">
        <v>500</v>
      </c>
      <c r="M1986">
        <v>499</v>
      </c>
      <c r="N1986">
        <v>1</v>
      </c>
      <c r="O1986">
        <v>39956.417844902397</v>
      </c>
      <c r="P1986">
        <v>0</v>
      </c>
    </row>
    <row r="1987" spans="1:16" x14ac:dyDescent="0.2">
      <c r="A1987" s="3" t="s">
        <v>49</v>
      </c>
      <c r="B1987" s="3" t="s">
        <v>50</v>
      </c>
      <c r="C1987">
        <v>2</v>
      </c>
      <c r="D1987">
        <v>13000</v>
      </c>
      <c r="E1987">
        <v>499</v>
      </c>
      <c r="F1987">
        <v>1</v>
      </c>
      <c r="G1987">
        <v>13000</v>
      </c>
      <c r="H1987">
        <v>2.5964500000000003E-4</v>
      </c>
      <c r="I1987">
        <v>2838</v>
      </c>
      <c r="J1987">
        <v>2813</v>
      </c>
      <c r="K1987">
        <v>25</v>
      </c>
      <c r="L1987">
        <v>500</v>
      </c>
      <c r="M1987">
        <v>499</v>
      </c>
      <c r="N1987">
        <v>1</v>
      </c>
      <c r="O1987">
        <v>10162</v>
      </c>
      <c r="P1987">
        <v>1</v>
      </c>
    </row>
    <row r="1988" spans="1:16" x14ac:dyDescent="0.2">
      <c r="A1988" s="3" t="s">
        <v>49</v>
      </c>
      <c r="B1988" s="3" t="s">
        <v>50</v>
      </c>
      <c r="C1988">
        <v>40</v>
      </c>
      <c r="D1988">
        <v>12000</v>
      </c>
      <c r="E1988">
        <v>499</v>
      </c>
      <c r="F1988">
        <v>1</v>
      </c>
      <c r="G1988">
        <v>12000</v>
      </c>
      <c r="H1988">
        <v>2.59609E-4</v>
      </c>
      <c r="I1988">
        <v>2825</v>
      </c>
      <c r="J1988">
        <v>2799</v>
      </c>
      <c r="K1988">
        <v>26</v>
      </c>
      <c r="L1988">
        <v>500</v>
      </c>
      <c r="M1988">
        <v>499</v>
      </c>
      <c r="N1988">
        <v>1</v>
      </c>
      <c r="O1988">
        <v>9175</v>
      </c>
      <c r="P1988">
        <v>1</v>
      </c>
    </row>
    <row r="1989" spans="1:16" x14ac:dyDescent="0.2">
      <c r="A1989" s="3" t="s">
        <v>49</v>
      </c>
      <c r="B1989" s="3" t="s">
        <v>50</v>
      </c>
      <c r="C1989">
        <v>5</v>
      </c>
      <c r="D1989">
        <v>12000</v>
      </c>
      <c r="E1989">
        <v>499</v>
      </c>
      <c r="F1989">
        <v>1</v>
      </c>
      <c r="G1989">
        <v>50533.323552418398</v>
      </c>
      <c r="H1989">
        <v>2.5956299999999998E-4</v>
      </c>
      <c r="I1989">
        <v>2749</v>
      </c>
      <c r="J1989">
        <v>2725</v>
      </c>
      <c r="K1989">
        <v>24</v>
      </c>
      <c r="L1989">
        <v>500</v>
      </c>
      <c r="M1989">
        <v>499</v>
      </c>
      <c r="N1989">
        <v>1</v>
      </c>
      <c r="O1989">
        <v>40001.0955958618</v>
      </c>
      <c r="P1989">
        <v>0</v>
      </c>
    </row>
    <row r="1990" spans="1:16" x14ac:dyDescent="0.2">
      <c r="A1990" s="3" t="s">
        <v>49</v>
      </c>
      <c r="B1990" s="3" t="s">
        <v>50</v>
      </c>
      <c r="C1990">
        <v>36</v>
      </c>
      <c r="D1990">
        <v>13000</v>
      </c>
      <c r="E1990">
        <v>499</v>
      </c>
      <c r="F1990">
        <v>1</v>
      </c>
      <c r="G1990">
        <v>13000</v>
      </c>
      <c r="H1990">
        <v>2.5948900000000001E-4</v>
      </c>
      <c r="I1990">
        <v>2816</v>
      </c>
      <c r="J1990">
        <v>2797</v>
      </c>
      <c r="K1990">
        <v>19</v>
      </c>
      <c r="L1990">
        <v>500</v>
      </c>
      <c r="M1990">
        <v>499</v>
      </c>
      <c r="N1990">
        <v>1</v>
      </c>
      <c r="O1990">
        <v>10184</v>
      </c>
      <c r="P1990">
        <v>1</v>
      </c>
    </row>
    <row r="1991" spans="1:16" x14ac:dyDescent="0.2">
      <c r="A1991" s="3" t="s">
        <v>49</v>
      </c>
      <c r="B1991" s="3" t="s">
        <v>50</v>
      </c>
      <c r="C1991">
        <v>38</v>
      </c>
      <c r="D1991">
        <v>13000</v>
      </c>
      <c r="E1991">
        <v>499</v>
      </c>
      <c r="F1991">
        <v>1</v>
      </c>
      <c r="G1991">
        <v>13000</v>
      </c>
      <c r="H1991">
        <v>2.5942499999999998E-4</v>
      </c>
      <c r="I1991">
        <v>2824</v>
      </c>
      <c r="J1991">
        <v>2796</v>
      </c>
      <c r="K1991">
        <v>28</v>
      </c>
      <c r="L1991">
        <v>500</v>
      </c>
      <c r="M1991">
        <v>499</v>
      </c>
      <c r="N1991">
        <v>1</v>
      </c>
      <c r="O1991">
        <v>10176</v>
      </c>
      <c r="P1991">
        <v>1</v>
      </c>
    </row>
    <row r="1992" spans="1:16" x14ac:dyDescent="0.2">
      <c r="A1992" s="3" t="s">
        <v>49</v>
      </c>
      <c r="B1992" s="3" t="s">
        <v>50</v>
      </c>
      <c r="C1992">
        <v>30</v>
      </c>
      <c r="D1992">
        <v>13000</v>
      </c>
      <c r="E1992">
        <v>499</v>
      </c>
      <c r="F1992">
        <v>1</v>
      </c>
      <c r="G1992">
        <v>13000</v>
      </c>
      <c r="H1992">
        <v>2.5933299999999999E-4</v>
      </c>
      <c r="I1992">
        <v>2864</v>
      </c>
      <c r="J1992">
        <v>2836</v>
      </c>
      <c r="K1992">
        <v>28</v>
      </c>
      <c r="L1992">
        <v>500</v>
      </c>
      <c r="M1992">
        <v>499</v>
      </c>
      <c r="N1992">
        <v>1</v>
      </c>
      <c r="O1992">
        <v>10136</v>
      </c>
      <c r="P1992">
        <v>1</v>
      </c>
    </row>
    <row r="1993" spans="1:16" x14ac:dyDescent="0.2">
      <c r="A1993" s="3" t="s">
        <v>49</v>
      </c>
      <c r="B1993" s="3" t="s">
        <v>50</v>
      </c>
      <c r="C1993">
        <v>37</v>
      </c>
      <c r="D1993">
        <v>13000</v>
      </c>
      <c r="E1993">
        <v>499</v>
      </c>
      <c r="F1993">
        <v>1</v>
      </c>
      <c r="G1993">
        <v>13000</v>
      </c>
      <c r="H1993">
        <v>2.5896699999999998E-4</v>
      </c>
      <c r="I1993">
        <v>2825</v>
      </c>
      <c r="J1993">
        <v>2797</v>
      </c>
      <c r="K1993">
        <v>28</v>
      </c>
      <c r="L1993">
        <v>500</v>
      </c>
      <c r="M1993">
        <v>499</v>
      </c>
      <c r="N1993">
        <v>1</v>
      </c>
      <c r="O1993">
        <v>10175</v>
      </c>
      <c r="P1993">
        <v>1</v>
      </c>
    </row>
    <row r="1994" spans="1:16" x14ac:dyDescent="0.2">
      <c r="A1994" s="3" t="s">
        <v>49</v>
      </c>
      <c r="B1994" s="3" t="s">
        <v>50</v>
      </c>
      <c r="C1994">
        <v>30</v>
      </c>
      <c r="D1994">
        <v>12000</v>
      </c>
      <c r="E1994">
        <v>499</v>
      </c>
      <c r="F1994">
        <v>1</v>
      </c>
      <c r="G1994">
        <v>50533.323552418398</v>
      </c>
      <c r="H1994">
        <v>2.58838E-4</v>
      </c>
      <c r="I1994">
        <v>2796</v>
      </c>
      <c r="J1994">
        <v>2771</v>
      </c>
      <c r="K1994">
        <v>25</v>
      </c>
      <c r="L1994">
        <v>500</v>
      </c>
      <c r="M1994">
        <v>499</v>
      </c>
      <c r="N1994">
        <v>1</v>
      </c>
      <c r="O1994">
        <v>39895.5612921219</v>
      </c>
      <c r="P1994">
        <v>0</v>
      </c>
    </row>
    <row r="1995" spans="1:16" x14ac:dyDescent="0.2">
      <c r="A1995" s="3" t="s">
        <v>49</v>
      </c>
      <c r="B1995" s="3" t="s">
        <v>50</v>
      </c>
      <c r="C1995">
        <v>7</v>
      </c>
      <c r="D1995">
        <v>12000</v>
      </c>
      <c r="E1995">
        <v>499</v>
      </c>
      <c r="F1995">
        <v>1</v>
      </c>
      <c r="G1995">
        <v>50533.323552418398</v>
      </c>
      <c r="H1995">
        <v>2.5870999999999999E-4</v>
      </c>
      <c r="I1995">
        <v>2790</v>
      </c>
      <c r="J1995">
        <v>2777</v>
      </c>
      <c r="K1995">
        <v>13</v>
      </c>
      <c r="L1995">
        <v>500</v>
      </c>
      <c r="M1995">
        <v>499</v>
      </c>
      <c r="N1995">
        <v>1</v>
      </c>
      <c r="O1995">
        <v>39901.141562476303</v>
      </c>
      <c r="P1995">
        <v>0</v>
      </c>
    </row>
    <row r="1996" spans="1:16" x14ac:dyDescent="0.2">
      <c r="A1996" s="3" t="s">
        <v>49</v>
      </c>
      <c r="B1996" s="3" t="s">
        <v>50</v>
      </c>
      <c r="C1996">
        <v>44</v>
      </c>
      <c r="D1996">
        <v>11000</v>
      </c>
      <c r="E1996">
        <v>499</v>
      </c>
      <c r="F1996">
        <v>1</v>
      </c>
      <c r="G1996">
        <v>44062.122210792702</v>
      </c>
      <c r="H1996">
        <v>2.5811399999999999E-4</v>
      </c>
      <c r="I1996">
        <v>2814</v>
      </c>
      <c r="J1996">
        <v>2788</v>
      </c>
      <c r="K1996">
        <v>26</v>
      </c>
      <c r="L1996">
        <v>500</v>
      </c>
      <c r="M1996">
        <v>499</v>
      </c>
      <c r="N1996">
        <v>1</v>
      </c>
      <c r="O1996">
        <v>33843.491804068603</v>
      </c>
      <c r="P1996">
        <v>0</v>
      </c>
    </row>
    <row r="1997" spans="1:16" x14ac:dyDescent="0.2">
      <c r="A1997" s="3" t="s">
        <v>49</v>
      </c>
      <c r="B1997" s="3" t="s">
        <v>50</v>
      </c>
      <c r="C1997">
        <v>14</v>
      </c>
      <c r="D1997">
        <v>11000</v>
      </c>
      <c r="E1997">
        <v>499</v>
      </c>
      <c r="F1997">
        <v>1</v>
      </c>
      <c r="G1997">
        <v>44062.122210792702</v>
      </c>
      <c r="H1997">
        <v>2.5791300000000002E-4</v>
      </c>
      <c r="I1997">
        <v>2757</v>
      </c>
      <c r="J1997">
        <v>2736</v>
      </c>
      <c r="K1997">
        <v>21</v>
      </c>
      <c r="L1997">
        <v>500</v>
      </c>
      <c r="M1997">
        <v>499</v>
      </c>
      <c r="N1997">
        <v>1</v>
      </c>
      <c r="O1997">
        <v>33987.145026596903</v>
      </c>
      <c r="P1997">
        <v>0</v>
      </c>
    </row>
    <row r="1998" spans="1:16" x14ac:dyDescent="0.2">
      <c r="A1998" s="3" t="s">
        <v>49</v>
      </c>
      <c r="B1998" s="3" t="s">
        <v>50</v>
      </c>
      <c r="C1998">
        <v>50</v>
      </c>
      <c r="D1998">
        <v>12000</v>
      </c>
      <c r="E1998">
        <v>499</v>
      </c>
      <c r="F1998">
        <v>1</v>
      </c>
      <c r="G1998">
        <v>12000</v>
      </c>
      <c r="H1998">
        <v>2.57839E-4</v>
      </c>
      <c r="I1998">
        <v>2826</v>
      </c>
      <c r="J1998">
        <v>2805</v>
      </c>
      <c r="K1998">
        <v>21</v>
      </c>
      <c r="L1998">
        <v>500</v>
      </c>
      <c r="M1998">
        <v>499</v>
      </c>
      <c r="N1998">
        <v>1</v>
      </c>
      <c r="O1998">
        <v>9174</v>
      </c>
      <c r="P1998">
        <v>1</v>
      </c>
    </row>
    <row r="1999" spans="1:16" x14ac:dyDescent="0.2">
      <c r="A1999" s="3" t="s">
        <v>49</v>
      </c>
      <c r="B1999" s="3" t="s">
        <v>50</v>
      </c>
      <c r="C1999">
        <v>40</v>
      </c>
      <c r="D1999">
        <v>11000</v>
      </c>
      <c r="E1999">
        <v>499</v>
      </c>
      <c r="F1999">
        <v>1</v>
      </c>
      <c r="G1999">
        <v>11000</v>
      </c>
      <c r="H1999">
        <v>2.5771099999999999E-4</v>
      </c>
      <c r="I1999">
        <v>2776</v>
      </c>
      <c r="J1999">
        <v>2746</v>
      </c>
      <c r="K1999">
        <v>30</v>
      </c>
      <c r="L1999">
        <v>500</v>
      </c>
      <c r="M1999">
        <v>499</v>
      </c>
      <c r="N1999">
        <v>1</v>
      </c>
      <c r="O1999">
        <v>8224</v>
      </c>
      <c r="P1999">
        <v>1</v>
      </c>
    </row>
    <row r="2000" spans="1:16" x14ac:dyDescent="0.2">
      <c r="A2000" s="3" t="s">
        <v>49</v>
      </c>
      <c r="B2000" s="3" t="s">
        <v>50</v>
      </c>
      <c r="C2000">
        <v>30</v>
      </c>
      <c r="D2000">
        <v>13000</v>
      </c>
      <c r="E2000">
        <v>499</v>
      </c>
      <c r="F2000">
        <v>1</v>
      </c>
      <c r="G2000">
        <v>53044.701099550097</v>
      </c>
      <c r="H2000">
        <v>2.5763799999999998E-4</v>
      </c>
      <c r="I2000">
        <v>2818</v>
      </c>
      <c r="J2000">
        <v>2802</v>
      </c>
      <c r="K2000">
        <v>16</v>
      </c>
      <c r="L2000">
        <v>500</v>
      </c>
      <c r="M2000">
        <v>499</v>
      </c>
      <c r="N2000">
        <v>1</v>
      </c>
      <c r="O2000">
        <v>42698.365230340904</v>
      </c>
      <c r="P2000">
        <v>0</v>
      </c>
    </row>
    <row r="2001" spans="1:16" x14ac:dyDescent="0.2">
      <c r="A2001" s="3" t="s">
        <v>49</v>
      </c>
      <c r="B2001" s="3" t="s">
        <v>50</v>
      </c>
      <c r="C2001">
        <v>38</v>
      </c>
      <c r="D2001">
        <v>10000</v>
      </c>
      <c r="E2001">
        <v>499</v>
      </c>
      <c r="F2001">
        <v>1</v>
      </c>
      <c r="G2001">
        <v>39482.677260513999</v>
      </c>
      <c r="H2001">
        <v>2.57564E-4</v>
      </c>
      <c r="I2001">
        <v>2707</v>
      </c>
      <c r="J2001">
        <v>2687</v>
      </c>
      <c r="K2001">
        <v>20</v>
      </c>
      <c r="L2001">
        <v>500</v>
      </c>
      <c r="M2001">
        <v>499</v>
      </c>
      <c r="N2001">
        <v>1</v>
      </c>
      <c r="O2001">
        <v>29796.688526562801</v>
      </c>
      <c r="P2001">
        <v>0</v>
      </c>
    </row>
    <row r="2002" spans="1:16" x14ac:dyDescent="0.2">
      <c r="A2002" s="3" t="s">
        <v>49</v>
      </c>
      <c r="B2002" s="3" t="s">
        <v>50</v>
      </c>
      <c r="C2002">
        <v>47</v>
      </c>
      <c r="D2002">
        <v>12000</v>
      </c>
      <c r="E2002">
        <v>499</v>
      </c>
      <c r="F2002">
        <v>1</v>
      </c>
      <c r="G2002">
        <v>12000</v>
      </c>
      <c r="H2002">
        <v>2.5725299999999998E-4</v>
      </c>
      <c r="I2002">
        <v>2798</v>
      </c>
      <c r="J2002">
        <v>2777</v>
      </c>
      <c r="K2002">
        <v>21</v>
      </c>
      <c r="L2002">
        <v>500</v>
      </c>
      <c r="M2002">
        <v>499</v>
      </c>
      <c r="N2002">
        <v>1</v>
      </c>
      <c r="O2002">
        <v>9202</v>
      </c>
      <c r="P2002">
        <v>1</v>
      </c>
    </row>
    <row r="2003" spans="1:16" x14ac:dyDescent="0.2">
      <c r="A2003" s="3" t="s">
        <v>49</v>
      </c>
      <c r="B2003" s="3" t="s">
        <v>50</v>
      </c>
      <c r="C2003">
        <v>12</v>
      </c>
      <c r="D2003">
        <v>13000</v>
      </c>
      <c r="E2003">
        <v>499</v>
      </c>
      <c r="F2003">
        <v>1</v>
      </c>
      <c r="G2003">
        <v>13000</v>
      </c>
      <c r="H2003">
        <v>2.5715100000000001E-4</v>
      </c>
      <c r="I2003">
        <v>2812</v>
      </c>
      <c r="J2003">
        <v>2793</v>
      </c>
      <c r="K2003">
        <v>19</v>
      </c>
      <c r="L2003">
        <v>500</v>
      </c>
      <c r="M2003">
        <v>499</v>
      </c>
      <c r="N2003">
        <v>1</v>
      </c>
      <c r="O2003">
        <v>10188</v>
      </c>
      <c r="P2003">
        <v>1</v>
      </c>
    </row>
    <row r="2004" spans="1:16" x14ac:dyDescent="0.2">
      <c r="A2004" s="3" t="s">
        <v>49</v>
      </c>
      <c r="B2004" s="3" t="s">
        <v>50</v>
      </c>
      <c r="C2004">
        <v>1</v>
      </c>
      <c r="D2004">
        <v>12000</v>
      </c>
      <c r="E2004">
        <v>499</v>
      </c>
      <c r="F2004">
        <v>1</v>
      </c>
      <c r="G2004">
        <v>50533.323552418398</v>
      </c>
      <c r="H2004">
        <v>2.5707900000000001E-4</v>
      </c>
      <c r="I2004">
        <v>2847</v>
      </c>
      <c r="J2004">
        <v>2817</v>
      </c>
      <c r="K2004">
        <v>30</v>
      </c>
      <c r="L2004">
        <v>500</v>
      </c>
      <c r="M2004">
        <v>499</v>
      </c>
      <c r="N2004">
        <v>1</v>
      </c>
      <c r="O2004">
        <v>39677.238397925197</v>
      </c>
      <c r="P2004">
        <v>0</v>
      </c>
    </row>
    <row r="2005" spans="1:16" x14ac:dyDescent="0.2">
      <c r="A2005" s="3" t="s">
        <v>49</v>
      </c>
      <c r="B2005" s="3" t="s">
        <v>50</v>
      </c>
      <c r="C2005">
        <v>42</v>
      </c>
      <c r="D2005">
        <v>12000</v>
      </c>
      <c r="E2005">
        <v>499</v>
      </c>
      <c r="F2005">
        <v>1</v>
      </c>
      <c r="G2005">
        <v>50533.323552418398</v>
      </c>
      <c r="H2005">
        <v>2.5703299999999999E-4</v>
      </c>
      <c r="I2005">
        <v>2841</v>
      </c>
      <c r="J2005">
        <v>2821</v>
      </c>
      <c r="K2005">
        <v>20</v>
      </c>
      <c r="L2005">
        <v>500</v>
      </c>
      <c r="M2005">
        <v>499</v>
      </c>
      <c r="N2005">
        <v>1</v>
      </c>
      <c r="O2005">
        <v>39712.2163265446</v>
      </c>
      <c r="P2005">
        <v>0</v>
      </c>
    </row>
    <row r="2006" spans="1:16" x14ac:dyDescent="0.2">
      <c r="A2006" s="3" t="s">
        <v>49</v>
      </c>
      <c r="B2006" s="3" t="s">
        <v>50</v>
      </c>
      <c r="C2006">
        <v>30</v>
      </c>
      <c r="D2006">
        <v>12000</v>
      </c>
      <c r="E2006">
        <v>499</v>
      </c>
      <c r="F2006">
        <v>1</v>
      </c>
      <c r="G2006">
        <v>12000</v>
      </c>
      <c r="H2006">
        <v>2.5695900000000002E-4</v>
      </c>
      <c r="I2006">
        <v>2835</v>
      </c>
      <c r="J2006">
        <v>2816</v>
      </c>
      <c r="K2006">
        <v>19</v>
      </c>
      <c r="L2006">
        <v>500</v>
      </c>
      <c r="M2006">
        <v>499</v>
      </c>
      <c r="N2006">
        <v>1</v>
      </c>
      <c r="O2006">
        <v>9165</v>
      </c>
      <c r="P2006">
        <v>1</v>
      </c>
    </row>
    <row r="2007" spans="1:16" x14ac:dyDescent="0.2">
      <c r="A2007" s="3" t="s">
        <v>49</v>
      </c>
      <c r="B2007" s="3" t="s">
        <v>50</v>
      </c>
      <c r="C2007">
        <v>12</v>
      </c>
      <c r="D2007">
        <v>12000</v>
      </c>
      <c r="E2007">
        <v>499</v>
      </c>
      <c r="F2007">
        <v>1</v>
      </c>
      <c r="G2007">
        <v>12000</v>
      </c>
      <c r="H2007">
        <v>2.5686699999999998E-4</v>
      </c>
      <c r="I2007">
        <v>2779</v>
      </c>
      <c r="J2007">
        <v>2758</v>
      </c>
      <c r="K2007">
        <v>21</v>
      </c>
      <c r="L2007">
        <v>500</v>
      </c>
      <c r="M2007">
        <v>499</v>
      </c>
      <c r="N2007">
        <v>1</v>
      </c>
      <c r="O2007">
        <v>9221</v>
      </c>
      <c r="P2007">
        <v>1</v>
      </c>
    </row>
    <row r="2008" spans="1:16" x14ac:dyDescent="0.2">
      <c r="A2008" s="3" t="s">
        <v>49</v>
      </c>
      <c r="B2008" s="3" t="s">
        <v>50</v>
      </c>
      <c r="C2008">
        <v>1</v>
      </c>
      <c r="D2008">
        <v>11000</v>
      </c>
      <c r="E2008">
        <v>499</v>
      </c>
      <c r="F2008">
        <v>1</v>
      </c>
      <c r="G2008">
        <v>44062.122210792702</v>
      </c>
      <c r="H2008">
        <v>2.56858E-4</v>
      </c>
      <c r="I2008">
        <v>2784</v>
      </c>
      <c r="J2008">
        <v>2763</v>
      </c>
      <c r="K2008">
        <v>21</v>
      </c>
      <c r="L2008">
        <v>500</v>
      </c>
      <c r="M2008">
        <v>499</v>
      </c>
      <c r="N2008">
        <v>1</v>
      </c>
      <c r="O2008">
        <v>33942.701416994103</v>
      </c>
      <c r="P2008">
        <v>0</v>
      </c>
    </row>
    <row r="2009" spans="1:16" x14ac:dyDescent="0.2">
      <c r="A2009" s="3" t="s">
        <v>49</v>
      </c>
      <c r="B2009" s="3" t="s">
        <v>50</v>
      </c>
      <c r="C2009">
        <v>34</v>
      </c>
      <c r="D2009">
        <v>11000</v>
      </c>
      <c r="E2009">
        <v>499</v>
      </c>
      <c r="F2009">
        <v>1</v>
      </c>
      <c r="G2009">
        <v>44062.122210792702</v>
      </c>
      <c r="H2009">
        <v>2.5659199999999999E-4</v>
      </c>
      <c r="I2009">
        <v>2781</v>
      </c>
      <c r="J2009">
        <v>2761</v>
      </c>
      <c r="K2009">
        <v>20</v>
      </c>
      <c r="L2009">
        <v>500</v>
      </c>
      <c r="M2009">
        <v>499</v>
      </c>
      <c r="N2009">
        <v>1</v>
      </c>
      <c r="O2009">
        <v>33930.394278303502</v>
      </c>
      <c r="P2009">
        <v>0</v>
      </c>
    </row>
    <row r="2010" spans="1:16" x14ac:dyDescent="0.2">
      <c r="A2010" s="3" t="s">
        <v>49</v>
      </c>
      <c r="B2010" s="3" t="s">
        <v>50</v>
      </c>
      <c r="C2010">
        <v>41</v>
      </c>
      <c r="D2010">
        <v>12000</v>
      </c>
      <c r="E2010">
        <v>499</v>
      </c>
      <c r="F2010">
        <v>1</v>
      </c>
      <c r="G2010">
        <v>50533.323552418398</v>
      </c>
      <c r="H2010">
        <v>2.5651899999999997E-4</v>
      </c>
      <c r="I2010">
        <v>2746</v>
      </c>
      <c r="J2010">
        <v>2722</v>
      </c>
      <c r="K2010">
        <v>24</v>
      </c>
      <c r="L2010">
        <v>500</v>
      </c>
      <c r="M2010">
        <v>499</v>
      </c>
      <c r="N2010">
        <v>1</v>
      </c>
      <c r="O2010">
        <v>39981.3553416656</v>
      </c>
      <c r="P2010">
        <v>0</v>
      </c>
    </row>
    <row r="2011" spans="1:16" x14ac:dyDescent="0.2">
      <c r="A2011" s="3" t="s">
        <v>49</v>
      </c>
      <c r="B2011" s="3" t="s">
        <v>50</v>
      </c>
      <c r="C2011">
        <v>47</v>
      </c>
      <c r="D2011">
        <v>12000</v>
      </c>
      <c r="E2011">
        <v>499</v>
      </c>
      <c r="F2011">
        <v>1</v>
      </c>
      <c r="G2011">
        <v>50533.323552418398</v>
      </c>
      <c r="H2011">
        <v>2.5651899999999997E-4</v>
      </c>
      <c r="I2011">
        <v>2828</v>
      </c>
      <c r="J2011">
        <v>2793</v>
      </c>
      <c r="K2011">
        <v>35</v>
      </c>
      <c r="L2011">
        <v>500</v>
      </c>
      <c r="M2011">
        <v>499</v>
      </c>
      <c r="N2011">
        <v>1</v>
      </c>
      <c r="O2011">
        <v>39733.824578651198</v>
      </c>
      <c r="P2011">
        <v>0</v>
      </c>
    </row>
    <row r="2012" spans="1:16" x14ac:dyDescent="0.2">
      <c r="A2012" s="3" t="s">
        <v>49</v>
      </c>
      <c r="B2012" s="3" t="s">
        <v>50</v>
      </c>
      <c r="C2012">
        <v>4</v>
      </c>
      <c r="D2012">
        <v>10000</v>
      </c>
      <c r="E2012">
        <v>499</v>
      </c>
      <c r="F2012">
        <v>1</v>
      </c>
      <c r="G2012">
        <v>10000</v>
      </c>
      <c r="H2012">
        <v>2.5638100000000002E-4</v>
      </c>
      <c r="I2012">
        <v>2731</v>
      </c>
      <c r="J2012">
        <v>2708</v>
      </c>
      <c r="K2012">
        <v>23</v>
      </c>
      <c r="L2012">
        <v>500</v>
      </c>
      <c r="M2012">
        <v>499</v>
      </c>
      <c r="N2012">
        <v>1</v>
      </c>
      <c r="O2012">
        <v>7269</v>
      </c>
      <c r="P2012">
        <v>1</v>
      </c>
    </row>
    <row r="2013" spans="1:16" x14ac:dyDescent="0.2">
      <c r="A2013" s="3" t="s">
        <v>49</v>
      </c>
      <c r="B2013" s="3" t="s">
        <v>50</v>
      </c>
      <c r="C2013">
        <v>50</v>
      </c>
      <c r="D2013">
        <v>13000</v>
      </c>
      <c r="E2013">
        <v>499</v>
      </c>
      <c r="F2013">
        <v>1</v>
      </c>
      <c r="G2013">
        <v>13000</v>
      </c>
      <c r="H2013">
        <v>2.56235E-4</v>
      </c>
      <c r="I2013">
        <v>2795</v>
      </c>
      <c r="J2013">
        <v>2767</v>
      </c>
      <c r="K2013">
        <v>28</v>
      </c>
      <c r="L2013">
        <v>500</v>
      </c>
      <c r="M2013">
        <v>499</v>
      </c>
      <c r="N2013">
        <v>1</v>
      </c>
      <c r="O2013">
        <v>10205</v>
      </c>
      <c r="P2013">
        <v>1</v>
      </c>
    </row>
    <row r="2014" spans="1:16" x14ac:dyDescent="0.2">
      <c r="A2014" s="3" t="s">
        <v>49</v>
      </c>
      <c r="B2014" s="3" t="s">
        <v>50</v>
      </c>
      <c r="C2014">
        <v>7</v>
      </c>
      <c r="D2014">
        <v>13000</v>
      </c>
      <c r="E2014">
        <v>499</v>
      </c>
      <c r="F2014">
        <v>1</v>
      </c>
      <c r="G2014">
        <v>53044.701099550097</v>
      </c>
      <c r="H2014">
        <v>2.56097E-4</v>
      </c>
      <c r="I2014">
        <v>2833</v>
      </c>
      <c r="J2014">
        <v>2802</v>
      </c>
      <c r="K2014">
        <v>31</v>
      </c>
      <c r="L2014">
        <v>500</v>
      </c>
      <c r="M2014">
        <v>499</v>
      </c>
      <c r="N2014">
        <v>1</v>
      </c>
      <c r="O2014">
        <v>42604.110993817201</v>
      </c>
      <c r="P2014">
        <v>0</v>
      </c>
    </row>
    <row r="2015" spans="1:16" x14ac:dyDescent="0.2">
      <c r="A2015" s="3" t="s">
        <v>49</v>
      </c>
      <c r="B2015" s="3" t="s">
        <v>50</v>
      </c>
      <c r="C2015">
        <v>2</v>
      </c>
      <c r="D2015">
        <v>12000</v>
      </c>
      <c r="E2015">
        <v>499</v>
      </c>
      <c r="F2015">
        <v>1</v>
      </c>
      <c r="G2015">
        <v>50533.323552418398</v>
      </c>
      <c r="H2015">
        <v>2.5588599999999998E-4</v>
      </c>
      <c r="I2015">
        <v>2833</v>
      </c>
      <c r="J2015">
        <v>2809</v>
      </c>
      <c r="K2015">
        <v>24</v>
      </c>
      <c r="L2015">
        <v>500</v>
      </c>
      <c r="M2015">
        <v>499</v>
      </c>
      <c r="N2015">
        <v>1</v>
      </c>
      <c r="O2015">
        <v>39752.582760284902</v>
      </c>
      <c r="P2015">
        <v>0</v>
      </c>
    </row>
    <row r="2016" spans="1:16" x14ac:dyDescent="0.2">
      <c r="A2016" s="3" t="s">
        <v>49</v>
      </c>
      <c r="B2016" s="3" t="s">
        <v>50</v>
      </c>
      <c r="C2016">
        <v>15</v>
      </c>
      <c r="D2016">
        <v>12000</v>
      </c>
      <c r="E2016">
        <v>499</v>
      </c>
      <c r="F2016">
        <v>1</v>
      </c>
      <c r="G2016">
        <v>12000</v>
      </c>
      <c r="H2016">
        <v>2.5576700000000001E-4</v>
      </c>
      <c r="I2016">
        <v>2821</v>
      </c>
      <c r="J2016">
        <v>2798</v>
      </c>
      <c r="K2016">
        <v>23</v>
      </c>
      <c r="L2016">
        <v>500</v>
      </c>
      <c r="M2016">
        <v>499</v>
      </c>
      <c r="N2016">
        <v>1</v>
      </c>
      <c r="O2016">
        <v>9179</v>
      </c>
      <c r="P2016">
        <v>1</v>
      </c>
    </row>
    <row r="2017" spans="1:16" x14ac:dyDescent="0.2">
      <c r="A2017" s="3" t="s">
        <v>49</v>
      </c>
      <c r="B2017" s="3" t="s">
        <v>50</v>
      </c>
      <c r="C2017">
        <v>47</v>
      </c>
      <c r="D2017">
        <v>11000</v>
      </c>
      <c r="E2017">
        <v>499</v>
      </c>
      <c r="F2017">
        <v>1</v>
      </c>
      <c r="G2017">
        <v>44062.122210792702</v>
      </c>
      <c r="H2017">
        <v>2.5571300000000002E-4</v>
      </c>
      <c r="I2017">
        <v>2820</v>
      </c>
      <c r="J2017">
        <v>2794</v>
      </c>
      <c r="K2017">
        <v>26</v>
      </c>
      <c r="L2017">
        <v>500</v>
      </c>
      <c r="M2017">
        <v>499</v>
      </c>
      <c r="N2017">
        <v>1</v>
      </c>
      <c r="O2017">
        <v>33844.887855475703</v>
      </c>
      <c r="P2017">
        <v>0</v>
      </c>
    </row>
    <row r="2018" spans="1:16" x14ac:dyDescent="0.2">
      <c r="A2018" s="3" t="s">
        <v>49</v>
      </c>
      <c r="B2018" s="3" t="s">
        <v>50</v>
      </c>
      <c r="C2018">
        <v>20</v>
      </c>
      <c r="D2018">
        <v>11000</v>
      </c>
      <c r="E2018">
        <v>499</v>
      </c>
      <c r="F2018">
        <v>1</v>
      </c>
      <c r="G2018">
        <v>11000</v>
      </c>
      <c r="H2018">
        <v>2.55474E-4</v>
      </c>
      <c r="I2018">
        <v>2798</v>
      </c>
      <c r="J2018">
        <v>2778</v>
      </c>
      <c r="K2018">
        <v>20</v>
      </c>
      <c r="L2018">
        <v>500</v>
      </c>
      <c r="M2018">
        <v>499</v>
      </c>
      <c r="N2018">
        <v>1</v>
      </c>
      <c r="O2018">
        <v>8202</v>
      </c>
      <c r="P2018">
        <v>1</v>
      </c>
    </row>
    <row r="2019" spans="1:16" x14ac:dyDescent="0.2">
      <c r="A2019" s="3" t="s">
        <v>49</v>
      </c>
      <c r="B2019" s="3" t="s">
        <v>50</v>
      </c>
      <c r="C2019">
        <v>42</v>
      </c>
      <c r="D2019">
        <v>12000</v>
      </c>
      <c r="E2019">
        <v>499</v>
      </c>
      <c r="F2019">
        <v>1</v>
      </c>
      <c r="G2019">
        <v>12000</v>
      </c>
      <c r="H2019">
        <v>2.55181E-4</v>
      </c>
      <c r="I2019">
        <v>2845</v>
      </c>
      <c r="J2019">
        <v>2828</v>
      </c>
      <c r="K2019">
        <v>17</v>
      </c>
      <c r="L2019">
        <v>500</v>
      </c>
      <c r="M2019">
        <v>499</v>
      </c>
      <c r="N2019">
        <v>1</v>
      </c>
      <c r="O2019">
        <v>9155</v>
      </c>
      <c r="P2019">
        <v>1</v>
      </c>
    </row>
    <row r="2020" spans="1:16" x14ac:dyDescent="0.2">
      <c r="A2020" s="3" t="s">
        <v>49</v>
      </c>
      <c r="B2020" s="3" t="s">
        <v>50</v>
      </c>
      <c r="C2020">
        <v>9</v>
      </c>
      <c r="D2020">
        <v>12000</v>
      </c>
      <c r="E2020">
        <v>499</v>
      </c>
      <c r="F2020">
        <v>1</v>
      </c>
      <c r="G2020">
        <v>50533.323552418398</v>
      </c>
      <c r="H2020">
        <v>2.5517200000000002E-4</v>
      </c>
      <c r="I2020">
        <v>2775</v>
      </c>
      <c r="J2020">
        <v>2748</v>
      </c>
      <c r="K2020">
        <v>27</v>
      </c>
      <c r="L2020">
        <v>500</v>
      </c>
      <c r="M2020">
        <v>499</v>
      </c>
      <c r="N2020">
        <v>1</v>
      </c>
      <c r="O2020">
        <v>39896.038674551703</v>
      </c>
      <c r="P2020">
        <v>0</v>
      </c>
    </row>
    <row r="2021" spans="1:16" x14ac:dyDescent="0.2">
      <c r="A2021" s="3" t="s">
        <v>49</v>
      </c>
      <c r="B2021" s="3" t="s">
        <v>50</v>
      </c>
      <c r="C2021">
        <v>22</v>
      </c>
      <c r="D2021">
        <v>12000</v>
      </c>
      <c r="E2021">
        <v>499</v>
      </c>
      <c r="F2021">
        <v>1</v>
      </c>
      <c r="G2021">
        <v>50533.323552418398</v>
      </c>
      <c r="H2021">
        <v>2.5516200000000002E-4</v>
      </c>
      <c r="I2021">
        <v>2846</v>
      </c>
      <c r="J2021">
        <v>2818</v>
      </c>
      <c r="K2021">
        <v>28</v>
      </c>
      <c r="L2021">
        <v>500</v>
      </c>
      <c r="M2021">
        <v>499</v>
      </c>
      <c r="N2021">
        <v>1</v>
      </c>
      <c r="O2021">
        <v>39714.059086390203</v>
      </c>
      <c r="P2021">
        <v>0</v>
      </c>
    </row>
    <row r="2022" spans="1:16" x14ac:dyDescent="0.2">
      <c r="A2022" s="3" t="s">
        <v>49</v>
      </c>
      <c r="B2022" s="3" t="s">
        <v>50</v>
      </c>
      <c r="C2022">
        <v>44</v>
      </c>
      <c r="D2022">
        <v>12000</v>
      </c>
      <c r="E2022">
        <v>499</v>
      </c>
      <c r="F2022">
        <v>1</v>
      </c>
      <c r="G2022">
        <v>12000</v>
      </c>
      <c r="H2022">
        <v>2.55154E-4</v>
      </c>
      <c r="I2022">
        <v>2791</v>
      </c>
      <c r="J2022">
        <v>2769</v>
      </c>
      <c r="K2022">
        <v>22</v>
      </c>
      <c r="L2022">
        <v>500</v>
      </c>
      <c r="M2022">
        <v>499</v>
      </c>
      <c r="N2022">
        <v>1</v>
      </c>
      <c r="O2022">
        <v>9209</v>
      </c>
      <c r="P2022">
        <v>1</v>
      </c>
    </row>
    <row r="2023" spans="1:16" x14ac:dyDescent="0.2">
      <c r="A2023" s="3" t="s">
        <v>49</v>
      </c>
      <c r="B2023" s="3" t="s">
        <v>50</v>
      </c>
      <c r="C2023">
        <v>24</v>
      </c>
      <c r="D2023">
        <v>12000</v>
      </c>
      <c r="E2023">
        <v>499</v>
      </c>
      <c r="F2023">
        <v>1</v>
      </c>
      <c r="G2023">
        <v>50533.323552418398</v>
      </c>
      <c r="H2023">
        <v>2.5514400000000001E-4</v>
      </c>
      <c r="I2023">
        <v>2806</v>
      </c>
      <c r="J2023">
        <v>2787</v>
      </c>
      <c r="K2023">
        <v>19</v>
      </c>
      <c r="L2023">
        <v>500</v>
      </c>
      <c r="M2023">
        <v>499</v>
      </c>
      <c r="N2023">
        <v>1</v>
      </c>
      <c r="O2023">
        <v>39942.209622885799</v>
      </c>
      <c r="P2023">
        <v>0</v>
      </c>
    </row>
    <row r="2024" spans="1:16" x14ac:dyDescent="0.2">
      <c r="A2024" s="3" t="s">
        <v>49</v>
      </c>
      <c r="B2024" s="3" t="s">
        <v>50</v>
      </c>
      <c r="C2024">
        <v>5</v>
      </c>
      <c r="D2024">
        <v>12000</v>
      </c>
      <c r="E2024">
        <v>499</v>
      </c>
      <c r="F2024">
        <v>1</v>
      </c>
      <c r="G2024">
        <v>12000</v>
      </c>
      <c r="H2024">
        <v>2.5504299999999999E-4</v>
      </c>
      <c r="I2024">
        <v>2801</v>
      </c>
      <c r="J2024">
        <v>2785</v>
      </c>
      <c r="K2024">
        <v>16</v>
      </c>
      <c r="L2024">
        <v>500</v>
      </c>
      <c r="M2024">
        <v>499</v>
      </c>
      <c r="N2024">
        <v>1</v>
      </c>
      <c r="O2024">
        <v>9199</v>
      </c>
      <c r="P2024">
        <v>1</v>
      </c>
    </row>
    <row r="2025" spans="1:16" x14ac:dyDescent="0.2">
      <c r="A2025" s="3" t="s">
        <v>49</v>
      </c>
      <c r="B2025" s="3" t="s">
        <v>50</v>
      </c>
      <c r="C2025">
        <v>14</v>
      </c>
      <c r="D2025">
        <v>12000</v>
      </c>
      <c r="E2025">
        <v>499</v>
      </c>
      <c r="F2025">
        <v>1</v>
      </c>
      <c r="G2025">
        <v>50533.323552418398</v>
      </c>
      <c r="H2025">
        <v>2.54906E-4</v>
      </c>
      <c r="I2025">
        <v>2825</v>
      </c>
      <c r="J2025">
        <v>2807</v>
      </c>
      <c r="K2025">
        <v>18</v>
      </c>
      <c r="L2025">
        <v>500</v>
      </c>
      <c r="M2025">
        <v>499</v>
      </c>
      <c r="N2025">
        <v>1</v>
      </c>
      <c r="O2025">
        <v>39727.441184775198</v>
      </c>
      <c r="P2025">
        <v>0</v>
      </c>
    </row>
    <row r="2026" spans="1:16" x14ac:dyDescent="0.2">
      <c r="A2026" s="3" t="s">
        <v>49</v>
      </c>
      <c r="B2026" s="3" t="s">
        <v>50</v>
      </c>
      <c r="C2026">
        <v>17</v>
      </c>
      <c r="D2026">
        <v>12000</v>
      </c>
      <c r="E2026">
        <v>499</v>
      </c>
      <c r="F2026">
        <v>1</v>
      </c>
      <c r="G2026">
        <v>50533.323552418398</v>
      </c>
      <c r="H2026">
        <v>2.54823E-4</v>
      </c>
      <c r="I2026">
        <v>2776</v>
      </c>
      <c r="J2026">
        <v>2753</v>
      </c>
      <c r="K2026">
        <v>23</v>
      </c>
      <c r="L2026">
        <v>500</v>
      </c>
      <c r="M2026">
        <v>499</v>
      </c>
      <c r="N2026">
        <v>1</v>
      </c>
      <c r="O2026">
        <v>39847.676585993897</v>
      </c>
      <c r="P2026">
        <v>0</v>
      </c>
    </row>
    <row r="2027" spans="1:16" x14ac:dyDescent="0.2">
      <c r="A2027" s="3" t="s">
        <v>49</v>
      </c>
      <c r="B2027" s="3" t="s">
        <v>50</v>
      </c>
      <c r="C2027">
        <v>4</v>
      </c>
      <c r="D2027">
        <v>12000</v>
      </c>
      <c r="E2027">
        <v>499</v>
      </c>
      <c r="F2027">
        <v>1</v>
      </c>
      <c r="G2027">
        <v>12000</v>
      </c>
      <c r="H2027">
        <v>2.5473100000000001E-4</v>
      </c>
      <c r="I2027">
        <v>2760</v>
      </c>
      <c r="J2027">
        <v>2736</v>
      </c>
      <c r="K2027">
        <v>24</v>
      </c>
      <c r="L2027">
        <v>500</v>
      </c>
      <c r="M2027">
        <v>499</v>
      </c>
      <c r="N2027">
        <v>1</v>
      </c>
      <c r="O2027">
        <v>9240</v>
      </c>
      <c r="P2027">
        <v>1</v>
      </c>
    </row>
    <row r="2028" spans="1:16" x14ac:dyDescent="0.2">
      <c r="A2028" s="3" t="s">
        <v>49</v>
      </c>
      <c r="B2028" s="3" t="s">
        <v>50</v>
      </c>
      <c r="C2028">
        <v>32</v>
      </c>
      <c r="D2028">
        <v>12000</v>
      </c>
      <c r="E2028">
        <v>499</v>
      </c>
      <c r="F2028">
        <v>1</v>
      </c>
      <c r="G2028">
        <v>50533.323552418398</v>
      </c>
      <c r="H2028">
        <v>2.5468600000000001E-4</v>
      </c>
      <c r="I2028">
        <v>2808</v>
      </c>
      <c r="J2028">
        <v>2790</v>
      </c>
      <c r="K2028">
        <v>18</v>
      </c>
      <c r="L2028">
        <v>500</v>
      </c>
      <c r="M2028">
        <v>499</v>
      </c>
      <c r="N2028">
        <v>1</v>
      </c>
      <c r="O2028">
        <v>39714.070810641897</v>
      </c>
      <c r="P2028">
        <v>0</v>
      </c>
    </row>
    <row r="2029" spans="1:16" x14ac:dyDescent="0.2">
      <c r="A2029" s="3" t="s">
        <v>49</v>
      </c>
      <c r="B2029" s="3" t="s">
        <v>50</v>
      </c>
      <c r="C2029">
        <v>4</v>
      </c>
      <c r="D2029">
        <v>12000</v>
      </c>
      <c r="E2029">
        <v>499</v>
      </c>
      <c r="F2029">
        <v>1</v>
      </c>
      <c r="G2029">
        <v>50533.323552418398</v>
      </c>
      <c r="H2029">
        <v>2.5451199999999998E-4</v>
      </c>
      <c r="I2029">
        <v>2805</v>
      </c>
      <c r="J2029">
        <v>2774</v>
      </c>
      <c r="K2029">
        <v>31</v>
      </c>
      <c r="L2029">
        <v>500</v>
      </c>
      <c r="M2029">
        <v>499</v>
      </c>
      <c r="N2029">
        <v>1</v>
      </c>
      <c r="O2029">
        <v>39819.065756987897</v>
      </c>
      <c r="P2029">
        <v>0</v>
      </c>
    </row>
    <row r="2030" spans="1:16" x14ac:dyDescent="0.2">
      <c r="A2030" s="3" t="s">
        <v>49</v>
      </c>
      <c r="B2030" s="3" t="s">
        <v>50</v>
      </c>
      <c r="C2030">
        <v>29</v>
      </c>
      <c r="D2030">
        <v>12000</v>
      </c>
      <c r="E2030">
        <v>499</v>
      </c>
      <c r="F2030">
        <v>1</v>
      </c>
      <c r="G2030">
        <v>50533.323552418398</v>
      </c>
      <c r="H2030">
        <v>2.54255E-4</v>
      </c>
      <c r="I2030">
        <v>2784</v>
      </c>
      <c r="J2030">
        <v>2766</v>
      </c>
      <c r="K2030">
        <v>18</v>
      </c>
      <c r="L2030">
        <v>500</v>
      </c>
      <c r="M2030">
        <v>499</v>
      </c>
      <c r="N2030">
        <v>1</v>
      </c>
      <c r="O2030">
        <v>39895.562907838103</v>
      </c>
      <c r="P2030">
        <v>0</v>
      </c>
    </row>
    <row r="2031" spans="1:16" x14ac:dyDescent="0.2">
      <c r="A2031" s="3" t="s">
        <v>49</v>
      </c>
      <c r="B2031" s="3" t="s">
        <v>50</v>
      </c>
      <c r="C2031">
        <v>30</v>
      </c>
      <c r="D2031">
        <v>11000</v>
      </c>
      <c r="E2031">
        <v>499</v>
      </c>
      <c r="F2031">
        <v>1</v>
      </c>
      <c r="G2031">
        <v>11000</v>
      </c>
      <c r="H2031">
        <v>2.54035E-4</v>
      </c>
      <c r="I2031">
        <v>2802</v>
      </c>
      <c r="J2031">
        <v>2776</v>
      </c>
      <c r="K2031">
        <v>26</v>
      </c>
      <c r="L2031">
        <v>500</v>
      </c>
      <c r="M2031">
        <v>499</v>
      </c>
      <c r="N2031">
        <v>1</v>
      </c>
      <c r="O2031">
        <v>8198</v>
      </c>
      <c r="P2031">
        <v>1</v>
      </c>
    </row>
    <row r="2032" spans="1:16" x14ac:dyDescent="0.2">
      <c r="A2032" s="3" t="s">
        <v>49</v>
      </c>
      <c r="B2032" s="3" t="s">
        <v>50</v>
      </c>
      <c r="C2032">
        <v>28</v>
      </c>
      <c r="D2032">
        <v>12000</v>
      </c>
      <c r="E2032">
        <v>499</v>
      </c>
      <c r="F2032">
        <v>1</v>
      </c>
      <c r="G2032">
        <v>12000</v>
      </c>
      <c r="H2032">
        <v>2.5398E-4</v>
      </c>
      <c r="I2032">
        <v>2790</v>
      </c>
      <c r="J2032">
        <v>2760</v>
      </c>
      <c r="K2032">
        <v>30</v>
      </c>
      <c r="L2032">
        <v>500</v>
      </c>
      <c r="M2032">
        <v>499</v>
      </c>
      <c r="N2032">
        <v>1</v>
      </c>
      <c r="O2032">
        <v>9210</v>
      </c>
      <c r="P2032">
        <v>1</v>
      </c>
    </row>
    <row r="2033" spans="1:16" x14ac:dyDescent="0.2">
      <c r="A2033" s="3" t="s">
        <v>49</v>
      </c>
      <c r="B2033" s="3" t="s">
        <v>50</v>
      </c>
      <c r="C2033">
        <v>11</v>
      </c>
      <c r="D2033">
        <v>11000</v>
      </c>
      <c r="E2033">
        <v>499</v>
      </c>
      <c r="F2033">
        <v>1</v>
      </c>
      <c r="G2033">
        <v>11000</v>
      </c>
      <c r="H2033">
        <v>2.5382399999999999E-4</v>
      </c>
      <c r="I2033">
        <v>2786</v>
      </c>
      <c r="J2033">
        <v>2761</v>
      </c>
      <c r="K2033">
        <v>25</v>
      </c>
      <c r="L2033">
        <v>500</v>
      </c>
      <c r="M2033">
        <v>499</v>
      </c>
      <c r="N2033">
        <v>1</v>
      </c>
      <c r="O2033">
        <v>8214</v>
      </c>
      <c r="P2033">
        <v>1</v>
      </c>
    </row>
    <row r="2034" spans="1:16" x14ac:dyDescent="0.2">
      <c r="A2034" s="3" t="s">
        <v>49</v>
      </c>
      <c r="B2034" s="3" t="s">
        <v>50</v>
      </c>
      <c r="C2034">
        <v>31</v>
      </c>
      <c r="D2034">
        <v>12000</v>
      </c>
      <c r="E2034">
        <v>499</v>
      </c>
      <c r="F2034">
        <v>1</v>
      </c>
      <c r="G2034">
        <v>50533.323552418398</v>
      </c>
      <c r="H2034">
        <v>2.5355799999999997E-4</v>
      </c>
      <c r="I2034">
        <v>2765</v>
      </c>
      <c r="J2034">
        <v>2746</v>
      </c>
      <c r="K2034">
        <v>19</v>
      </c>
      <c r="L2034">
        <v>500</v>
      </c>
      <c r="M2034">
        <v>499</v>
      </c>
      <c r="N2034">
        <v>1</v>
      </c>
      <c r="O2034">
        <v>40059.3984795707</v>
      </c>
      <c r="P2034">
        <v>0</v>
      </c>
    </row>
    <row r="2035" spans="1:16" x14ac:dyDescent="0.2">
      <c r="A2035" s="3" t="s">
        <v>49</v>
      </c>
      <c r="B2035" s="3" t="s">
        <v>50</v>
      </c>
      <c r="C2035">
        <v>48</v>
      </c>
      <c r="D2035">
        <v>12000</v>
      </c>
      <c r="E2035">
        <v>499</v>
      </c>
      <c r="F2035">
        <v>1</v>
      </c>
      <c r="G2035">
        <v>50533.323552418398</v>
      </c>
      <c r="H2035">
        <v>2.5335700000000001E-4</v>
      </c>
      <c r="I2035">
        <v>2810</v>
      </c>
      <c r="J2035">
        <v>2785</v>
      </c>
      <c r="K2035">
        <v>25</v>
      </c>
      <c r="L2035">
        <v>500</v>
      </c>
      <c r="M2035">
        <v>499</v>
      </c>
      <c r="N2035">
        <v>1</v>
      </c>
      <c r="O2035">
        <v>39859.840021372402</v>
      </c>
      <c r="P2035">
        <v>0</v>
      </c>
    </row>
    <row r="2036" spans="1:16" x14ac:dyDescent="0.2">
      <c r="A2036" s="3" t="s">
        <v>49</v>
      </c>
      <c r="B2036" s="3" t="s">
        <v>50</v>
      </c>
      <c r="C2036">
        <v>35</v>
      </c>
      <c r="D2036">
        <v>12000</v>
      </c>
      <c r="E2036">
        <v>499</v>
      </c>
      <c r="F2036">
        <v>1</v>
      </c>
      <c r="G2036">
        <v>50533.323552418398</v>
      </c>
      <c r="H2036">
        <v>2.5323799999999998E-4</v>
      </c>
      <c r="I2036">
        <v>2821</v>
      </c>
      <c r="J2036">
        <v>2789</v>
      </c>
      <c r="K2036">
        <v>32</v>
      </c>
      <c r="L2036">
        <v>500</v>
      </c>
      <c r="M2036">
        <v>499</v>
      </c>
      <c r="N2036">
        <v>1</v>
      </c>
      <c r="O2036">
        <v>39808.321589098399</v>
      </c>
      <c r="P2036">
        <v>0</v>
      </c>
    </row>
    <row r="2037" spans="1:16" x14ac:dyDescent="0.2">
      <c r="A2037" s="3" t="s">
        <v>49</v>
      </c>
      <c r="B2037" s="3" t="s">
        <v>50</v>
      </c>
      <c r="C2037">
        <v>22</v>
      </c>
      <c r="D2037">
        <v>12000</v>
      </c>
      <c r="E2037">
        <v>499</v>
      </c>
      <c r="F2037">
        <v>1</v>
      </c>
      <c r="G2037">
        <v>12000</v>
      </c>
      <c r="H2037">
        <v>2.5307299999999998E-4</v>
      </c>
      <c r="I2037">
        <v>2803</v>
      </c>
      <c r="J2037">
        <v>2775</v>
      </c>
      <c r="K2037">
        <v>28</v>
      </c>
      <c r="L2037">
        <v>500</v>
      </c>
      <c r="M2037">
        <v>499</v>
      </c>
      <c r="N2037">
        <v>1</v>
      </c>
      <c r="O2037">
        <v>9197</v>
      </c>
      <c r="P2037">
        <v>1</v>
      </c>
    </row>
    <row r="2038" spans="1:16" x14ac:dyDescent="0.2">
      <c r="A2038" s="3" t="s">
        <v>49</v>
      </c>
      <c r="B2038" s="3" t="s">
        <v>50</v>
      </c>
      <c r="C2038">
        <v>20</v>
      </c>
      <c r="D2038">
        <v>12000</v>
      </c>
      <c r="E2038">
        <v>499</v>
      </c>
      <c r="F2038">
        <v>1</v>
      </c>
      <c r="G2038">
        <v>12000</v>
      </c>
      <c r="H2038">
        <v>2.5283400000000001E-4</v>
      </c>
      <c r="I2038">
        <v>2822</v>
      </c>
      <c r="J2038">
        <v>2795</v>
      </c>
      <c r="K2038">
        <v>27</v>
      </c>
      <c r="L2038">
        <v>500</v>
      </c>
      <c r="M2038">
        <v>499</v>
      </c>
      <c r="N2038">
        <v>1</v>
      </c>
      <c r="O2038">
        <v>9178</v>
      </c>
      <c r="P2038">
        <v>1</v>
      </c>
    </row>
    <row r="2039" spans="1:16" x14ac:dyDescent="0.2">
      <c r="A2039" s="3" t="s">
        <v>49</v>
      </c>
      <c r="B2039" s="3" t="s">
        <v>50</v>
      </c>
      <c r="C2039">
        <v>23</v>
      </c>
      <c r="D2039">
        <v>12000</v>
      </c>
      <c r="E2039">
        <v>499</v>
      </c>
      <c r="F2039">
        <v>1</v>
      </c>
      <c r="G2039">
        <v>50533.323552418398</v>
      </c>
      <c r="H2039">
        <v>2.52651E-4</v>
      </c>
      <c r="I2039">
        <v>2795</v>
      </c>
      <c r="J2039">
        <v>2775</v>
      </c>
      <c r="K2039">
        <v>20</v>
      </c>
      <c r="L2039">
        <v>500</v>
      </c>
      <c r="M2039">
        <v>499</v>
      </c>
      <c r="N2039">
        <v>1</v>
      </c>
      <c r="O2039">
        <v>39935.937439947898</v>
      </c>
      <c r="P2039">
        <v>0</v>
      </c>
    </row>
    <row r="2040" spans="1:16" x14ac:dyDescent="0.2">
      <c r="A2040" s="3" t="s">
        <v>49</v>
      </c>
      <c r="B2040" s="3" t="s">
        <v>50</v>
      </c>
      <c r="C2040">
        <v>8</v>
      </c>
      <c r="D2040">
        <v>12000</v>
      </c>
      <c r="E2040">
        <v>499</v>
      </c>
      <c r="F2040">
        <v>1</v>
      </c>
      <c r="G2040">
        <v>50533.323552418398</v>
      </c>
      <c r="H2040">
        <v>2.5261400000000002E-4</v>
      </c>
      <c r="I2040">
        <v>2800</v>
      </c>
      <c r="J2040">
        <v>2770</v>
      </c>
      <c r="K2040">
        <v>30</v>
      </c>
      <c r="L2040">
        <v>500</v>
      </c>
      <c r="M2040">
        <v>499</v>
      </c>
      <c r="N2040">
        <v>1</v>
      </c>
      <c r="O2040">
        <v>39858.205545169403</v>
      </c>
      <c r="P2040">
        <v>0</v>
      </c>
    </row>
    <row r="2041" spans="1:16" x14ac:dyDescent="0.2">
      <c r="A2041" s="3" t="s">
        <v>49</v>
      </c>
      <c r="B2041" s="3" t="s">
        <v>50</v>
      </c>
      <c r="C2041">
        <v>6</v>
      </c>
      <c r="D2041">
        <v>12000</v>
      </c>
      <c r="E2041">
        <v>499</v>
      </c>
      <c r="F2041">
        <v>1</v>
      </c>
      <c r="G2041">
        <v>12000</v>
      </c>
      <c r="H2041">
        <v>2.5257699999999998E-4</v>
      </c>
      <c r="I2041">
        <v>2802</v>
      </c>
      <c r="J2041">
        <v>2773</v>
      </c>
      <c r="K2041">
        <v>29</v>
      </c>
      <c r="L2041">
        <v>500</v>
      </c>
      <c r="M2041">
        <v>499</v>
      </c>
      <c r="N2041">
        <v>1</v>
      </c>
      <c r="O2041">
        <v>9198</v>
      </c>
      <c r="P2041">
        <v>1</v>
      </c>
    </row>
    <row r="2042" spans="1:16" x14ac:dyDescent="0.2">
      <c r="A2042" s="3" t="s">
        <v>49</v>
      </c>
      <c r="B2042" s="3" t="s">
        <v>50</v>
      </c>
      <c r="C2042">
        <v>48</v>
      </c>
      <c r="D2042">
        <v>12000</v>
      </c>
      <c r="E2042">
        <v>499</v>
      </c>
      <c r="F2042">
        <v>1</v>
      </c>
      <c r="G2042">
        <v>12000</v>
      </c>
      <c r="H2042">
        <v>2.5252199999999998E-4</v>
      </c>
      <c r="I2042">
        <v>2816</v>
      </c>
      <c r="J2042">
        <v>2792</v>
      </c>
      <c r="K2042">
        <v>24</v>
      </c>
      <c r="L2042">
        <v>500</v>
      </c>
      <c r="M2042">
        <v>499</v>
      </c>
      <c r="N2042">
        <v>1</v>
      </c>
      <c r="O2042">
        <v>9184</v>
      </c>
      <c r="P2042">
        <v>1</v>
      </c>
    </row>
    <row r="2043" spans="1:16" x14ac:dyDescent="0.2">
      <c r="A2043" s="3" t="s">
        <v>49</v>
      </c>
      <c r="B2043" s="3" t="s">
        <v>50</v>
      </c>
      <c r="C2043">
        <v>50</v>
      </c>
      <c r="D2043">
        <v>11000</v>
      </c>
      <c r="E2043">
        <v>499</v>
      </c>
      <c r="F2043">
        <v>1</v>
      </c>
      <c r="G2043">
        <v>44062.122210792702</v>
      </c>
      <c r="H2043">
        <v>2.5240400000000002E-4</v>
      </c>
      <c r="I2043">
        <v>2757</v>
      </c>
      <c r="J2043">
        <v>2732</v>
      </c>
      <c r="K2043">
        <v>25</v>
      </c>
      <c r="L2043">
        <v>500</v>
      </c>
      <c r="M2043">
        <v>499</v>
      </c>
      <c r="N2043">
        <v>1</v>
      </c>
      <c r="O2043">
        <v>34069.473505231799</v>
      </c>
      <c r="P2043">
        <v>0</v>
      </c>
    </row>
    <row r="2044" spans="1:16" x14ac:dyDescent="0.2">
      <c r="A2044" s="3" t="s">
        <v>49</v>
      </c>
      <c r="B2044" s="3" t="s">
        <v>50</v>
      </c>
      <c r="C2044">
        <v>10</v>
      </c>
      <c r="D2044">
        <v>12000</v>
      </c>
      <c r="E2044">
        <v>499</v>
      </c>
      <c r="F2044">
        <v>1</v>
      </c>
      <c r="G2044">
        <v>50533.323552418398</v>
      </c>
      <c r="H2044">
        <v>2.5227499999999999E-4</v>
      </c>
      <c r="I2044">
        <v>2806</v>
      </c>
      <c r="J2044">
        <v>2781</v>
      </c>
      <c r="K2044">
        <v>25</v>
      </c>
      <c r="L2044">
        <v>500</v>
      </c>
      <c r="M2044">
        <v>499</v>
      </c>
      <c r="N2044">
        <v>1</v>
      </c>
      <c r="O2044">
        <v>39883.056225071501</v>
      </c>
      <c r="P2044">
        <v>0</v>
      </c>
    </row>
    <row r="2045" spans="1:16" x14ac:dyDescent="0.2">
      <c r="A2045" s="3" t="s">
        <v>49</v>
      </c>
      <c r="B2045" s="3" t="s">
        <v>50</v>
      </c>
      <c r="C2045">
        <v>32</v>
      </c>
      <c r="D2045">
        <v>11000</v>
      </c>
      <c r="E2045">
        <v>499</v>
      </c>
      <c r="F2045">
        <v>1</v>
      </c>
      <c r="G2045">
        <v>44062.122210792702</v>
      </c>
      <c r="H2045">
        <v>2.5199100000000002E-4</v>
      </c>
      <c r="I2045">
        <v>2791</v>
      </c>
      <c r="J2045">
        <v>2768</v>
      </c>
      <c r="K2045">
        <v>23</v>
      </c>
      <c r="L2045">
        <v>500</v>
      </c>
      <c r="M2045">
        <v>499</v>
      </c>
      <c r="N2045">
        <v>1</v>
      </c>
      <c r="O2045">
        <v>33915.282690267799</v>
      </c>
      <c r="P2045">
        <v>0</v>
      </c>
    </row>
    <row r="2046" spans="1:16" x14ac:dyDescent="0.2">
      <c r="A2046" s="3" t="s">
        <v>49</v>
      </c>
      <c r="B2046" s="3" t="s">
        <v>50</v>
      </c>
      <c r="C2046">
        <v>3</v>
      </c>
      <c r="D2046">
        <v>12000</v>
      </c>
      <c r="E2046">
        <v>499</v>
      </c>
      <c r="F2046">
        <v>1</v>
      </c>
      <c r="G2046">
        <v>12000</v>
      </c>
      <c r="H2046">
        <v>2.5190899999999998E-4</v>
      </c>
      <c r="I2046">
        <v>2788</v>
      </c>
      <c r="J2046">
        <v>2772</v>
      </c>
      <c r="K2046">
        <v>16</v>
      </c>
      <c r="L2046">
        <v>500</v>
      </c>
      <c r="M2046">
        <v>499</v>
      </c>
      <c r="N2046">
        <v>1</v>
      </c>
      <c r="O2046">
        <v>9212</v>
      </c>
      <c r="P2046">
        <v>1</v>
      </c>
    </row>
    <row r="2047" spans="1:16" x14ac:dyDescent="0.2">
      <c r="A2047" s="3" t="s">
        <v>49</v>
      </c>
      <c r="B2047" s="3" t="s">
        <v>50</v>
      </c>
      <c r="C2047">
        <v>46</v>
      </c>
      <c r="D2047">
        <v>12000</v>
      </c>
      <c r="E2047">
        <v>499</v>
      </c>
      <c r="F2047">
        <v>1</v>
      </c>
      <c r="G2047">
        <v>50533.323552418398</v>
      </c>
      <c r="H2047">
        <v>2.5186300000000001E-4</v>
      </c>
      <c r="I2047">
        <v>2820</v>
      </c>
      <c r="J2047">
        <v>2801</v>
      </c>
      <c r="K2047">
        <v>19</v>
      </c>
      <c r="L2047">
        <v>500</v>
      </c>
      <c r="M2047">
        <v>499</v>
      </c>
      <c r="N2047">
        <v>1</v>
      </c>
      <c r="O2047">
        <v>39694.983378300698</v>
      </c>
      <c r="P2047">
        <v>0</v>
      </c>
    </row>
    <row r="2048" spans="1:16" x14ac:dyDescent="0.2">
      <c r="A2048" s="3" t="s">
        <v>49</v>
      </c>
      <c r="B2048" s="3" t="s">
        <v>50</v>
      </c>
      <c r="C2048">
        <v>9</v>
      </c>
      <c r="D2048">
        <v>12000</v>
      </c>
      <c r="E2048">
        <v>499</v>
      </c>
      <c r="F2048">
        <v>1</v>
      </c>
      <c r="G2048">
        <v>12000</v>
      </c>
      <c r="H2048">
        <v>2.5167000000000001E-4</v>
      </c>
      <c r="I2048">
        <v>2832</v>
      </c>
      <c r="J2048">
        <v>2806</v>
      </c>
      <c r="K2048">
        <v>26</v>
      </c>
      <c r="L2048">
        <v>500</v>
      </c>
      <c r="M2048">
        <v>499</v>
      </c>
      <c r="N2048">
        <v>1</v>
      </c>
      <c r="O2048">
        <v>9168</v>
      </c>
      <c r="P2048">
        <v>1</v>
      </c>
    </row>
    <row r="2049" spans="1:16" x14ac:dyDescent="0.2">
      <c r="A2049" s="3" t="s">
        <v>49</v>
      </c>
      <c r="B2049" s="3" t="s">
        <v>50</v>
      </c>
      <c r="C2049">
        <v>8</v>
      </c>
      <c r="D2049">
        <v>12000</v>
      </c>
      <c r="E2049">
        <v>499</v>
      </c>
      <c r="F2049">
        <v>1</v>
      </c>
      <c r="G2049">
        <v>12000</v>
      </c>
      <c r="H2049">
        <v>2.5152300000000002E-4</v>
      </c>
      <c r="I2049">
        <v>2788</v>
      </c>
      <c r="J2049">
        <v>2759</v>
      </c>
      <c r="K2049">
        <v>29</v>
      </c>
      <c r="L2049">
        <v>500</v>
      </c>
      <c r="M2049">
        <v>499</v>
      </c>
      <c r="N2049">
        <v>1</v>
      </c>
      <c r="O2049">
        <v>9212</v>
      </c>
      <c r="P2049">
        <v>1</v>
      </c>
    </row>
    <row r="2050" spans="1:16" x14ac:dyDescent="0.2">
      <c r="A2050" s="3" t="s">
        <v>49</v>
      </c>
      <c r="B2050" s="3" t="s">
        <v>50</v>
      </c>
      <c r="C2050">
        <v>17</v>
      </c>
      <c r="D2050">
        <v>12000</v>
      </c>
      <c r="E2050">
        <v>499</v>
      </c>
      <c r="F2050">
        <v>1</v>
      </c>
      <c r="G2050">
        <v>12000</v>
      </c>
      <c r="H2050">
        <v>2.5140399999999999E-4</v>
      </c>
      <c r="I2050">
        <v>2840</v>
      </c>
      <c r="J2050">
        <v>2820</v>
      </c>
      <c r="K2050">
        <v>20</v>
      </c>
      <c r="L2050">
        <v>500</v>
      </c>
      <c r="M2050">
        <v>499</v>
      </c>
      <c r="N2050">
        <v>1</v>
      </c>
      <c r="O2050">
        <v>9160</v>
      </c>
      <c r="P2050">
        <v>1</v>
      </c>
    </row>
    <row r="2051" spans="1:16" x14ac:dyDescent="0.2">
      <c r="A2051" s="3" t="s">
        <v>49</v>
      </c>
      <c r="B2051" s="3" t="s">
        <v>50</v>
      </c>
      <c r="C2051">
        <v>21</v>
      </c>
      <c r="D2051">
        <v>11000</v>
      </c>
      <c r="E2051">
        <v>499</v>
      </c>
      <c r="F2051">
        <v>1</v>
      </c>
      <c r="G2051">
        <v>44062.122210792702</v>
      </c>
      <c r="H2051">
        <v>2.5117500000000002E-4</v>
      </c>
      <c r="I2051">
        <v>2837</v>
      </c>
      <c r="J2051">
        <v>2808</v>
      </c>
      <c r="K2051">
        <v>29</v>
      </c>
      <c r="L2051">
        <v>500</v>
      </c>
      <c r="M2051">
        <v>499</v>
      </c>
      <c r="N2051">
        <v>1</v>
      </c>
      <c r="O2051">
        <v>33813.6028837622</v>
      </c>
      <c r="P2051">
        <v>0</v>
      </c>
    </row>
    <row r="2052" spans="1:16" x14ac:dyDescent="0.2">
      <c r="A2052" s="3" t="s">
        <v>49</v>
      </c>
      <c r="B2052" s="3" t="s">
        <v>50</v>
      </c>
      <c r="C2052">
        <v>40</v>
      </c>
      <c r="D2052">
        <v>11000</v>
      </c>
      <c r="E2052">
        <v>499</v>
      </c>
      <c r="F2052">
        <v>1</v>
      </c>
      <c r="G2052">
        <v>44062.122210792702</v>
      </c>
      <c r="H2052">
        <v>2.51074E-4</v>
      </c>
      <c r="I2052">
        <v>2788</v>
      </c>
      <c r="J2052">
        <v>2768</v>
      </c>
      <c r="K2052">
        <v>20</v>
      </c>
      <c r="L2052">
        <v>500</v>
      </c>
      <c r="M2052">
        <v>499</v>
      </c>
      <c r="N2052">
        <v>1</v>
      </c>
      <c r="O2052">
        <v>33983.000189723301</v>
      </c>
      <c r="P2052">
        <v>0</v>
      </c>
    </row>
    <row r="2053" spans="1:16" x14ac:dyDescent="0.2">
      <c r="A2053" s="3" t="s">
        <v>49</v>
      </c>
      <c r="B2053" s="3" t="s">
        <v>50</v>
      </c>
      <c r="C2053">
        <v>27</v>
      </c>
      <c r="D2053">
        <v>12000</v>
      </c>
      <c r="E2053">
        <v>499</v>
      </c>
      <c r="F2053">
        <v>1</v>
      </c>
      <c r="G2053">
        <v>50533.323552418398</v>
      </c>
      <c r="H2053">
        <v>2.5090900000000001E-4</v>
      </c>
      <c r="I2053">
        <v>2745</v>
      </c>
      <c r="J2053">
        <v>2727</v>
      </c>
      <c r="K2053">
        <v>18</v>
      </c>
      <c r="L2053">
        <v>500</v>
      </c>
      <c r="M2053">
        <v>499</v>
      </c>
      <c r="N2053">
        <v>1</v>
      </c>
      <c r="O2053">
        <v>40005.564221753797</v>
      </c>
      <c r="P2053">
        <v>0</v>
      </c>
    </row>
    <row r="2054" spans="1:16" x14ac:dyDescent="0.2">
      <c r="A2054" s="3" t="s">
        <v>49</v>
      </c>
      <c r="B2054" s="3" t="s">
        <v>50</v>
      </c>
      <c r="C2054">
        <v>35</v>
      </c>
      <c r="D2054">
        <v>12000</v>
      </c>
      <c r="E2054">
        <v>499</v>
      </c>
      <c r="F2054">
        <v>1</v>
      </c>
      <c r="G2054">
        <v>12000</v>
      </c>
      <c r="H2054">
        <v>2.5077200000000002E-4</v>
      </c>
      <c r="I2054">
        <v>2794</v>
      </c>
      <c r="J2054">
        <v>2772</v>
      </c>
      <c r="K2054">
        <v>22</v>
      </c>
      <c r="L2054">
        <v>500</v>
      </c>
      <c r="M2054">
        <v>499</v>
      </c>
      <c r="N2054">
        <v>1</v>
      </c>
      <c r="O2054">
        <v>9206</v>
      </c>
      <c r="P2054">
        <v>1</v>
      </c>
    </row>
    <row r="2055" spans="1:16" x14ac:dyDescent="0.2">
      <c r="A2055" s="3" t="s">
        <v>49</v>
      </c>
      <c r="B2055" s="3" t="s">
        <v>50</v>
      </c>
      <c r="C2055">
        <v>29</v>
      </c>
      <c r="D2055">
        <v>12000</v>
      </c>
      <c r="E2055">
        <v>499</v>
      </c>
      <c r="F2055">
        <v>1</v>
      </c>
      <c r="G2055">
        <v>12000</v>
      </c>
      <c r="H2055">
        <v>2.5073499999999998E-4</v>
      </c>
      <c r="I2055">
        <v>2806</v>
      </c>
      <c r="J2055">
        <v>2783</v>
      </c>
      <c r="K2055">
        <v>23</v>
      </c>
      <c r="L2055">
        <v>500</v>
      </c>
      <c r="M2055">
        <v>499</v>
      </c>
      <c r="N2055">
        <v>1</v>
      </c>
      <c r="O2055">
        <v>9194</v>
      </c>
      <c r="P2055">
        <v>1</v>
      </c>
    </row>
    <row r="2056" spans="1:16" x14ac:dyDescent="0.2">
      <c r="A2056" s="3" t="s">
        <v>49</v>
      </c>
      <c r="B2056" s="3" t="s">
        <v>50</v>
      </c>
      <c r="C2056">
        <v>12</v>
      </c>
      <c r="D2056">
        <v>12000</v>
      </c>
      <c r="E2056">
        <v>499</v>
      </c>
      <c r="F2056">
        <v>1</v>
      </c>
      <c r="G2056">
        <v>50533.323552418398</v>
      </c>
      <c r="H2056">
        <v>2.5062499999999998E-4</v>
      </c>
      <c r="I2056">
        <v>2779</v>
      </c>
      <c r="J2056">
        <v>2760</v>
      </c>
      <c r="K2056">
        <v>19</v>
      </c>
      <c r="L2056">
        <v>500</v>
      </c>
      <c r="M2056">
        <v>499</v>
      </c>
      <c r="N2056">
        <v>1</v>
      </c>
      <c r="O2056">
        <v>39937.399279026104</v>
      </c>
      <c r="P2056">
        <v>0</v>
      </c>
    </row>
    <row r="2057" spans="1:16" x14ac:dyDescent="0.2">
      <c r="A2057" s="3" t="s">
        <v>49</v>
      </c>
      <c r="B2057" s="3" t="s">
        <v>50</v>
      </c>
      <c r="C2057">
        <v>36</v>
      </c>
      <c r="D2057">
        <v>11000</v>
      </c>
      <c r="E2057">
        <v>499</v>
      </c>
      <c r="F2057">
        <v>1</v>
      </c>
      <c r="G2057">
        <v>44062.122210792702</v>
      </c>
      <c r="H2057">
        <v>2.5059799999999999E-4</v>
      </c>
      <c r="I2057">
        <v>2792</v>
      </c>
      <c r="J2057">
        <v>2772</v>
      </c>
      <c r="K2057">
        <v>20</v>
      </c>
      <c r="L2057">
        <v>500</v>
      </c>
      <c r="M2057">
        <v>499</v>
      </c>
      <c r="N2057">
        <v>1</v>
      </c>
      <c r="O2057">
        <v>33868.646703584098</v>
      </c>
      <c r="P2057">
        <v>0</v>
      </c>
    </row>
    <row r="2058" spans="1:16" x14ac:dyDescent="0.2">
      <c r="A2058" s="3" t="s">
        <v>49</v>
      </c>
      <c r="B2058" s="3" t="s">
        <v>50</v>
      </c>
      <c r="C2058">
        <v>25</v>
      </c>
      <c r="D2058">
        <v>12000</v>
      </c>
      <c r="E2058">
        <v>499</v>
      </c>
      <c r="F2058">
        <v>1</v>
      </c>
      <c r="G2058">
        <v>12000</v>
      </c>
      <c r="H2058">
        <v>2.50506E-4</v>
      </c>
      <c r="I2058">
        <v>2779</v>
      </c>
      <c r="J2058">
        <v>2756</v>
      </c>
      <c r="K2058">
        <v>23</v>
      </c>
      <c r="L2058">
        <v>500</v>
      </c>
      <c r="M2058">
        <v>499</v>
      </c>
      <c r="N2058">
        <v>1</v>
      </c>
      <c r="O2058">
        <v>9221</v>
      </c>
      <c r="P2058">
        <v>1</v>
      </c>
    </row>
    <row r="2059" spans="1:16" x14ac:dyDescent="0.2">
      <c r="A2059" s="3" t="s">
        <v>49</v>
      </c>
      <c r="B2059" s="3" t="s">
        <v>50</v>
      </c>
      <c r="C2059">
        <v>33</v>
      </c>
      <c r="D2059">
        <v>11000</v>
      </c>
      <c r="E2059">
        <v>499</v>
      </c>
      <c r="F2059">
        <v>1</v>
      </c>
      <c r="G2059">
        <v>11000</v>
      </c>
      <c r="H2059">
        <v>2.5016699999999998E-4</v>
      </c>
      <c r="I2059">
        <v>2798</v>
      </c>
      <c r="J2059">
        <v>2766</v>
      </c>
      <c r="K2059">
        <v>32</v>
      </c>
      <c r="L2059">
        <v>500</v>
      </c>
      <c r="M2059">
        <v>499</v>
      </c>
      <c r="N2059">
        <v>1</v>
      </c>
      <c r="O2059">
        <v>8202</v>
      </c>
      <c r="P2059">
        <v>1</v>
      </c>
    </row>
    <row r="2060" spans="1:16" x14ac:dyDescent="0.2">
      <c r="A2060" s="3" t="s">
        <v>49</v>
      </c>
      <c r="B2060" s="3" t="s">
        <v>50</v>
      </c>
      <c r="C2060">
        <v>13</v>
      </c>
      <c r="D2060">
        <v>12000</v>
      </c>
      <c r="E2060">
        <v>499</v>
      </c>
      <c r="F2060">
        <v>1</v>
      </c>
      <c r="G2060">
        <v>12000</v>
      </c>
      <c r="H2060">
        <v>2.50148E-4</v>
      </c>
      <c r="I2060">
        <v>2776</v>
      </c>
      <c r="J2060">
        <v>2753</v>
      </c>
      <c r="K2060">
        <v>23</v>
      </c>
      <c r="L2060">
        <v>500</v>
      </c>
      <c r="M2060">
        <v>499</v>
      </c>
      <c r="N2060">
        <v>1</v>
      </c>
      <c r="O2060">
        <v>9224</v>
      </c>
      <c r="P2060">
        <v>1</v>
      </c>
    </row>
    <row r="2061" spans="1:16" x14ac:dyDescent="0.2">
      <c r="A2061" s="3" t="s">
        <v>49</v>
      </c>
      <c r="B2061" s="3" t="s">
        <v>50</v>
      </c>
      <c r="C2061">
        <v>2</v>
      </c>
      <c r="D2061">
        <v>12000</v>
      </c>
      <c r="E2061">
        <v>499</v>
      </c>
      <c r="F2061">
        <v>1</v>
      </c>
      <c r="G2061">
        <v>12000</v>
      </c>
      <c r="H2061">
        <v>2.5013999999999999E-4</v>
      </c>
      <c r="I2061">
        <v>2818</v>
      </c>
      <c r="J2061">
        <v>2789</v>
      </c>
      <c r="K2061">
        <v>29</v>
      </c>
      <c r="L2061">
        <v>500</v>
      </c>
      <c r="M2061">
        <v>499</v>
      </c>
      <c r="N2061">
        <v>1</v>
      </c>
      <c r="O2061">
        <v>9182</v>
      </c>
      <c r="P2061">
        <v>1</v>
      </c>
    </row>
    <row r="2062" spans="1:16" x14ac:dyDescent="0.2">
      <c r="A2062" s="3" t="s">
        <v>49</v>
      </c>
      <c r="B2062" s="3" t="s">
        <v>50</v>
      </c>
      <c r="C2062">
        <v>45</v>
      </c>
      <c r="D2062">
        <v>11000</v>
      </c>
      <c r="E2062">
        <v>499</v>
      </c>
      <c r="F2062">
        <v>1</v>
      </c>
      <c r="G2062">
        <v>44062.122210792702</v>
      </c>
      <c r="H2062">
        <v>2.5001100000000002E-4</v>
      </c>
      <c r="I2062">
        <v>2791</v>
      </c>
      <c r="J2062">
        <v>2767</v>
      </c>
      <c r="K2062">
        <v>24</v>
      </c>
      <c r="L2062">
        <v>500</v>
      </c>
      <c r="M2062">
        <v>499</v>
      </c>
      <c r="N2062">
        <v>1</v>
      </c>
      <c r="O2062">
        <v>33924.003642241303</v>
      </c>
      <c r="P2062">
        <v>0</v>
      </c>
    </row>
    <row r="2063" spans="1:16" x14ac:dyDescent="0.2">
      <c r="A2063" s="3" t="s">
        <v>49</v>
      </c>
      <c r="B2063" s="3" t="s">
        <v>50</v>
      </c>
      <c r="C2063">
        <v>7</v>
      </c>
      <c r="D2063">
        <v>12000</v>
      </c>
      <c r="E2063">
        <v>499</v>
      </c>
      <c r="F2063">
        <v>1</v>
      </c>
      <c r="G2063">
        <v>12000</v>
      </c>
      <c r="H2063">
        <v>2.4973600000000002E-4</v>
      </c>
      <c r="I2063">
        <v>2805</v>
      </c>
      <c r="J2063">
        <v>2789</v>
      </c>
      <c r="K2063">
        <v>16</v>
      </c>
      <c r="L2063">
        <v>500</v>
      </c>
      <c r="M2063">
        <v>499</v>
      </c>
      <c r="N2063">
        <v>1</v>
      </c>
      <c r="O2063">
        <v>9195</v>
      </c>
      <c r="P2063">
        <v>1</v>
      </c>
    </row>
    <row r="2064" spans="1:16" x14ac:dyDescent="0.2">
      <c r="A2064" s="3" t="s">
        <v>49</v>
      </c>
      <c r="B2064" s="3" t="s">
        <v>50</v>
      </c>
      <c r="C2064">
        <v>3</v>
      </c>
      <c r="D2064">
        <v>12000</v>
      </c>
      <c r="E2064">
        <v>499</v>
      </c>
      <c r="F2064">
        <v>1</v>
      </c>
      <c r="G2064">
        <v>50533.323552418398</v>
      </c>
      <c r="H2064">
        <v>2.49332E-4</v>
      </c>
      <c r="I2064">
        <v>2810</v>
      </c>
      <c r="J2064">
        <v>2795</v>
      </c>
      <c r="K2064">
        <v>15</v>
      </c>
      <c r="L2064">
        <v>500</v>
      </c>
      <c r="M2064">
        <v>499</v>
      </c>
      <c r="N2064">
        <v>1</v>
      </c>
      <c r="O2064">
        <v>39826.256767914398</v>
      </c>
      <c r="P2064">
        <v>0</v>
      </c>
    </row>
    <row r="2065" spans="1:16" x14ac:dyDescent="0.2">
      <c r="A2065" s="3" t="s">
        <v>49</v>
      </c>
      <c r="B2065" s="3" t="s">
        <v>50</v>
      </c>
      <c r="C2065">
        <v>49</v>
      </c>
      <c r="D2065">
        <v>12000</v>
      </c>
      <c r="E2065">
        <v>499</v>
      </c>
      <c r="F2065">
        <v>1</v>
      </c>
      <c r="G2065">
        <v>50533.323552418398</v>
      </c>
      <c r="H2065">
        <v>2.4925899999999999E-4</v>
      </c>
      <c r="I2065">
        <v>2774</v>
      </c>
      <c r="J2065">
        <v>2762</v>
      </c>
      <c r="K2065">
        <v>12</v>
      </c>
      <c r="L2065">
        <v>500</v>
      </c>
      <c r="M2065">
        <v>499</v>
      </c>
      <c r="N2065">
        <v>1</v>
      </c>
      <c r="O2065">
        <v>39897.285126798197</v>
      </c>
      <c r="P2065">
        <v>0</v>
      </c>
    </row>
    <row r="2066" spans="1:16" x14ac:dyDescent="0.2">
      <c r="A2066" s="3" t="s">
        <v>49</v>
      </c>
      <c r="B2066" s="3" t="s">
        <v>50</v>
      </c>
      <c r="C2066">
        <v>26</v>
      </c>
      <c r="D2066">
        <v>12000</v>
      </c>
      <c r="E2066">
        <v>499</v>
      </c>
      <c r="F2066">
        <v>1</v>
      </c>
      <c r="G2066">
        <v>50533.323552418398</v>
      </c>
      <c r="H2066">
        <v>2.4921299999999997E-4</v>
      </c>
      <c r="I2066">
        <v>2784</v>
      </c>
      <c r="J2066">
        <v>2759</v>
      </c>
      <c r="K2066">
        <v>25</v>
      </c>
      <c r="L2066">
        <v>500</v>
      </c>
      <c r="M2066">
        <v>499</v>
      </c>
      <c r="N2066">
        <v>1</v>
      </c>
      <c r="O2066">
        <v>39869.366864216798</v>
      </c>
      <c r="P2066">
        <v>0</v>
      </c>
    </row>
    <row r="2067" spans="1:16" x14ac:dyDescent="0.2">
      <c r="A2067" s="3" t="s">
        <v>49</v>
      </c>
      <c r="B2067" s="3" t="s">
        <v>50</v>
      </c>
      <c r="C2067">
        <v>31</v>
      </c>
      <c r="D2067">
        <v>12000</v>
      </c>
      <c r="E2067">
        <v>499</v>
      </c>
      <c r="F2067">
        <v>1</v>
      </c>
      <c r="G2067">
        <v>12000</v>
      </c>
      <c r="H2067">
        <v>2.4913099999999998E-4</v>
      </c>
      <c r="I2067">
        <v>2791</v>
      </c>
      <c r="J2067">
        <v>2763</v>
      </c>
      <c r="K2067">
        <v>28</v>
      </c>
      <c r="L2067">
        <v>500</v>
      </c>
      <c r="M2067">
        <v>499</v>
      </c>
      <c r="N2067">
        <v>1</v>
      </c>
      <c r="O2067">
        <v>9209</v>
      </c>
      <c r="P2067">
        <v>1</v>
      </c>
    </row>
    <row r="2068" spans="1:16" x14ac:dyDescent="0.2">
      <c r="A2068" s="3" t="s">
        <v>49</v>
      </c>
      <c r="B2068" s="3" t="s">
        <v>50</v>
      </c>
      <c r="C2068">
        <v>33</v>
      </c>
      <c r="D2068">
        <v>12000</v>
      </c>
      <c r="E2068">
        <v>499</v>
      </c>
      <c r="F2068">
        <v>1</v>
      </c>
      <c r="G2068">
        <v>50533.323552418398</v>
      </c>
      <c r="H2068">
        <v>2.4904799999999998E-4</v>
      </c>
      <c r="I2068">
        <v>2815</v>
      </c>
      <c r="J2068">
        <v>2791</v>
      </c>
      <c r="K2068">
        <v>24</v>
      </c>
      <c r="L2068">
        <v>500</v>
      </c>
      <c r="M2068">
        <v>499</v>
      </c>
      <c r="N2068">
        <v>1</v>
      </c>
      <c r="O2068">
        <v>39749.115574226598</v>
      </c>
      <c r="P2068">
        <v>0</v>
      </c>
    </row>
    <row r="2069" spans="1:16" x14ac:dyDescent="0.2">
      <c r="A2069" s="3" t="s">
        <v>49</v>
      </c>
      <c r="B2069" s="3" t="s">
        <v>50</v>
      </c>
      <c r="C2069">
        <v>38</v>
      </c>
      <c r="D2069">
        <v>12000</v>
      </c>
      <c r="E2069">
        <v>499</v>
      </c>
      <c r="F2069">
        <v>1</v>
      </c>
      <c r="G2069">
        <v>12000</v>
      </c>
      <c r="H2069">
        <v>2.4888299999999998E-4</v>
      </c>
      <c r="I2069">
        <v>2774</v>
      </c>
      <c r="J2069">
        <v>2751</v>
      </c>
      <c r="K2069">
        <v>23</v>
      </c>
      <c r="L2069">
        <v>500</v>
      </c>
      <c r="M2069">
        <v>499</v>
      </c>
      <c r="N2069">
        <v>1</v>
      </c>
      <c r="O2069">
        <v>9226</v>
      </c>
      <c r="P2069">
        <v>1</v>
      </c>
    </row>
    <row r="2070" spans="1:16" x14ac:dyDescent="0.2">
      <c r="A2070" s="3" t="s">
        <v>49</v>
      </c>
      <c r="B2070" s="3" t="s">
        <v>50</v>
      </c>
      <c r="C2070">
        <v>3</v>
      </c>
      <c r="D2070">
        <v>11000</v>
      </c>
      <c r="E2070">
        <v>499</v>
      </c>
      <c r="F2070">
        <v>1</v>
      </c>
      <c r="G2070">
        <v>11000</v>
      </c>
      <c r="H2070">
        <v>2.4883799999999998E-4</v>
      </c>
      <c r="I2070">
        <v>2791</v>
      </c>
      <c r="J2070">
        <v>2768</v>
      </c>
      <c r="K2070">
        <v>23</v>
      </c>
      <c r="L2070">
        <v>500</v>
      </c>
      <c r="M2070">
        <v>499</v>
      </c>
      <c r="N2070">
        <v>1</v>
      </c>
      <c r="O2070">
        <v>8209</v>
      </c>
      <c r="P2070">
        <v>1</v>
      </c>
    </row>
    <row r="2071" spans="1:16" x14ac:dyDescent="0.2">
      <c r="A2071" s="3" t="s">
        <v>49</v>
      </c>
      <c r="B2071" s="3" t="s">
        <v>50</v>
      </c>
      <c r="C2071">
        <v>20</v>
      </c>
      <c r="D2071">
        <v>12000</v>
      </c>
      <c r="E2071">
        <v>499</v>
      </c>
      <c r="F2071">
        <v>1</v>
      </c>
      <c r="G2071">
        <v>50533.323552418398</v>
      </c>
      <c r="H2071">
        <v>2.4867299999999998E-4</v>
      </c>
      <c r="I2071">
        <v>2787</v>
      </c>
      <c r="J2071">
        <v>2762</v>
      </c>
      <c r="K2071">
        <v>25</v>
      </c>
      <c r="L2071">
        <v>500</v>
      </c>
      <c r="M2071">
        <v>499</v>
      </c>
      <c r="N2071">
        <v>1</v>
      </c>
      <c r="O2071">
        <v>39847.856249996701</v>
      </c>
      <c r="P2071">
        <v>0</v>
      </c>
    </row>
    <row r="2072" spans="1:16" x14ac:dyDescent="0.2">
      <c r="A2072" s="3" t="s">
        <v>49</v>
      </c>
      <c r="B2072" s="3" t="s">
        <v>50</v>
      </c>
      <c r="C2072">
        <v>21</v>
      </c>
      <c r="D2072">
        <v>10000</v>
      </c>
      <c r="E2072">
        <v>499</v>
      </c>
      <c r="F2072">
        <v>1</v>
      </c>
      <c r="G2072">
        <v>39482.677260513999</v>
      </c>
      <c r="H2072">
        <v>2.4861799999999998E-4</v>
      </c>
      <c r="I2072">
        <v>2739</v>
      </c>
      <c r="J2072">
        <v>2720</v>
      </c>
      <c r="K2072">
        <v>19</v>
      </c>
      <c r="L2072">
        <v>500</v>
      </c>
      <c r="M2072">
        <v>499</v>
      </c>
      <c r="N2072">
        <v>1</v>
      </c>
      <c r="O2072">
        <v>29744.268168733099</v>
      </c>
      <c r="P2072">
        <v>0</v>
      </c>
    </row>
    <row r="2073" spans="1:16" x14ac:dyDescent="0.2">
      <c r="A2073" s="3" t="s">
        <v>49</v>
      </c>
      <c r="B2073" s="3" t="s">
        <v>50</v>
      </c>
      <c r="C2073">
        <v>24</v>
      </c>
      <c r="D2073">
        <v>12000</v>
      </c>
      <c r="E2073">
        <v>499</v>
      </c>
      <c r="F2073">
        <v>1</v>
      </c>
      <c r="G2073">
        <v>12000</v>
      </c>
      <c r="H2073">
        <v>2.4857200000000002E-4</v>
      </c>
      <c r="I2073">
        <v>2777</v>
      </c>
      <c r="J2073">
        <v>2755</v>
      </c>
      <c r="K2073">
        <v>22</v>
      </c>
      <c r="L2073">
        <v>500</v>
      </c>
      <c r="M2073">
        <v>499</v>
      </c>
      <c r="N2073">
        <v>1</v>
      </c>
      <c r="O2073">
        <v>9223</v>
      </c>
      <c r="P2073">
        <v>1</v>
      </c>
    </row>
    <row r="2074" spans="1:16" x14ac:dyDescent="0.2">
      <c r="A2074" s="3" t="s">
        <v>49</v>
      </c>
      <c r="B2074" s="3" t="s">
        <v>50</v>
      </c>
      <c r="C2074">
        <v>37</v>
      </c>
      <c r="D2074">
        <v>12000</v>
      </c>
      <c r="E2074">
        <v>499</v>
      </c>
      <c r="F2074">
        <v>1</v>
      </c>
      <c r="G2074">
        <v>12000</v>
      </c>
      <c r="H2074">
        <v>2.48471E-4</v>
      </c>
      <c r="I2074">
        <v>2765</v>
      </c>
      <c r="J2074">
        <v>2745</v>
      </c>
      <c r="K2074">
        <v>20</v>
      </c>
      <c r="L2074">
        <v>500</v>
      </c>
      <c r="M2074">
        <v>499</v>
      </c>
      <c r="N2074">
        <v>1</v>
      </c>
      <c r="O2074">
        <v>9235</v>
      </c>
      <c r="P2074">
        <v>1</v>
      </c>
    </row>
    <row r="2075" spans="1:16" x14ac:dyDescent="0.2">
      <c r="A2075" s="3" t="s">
        <v>49</v>
      </c>
      <c r="B2075" s="3" t="s">
        <v>50</v>
      </c>
      <c r="C2075">
        <v>50</v>
      </c>
      <c r="D2075">
        <v>11000</v>
      </c>
      <c r="E2075">
        <v>499</v>
      </c>
      <c r="F2075">
        <v>1</v>
      </c>
      <c r="G2075">
        <v>11000</v>
      </c>
      <c r="H2075">
        <v>2.4835999999999999E-4</v>
      </c>
      <c r="I2075">
        <v>2739</v>
      </c>
      <c r="J2075">
        <v>2724</v>
      </c>
      <c r="K2075">
        <v>15</v>
      </c>
      <c r="L2075">
        <v>500</v>
      </c>
      <c r="M2075">
        <v>499</v>
      </c>
      <c r="N2075">
        <v>1</v>
      </c>
      <c r="O2075">
        <v>8261</v>
      </c>
      <c r="P2075">
        <v>1</v>
      </c>
    </row>
    <row r="2076" spans="1:16" x14ac:dyDescent="0.2">
      <c r="A2076" s="3" t="s">
        <v>49</v>
      </c>
      <c r="B2076" s="3" t="s">
        <v>50</v>
      </c>
      <c r="C2076">
        <v>19</v>
      </c>
      <c r="D2076">
        <v>12000</v>
      </c>
      <c r="E2076">
        <v>499</v>
      </c>
      <c r="F2076">
        <v>1</v>
      </c>
      <c r="G2076">
        <v>50533.323552418398</v>
      </c>
      <c r="H2076">
        <v>2.4792100000000001E-4</v>
      </c>
      <c r="I2076">
        <v>2776</v>
      </c>
      <c r="J2076">
        <v>2748</v>
      </c>
      <c r="K2076">
        <v>28</v>
      </c>
      <c r="L2076">
        <v>500</v>
      </c>
      <c r="M2076">
        <v>499</v>
      </c>
      <c r="N2076">
        <v>1</v>
      </c>
      <c r="O2076">
        <v>39956.449701793303</v>
      </c>
      <c r="P2076">
        <v>0</v>
      </c>
    </row>
    <row r="2077" spans="1:16" x14ac:dyDescent="0.2">
      <c r="A2077" s="3" t="s">
        <v>49</v>
      </c>
      <c r="B2077" s="3" t="s">
        <v>50</v>
      </c>
      <c r="C2077">
        <v>38</v>
      </c>
      <c r="D2077">
        <v>11000</v>
      </c>
      <c r="E2077">
        <v>499</v>
      </c>
      <c r="F2077">
        <v>1</v>
      </c>
      <c r="G2077">
        <v>44062.122210792702</v>
      </c>
      <c r="H2077">
        <v>2.4784699999999999E-4</v>
      </c>
      <c r="I2077">
        <v>2783</v>
      </c>
      <c r="J2077">
        <v>2758</v>
      </c>
      <c r="K2077">
        <v>25</v>
      </c>
      <c r="L2077">
        <v>500</v>
      </c>
      <c r="M2077">
        <v>499</v>
      </c>
      <c r="N2077">
        <v>1</v>
      </c>
      <c r="O2077">
        <v>34002.682788153201</v>
      </c>
      <c r="P2077">
        <v>0</v>
      </c>
    </row>
    <row r="2078" spans="1:16" x14ac:dyDescent="0.2">
      <c r="A2078" s="3" t="s">
        <v>49</v>
      </c>
      <c r="B2078" s="3" t="s">
        <v>50</v>
      </c>
      <c r="C2078">
        <v>30</v>
      </c>
      <c r="D2078">
        <v>11000</v>
      </c>
      <c r="E2078">
        <v>499</v>
      </c>
      <c r="F2078">
        <v>1</v>
      </c>
      <c r="G2078">
        <v>44062.122210792702</v>
      </c>
      <c r="H2078">
        <v>2.4766399999999998E-4</v>
      </c>
      <c r="I2078">
        <v>2762</v>
      </c>
      <c r="J2078">
        <v>2744</v>
      </c>
      <c r="K2078">
        <v>18</v>
      </c>
      <c r="L2078">
        <v>500</v>
      </c>
      <c r="M2078">
        <v>499</v>
      </c>
      <c r="N2078">
        <v>1</v>
      </c>
      <c r="O2078">
        <v>34059.3648301301</v>
      </c>
      <c r="P2078">
        <v>0</v>
      </c>
    </row>
    <row r="2079" spans="1:16" x14ac:dyDescent="0.2">
      <c r="A2079" s="3" t="s">
        <v>49</v>
      </c>
      <c r="B2079" s="3" t="s">
        <v>50</v>
      </c>
      <c r="C2079">
        <v>23</v>
      </c>
      <c r="D2079">
        <v>11000</v>
      </c>
      <c r="E2079">
        <v>499</v>
      </c>
      <c r="F2079">
        <v>1</v>
      </c>
      <c r="G2079">
        <v>44062.122210792702</v>
      </c>
      <c r="H2079">
        <v>2.4752699999999999E-4</v>
      </c>
      <c r="I2079">
        <v>2835</v>
      </c>
      <c r="J2079">
        <v>2812</v>
      </c>
      <c r="K2079">
        <v>23</v>
      </c>
      <c r="L2079">
        <v>500</v>
      </c>
      <c r="M2079">
        <v>499</v>
      </c>
      <c r="N2079">
        <v>1</v>
      </c>
      <c r="O2079">
        <v>33866.955179973302</v>
      </c>
      <c r="P2079">
        <v>0</v>
      </c>
    </row>
    <row r="2080" spans="1:16" x14ac:dyDescent="0.2">
      <c r="A2080" s="3" t="s">
        <v>49</v>
      </c>
      <c r="B2080" s="3" t="s">
        <v>50</v>
      </c>
      <c r="C2080">
        <v>3</v>
      </c>
      <c r="D2080">
        <v>10000</v>
      </c>
      <c r="E2080">
        <v>499</v>
      </c>
      <c r="F2080">
        <v>1</v>
      </c>
      <c r="G2080">
        <v>10000</v>
      </c>
      <c r="H2080">
        <v>2.4743500000000001E-4</v>
      </c>
      <c r="I2080">
        <v>2709</v>
      </c>
      <c r="J2080">
        <v>2694</v>
      </c>
      <c r="K2080">
        <v>15</v>
      </c>
      <c r="L2080">
        <v>500</v>
      </c>
      <c r="M2080">
        <v>499</v>
      </c>
      <c r="N2080">
        <v>1</v>
      </c>
      <c r="O2080">
        <v>7291</v>
      </c>
      <c r="P2080">
        <v>1</v>
      </c>
    </row>
    <row r="2081" spans="1:16" x14ac:dyDescent="0.2">
      <c r="A2081" s="3" t="s">
        <v>49</v>
      </c>
      <c r="B2081" s="3" t="s">
        <v>50</v>
      </c>
      <c r="C2081">
        <v>16</v>
      </c>
      <c r="D2081">
        <v>11000</v>
      </c>
      <c r="E2081">
        <v>499</v>
      </c>
      <c r="F2081">
        <v>1</v>
      </c>
      <c r="G2081">
        <v>44062.122210792702</v>
      </c>
      <c r="H2081">
        <v>2.47297E-4</v>
      </c>
      <c r="I2081">
        <v>2783</v>
      </c>
      <c r="J2081">
        <v>2765</v>
      </c>
      <c r="K2081">
        <v>18</v>
      </c>
      <c r="L2081">
        <v>500</v>
      </c>
      <c r="M2081">
        <v>499</v>
      </c>
      <c r="N2081">
        <v>1</v>
      </c>
      <c r="O2081">
        <v>33953.003650566301</v>
      </c>
      <c r="P2081">
        <v>0</v>
      </c>
    </row>
    <row r="2082" spans="1:16" x14ac:dyDescent="0.2">
      <c r="A2082" s="3" t="s">
        <v>49</v>
      </c>
      <c r="B2082" s="3" t="s">
        <v>50</v>
      </c>
      <c r="C2082">
        <v>24</v>
      </c>
      <c r="D2082">
        <v>11000</v>
      </c>
      <c r="E2082">
        <v>499</v>
      </c>
      <c r="F2082">
        <v>1</v>
      </c>
      <c r="G2082">
        <v>11000</v>
      </c>
      <c r="H2082">
        <v>2.46684E-4</v>
      </c>
      <c r="I2082">
        <v>2772</v>
      </c>
      <c r="J2082">
        <v>2758</v>
      </c>
      <c r="K2082">
        <v>14</v>
      </c>
      <c r="L2082">
        <v>500</v>
      </c>
      <c r="M2082">
        <v>499</v>
      </c>
      <c r="N2082">
        <v>1</v>
      </c>
      <c r="O2082">
        <v>8228</v>
      </c>
      <c r="P2082">
        <v>1</v>
      </c>
    </row>
    <row r="2083" spans="1:16" x14ac:dyDescent="0.2">
      <c r="A2083" s="3" t="s">
        <v>49</v>
      </c>
      <c r="B2083" s="3" t="s">
        <v>50</v>
      </c>
      <c r="C2083">
        <v>37</v>
      </c>
      <c r="D2083">
        <v>11000</v>
      </c>
      <c r="E2083">
        <v>499</v>
      </c>
      <c r="F2083">
        <v>1</v>
      </c>
      <c r="G2083">
        <v>44062.122210792702</v>
      </c>
      <c r="H2083">
        <v>2.4662000000000002E-4</v>
      </c>
      <c r="I2083">
        <v>2796</v>
      </c>
      <c r="J2083">
        <v>2778</v>
      </c>
      <c r="K2083">
        <v>18</v>
      </c>
      <c r="L2083">
        <v>500</v>
      </c>
      <c r="M2083">
        <v>499</v>
      </c>
      <c r="N2083">
        <v>1</v>
      </c>
      <c r="O2083">
        <v>33854.292965259803</v>
      </c>
      <c r="P2083">
        <v>0</v>
      </c>
    </row>
    <row r="2084" spans="1:16" x14ac:dyDescent="0.2">
      <c r="A2084" s="3" t="s">
        <v>49</v>
      </c>
      <c r="B2084" s="3" t="s">
        <v>50</v>
      </c>
      <c r="C2084">
        <v>11</v>
      </c>
      <c r="D2084">
        <v>11000</v>
      </c>
      <c r="E2084">
        <v>499</v>
      </c>
      <c r="F2084">
        <v>1</v>
      </c>
      <c r="G2084">
        <v>44062.122210792702</v>
      </c>
      <c r="H2084">
        <v>2.4594100000000001E-4</v>
      </c>
      <c r="I2084">
        <v>2744</v>
      </c>
      <c r="J2084">
        <v>2724</v>
      </c>
      <c r="K2084">
        <v>20</v>
      </c>
      <c r="L2084">
        <v>500</v>
      </c>
      <c r="M2084">
        <v>499</v>
      </c>
      <c r="N2084">
        <v>1</v>
      </c>
      <c r="O2084">
        <v>34092.844266517503</v>
      </c>
      <c r="P2084">
        <v>0</v>
      </c>
    </row>
    <row r="2085" spans="1:16" x14ac:dyDescent="0.2">
      <c r="A2085" s="3" t="s">
        <v>49</v>
      </c>
      <c r="B2085" s="3" t="s">
        <v>50</v>
      </c>
      <c r="C2085">
        <v>17</v>
      </c>
      <c r="D2085">
        <v>11000</v>
      </c>
      <c r="E2085">
        <v>499</v>
      </c>
      <c r="F2085">
        <v>1</v>
      </c>
      <c r="G2085">
        <v>11000</v>
      </c>
      <c r="H2085">
        <v>2.45758E-4</v>
      </c>
      <c r="I2085">
        <v>2765</v>
      </c>
      <c r="J2085">
        <v>2738</v>
      </c>
      <c r="K2085">
        <v>27</v>
      </c>
      <c r="L2085">
        <v>500</v>
      </c>
      <c r="M2085">
        <v>499</v>
      </c>
      <c r="N2085">
        <v>1</v>
      </c>
      <c r="O2085">
        <v>8235</v>
      </c>
      <c r="P2085">
        <v>1</v>
      </c>
    </row>
    <row r="2086" spans="1:16" x14ac:dyDescent="0.2">
      <c r="A2086" s="3" t="s">
        <v>49</v>
      </c>
      <c r="B2086" s="3" t="s">
        <v>50</v>
      </c>
      <c r="C2086">
        <v>4</v>
      </c>
      <c r="D2086">
        <v>11000</v>
      </c>
      <c r="E2086">
        <v>499</v>
      </c>
      <c r="F2086">
        <v>1</v>
      </c>
      <c r="G2086">
        <v>11000</v>
      </c>
      <c r="H2086">
        <v>2.4561100000000002E-4</v>
      </c>
      <c r="I2086">
        <v>2733</v>
      </c>
      <c r="J2086">
        <v>2715</v>
      </c>
      <c r="K2086">
        <v>18</v>
      </c>
      <c r="L2086">
        <v>500</v>
      </c>
      <c r="M2086">
        <v>499</v>
      </c>
      <c r="N2086">
        <v>1</v>
      </c>
      <c r="O2086">
        <v>8267</v>
      </c>
      <c r="P2086">
        <v>1</v>
      </c>
    </row>
    <row r="2087" spans="1:16" x14ac:dyDescent="0.2">
      <c r="A2087" s="3" t="s">
        <v>49</v>
      </c>
      <c r="B2087" s="3" t="s">
        <v>50</v>
      </c>
      <c r="C2087">
        <v>39</v>
      </c>
      <c r="D2087">
        <v>12000</v>
      </c>
      <c r="E2087">
        <v>499</v>
      </c>
      <c r="F2087">
        <v>1</v>
      </c>
      <c r="G2087">
        <v>12000</v>
      </c>
      <c r="H2087">
        <v>2.4535399999999998E-4</v>
      </c>
      <c r="I2087">
        <v>2771</v>
      </c>
      <c r="J2087">
        <v>2751</v>
      </c>
      <c r="K2087">
        <v>20</v>
      </c>
      <c r="L2087">
        <v>500</v>
      </c>
      <c r="M2087">
        <v>499</v>
      </c>
      <c r="N2087">
        <v>1</v>
      </c>
      <c r="O2087">
        <v>9229</v>
      </c>
      <c r="P2087">
        <v>1</v>
      </c>
    </row>
    <row r="2088" spans="1:16" x14ac:dyDescent="0.2">
      <c r="A2088" s="3" t="s">
        <v>49</v>
      </c>
      <c r="B2088" s="3" t="s">
        <v>50</v>
      </c>
      <c r="C2088">
        <v>14</v>
      </c>
      <c r="D2088">
        <v>11000</v>
      </c>
      <c r="E2088">
        <v>499</v>
      </c>
      <c r="F2088">
        <v>1</v>
      </c>
      <c r="G2088">
        <v>11000</v>
      </c>
      <c r="H2088">
        <v>2.4510599999999998E-4</v>
      </c>
      <c r="I2088">
        <v>2788</v>
      </c>
      <c r="J2088">
        <v>2762</v>
      </c>
      <c r="K2088">
        <v>26</v>
      </c>
      <c r="L2088">
        <v>500</v>
      </c>
      <c r="M2088">
        <v>499</v>
      </c>
      <c r="N2088">
        <v>1</v>
      </c>
      <c r="O2088">
        <v>8212</v>
      </c>
      <c r="P2088">
        <v>1</v>
      </c>
    </row>
    <row r="2089" spans="1:16" x14ac:dyDescent="0.2">
      <c r="A2089" s="3" t="s">
        <v>49</v>
      </c>
      <c r="B2089" s="3" t="s">
        <v>50</v>
      </c>
      <c r="C2089">
        <v>48</v>
      </c>
      <c r="D2089">
        <v>11000</v>
      </c>
      <c r="E2089">
        <v>499</v>
      </c>
      <c r="F2089">
        <v>1</v>
      </c>
      <c r="G2089">
        <v>44062.122210792702</v>
      </c>
      <c r="H2089">
        <v>2.4497800000000003E-4</v>
      </c>
      <c r="I2089">
        <v>2786</v>
      </c>
      <c r="J2089">
        <v>2766</v>
      </c>
      <c r="K2089">
        <v>20</v>
      </c>
      <c r="L2089">
        <v>500</v>
      </c>
      <c r="M2089">
        <v>499</v>
      </c>
      <c r="N2089">
        <v>1</v>
      </c>
      <c r="O2089">
        <v>33885.728756665798</v>
      </c>
      <c r="P2089">
        <v>0</v>
      </c>
    </row>
    <row r="2090" spans="1:16" x14ac:dyDescent="0.2">
      <c r="A2090" s="3" t="s">
        <v>49</v>
      </c>
      <c r="B2090" s="3" t="s">
        <v>50</v>
      </c>
      <c r="C2090">
        <v>50</v>
      </c>
      <c r="D2090">
        <v>10000</v>
      </c>
      <c r="E2090">
        <v>499</v>
      </c>
      <c r="F2090">
        <v>1</v>
      </c>
      <c r="G2090">
        <v>39482.677260513999</v>
      </c>
      <c r="H2090">
        <v>2.4489599999999998E-4</v>
      </c>
      <c r="I2090">
        <v>2681</v>
      </c>
      <c r="J2090">
        <v>2663</v>
      </c>
      <c r="K2090">
        <v>18</v>
      </c>
      <c r="L2090">
        <v>500</v>
      </c>
      <c r="M2090">
        <v>499</v>
      </c>
      <c r="N2090">
        <v>1</v>
      </c>
      <c r="O2090">
        <v>29869.747022541302</v>
      </c>
      <c r="P2090">
        <v>0</v>
      </c>
    </row>
    <row r="2091" spans="1:16" x14ac:dyDescent="0.2">
      <c r="A2091" s="3" t="s">
        <v>49</v>
      </c>
      <c r="B2091" s="3" t="s">
        <v>50</v>
      </c>
      <c r="C2091">
        <v>21</v>
      </c>
      <c r="D2091">
        <v>11000</v>
      </c>
      <c r="E2091">
        <v>499</v>
      </c>
      <c r="F2091">
        <v>1</v>
      </c>
      <c r="G2091">
        <v>11000</v>
      </c>
      <c r="H2091">
        <v>2.4475799999999998E-4</v>
      </c>
      <c r="I2091">
        <v>2781</v>
      </c>
      <c r="J2091">
        <v>2757</v>
      </c>
      <c r="K2091">
        <v>24</v>
      </c>
      <c r="L2091">
        <v>500</v>
      </c>
      <c r="M2091">
        <v>499</v>
      </c>
      <c r="N2091">
        <v>1</v>
      </c>
      <c r="O2091">
        <v>8219</v>
      </c>
      <c r="P2091">
        <v>1</v>
      </c>
    </row>
    <row r="2092" spans="1:16" x14ac:dyDescent="0.2">
      <c r="A2092" s="3" t="s">
        <v>49</v>
      </c>
      <c r="B2092" s="3" t="s">
        <v>50</v>
      </c>
      <c r="C2092">
        <v>3</v>
      </c>
      <c r="D2092">
        <v>11000</v>
      </c>
      <c r="E2092">
        <v>499</v>
      </c>
      <c r="F2092">
        <v>1</v>
      </c>
      <c r="G2092">
        <v>44062.122210792702</v>
      </c>
      <c r="H2092">
        <v>2.4474000000000002E-4</v>
      </c>
      <c r="I2092">
        <v>2794</v>
      </c>
      <c r="J2092">
        <v>2772</v>
      </c>
      <c r="K2092">
        <v>22</v>
      </c>
      <c r="L2092">
        <v>500</v>
      </c>
      <c r="M2092">
        <v>499</v>
      </c>
      <c r="N2092">
        <v>1</v>
      </c>
      <c r="O2092">
        <v>33917.359806406901</v>
      </c>
      <c r="P2092">
        <v>0</v>
      </c>
    </row>
    <row r="2093" spans="1:16" x14ac:dyDescent="0.2">
      <c r="A2093" s="3" t="s">
        <v>49</v>
      </c>
      <c r="B2093" s="3" t="s">
        <v>50</v>
      </c>
      <c r="C2093">
        <v>42</v>
      </c>
      <c r="D2093">
        <v>10000</v>
      </c>
      <c r="E2093">
        <v>499</v>
      </c>
      <c r="F2093">
        <v>1</v>
      </c>
      <c r="G2093">
        <v>10000</v>
      </c>
      <c r="H2093">
        <v>2.4459299999999998E-4</v>
      </c>
      <c r="I2093">
        <v>2686</v>
      </c>
      <c r="J2093">
        <v>2664</v>
      </c>
      <c r="K2093">
        <v>22</v>
      </c>
      <c r="L2093">
        <v>500</v>
      </c>
      <c r="M2093">
        <v>499</v>
      </c>
      <c r="N2093">
        <v>1</v>
      </c>
      <c r="O2093">
        <v>7314</v>
      </c>
      <c r="P2093">
        <v>1</v>
      </c>
    </row>
    <row r="2094" spans="1:16" x14ac:dyDescent="0.2">
      <c r="A2094" s="3" t="s">
        <v>49</v>
      </c>
      <c r="B2094" s="3" t="s">
        <v>50</v>
      </c>
      <c r="C2094">
        <v>9</v>
      </c>
      <c r="D2094">
        <v>11000</v>
      </c>
      <c r="E2094">
        <v>499</v>
      </c>
      <c r="F2094">
        <v>1</v>
      </c>
      <c r="G2094">
        <v>44062.122210792702</v>
      </c>
      <c r="H2094">
        <v>2.4445599999999999E-4</v>
      </c>
      <c r="I2094">
        <v>2800</v>
      </c>
      <c r="J2094">
        <v>2781</v>
      </c>
      <c r="K2094">
        <v>19</v>
      </c>
      <c r="L2094">
        <v>500</v>
      </c>
      <c r="M2094">
        <v>499</v>
      </c>
      <c r="N2094">
        <v>1</v>
      </c>
      <c r="O2094">
        <v>33939.867964431804</v>
      </c>
      <c r="P2094">
        <v>0</v>
      </c>
    </row>
    <row r="2095" spans="1:16" x14ac:dyDescent="0.2">
      <c r="A2095" s="3" t="s">
        <v>49</v>
      </c>
      <c r="B2095" s="3" t="s">
        <v>50</v>
      </c>
      <c r="C2095">
        <v>4</v>
      </c>
      <c r="D2095">
        <v>11000</v>
      </c>
      <c r="E2095">
        <v>499</v>
      </c>
      <c r="F2095">
        <v>1</v>
      </c>
      <c r="G2095">
        <v>44062.122210792702</v>
      </c>
      <c r="H2095">
        <v>2.4427200000000002E-4</v>
      </c>
      <c r="I2095">
        <v>2780</v>
      </c>
      <c r="J2095">
        <v>2763</v>
      </c>
      <c r="K2095">
        <v>17</v>
      </c>
      <c r="L2095">
        <v>500</v>
      </c>
      <c r="M2095">
        <v>499</v>
      </c>
      <c r="N2095">
        <v>1</v>
      </c>
      <c r="O2095">
        <v>34015.575636298199</v>
      </c>
      <c r="P2095">
        <v>0</v>
      </c>
    </row>
    <row r="2096" spans="1:16" x14ac:dyDescent="0.2">
      <c r="A2096" s="3" t="s">
        <v>49</v>
      </c>
      <c r="B2096" s="3" t="s">
        <v>50</v>
      </c>
      <c r="C2096">
        <v>31</v>
      </c>
      <c r="D2096">
        <v>11000</v>
      </c>
      <c r="E2096">
        <v>499</v>
      </c>
      <c r="F2096">
        <v>1</v>
      </c>
      <c r="G2096">
        <v>44062.122210792702</v>
      </c>
      <c r="H2096">
        <v>2.44171E-4</v>
      </c>
      <c r="I2096">
        <v>2809</v>
      </c>
      <c r="J2096">
        <v>2786</v>
      </c>
      <c r="K2096">
        <v>23</v>
      </c>
      <c r="L2096">
        <v>500</v>
      </c>
      <c r="M2096">
        <v>499</v>
      </c>
      <c r="N2096">
        <v>1</v>
      </c>
      <c r="O2096">
        <v>33850.647457402003</v>
      </c>
      <c r="P2096">
        <v>0</v>
      </c>
    </row>
    <row r="2097" spans="1:16" x14ac:dyDescent="0.2">
      <c r="A2097" s="3" t="s">
        <v>49</v>
      </c>
      <c r="B2097" s="3" t="s">
        <v>50</v>
      </c>
      <c r="C2097">
        <v>35</v>
      </c>
      <c r="D2097">
        <v>11000</v>
      </c>
      <c r="E2097">
        <v>499</v>
      </c>
      <c r="F2097">
        <v>1</v>
      </c>
      <c r="G2097">
        <v>11000</v>
      </c>
      <c r="H2097">
        <v>2.4384100000000001E-4</v>
      </c>
      <c r="I2097">
        <v>2793</v>
      </c>
      <c r="J2097">
        <v>2774</v>
      </c>
      <c r="K2097">
        <v>19</v>
      </c>
      <c r="L2097">
        <v>500</v>
      </c>
      <c r="M2097">
        <v>499</v>
      </c>
      <c r="N2097">
        <v>1</v>
      </c>
      <c r="O2097">
        <v>8207</v>
      </c>
      <c r="P2097">
        <v>1</v>
      </c>
    </row>
    <row r="2098" spans="1:16" x14ac:dyDescent="0.2">
      <c r="A2098" s="3" t="s">
        <v>49</v>
      </c>
      <c r="B2098" s="3" t="s">
        <v>50</v>
      </c>
      <c r="C2098">
        <v>25</v>
      </c>
      <c r="D2098">
        <v>11000</v>
      </c>
      <c r="E2098">
        <v>499</v>
      </c>
      <c r="F2098">
        <v>1</v>
      </c>
      <c r="G2098">
        <v>11000</v>
      </c>
      <c r="H2098">
        <v>2.4349300000000001E-4</v>
      </c>
      <c r="I2098">
        <v>2781</v>
      </c>
      <c r="J2098">
        <v>2761</v>
      </c>
      <c r="K2098">
        <v>20</v>
      </c>
      <c r="L2098">
        <v>500</v>
      </c>
      <c r="M2098">
        <v>499</v>
      </c>
      <c r="N2098">
        <v>1</v>
      </c>
      <c r="O2098">
        <v>8219</v>
      </c>
      <c r="P2098">
        <v>1</v>
      </c>
    </row>
    <row r="2099" spans="1:16" x14ac:dyDescent="0.2">
      <c r="A2099" s="3" t="s">
        <v>49</v>
      </c>
      <c r="B2099" s="3" t="s">
        <v>50</v>
      </c>
      <c r="C2099">
        <v>37</v>
      </c>
      <c r="D2099">
        <v>11000</v>
      </c>
      <c r="E2099">
        <v>499</v>
      </c>
      <c r="F2099">
        <v>1</v>
      </c>
      <c r="G2099">
        <v>11000</v>
      </c>
      <c r="H2099">
        <v>2.4342E-4</v>
      </c>
      <c r="I2099">
        <v>2810</v>
      </c>
      <c r="J2099">
        <v>2781</v>
      </c>
      <c r="K2099">
        <v>29</v>
      </c>
      <c r="L2099">
        <v>500</v>
      </c>
      <c r="M2099">
        <v>499</v>
      </c>
      <c r="N2099">
        <v>1</v>
      </c>
      <c r="O2099">
        <v>8190</v>
      </c>
      <c r="P2099">
        <v>1</v>
      </c>
    </row>
    <row r="2100" spans="1:16" x14ac:dyDescent="0.2">
      <c r="A2100" s="3" t="s">
        <v>49</v>
      </c>
      <c r="B2100" s="3" t="s">
        <v>50</v>
      </c>
      <c r="C2100">
        <v>20</v>
      </c>
      <c r="D2100">
        <v>11000</v>
      </c>
      <c r="E2100">
        <v>499</v>
      </c>
      <c r="F2100">
        <v>1</v>
      </c>
      <c r="G2100">
        <v>44062.122210792702</v>
      </c>
      <c r="H2100">
        <v>2.432E-4</v>
      </c>
      <c r="I2100">
        <v>2829</v>
      </c>
      <c r="J2100">
        <v>2802</v>
      </c>
      <c r="K2100">
        <v>27</v>
      </c>
      <c r="L2100">
        <v>500</v>
      </c>
      <c r="M2100">
        <v>499</v>
      </c>
      <c r="N2100">
        <v>1</v>
      </c>
      <c r="O2100">
        <v>33815.027609306198</v>
      </c>
      <c r="P2100">
        <v>0</v>
      </c>
    </row>
    <row r="2101" spans="1:16" x14ac:dyDescent="0.2">
      <c r="A2101" s="3" t="s">
        <v>49</v>
      </c>
      <c r="B2101" s="3" t="s">
        <v>50</v>
      </c>
      <c r="C2101">
        <v>46</v>
      </c>
      <c r="D2101">
        <v>11000</v>
      </c>
      <c r="E2101">
        <v>499</v>
      </c>
      <c r="F2101">
        <v>1</v>
      </c>
      <c r="G2101">
        <v>11000</v>
      </c>
      <c r="H2101">
        <v>2.42907E-4</v>
      </c>
      <c r="I2101">
        <v>2781</v>
      </c>
      <c r="J2101">
        <v>2758</v>
      </c>
      <c r="K2101">
        <v>23</v>
      </c>
      <c r="L2101">
        <v>500</v>
      </c>
      <c r="M2101">
        <v>499</v>
      </c>
      <c r="N2101">
        <v>1</v>
      </c>
      <c r="O2101">
        <v>8219</v>
      </c>
      <c r="P2101">
        <v>1</v>
      </c>
    </row>
    <row r="2102" spans="1:16" x14ac:dyDescent="0.2">
      <c r="A2102" s="3" t="s">
        <v>49</v>
      </c>
      <c r="B2102" s="3" t="s">
        <v>50</v>
      </c>
      <c r="C2102">
        <v>17</v>
      </c>
      <c r="D2102">
        <v>10000</v>
      </c>
      <c r="E2102">
        <v>499</v>
      </c>
      <c r="F2102">
        <v>1</v>
      </c>
      <c r="G2102">
        <v>39482.677260513999</v>
      </c>
      <c r="H2102">
        <v>2.4271399999999999E-4</v>
      </c>
      <c r="I2102">
        <v>2740</v>
      </c>
      <c r="J2102">
        <v>2718</v>
      </c>
      <c r="K2102">
        <v>22</v>
      </c>
      <c r="L2102">
        <v>500</v>
      </c>
      <c r="M2102">
        <v>499</v>
      </c>
      <c r="N2102">
        <v>1</v>
      </c>
      <c r="O2102">
        <v>29713.9709841484</v>
      </c>
      <c r="P2102">
        <v>0</v>
      </c>
    </row>
    <row r="2103" spans="1:16" x14ac:dyDescent="0.2">
      <c r="A2103" s="3" t="s">
        <v>49</v>
      </c>
      <c r="B2103" s="3" t="s">
        <v>50</v>
      </c>
      <c r="C2103">
        <v>25</v>
      </c>
      <c r="D2103">
        <v>10000</v>
      </c>
      <c r="E2103">
        <v>499</v>
      </c>
      <c r="F2103">
        <v>1</v>
      </c>
      <c r="G2103">
        <v>10000</v>
      </c>
      <c r="H2103">
        <v>2.4241200000000001E-4</v>
      </c>
      <c r="I2103">
        <v>2728</v>
      </c>
      <c r="J2103">
        <v>2711</v>
      </c>
      <c r="K2103">
        <v>17</v>
      </c>
      <c r="L2103">
        <v>500</v>
      </c>
      <c r="M2103">
        <v>499</v>
      </c>
      <c r="N2103">
        <v>1</v>
      </c>
      <c r="O2103">
        <v>7272</v>
      </c>
      <c r="P2103">
        <v>1</v>
      </c>
    </row>
    <row r="2104" spans="1:16" x14ac:dyDescent="0.2">
      <c r="A2104" s="3" t="s">
        <v>49</v>
      </c>
      <c r="B2104" s="3" t="s">
        <v>50</v>
      </c>
      <c r="C2104">
        <v>24</v>
      </c>
      <c r="D2104">
        <v>10000</v>
      </c>
      <c r="E2104">
        <v>499</v>
      </c>
      <c r="F2104">
        <v>1</v>
      </c>
      <c r="G2104">
        <v>39482.677260513999</v>
      </c>
      <c r="H2104">
        <v>2.4189E-4</v>
      </c>
      <c r="I2104">
        <v>2705</v>
      </c>
      <c r="J2104">
        <v>2686</v>
      </c>
      <c r="K2104">
        <v>19</v>
      </c>
      <c r="L2104">
        <v>500</v>
      </c>
      <c r="M2104">
        <v>499</v>
      </c>
      <c r="N2104">
        <v>1</v>
      </c>
      <c r="O2104">
        <v>29818.8363227837</v>
      </c>
      <c r="P2104">
        <v>0</v>
      </c>
    </row>
    <row r="2105" spans="1:16" x14ac:dyDescent="0.2">
      <c r="A2105" s="3" t="s">
        <v>49</v>
      </c>
      <c r="B2105" s="3" t="s">
        <v>50</v>
      </c>
      <c r="C2105">
        <v>17</v>
      </c>
      <c r="D2105">
        <v>11000</v>
      </c>
      <c r="E2105">
        <v>499</v>
      </c>
      <c r="F2105">
        <v>1</v>
      </c>
      <c r="G2105">
        <v>44062.122210792702</v>
      </c>
      <c r="H2105">
        <v>2.41752E-4</v>
      </c>
      <c r="I2105">
        <v>2799</v>
      </c>
      <c r="J2105">
        <v>2776</v>
      </c>
      <c r="K2105">
        <v>23</v>
      </c>
      <c r="L2105">
        <v>500</v>
      </c>
      <c r="M2105">
        <v>499</v>
      </c>
      <c r="N2105">
        <v>1</v>
      </c>
      <c r="O2105">
        <v>33900.603490325899</v>
      </c>
      <c r="P2105">
        <v>0</v>
      </c>
    </row>
    <row r="2106" spans="1:16" x14ac:dyDescent="0.2">
      <c r="A2106" s="3" t="s">
        <v>49</v>
      </c>
      <c r="B2106" s="3" t="s">
        <v>50</v>
      </c>
      <c r="C2106">
        <v>33</v>
      </c>
      <c r="D2106">
        <v>10000</v>
      </c>
      <c r="E2106">
        <v>499</v>
      </c>
      <c r="F2106">
        <v>1</v>
      </c>
      <c r="G2106">
        <v>39482.677260513999</v>
      </c>
      <c r="H2106">
        <v>2.4132E-4</v>
      </c>
      <c r="I2106">
        <v>2729</v>
      </c>
      <c r="J2106">
        <v>2718</v>
      </c>
      <c r="K2106">
        <v>11</v>
      </c>
      <c r="L2106">
        <v>500</v>
      </c>
      <c r="M2106">
        <v>499</v>
      </c>
      <c r="N2106">
        <v>1</v>
      </c>
      <c r="O2106">
        <v>29725.2481039251</v>
      </c>
      <c r="P2106">
        <v>0</v>
      </c>
    </row>
    <row r="2107" spans="1:16" x14ac:dyDescent="0.2">
      <c r="A2107" s="3" t="s">
        <v>49</v>
      </c>
      <c r="B2107" s="3" t="s">
        <v>50</v>
      </c>
      <c r="C2107">
        <v>25</v>
      </c>
      <c r="D2107">
        <v>11000</v>
      </c>
      <c r="E2107">
        <v>499</v>
      </c>
      <c r="F2107">
        <v>1</v>
      </c>
      <c r="G2107">
        <v>44062.122210792702</v>
      </c>
      <c r="H2107">
        <v>2.41239E-4</v>
      </c>
      <c r="I2107">
        <v>2774</v>
      </c>
      <c r="J2107">
        <v>2763</v>
      </c>
      <c r="K2107">
        <v>11</v>
      </c>
      <c r="L2107">
        <v>500</v>
      </c>
      <c r="M2107">
        <v>499</v>
      </c>
      <c r="N2107">
        <v>1</v>
      </c>
      <c r="O2107">
        <v>33963.122255433998</v>
      </c>
      <c r="P2107">
        <v>0</v>
      </c>
    </row>
    <row r="2108" spans="1:16" x14ac:dyDescent="0.2">
      <c r="A2108" s="3" t="s">
        <v>49</v>
      </c>
      <c r="B2108" s="3" t="s">
        <v>50</v>
      </c>
      <c r="C2108">
        <v>6</v>
      </c>
      <c r="D2108">
        <v>11000</v>
      </c>
      <c r="E2108">
        <v>499</v>
      </c>
      <c r="F2108">
        <v>1</v>
      </c>
      <c r="G2108">
        <v>11000</v>
      </c>
      <c r="H2108">
        <v>2.4117400000000001E-4</v>
      </c>
      <c r="I2108">
        <v>2758</v>
      </c>
      <c r="J2108">
        <v>2733</v>
      </c>
      <c r="K2108">
        <v>25</v>
      </c>
      <c r="L2108">
        <v>500</v>
      </c>
      <c r="M2108">
        <v>499</v>
      </c>
      <c r="N2108">
        <v>1</v>
      </c>
      <c r="O2108">
        <v>8242</v>
      </c>
      <c r="P2108">
        <v>1</v>
      </c>
    </row>
    <row r="2109" spans="1:16" x14ac:dyDescent="0.2">
      <c r="A2109" s="3" t="s">
        <v>49</v>
      </c>
      <c r="B2109" s="3" t="s">
        <v>50</v>
      </c>
      <c r="C2109">
        <v>43</v>
      </c>
      <c r="D2109">
        <v>11000</v>
      </c>
      <c r="E2109">
        <v>499</v>
      </c>
      <c r="F2109">
        <v>1</v>
      </c>
      <c r="G2109">
        <v>44062.122210792702</v>
      </c>
      <c r="H2109">
        <v>2.41046E-4</v>
      </c>
      <c r="I2109">
        <v>2782</v>
      </c>
      <c r="J2109">
        <v>2764</v>
      </c>
      <c r="K2109">
        <v>18</v>
      </c>
      <c r="L2109">
        <v>500</v>
      </c>
      <c r="M2109">
        <v>499</v>
      </c>
      <c r="N2109">
        <v>1</v>
      </c>
      <c r="O2109">
        <v>33928.402618576103</v>
      </c>
      <c r="P2109">
        <v>0</v>
      </c>
    </row>
    <row r="2110" spans="1:16" x14ac:dyDescent="0.2">
      <c r="A2110" s="3" t="s">
        <v>49</v>
      </c>
      <c r="B2110" s="3" t="s">
        <v>50</v>
      </c>
      <c r="C2110">
        <v>39</v>
      </c>
      <c r="D2110">
        <v>11000</v>
      </c>
      <c r="E2110">
        <v>499</v>
      </c>
      <c r="F2110">
        <v>1</v>
      </c>
      <c r="G2110">
        <v>11000</v>
      </c>
      <c r="H2110">
        <v>2.4085299999999999E-4</v>
      </c>
      <c r="I2110">
        <v>2768</v>
      </c>
      <c r="J2110">
        <v>2746</v>
      </c>
      <c r="K2110">
        <v>22</v>
      </c>
      <c r="L2110">
        <v>500</v>
      </c>
      <c r="M2110">
        <v>499</v>
      </c>
      <c r="N2110">
        <v>1</v>
      </c>
      <c r="O2110">
        <v>8232</v>
      </c>
      <c r="P2110">
        <v>1</v>
      </c>
    </row>
    <row r="2111" spans="1:16" x14ac:dyDescent="0.2">
      <c r="A2111" s="3" t="s">
        <v>49</v>
      </c>
      <c r="B2111" s="3" t="s">
        <v>50</v>
      </c>
      <c r="C2111">
        <v>25</v>
      </c>
      <c r="D2111">
        <v>10000</v>
      </c>
      <c r="E2111">
        <v>499</v>
      </c>
      <c r="F2111">
        <v>1</v>
      </c>
      <c r="G2111">
        <v>39482.677260513999</v>
      </c>
      <c r="H2111">
        <v>2.40817E-4</v>
      </c>
      <c r="I2111">
        <v>2745</v>
      </c>
      <c r="J2111">
        <v>2723</v>
      </c>
      <c r="K2111">
        <v>22</v>
      </c>
      <c r="L2111">
        <v>500</v>
      </c>
      <c r="M2111">
        <v>499</v>
      </c>
      <c r="N2111">
        <v>1</v>
      </c>
      <c r="O2111">
        <v>29689.933094983699</v>
      </c>
      <c r="P2111">
        <v>0</v>
      </c>
    </row>
    <row r="2112" spans="1:16" x14ac:dyDescent="0.2">
      <c r="A2112" s="3" t="s">
        <v>49</v>
      </c>
      <c r="B2112" s="3" t="s">
        <v>50</v>
      </c>
      <c r="C2112">
        <v>27</v>
      </c>
      <c r="D2112">
        <v>11000</v>
      </c>
      <c r="E2112">
        <v>499</v>
      </c>
      <c r="F2112">
        <v>1</v>
      </c>
      <c r="G2112">
        <v>44062.122210792702</v>
      </c>
      <c r="H2112">
        <v>2.40762E-4</v>
      </c>
      <c r="I2112">
        <v>2785</v>
      </c>
      <c r="J2112">
        <v>2765</v>
      </c>
      <c r="K2112">
        <v>20</v>
      </c>
      <c r="L2112">
        <v>500</v>
      </c>
      <c r="M2112">
        <v>499</v>
      </c>
      <c r="N2112">
        <v>1</v>
      </c>
      <c r="O2112">
        <v>34011.756301174901</v>
      </c>
      <c r="P2112">
        <v>0</v>
      </c>
    </row>
    <row r="2113" spans="1:16" x14ac:dyDescent="0.2">
      <c r="A2113" s="3" t="s">
        <v>49</v>
      </c>
      <c r="B2113" s="3" t="s">
        <v>50</v>
      </c>
      <c r="C2113">
        <v>18</v>
      </c>
      <c r="D2113">
        <v>11000</v>
      </c>
      <c r="E2113">
        <v>499</v>
      </c>
      <c r="F2113">
        <v>1</v>
      </c>
      <c r="G2113">
        <v>44062.122210792702</v>
      </c>
      <c r="H2113">
        <v>2.40413E-4</v>
      </c>
      <c r="I2113">
        <v>2768</v>
      </c>
      <c r="J2113">
        <v>2751</v>
      </c>
      <c r="K2113">
        <v>17</v>
      </c>
      <c r="L2113">
        <v>500</v>
      </c>
      <c r="M2113">
        <v>499</v>
      </c>
      <c r="N2113">
        <v>1</v>
      </c>
      <c r="O2113">
        <v>33995.3630868607</v>
      </c>
      <c r="P2113">
        <v>0</v>
      </c>
    </row>
    <row r="2114" spans="1:16" x14ac:dyDescent="0.2">
      <c r="A2114" s="3" t="s">
        <v>49</v>
      </c>
      <c r="B2114" s="3" t="s">
        <v>50</v>
      </c>
      <c r="C2114">
        <v>8</v>
      </c>
      <c r="D2114">
        <v>11000</v>
      </c>
      <c r="E2114">
        <v>499</v>
      </c>
      <c r="F2114">
        <v>1</v>
      </c>
      <c r="G2114">
        <v>44062.122210792702</v>
      </c>
      <c r="H2114">
        <v>2.4039499999999999E-4</v>
      </c>
      <c r="I2114">
        <v>2776</v>
      </c>
      <c r="J2114">
        <v>2754</v>
      </c>
      <c r="K2114">
        <v>22</v>
      </c>
      <c r="L2114">
        <v>500</v>
      </c>
      <c r="M2114">
        <v>499</v>
      </c>
      <c r="N2114">
        <v>1</v>
      </c>
      <c r="O2114">
        <v>34047.970934186298</v>
      </c>
      <c r="P2114">
        <v>0</v>
      </c>
    </row>
    <row r="2115" spans="1:16" x14ac:dyDescent="0.2">
      <c r="A2115" s="3" t="s">
        <v>49</v>
      </c>
      <c r="B2115" s="3" t="s">
        <v>50</v>
      </c>
      <c r="C2115">
        <v>41</v>
      </c>
      <c r="D2115">
        <v>11000</v>
      </c>
      <c r="E2115">
        <v>499</v>
      </c>
      <c r="F2115">
        <v>1</v>
      </c>
      <c r="G2115">
        <v>11000</v>
      </c>
      <c r="H2115">
        <v>2.4033999999999999E-4</v>
      </c>
      <c r="I2115">
        <v>2787</v>
      </c>
      <c r="J2115">
        <v>2764</v>
      </c>
      <c r="K2115">
        <v>23</v>
      </c>
      <c r="L2115">
        <v>500</v>
      </c>
      <c r="M2115">
        <v>499</v>
      </c>
      <c r="N2115">
        <v>1</v>
      </c>
      <c r="O2115">
        <v>8213</v>
      </c>
      <c r="P2115">
        <v>1</v>
      </c>
    </row>
    <row r="2116" spans="1:16" x14ac:dyDescent="0.2">
      <c r="A2116" s="3" t="s">
        <v>49</v>
      </c>
      <c r="B2116" s="3" t="s">
        <v>50</v>
      </c>
      <c r="C2116">
        <v>12</v>
      </c>
      <c r="D2116">
        <v>11000</v>
      </c>
      <c r="E2116">
        <v>499</v>
      </c>
      <c r="F2116">
        <v>1</v>
      </c>
      <c r="G2116">
        <v>44062.122210792702</v>
      </c>
      <c r="H2116">
        <v>2.4027599999999999E-4</v>
      </c>
      <c r="I2116">
        <v>2758</v>
      </c>
      <c r="J2116">
        <v>2732</v>
      </c>
      <c r="K2116">
        <v>26</v>
      </c>
      <c r="L2116">
        <v>500</v>
      </c>
      <c r="M2116">
        <v>499</v>
      </c>
      <c r="N2116">
        <v>1</v>
      </c>
      <c r="O2116">
        <v>34024.366228393497</v>
      </c>
      <c r="P2116">
        <v>0</v>
      </c>
    </row>
    <row r="2117" spans="1:16" x14ac:dyDescent="0.2">
      <c r="A2117" s="3" t="s">
        <v>49</v>
      </c>
      <c r="B2117" s="3" t="s">
        <v>50</v>
      </c>
      <c r="C2117">
        <v>2</v>
      </c>
      <c r="D2117">
        <v>11000</v>
      </c>
      <c r="E2117">
        <v>499</v>
      </c>
      <c r="F2117">
        <v>1</v>
      </c>
      <c r="G2117">
        <v>44062.122210792702</v>
      </c>
      <c r="H2117">
        <v>2.4016599999999999E-4</v>
      </c>
      <c r="I2117">
        <v>2745</v>
      </c>
      <c r="J2117">
        <v>2727</v>
      </c>
      <c r="K2117">
        <v>18</v>
      </c>
      <c r="L2117">
        <v>500</v>
      </c>
      <c r="M2117">
        <v>499</v>
      </c>
      <c r="N2117">
        <v>1</v>
      </c>
      <c r="O2117">
        <v>34144.875933613599</v>
      </c>
      <c r="P2117">
        <v>0</v>
      </c>
    </row>
    <row r="2118" spans="1:16" x14ac:dyDescent="0.2">
      <c r="A2118" s="3" t="s">
        <v>49</v>
      </c>
      <c r="B2118" s="3" t="s">
        <v>50</v>
      </c>
      <c r="C2118">
        <v>26</v>
      </c>
      <c r="D2118">
        <v>11000</v>
      </c>
      <c r="E2118">
        <v>499</v>
      </c>
      <c r="F2118">
        <v>1</v>
      </c>
      <c r="G2118">
        <v>44062.122210792702</v>
      </c>
      <c r="H2118">
        <v>2.3993699999999999E-4</v>
      </c>
      <c r="I2118">
        <v>2776</v>
      </c>
      <c r="J2118">
        <v>2759</v>
      </c>
      <c r="K2118">
        <v>17</v>
      </c>
      <c r="L2118">
        <v>500</v>
      </c>
      <c r="M2118">
        <v>499</v>
      </c>
      <c r="N2118">
        <v>1</v>
      </c>
      <c r="O2118">
        <v>33916.764750466697</v>
      </c>
      <c r="P2118">
        <v>0</v>
      </c>
    </row>
    <row r="2119" spans="1:16" x14ac:dyDescent="0.2">
      <c r="A2119" s="3" t="s">
        <v>49</v>
      </c>
      <c r="B2119" s="3" t="s">
        <v>50</v>
      </c>
      <c r="C2119">
        <v>31</v>
      </c>
      <c r="D2119">
        <v>11000</v>
      </c>
      <c r="E2119">
        <v>499</v>
      </c>
      <c r="F2119">
        <v>1</v>
      </c>
      <c r="G2119">
        <v>11000</v>
      </c>
      <c r="H2119">
        <v>2.3989000000000001E-4</v>
      </c>
      <c r="I2119">
        <v>2783</v>
      </c>
      <c r="J2119">
        <v>2764</v>
      </c>
      <c r="K2119">
        <v>19</v>
      </c>
      <c r="L2119">
        <v>500</v>
      </c>
      <c r="M2119">
        <v>499</v>
      </c>
      <c r="N2119">
        <v>1</v>
      </c>
      <c r="O2119">
        <v>8217</v>
      </c>
      <c r="P2119">
        <v>1</v>
      </c>
    </row>
    <row r="2120" spans="1:16" x14ac:dyDescent="0.2">
      <c r="A2120" s="3" t="s">
        <v>49</v>
      </c>
      <c r="B2120" s="3" t="s">
        <v>50</v>
      </c>
      <c r="C2120">
        <v>26</v>
      </c>
      <c r="D2120">
        <v>11000</v>
      </c>
      <c r="E2120">
        <v>499</v>
      </c>
      <c r="F2120">
        <v>1</v>
      </c>
      <c r="G2120">
        <v>11000</v>
      </c>
      <c r="H2120">
        <v>2.39836E-4</v>
      </c>
      <c r="I2120">
        <v>2777</v>
      </c>
      <c r="J2120">
        <v>2758</v>
      </c>
      <c r="K2120">
        <v>19</v>
      </c>
      <c r="L2120">
        <v>500</v>
      </c>
      <c r="M2120">
        <v>499</v>
      </c>
      <c r="N2120">
        <v>1</v>
      </c>
      <c r="O2120">
        <v>8223</v>
      </c>
      <c r="P2120">
        <v>1</v>
      </c>
    </row>
    <row r="2121" spans="1:16" x14ac:dyDescent="0.2">
      <c r="A2121" s="3" t="s">
        <v>49</v>
      </c>
      <c r="B2121" s="3" t="s">
        <v>50</v>
      </c>
      <c r="C2121">
        <v>38</v>
      </c>
      <c r="D2121">
        <v>11000</v>
      </c>
      <c r="E2121">
        <v>499</v>
      </c>
      <c r="F2121">
        <v>1</v>
      </c>
      <c r="G2121">
        <v>11000</v>
      </c>
      <c r="H2121">
        <v>2.3970799999999999E-4</v>
      </c>
      <c r="I2121">
        <v>2792</v>
      </c>
      <c r="J2121">
        <v>2774</v>
      </c>
      <c r="K2121">
        <v>18</v>
      </c>
      <c r="L2121">
        <v>500</v>
      </c>
      <c r="M2121">
        <v>499</v>
      </c>
      <c r="N2121">
        <v>1</v>
      </c>
      <c r="O2121">
        <v>8208</v>
      </c>
      <c r="P2121">
        <v>1</v>
      </c>
    </row>
    <row r="2122" spans="1:16" x14ac:dyDescent="0.2">
      <c r="A2122" s="3" t="s">
        <v>49</v>
      </c>
      <c r="B2122" s="3" t="s">
        <v>50</v>
      </c>
      <c r="C2122">
        <v>19</v>
      </c>
      <c r="D2122">
        <v>11000</v>
      </c>
      <c r="E2122">
        <v>499</v>
      </c>
      <c r="F2122">
        <v>1</v>
      </c>
      <c r="G2122">
        <v>11000</v>
      </c>
      <c r="H2122">
        <v>2.3947899999999999E-4</v>
      </c>
      <c r="I2122">
        <v>2803</v>
      </c>
      <c r="J2122">
        <v>2770</v>
      </c>
      <c r="K2122">
        <v>33</v>
      </c>
      <c r="L2122">
        <v>500</v>
      </c>
      <c r="M2122">
        <v>499</v>
      </c>
      <c r="N2122">
        <v>1</v>
      </c>
      <c r="O2122">
        <v>8197</v>
      </c>
      <c r="P2122">
        <v>1</v>
      </c>
    </row>
    <row r="2123" spans="1:16" x14ac:dyDescent="0.2">
      <c r="A2123" s="3" t="s">
        <v>49</v>
      </c>
      <c r="B2123" s="3" t="s">
        <v>50</v>
      </c>
      <c r="C2123">
        <v>5</v>
      </c>
      <c r="D2123">
        <v>11000</v>
      </c>
      <c r="E2123">
        <v>499</v>
      </c>
      <c r="F2123">
        <v>1</v>
      </c>
      <c r="G2123">
        <v>11000</v>
      </c>
      <c r="H2123">
        <v>2.39304E-4</v>
      </c>
      <c r="I2123">
        <v>2772</v>
      </c>
      <c r="J2123">
        <v>2744</v>
      </c>
      <c r="K2123">
        <v>28</v>
      </c>
      <c r="L2123">
        <v>500</v>
      </c>
      <c r="M2123">
        <v>499</v>
      </c>
      <c r="N2123">
        <v>1</v>
      </c>
      <c r="O2123">
        <v>8228</v>
      </c>
      <c r="P2123">
        <v>1</v>
      </c>
    </row>
    <row r="2124" spans="1:16" x14ac:dyDescent="0.2">
      <c r="A2124" s="3" t="s">
        <v>49</v>
      </c>
      <c r="B2124" s="3" t="s">
        <v>50</v>
      </c>
      <c r="C2124">
        <v>9</v>
      </c>
      <c r="D2124">
        <v>11000</v>
      </c>
      <c r="E2124">
        <v>499</v>
      </c>
      <c r="F2124">
        <v>1</v>
      </c>
      <c r="G2124">
        <v>11000</v>
      </c>
      <c r="H2124">
        <v>2.39249E-4</v>
      </c>
      <c r="I2124">
        <v>2799</v>
      </c>
      <c r="J2124">
        <v>2784</v>
      </c>
      <c r="K2124">
        <v>15</v>
      </c>
      <c r="L2124">
        <v>500</v>
      </c>
      <c r="M2124">
        <v>499</v>
      </c>
      <c r="N2124">
        <v>1</v>
      </c>
      <c r="O2124">
        <v>8201</v>
      </c>
      <c r="P2124">
        <v>1</v>
      </c>
    </row>
    <row r="2125" spans="1:16" x14ac:dyDescent="0.2">
      <c r="A2125" s="3" t="s">
        <v>49</v>
      </c>
      <c r="B2125" s="3" t="s">
        <v>50</v>
      </c>
      <c r="C2125">
        <v>35</v>
      </c>
      <c r="D2125">
        <v>11000</v>
      </c>
      <c r="E2125">
        <v>499</v>
      </c>
      <c r="F2125">
        <v>1</v>
      </c>
      <c r="G2125">
        <v>44062.122210792702</v>
      </c>
      <c r="H2125">
        <v>2.39204E-4</v>
      </c>
      <c r="I2125">
        <v>2788</v>
      </c>
      <c r="J2125">
        <v>2763</v>
      </c>
      <c r="K2125">
        <v>25</v>
      </c>
      <c r="L2125">
        <v>500</v>
      </c>
      <c r="M2125">
        <v>499</v>
      </c>
      <c r="N2125">
        <v>1</v>
      </c>
      <c r="O2125">
        <v>33981.802728054601</v>
      </c>
      <c r="P2125">
        <v>0</v>
      </c>
    </row>
    <row r="2126" spans="1:16" x14ac:dyDescent="0.2">
      <c r="A2126" s="3" t="s">
        <v>49</v>
      </c>
      <c r="B2126" s="3" t="s">
        <v>50</v>
      </c>
      <c r="C2126">
        <v>34</v>
      </c>
      <c r="D2126">
        <v>11000</v>
      </c>
      <c r="E2126">
        <v>499</v>
      </c>
      <c r="F2126">
        <v>1</v>
      </c>
      <c r="G2126">
        <v>11000</v>
      </c>
      <c r="H2126">
        <v>2.39194E-4</v>
      </c>
      <c r="I2126">
        <v>2782</v>
      </c>
      <c r="J2126">
        <v>2762</v>
      </c>
      <c r="K2126">
        <v>20</v>
      </c>
      <c r="L2126">
        <v>500</v>
      </c>
      <c r="M2126">
        <v>499</v>
      </c>
      <c r="N2126">
        <v>1</v>
      </c>
      <c r="O2126">
        <v>8218</v>
      </c>
      <c r="P2126">
        <v>1</v>
      </c>
    </row>
    <row r="2127" spans="1:16" x14ac:dyDescent="0.2">
      <c r="A2127" s="3" t="s">
        <v>49</v>
      </c>
      <c r="B2127" s="3" t="s">
        <v>50</v>
      </c>
      <c r="C2127">
        <v>28</v>
      </c>
      <c r="D2127">
        <v>11000</v>
      </c>
      <c r="E2127">
        <v>499</v>
      </c>
      <c r="F2127">
        <v>1</v>
      </c>
      <c r="G2127">
        <v>11000</v>
      </c>
      <c r="H2127">
        <v>2.3916700000000001E-4</v>
      </c>
      <c r="I2127">
        <v>2770</v>
      </c>
      <c r="J2127">
        <v>2746</v>
      </c>
      <c r="K2127">
        <v>24</v>
      </c>
      <c r="L2127">
        <v>500</v>
      </c>
      <c r="M2127">
        <v>499</v>
      </c>
      <c r="N2127">
        <v>1</v>
      </c>
      <c r="O2127">
        <v>8230</v>
      </c>
      <c r="P2127">
        <v>1</v>
      </c>
    </row>
    <row r="2128" spans="1:16" x14ac:dyDescent="0.2">
      <c r="A2128" s="3" t="s">
        <v>49</v>
      </c>
      <c r="B2128" s="3" t="s">
        <v>50</v>
      </c>
      <c r="C2128">
        <v>7</v>
      </c>
      <c r="D2128">
        <v>11000</v>
      </c>
      <c r="E2128">
        <v>499</v>
      </c>
      <c r="F2128">
        <v>1</v>
      </c>
      <c r="G2128">
        <v>11000</v>
      </c>
      <c r="H2128">
        <v>2.3911200000000001E-4</v>
      </c>
      <c r="I2128">
        <v>2777</v>
      </c>
      <c r="J2128">
        <v>2753</v>
      </c>
      <c r="K2128">
        <v>24</v>
      </c>
      <c r="L2128">
        <v>500</v>
      </c>
      <c r="M2128">
        <v>499</v>
      </c>
      <c r="N2128">
        <v>1</v>
      </c>
      <c r="O2128">
        <v>8223</v>
      </c>
      <c r="P2128">
        <v>1</v>
      </c>
    </row>
    <row r="2129" spans="1:16" x14ac:dyDescent="0.2">
      <c r="A2129" s="3" t="s">
        <v>49</v>
      </c>
      <c r="B2129" s="3" t="s">
        <v>50</v>
      </c>
      <c r="C2129">
        <v>44</v>
      </c>
      <c r="D2129">
        <v>11000</v>
      </c>
      <c r="E2129">
        <v>499</v>
      </c>
      <c r="F2129">
        <v>1</v>
      </c>
      <c r="G2129">
        <v>11000</v>
      </c>
      <c r="H2129">
        <v>2.39084E-4</v>
      </c>
      <c r="I2129">
        <v>2797</v>
      </c>
      <c r="J2129">
        <v>2779</v>
      </c>
      <c r="K2129">
        <v>18</v>
      </c>
      <c r="L2129">
        <v>500</v>
      </c>
      <c r="M2129">
        <v>499</v>
      </c>
      <c r="N2129">
        <v>1</v>
      </c>
      <c r="O2129">
        <v>8203</v>
      </c>
      <c r="P2129">
        <v>1</v>
      </c>
    </row>
    <row r="2130" spans="1:16" x14ac:dyDescent="0.2">
      <c r="A2130" s="3" t="s">
        <v>49</v>
      </c>
      <c r="B2130" s="3" t="s">
        <v>50</v>
      </c>
      <c r="C2130">
        <v>34</v>
      </c>
      <c r="D2130">
        <v>10000</v>
      </c>
      <c r="E2130">
        <v>499</v>
      </c>
      <c r="F2130">
        <v>1</v>
      </c>
      <c r="G2130">
        <v>10000</v>
      </c>
      <c r="H2130">
        <v>2.3903800000000001E-4</v>
      </c>
      <c r="I2130">
        <v>2718</v>
      </c>
      <c r="J2130">
        <v>2701</v>
      </c>
      <c r="K2130">
        <v>17</v>
      </c>
      <c r="L2130">
        <v>500</v>
      </c>
      <c r="M2130">
        <v>499</v>
      </c>
      <c r="N2130">
        <v>1</v>
      </c>
      <c r="O2130">
        <v>7282</v>
      </c>
      <c r="P2130">
        <v>1</v>
      </c>
    </row>
    <row r="2131" spans="1:16" x14ac:dyDescent="0.2">
      <c r="A2131" s="3" t="s">
        <v>49</v>
      </c>
      <c r="B2131" s="3" t="s">
        <v>50</v>
      </c>
      <c r="C2131">
        <v>15</v>
      </c>
      <c r="D2131">
        <v>11000</v>
      </c>
      <c r="E2131">
        <v>499</v>
      </c>
      <c r="F2131">
        <v>1</v>
      </c>
      <c r="G2131">
        <v>11000</v>
      </c>
      <c r="H2131">
        <v>2.3891E-4</v>
      </c>
      <c r="I2131">
        <v>2744</v>
      </c>
      <c r="J2131">
        <v>2711</v>
      </c>
      <c r="K2131">
        <v>33</v>
      </c>
      <c r="L2131">
        <v>500</v>
      </c>
      <c r="M2131">
        <v>499</v>
      </c>
      <c r="N2131">
        <v>1</v>
      </c>
      <c r="O2131">
        <v>8256</v>
      </c>
      <c r="P2131">
        <v>1</v>
      </c>
    </row>
    <row r="2132" spans="1:16" x14ac:dyDescent="0.2">
      <c r="A2132" s="3" t="s">
        <v>49</v>
      </c>
      <c r="B2132" s="3" t="s">
        <v>50</v>
      </c>
      <c r="C2132">
        <v>29</v>
      </c>
      <c r="D2132">
        <v>11000</v>
      </c>
      <c r="E2132">
        <v>499</v>
      </c>
      <c r="F2132">
        <v>1</v>
      </c>
      <c r="G2132">
        <v>11000</v>
      </c>
      <c r="H2132">
        <v>2.38827E-4</v>
      </c>
      <c r="I2132">
        <v>2818</v>
      </c>
      <c r="J2132">
        <v>2788</v>
      </c>
      <c r="K2132">
        <v>30</v>
      </c>
      <c r="L2132">
        <v>500</v>
      </c>
      <c r="M2132">
        <v>499</v>
      </c>
      <c r="N2132">
        <v>1</v>
      </c>
      <c r="O2132">
        <v>8182</v>
      </c>
      <c r="P2132">
        <v>1</v>
      </c>
    </row>
    <row r="2133" spans="1:16" x14ac:dyDescent="0.2">
      <c r="A2133" s="3" t="s">
        <v>49</v>
      </c>
      <c r="B2133" s="3" t="s">
        <v>50</v>
      </c>
      <c r="C2133">
        <v>43</v>
      </c>
      <c r="D2133">
        <v>11000</v>
      </c>
      <c r="E2133">
        <v>499</v>
      </c>
      <c r="F2133">
        <v>1</v>
      </c>
      <c r="G2133">
        <v>11000</v>
      </c>
      <c r="H2133">
        <v>2.3877300000000001E-4</v>
      </c>
      <c r="I2133">
        <v>2790</v>
      </c>
      <c r="J2133">
        <v>2774</v>
      </c>
      <c r="K2133">
        <v>16</v>
      </c>
      <c r="L2133">
        <v>500</v>
      </c>
      <c r="M2133">
        <v>499</v>
      </c>
      <c r="N2133">
        <v>1</v>
      </c>
      <c r="O2133">
        <v>8210</v>
      </c>
      <c r="P2133">
        <v>1</v>
      </c>
    </row>
    <row r="2134" spans="1:16" x14ac:dyDescent="0.2">
      <c r="A2134" s="3" t="s">
        <v>49</v>
      </c>
      <c r="B2134" s="3" t="s">
        <v>50</v>
      </c>
      <c r="C2134">
        <v>7</v>
      </c>
      <c r="D2134">
        <v>11000</v>
      </c>
      <c r="E2134">
        <v>499</v>
      </c>
      <c r="F2134">
        <v>1</v>
      </c>
      <c r="G2134">
        <v>44062.122210792702</v>
      </c>
      <c r="H2134">
        <v>2.38507E-4</v>
      </c>
      <c r="I2134">
        <v>2774</v>
      </c>
      <c r="J2134">
        <v>2748</v>
      </c>
      <c r="K2134">
        <v>26</v>
      </c>
      <c r="L2134">
        <v>500</v>
      </c>
      <c r="M2134">
        <v>499</v>
      </c>
      <c r="N2134">
        <v>1</v>
      </c>
      <c r="O2134">
        <v>34044.552398053798</v>
      </c>
      <c r="P2134">
        <v>0</v>
      </c>
    </row>
    <row r="2135" spans="1:16" x14ac:dyDescent="0.2">
      <c r="A2135" s="3" t="s">
        <v>49</v>
      </c>
      <c r="B2135" s="3" t="s">
        <v>50</v>
      </c>
      <c r="C2135">
        <v>15</v>
      </c>
      <c r="D2135">
        <v>11000</v>
      </c>
      <c r="E2135">
        <v>499</v>
      </c>
      <c r="F2135">
        <v>1</v>
      </c>
      <c r="G2135">
        <v>44062.122210792702</v>
      </c>
      <c r="H2135">
        <v>2.3833200000000001E-4</v>
      </c>
      <c r="I2135">
        <v>2753</v>
      </c>
      <c r="J2135">
        <v>2733</v>
      </c>
      <c r="K2135">
        <v>20</v>
      </c>
      <c r="L2135">
        <v>500</v>
      </c>
      <c r="M2135">
        <v>499</v>
      </c>
      <c r="N2135">
        <v>1</v>
      </c>
      <c r="O2135">
        <v>34013.733019003397</v>
      </c>
      <c r="P2135">
        <v>0</v>
      </c>
    </row>
    <row r="2136" spans="1:16" x14ac:dyDescent="0.2">
      <c r="A2136" s="3" t="s">
        <v>49</v>
      </c>
      <c r="B2136" s="3" t="s">
        <v>50</v>
      </c>
      <c r="C2136">
        <v>1</v>
      </c>
      <c r="D2136">
        <v>10000</v>
      </c>
      <c r="E2136">
        <v>499</v>
      </c>
      <c r="F2136">
        <v>1</v>
      </c>
      <c r="G2136">
        <v>39482.677260513999</v>
      </c>
      <c r="H2136">
        <v>2.3823099999999999E-4</v>
      </c>
      <c r="I2136">
        <v>2736</v>
      </c>
      <c r="J2136">
        <v>2716</v>
      </c>
      <c r="K2136">
        <v>20</v>
      </c>
      <c r="L2136">
        <v>500</v>
      </c>
      <c r="M2136">
        <v>499</v>
      </c>
      <c r="N2136">
        <v>1</v>
      </c>
      <c r="O2136">
        <v>29829.4585720455</v>
      </c>
      <c r="P2136">
        <v>0</v>
      </c>
    </row>
    <row r="2137" spans="1:16" x14ac:dyDescent="0.2">
      <c r="A2137" s="3" t="s">
        <v>49</v>
      </c>
      <c r="B2137" s="3" t="s">
        <v>50</v>
      </c>
      <c r="C2137">
        <v>19</v>
      </c>
      <c r="D2137">
        <v>11000</v>
      </c>
      <c r="E2137">
        <v>499</v>
      </c>
      <c r="F2137">
        <v>1</v>
      </c>
      <c r="G2137">
        <v>44062.122210792702</v>
      </c>
      <c r="H2137">
        <v>2.3819499999999999E-4</v>
      </c>
      <c r="I2137">
        <v>2795</v>
      </c>
      <c r="J2137">
        <v>2772</v>
      </c>
      <c r="K2137">
        <v>23</v>
      </c>
      <c r="L2137">
        <v>500</v>
      </c>
      <c r="M2137">
        <v>499</v>
      </c>
      <c r="N2137">
        <v>1</v>
      </c>
      <c r="O2137">
        <v>33988.763991405802</v>
      </c>
      <c r="P2137">
        <v>0</v>
      </c>
    </row>
    <row r="2138" spans="1:16" x14ac:dyDescent="0.2">
      <c r="A2138" s="3" t="s">
        <v>49</v>
      </c>
      <c r="B2138" s="3" t="s">
        <v>50</v>
      </c>
      <c r="C2138">
        <v>48</v>
      </c>
      <c r="D2138">
        <v>11000</v>
      </c>
      <c r="E2138">
        <v>499</v>
      </c>
      <c r="F2138">
        <v>1</v>
      </c>
      <c r="G2138">
        <v>11000</v>
      </c>
      <c r="H2138">
        <v>2.3813999999999999E-4</v>
      </c>
      <c r="I2138">
        <v>2784</v>
      </c>
      <c r="J2138">
        <v>2766</v>
      </c>
      <c r="K2138">
        <v>18</v>
      </c>
      <c r="L2138">
        <v>500</v>
      </c>
      <c r="M2138">
        <v>499</v>
      </c>
      <c r="N2138">
        <v>1</v>
      </c>
      <c r="O2138">
        <v>8216</v>
      </c>
      <c r="P2138">
        <v>1</v>
      </c>
    </row>
    <row r="2139" spans="1:16" x14ac:dyDescent="0.2">
      <c r="A2139" s="3" t="s">
        <v>49</v>
      </c>
      <c r="B2139" s="3" t="s">
        <v>50</v>
      </c>
      <c r="C2139">
        <v>42</v>
      </c>
      <c r="D2139">
        <v>11000</v>
      </c>
      <c r="E2139">
        <v>499</v>
      </c>
      <c r="F2139">
        <v>1</v>
      </c>
      <c r="G2139">
        <v>44062.122210792702</v>
      </c>
      <c r="H2139">
        <v>2.3803E-4</v>
      </c>
      <c r="I2139">
        <v>2775</v>
      </c>
      <c r="J2139">
        <v>2753</v>
      </c>
      <c r="K2139">
        <v>22</v>
      </c>
      <c r="L2139">
        <v>500</v>
      </c>
      <c r="M2139">
        <v>499</v>
      </c>
      <c r="N2139">
        <v>1</v>
      </c>
      <c r="O2139">
        <v>34019.500837357598</v>
      </c>
      <c r="P2139">
        <v>0</v>
      </c>
    </row>
    <row r="2140" spans="1:16" x14ac:dyDescent="0.2">
      <c r="A2140" s="3" t="s">
        <v>49</v>
      </c>
      <c r="B2140" s="3" t="s">
        <v>50</v>
      </c>
      <c r="C2140">
        <v>47</v>
      </c>
      <c r="D2140">
        <v>10000</v>
      </c>
      <c r="E2140">
        <v>499</v>
      </c>
      <c r="F2140">
        <v>1</v>
      </c>
      <c r="G2140">
        <v>10000</v>
      </c>
      <c r="H2140">
        <v>2.3781E-4</v>
      </c>
      <c r="I2140">
        <v>2721</v>
      </c>
      <c r="J2140">
        <v>2701</v>
      </c>
      <c r="K2140">
        <v>20</v>
      </c>
      <c r="L2140">
        <v>500</v>
      </c>
      <c r="M2140">
        <v>499</v>
      </c>
      <c r="N2140">
        <v>1</v>
      </c>
      <c r="O2140">
        <v>7279</v>
      </c>
      <c r="P2140">
        <v>1</v>
      </c>
    </row>
    <row r="2141" spans="1:16" x14ac:dyDescent="0.2">
      <c r="A2141" s="3" t="s">
        <v>49</v>
      </c>
      <c r="B2141" s="3" t="s">
        <v>50</v>
      </c>
      <c r="C2141">
        <v>39</v>
      </c>
      <c r="D2141">
        <v>11000</v>
      </c>
      <c r="E2141">
        <v>499</v>
      </c>
      <c r="F2141">
        <v>1</v>
      </c>
      <c r="G2141">
        <v>44062.122210792702</v>
      </c>
      <c r="H2141">
        <v>2.3779199999999999E-4</v>
      </c>
      <c r="I2141">
        <v>2780</v>
      </c>
      <c r="J2141">
        <v>2753</v>
      </c>
      <c r="K2141">
        <v>27</v>
      </c>
      <c r="L2141">
        <v>500</v>
      </c>
      <c r="M2141">
        <v>499</v>
      </c>
      <c r="N2141">
        <v>1</v>
      </c>
      <c r="O2141">
        <v>33889.130174176797</v>
      </c>
      <c r="P2141">
        <v>0</v>
      </c>
    </row>
    <row r="2142" spans="1:16" x14ac:dyDescent="0.2">
      <c r="A2142" s="3" t="s">
        <v>49</v>
      </c>
      <c r="B2142" s="3" t="s">
        <v>50</v>
      </c>
      <c r="C2142">
        <v>47</v>
      </c>
      <c r="D2142">
        <v>11000</v>
      </c>
      <c r="E2142">
        <v>499</v>
      </c>
      <c r="F2142">
        <v>1</v>
      </c>
      <c r="G2142">
        <v>11000</v>
      </c>
      <c r="H2142">
        <v>2.3771799999999999E-4</v>
      </c>
      <c r="I2142">
        <v>2746</v>
      </c>
      <c r="J2142">
        <v>2724</v>
      </c>
      <c r="K2142">
        <v>22</v>
      </c>
      <c r="L2142">
        <v>500</v>
      </c>
      <c r="M2142">
        <v>499</v>
      </c>
      <c r="N2142">
        <v>1</v>
      </c>
      <c r="O2142">
        <v>8254</v>
      </c>
      <c r="P2142">
        <v>1</v>
      </c>
    </row>
    <row r="2143" spans="1:16" x14ac:dyDescent="0.2">
      <c r="A2143" s="3" t="s">
        <v>49</v>
      </c>
      <c r="B2143" s="3" t="s">
        <v>50</v>
      </c>
      <c r="C2143">
        <v>10</v>
      </c>
      <c r="D2143">
        <v>11000</v>
      </c>
      <c r="E2143">
        <v>499</v>
      </c>
      <c r="F2143">
        <v>1</v>
      </c>
      <c r="G2143">
        <v>44062.122210792702</v>
      </c>
      <c r="H2143">
        <v>2.3765400000000001E-4</v>
      </c>
      <c r="I2143">
        <v>2789</v>
      </c>
      <c r="J2143">
        <v>2764</v>
      </c>
      <c r="K2143">
        <v>25</v>
      </c>
      <c r="L2143">
        <v>500</v>
      </c>
      <c r="M2143">
        <v>499</v>
      </c>
      <c r="N2143">
        <v>1</v>
      </c>
      <c r="O2143">
        <v>33968.757264679603</v>
      </c>
      <c r="P2143">
        <v>0</v>
      </c>
    </row>
    <row r="2144" spans="1:16" x14ac:dyDescent="0.2">
      <c r="A2144" s="3" t="s">
        <v>49</v>
      </c>
      <c r="B2144" s="3" t="s">
        <v>50</v>
      </c>
      <c r="C2144">
        <v>24</v>
      </c>
      <c r="D2144">
        <v>11000</v>
      </c>
      <c r="E2144">
        <v>499</v>
      </c>
      <c r="F2144">
        <v>1</v>
      </c>
      <c r="G2144">
        <v>44062.122210792702</v>
      </c>
      <c r="H2144">
        <v>2.3719600000000001E-4</v>
      </c>
      <c r="I2144">
        <v>2722</v>
      </c>
      <c r="J2144">
        <v>2699</v>
      </c>
      <c r="K2144">
        <v>23</v>
      </c>
      <c r="L2144">
        <v>500</v>
      </c>
      <c r="M2144">
        <v>499</v>
      </c>
      <c r="N2144">
        <v>1</v>
      </c>
      <c r="O2144">
        <v>34085.035709878997</v>
      </c>
      <c r="P2144">
        <v>0</v>
      </c>
    </row>
    <row r="2145" spans="1:16" x14ac:dyDescent="0.2">
      <c r="A2145" s="3" t="s">
        <v>49</v>
      </c>
      <c r="B2145" s="3" t="s">
        <v>50</v>
      </c>
      <c r="C2145">
        <v>29</v>
      </c>
      <c r="D2145">
        <v>10000</v>
      </c>
      <c r="E2145">
        <v>499</v>
      </c>
      <c r="F2145">
        <v>1</v>
      </c>
      <c r="G2145">
        <v>10000</v>
      </c>
      <c r="H2145">
        <v>2.3718599999999999E-4</v>
      </c>
      <c r="I2145">
        <v>2748</v>
      </c>
      <c r="J2145">
        <v>2735</v>
      </c>
      <c r="K2145">
        <v>13</v>
      </c>
      <c r="L2145">
        <v>500</v>
      </c>
      <c r="M2145">
        <v>499</v>
      </c>
      <c r="N2145">
        <v>1</v>
      </c>
      <c r="O2145">
        <v>7252</v>
      </c>
      <c r="P2145">
        <v>1</v>
      </c>
    </row>
    <row r="2146" spans="1:16" x14ac:dyDescent="0.2">
      <c r="A2146" s="3" t="s">
        <v>49</v>
      </c>
      <c r="B2146" s="3" t="s">
        <v>50</v>
      </c>
      <c r="C2146">
        <v>27</v>
      </c>
      <c r="D2146">
        <v>10000</v>
      </c>
      <c r="E2146">
        <v>499</v>
      </c>
      <c r="F2146">
        <v>1</v>
      </c>
      <c r="G2146">
        <v>10000</v>
      </c>
      <c r="H2146">
        <v>2.36729E-4</v>
      </c>
      <c r="I2146">
        <v>2713</v>
      </c>
      <c r="J2146">
        <v>2691</v>
      </c>
      <c r="K2146">
        <v>22</v>
      </c>
      <c r="L2146">
        <v>500</v>
      </c>
      <c r="M2146">
        <v>499</v>
      </c>
      <c r="N2146">
        <v>1</v>
      </c>
      <c r="O2146">
        <v>7287</v>
      </c>
      <c r="P2146">
        <v>1</v>
      </c>
    </row>
    <row r="2147" spans="1:16" x14ac:dyDescent="0.2">
      <c r="A2147" s="3" t="s">
        <v>49</v>
      </c>
      <c r="B2147" s="3" t="s">
        <v>50</v>
      </c>
      <c r="C2147">
        <v>49</v>
      </c>
      <c r="D2147">
        <v>11000</v>
      </c>
      <c r="E2147">
        <v>499</v>
      </c>
      <c r="F2147">
        <v>1</v>
      </c>
      <c r="G2147">
        <v>11000</v>
      </c>
      <c r="H2147">
        <v>2.3667299999999999E-4</v>
      </c>
      <c r="I2147">
        <v>2739</v>
      </c>
      <c r="J2147">
        <v>2718</v>
      </c>
      <c r="K2147">
        <v>21</v>
      </c>
      <c r="L2147">
        <v>500</v>
      </c>
      <c r="M2147">
        <v>499</v>
      </c>
      <c r="N2147">
        <v>1</v>
      </c>
      <c r="O2147">
        <v>8261</v>
      </c>
      <c r="P2147">
        <v>1</v>
      </c>
    </row>
    <row r="2148" spans="1:16" x14ac:dyDescent="0.2">
      <c r="A2148" s="3" t="s">
        <v>49</v>
      </c>
      <c r="B2148" s="3" t="s">
        <v>50</v>
      </c>
      <c r="C2148">
        <v>42</v>
      </c>
      <c r="D2148">
        <v>11000</v>
      </c>
      <c r="E2148">
        <v>499</v>
      </c>
      <c r="F2148">
        <v>1</v>
      </c>
      <c r="G2148">
        <v>11000</v>
      </c>
      <c r="H2148">
        <v>2.36591E-4</v>
      </c>
      <c r="I2148">
        <v>2801</v>
      </c>
      <c r="J2148">
        <v>2778</v>
      </c>
      <c r="K2148">
        <v>23</v>
      </c>
      <c r="L2148">
        <v>500</v>
      </c>
      <c r="M2148">
        <v>499</v>
      </c>
      <c r="N2148">
        <v>1</v>
      </c>
      <c r="O2148">
        <v>8199</v>
      </c>
      <c r="P2148">
        <v>1</v>
      </c>
    </row>
    <row r="2149" spans="1:16" x14ac:dyDescent="0.2">
      <c r="A2149" s="3" t="s">
        <v>49</v>
      </c>
      <c r="B2149" s="3" t="s">
        <v>50</v>
      </c>
      <c r="C2149">
        <v>46</v>
      </c>
      <c r="D2149">
        <v>11000</v>
      </c>
      <c r="E2149">
        <v>499</v>
      </c>
      <c r="F2149">
        <v>1</v>
      </c>
      <c r="G2149">
        <v>44062.122210792702</v>
      </c>
      <c r="H2149">
        <v>2.36555E-4</v>
      </c>
      <c r="I2149">
        <v>2807</v>
      </c>
      <c r="J2149">
        <v>2780</v>
      </c>
      <c r="K2149">
        <v>27</v>
      </c>
      <c r="L2149">
        <v>500</v>
      </c>
      <c r="M2149">
        <v>499</v>
      </c>
      <c r="N2149">
        <v>1</v>
      </c>
      <c r="O2149">
        <v>33879.115060620003</v>
      </c>
      <c r="P2149">
        <v>0</v>
      </c>
    </row>
    <row r="2150" spans="1:16" x14ac:dyDescent="0.2">
      <c r="A2150" s="3" t="s">
        <v>49</v>
      </c>
      <c r="B2150" s="3" t="s">
        <v>50</v>
      </c>
      <c r="C2150">
        <v>41</v>
      </c>
      <c r="D2150">
        <v>10000</v>
      </c>
      <c r="E2150">
        <v>499</v>
      </c>
      <c r="F2150">
        <v>1</v>
      </c>
      <c r="G2150">
        <v>39482.677260513999</v>
      </c>
      <c r="H2150">
        <v>2.3632500000000001E-4</v>
      </c>
      <c r="I2150">
        <v>2710</v>
      </c>
      <c r="J2150">
        <v>2690</v>
      </c>
      <c r="K2150">
        <v>20</v>
      </c>
      <c r="L2150">
        <v>500</v>
      </c>
      <c r="M2150">
        <v>499</v>
      </c>
      <c r="N2150">
        <v>1</v>
      </c>
      <c r="O2150">
        <v>29867.632427282999</v>
      </c>
      <c r="P2150">
        <v>0</v>
      </c>
    </row>
    <row r="2151" spans="1:16" x14ac:dyDescent="0.2">
      <c r="A2151" s="3" t="s">
        <v>49</v>
      </c>
      <c r="B2151" s="3" t="s">
        <v>50</v>
      </c>
      <c r="C2151">
        <v>18</v>
      </c>
      <c r="D2151">
        <v>10000</v>
      </c>
      <c r="E2151">
        <v>499</v>
      </c>
      <c r="F2151">
        <v>1</v>
      </c>
      <c r="G2151">
        <v>10000</v>
      </c>
      <c r="H2151">
        <v>2.3622500000000001E-4</v>
      </c>
      <c r="I2151">
        <v>2719</v>
      </c>
      <c r="J2151">
        <v>2700</v>
      </c>
      <c r="K2151">
        <v>19</v>
      </c>
      <c r="L2151">
        <v>500</v>
      </c>
      <c r="M2151">
        <v>499</v>
      </c>
      <c r="N2151">
        <v>1</v>
      </c>
      <c r="O2151">
        <v>7281</v>
      </c>
      <c r="P2151">
        <v>1</v>
      </c>
    </row>
    <row r="2152" spans="1:16" x14ac:dyDescent="0.2">
      <c r="A2152" s="3" t="s">
        <v>49</v>
      </c>
      <c r="B2152" s="3" t="s">
        <v>50</v>
      </c>
      <c r="C2152">
        <v>2</v>
      </c>
      <c r="D2152">
        <v>11000</v>
      </c>
      <c r="E2152">
        <v>499</v>
      </c>
      <c r="F2152">
        <v>1</v>
      </c>
      <c r="G2152">
        <v>11000</v>
      </c>
      <c r="H2152">
        <v>2.3621499999999999E-4</v>
      </c>
      <c r="I2152">
        <v>2794</v>
      </c>
      <c r="J2152">
        <v>2775</v>
      </c>
      <c r="K2152">
        <v>19</v>
      </c>
      <c r="L2152">
        <v>500</v>
      </c>
      <c r="M2152">
        <v>499</v>
      </c>
      <c r="N2152">
        <v>1</v>
      </c>
      <c r="O2152">
        <v>8206</v>
      </c>
      <c r="P2152">
        <v>1</v>
      </c>
    </row>
    <row r="2153" spans="1:16" x14ac:dyDescent="0.2">
      <c r="A2153" s="3" t="s">
        <v>49</v>
      </c>
      <c r="B2153" s="3" t="s">
        <v>50</v>
      </c>
      <c r="C2153">
        <v>41</v>
      </c>
      <c r="D2153">
        <v>10000</v>
      </c>
      <c r="E2153">
        <v>499</v>
      </c>
      <c r="F2153">
        <v>1</v>
      </c>
      <c r="G2153">
        <v>10000</v>
      </c>
      <c r="H2153">
        <v>2.3620499999999999E-4</v>
      </c>
      <c r="I2153">
        <v>2721</v>
      </c>
      <c r="J2153">
        <v>2701</v>
      </c>
      <c r="K2153">
        <v>20</v>
      </c>
      <c r="L2153">
        <v>500</v>
      </c>
      <c r="M2153">
        <v>499</v>
      </c>
      <c r="N2153">
        <v>1</v>
      </c>
      <c r="O2153">
        <v>7279</v>
      </c>
      <c r="P2153">
        <v>1</v>
      </c>
    </row>
    <row r="2154" spans="1:16" x14ac:dyDescent="0.2">
      <c r="A2154" s="3" t="s">
        <v>49</v>
      </c>
      <c r="B2154" s="3" t="s">
        <v>50</v>
      </c>
      <c r="C2154">
        <v>6</v>
      </c>
      <c r="D2154">
        <v>11000</v>
      </c>
      <c r="E2154">
        <v>499</v>
      </c>
      <c r="F2154">
        <v>1</v>
      </c>
      <c r="G2154">
        <v>44062.122210792702</v>
      </c>
      <c r="H2154">
        <v>2.36197E-4</v>
      </c>
      <c r="I2154">
        <v>2767</v>
      </c>
      <c r="J2154">
        <v>2751</v>
      </c>
      <c r="K2154">
        <v>16</v>
      </c>
      <c r="L2154">
        <v>500</v>
      </c>
      <c r="M2154">
        <v>499</v>
      </c>
      <c r="N2154">
        <v>1</v>
      </c>
      <c r="O2154">
        <v>33987.6843705473</v>
      </c>
      <c r="P2154">
        <v>0</v>
      </c>
    </row>
    <row r="2155" spans="1:16" x14ac:dyDescent="0.2">
      <c r="A2155" s="3" t="s">
        <v>49</v>
      </c>
      <c r="B2155" s="3" t="s">
        <v>50</v>
      </c>
      <c r="C2155">
        <v>22</v>
      </c>
      <c r="D2155">
        <v>10000</v>
      </c>
      <c r="E2155">
        <v>499</v>
      </c>
      <c r="F2155">
        <v>1</v>
      </c>
      <c r="G2155">
        <v>10000</v>
      </c>
      <c r="H2155">
        <v>2.3373099999999999E-4</v>
      </c>
      <c r="I2155">
        <v>2719</v>
      </c>
      <c r="J2155">
        <v>2701</v>
      </c>
      <c r="K2155">
        <v>18</v>
      </c>
      <c r="L2155">
        <v>500</v>
      </c>
      <c r="M2155">
        <v>499</v>
      </c>
      <c r="N2155">
        <v>1</v>
      </c>
      <c r="O2155">
        <v>7281</v>
      </c>
      <c r="P2155">
        <v>1</v>
      </c>
    </row>
    <row r="2156" spans="1:16" x14ac:dyDescent="0.2">
      <c r="A2156" s="3" t="s">
        <v>49</v>
      </c>
      <c r="B2156" s="3" t="s">
        <v>50</v>
      </c>
      <c r="C2156">
        <v>9</v>
      </c>
      <c r="D2156">
        <v>10000</v>
      </c>
      <c r="E2156">
        <v>499</v>
      </c>
      <c r="F2156">
        <v>1</v>
      </c>
      <c r="G2156">
        <v>39482.677260513999</v>
      </c>
      <c r="H2156">
        <v>2.3364800000000001E-4</v>
      </c>
      <c r="I2156">
        <v>2734</v>
      </c>
      <c r="J2156">
        <v>2715</v>
      </c>
      <c r="K2156">
        <v>19</v>
      </c>
      <c r="L2156">
        <v>500</v>
      </c>
      <c r="M2156">
        <v>499</v>
      </c>
      <c r="N2156">
        <v>1</v>
      </c>
      <c r="O2156">
        <v>29740.609886453101</v>
      </c>
      <c r="P2156">
        <v>0</v>
      </c>
    </row>
    <row r="2157" spans="1:16" x14ac:dyDescent="0.2">
      <c r="A2157" s="3" t="s">
        <v>49</v>
      </c>
      <c r="B2157" s="3" t="s">
        <v>50</v>
      </c>
      <c r="C2157">
        <v>1</v>
      </c>
      <c r="D2157">
        <v>10000</v>
      </c>
      <c r="E2157">
        <v>499</v>
      </c>
      <c r="F2157">
        <v>1</v>
      </c>
      <c r="G2157">
        <v>10000</v>
      </c>
      <c r="H2157">
        <v>2.33565E-4</v>
      </c>
      <c r="I2157">
        <v>2720</v>
      </c>
      <c r="J2157">
        <v>2703</v>
      </c>
      <c r="K2157">
        <v>17</v>
      </c>
      <c r="L2157">
        <v>500</v>
      </c>
      <c r="M2157">
        <v>499</v>
      </c>
      <c r="N2157">
        <v>1</v>
      </c>
      <c r="O2157">
        <v>7280</v>
      </c>
      <c r="P2157">
        <v>1</v>
      </c>
    </row>
    <row r="2158" spans="1:16" x14ac:dyDescent="0.2">
      <c r="A2158" s="3" t="s">
        <v>49</v>
      </c>
      <c r="B2158" s="3" t="s">
        <v>50</v>
      </c>
      <c r="C2158">
        <v>36</v>
      </c>
      <c r="D2158">
        <v>11000</v>
      </c>
      <c r="E2158">
        <v>499</v>
      </c>
      <c r="F2158">
        <v>1</v>
      </c>
      <c r="G2158">
        <v>11000</v>
      </c>
      <c r="H2158">
        <v>2.33346E-4</v>
      </c>
      <c r="I2158">
        <v>2755</v>
      </c>
      <c r="J2158">
        <v>2734</v>
      </c>
      <c r="K2158">
        <v>21</v>
      </c>
      <c r="L2158">
        <v>500</v>
      </c>
      <c r="M2158">
        <v>499</v>
      </c>
      <c r="N2158">
        <v>1</v>
      </c>
      <c r="O2158">
        <v>8245</v>
      </c>
      <c r="P2158">
        <v>1</v>
      </c>
    </row>
    <row r="2159" spans="1:16" x14ac:dyDescent="0.2">
      <c r="A2159" s="3" t="s">
        <v>49</v>
      </c>
      <c r="B2159" s="3" t="s">
        <v>50</v>
      </c>
      <c r="C2159">
        <v>13</v>
      </c>
      <c r="D2159">
        <v>10000</v>
      </c>
      <c r="E2159">
        <v>499</v>
      </c>
      <c r="F2159">
        <v>1</v>
      </c>
      <c r="G2159">
        <v>10000</v>
      </c>
      <c r="H2159">
        <v>2.3325400000000001E-4</v>
      </c>
      <c r="I2159">
        <v>2706</v>
      </c>
      <c r="J2159">
        <v>2690</v>
      </c>
      <c r="K2159">
        <v>16</v>
      </c>
      <c r="L2159">
        <v>500</v>
      </c>
      <c r="M2159">
        <v>499</v>
      </c>
      <c r="N2159">
        <v>1</v>
      </c>
      <c r="O2159">
        <v>7294</v>
      </c>
      <c r="P2159">
        <v>1</v>
      </c>
    </row>
    <row r="2160" spans="1:16" x14ac:dyDescent="0.2">
      <c r="A2160" s="3" t="s">
        <v>49</v>
      </c>
      <c r="B2160" s="3" t="s">
        <v>50</v>
      </c>
      <c r="C2160">
        <v>23</v>
      </c>
      <c r="D2160">
        <v>10000</v>
      </c>
      <c r="E2160">
        <v>499</v>
      </c>
      <c r="F2160">
        <v>1</v>
      </c>
      <c r="G2160">
        <v>39482.677260513999</v>
      </c>
      <c r="H2160">
        <v>2.33181E-4</v>
      </c>
      <c r="I2160">
        <v>2749</v>
      </c>
      <c r="J2160">
        <v>2731</v>
      </c>
      <c r="K2160">
        <v>18</v>
      </c>
      <c r="L2160">
        <v>500</v>
      </c>
      <c r="M2160">
        <v>499</v>
      </c>
      <c r="N2160">
        <v>1</v>
      </c>
      <c r="O2160">
        <v>29718.236306682898</v>
      </c>
      <c r="P2160">
        <v>0</v>
      </c>
    </row>
    <row r="2161" spans="1:16" x14ac:dyDescent="0.2">
      <c r="A2161" s="3" t="s">
        <v>49</v>
      </c>
      <c r="B2161" s="3" t="s">
        <v>50</v>
      </c>
      <c r="C2161">
        <v>35</v>
      </c>
      <c r="D2161">
        <v>10000</v>
      </c>
      <c r="E2161">
        <v>499</v>
      </c>
      <c r="F2161">
        <v>1</v>
      </c>
      <c r="G2161">
        <v>10000</v>
      </c>
      <c r="H2161">
        <v>2.3243800000000001E-4</v>
      </c>
      <c r="I2161">
        <v>2748</v>
      </c>
      <c r="J2161">
        <v>2737</v>
      </c>
      <c r="K2161">
        <v>11</v>
      </c>
      <c r="L2161">
        <v>500</v>
      </c>
      <c r="M2161">
        <v>499</v>
      </c>
      <c r="N2161">
        <v>1</v>
      </c>
      <c r="O2161">
        <v>7252</v>
      </c>
      <c r="P2161">
        <v>1</v>
      </c>
    </row>
    <row r="2162" spans="1:16" x14ac:dyDescent="0.2">
      <c r="A2162" s="3" t="s">
        <v>49</v>
      </c>
      <c r="B2162" s="3" t="s">
        <v>50</v>
      </c>
      <c r="C2162">
        <v>10</v>
      </c>
      <c r="D2162">
        <v>11000</v>
      </c>
      <c r="E2162">
        <v>499</v>
      </c>
      <c r="F2162">
        <v>1</v>
      </c>
      <c r="G2162">
        <v>11000</v>
      </c>
      <c r="H2162">
        <v>2.31962E-4</v>
      </c>
      <c r="I2162">
        <v>2772</v>
      </c>
      <c r="J2162">
        <v>2756</v>
      </c>
      <c r="K2162">
        <v>16</v>
      </c>
      <c r="L2162">
        <v>500</v>
      </c>
      <c r="M2162">
        <v>499</v>
      </c>
      <c r="N2162">
        <v>1</v>
      </c>
      <c r="O2162">
        <v>8228</v>
      </c>
      <c r="P2162">
        <v>1</v>
      </c>
    </row>
    <row r="2163" spans="1:16" x14ac:dyDescent="0.2">
      <c r="A2163" s="3" t="s">
        <v>49</v>
      </c>
      <c r="B2163" s="3" t="s">
        <v>50</v>
      </c>
      <c r="C2163">
        <v>45</v>
      </c>
      <c r="D2163">
        <v>10000</v>
      </c>
      <c r="E2163">
        <v>499</v>
      </c>
      <c r="F2163">
        <v>1</v>
      </c>
      <c r="G2163">
        <v>39482.677260513999</v>
      </c>
      <c r="H2163">
        <v>2.31256E-4</v>
      </c>
      <c r="I2163">
        <v>2708</v>
      </c>
      <c r="J2163">
        <v>2690</v>
      </c>
      <c r="K2163">
        <v>18</v>
      </c>
      <c r="L2163">
        <v>500</v>
      </c>
      <c r="M2163">
        <v>499</v>
      </c>
      <c r="N2163">
        <v>1</v>
      </c>
      <c r="O2163">
        <v>29833.3138487295</v>
      </c>
      <c r="P2163">
        <v>0</v>
      </c>
    </row>
    <row r="2164" spans="1:16" x14ac:dyDescent="0.2">
      <c r="A2164" s="3" t="s">
        <v>49</v>
      </c>
      <c r="B2164" s="3" t="s">
        <v>50</v>
      </c>
      <c r="C2164">
        <v>48</v>
      </c>
      <c r="D2164">
        <v>10000</v>
      </c>
      <c r="E2164">
        <v>499</v>
      </c>
      <c r="F2164">
        <v>1</v>
      </c>
      <c r="G2164">
        <v>10000</v>
      </c>
      <c r="H2164">
        <v>2.3119199999999999E-4</v>
      </c>
      <c r="I2164">
        <v>2740</v>
      </c>
      <c r="J2164">
        <v>2720</v>
      </c>
      <c r="K2164">
        <v>20</v>
      </c>
      <c r="L2164">
        <v>500</v>
      </c>
      <c r="M2164">
        <v>499</v>
      </c>
      <c r="N2164">
        <v>1</v>
      </c>
      <c r="O2164">
        <v>7260</v>
      </c>
      <c r="P2164">
        <v>1</v>
      </c>
    </row>
    <row r="2165" spans="1:16" x14ac:dyDescent="0.2">
      <c r="A2165" s="3" t="s">
        <v>49</v>
      </c>
      <c r="B2165" s="3" t="s">
        <v>50</v>
      </c>
      <c r="C2165">
        <v>10</v>
      </c>
      <c r="D2165">
        <v>10000</v>
      </c>
      <c r="E2165">
        <v>499</v>
      </c>
      <c r="F2165">
        <v>1</v>
      </c>
      <c r="G2165">
        <v>39482.677260513999</v>
      </c>
      <c r="H2165">
        <v>2.3117299999999999E-4</v>
      </c>
      <c r="I2165">
        <v>2739</v>
      </c>
      <c r="J2165">
        <v>2723</v>
      </c>
      <c r="K2165">
        <v>16</v>
      </c>
      <c r="L2165">
        <v>500</v>
      </c>
      <c r="M2165">
        <v>499</v>
      </c>
      <c r="N2165">
        <v>1</v>
      </c>
      <c r="O2165">
        <v>29807.559381238902</v>
      </c>
      <c r="P2165">
        <v>0</v>
      </c>
    </row>
    <row r="2166" spans="1:16" x14ac:dyDescent="0.2">
      <c r="A2166" s="3" t="s">
        <v>49</v>
      </c>
      <c r="B2166" s="3" t="s">
        <v>50</v>
      </c>
      <c r="C2166">
        <v>16</v>
      </c>
      <c r="D2166">
        <v>10000</v>
      </c>
      <c r="E2166">
        <v>499</v>
      </c>
      <c r="F2166">
        <v>1</v>
      </c>
      <c r="G2166">
        <v>39482.677260513999</v>
      </c>
      <c r="H2166">
        <v>2.3096299999999999E-4</v>
      </c>
      <c r="I2166">
        <v>2734</v>
      </c>
      <c r="J2166">
        <v>2704</v>
      </c>
      <c r="K2166">
        <v>30</v>
      </c>
      <c r="L2166">
        <v>500</v>
      </c>
      <c r="M2166">
        <v>499</v>
      </c>
      <c r="N2166">
        <v>1</v>
      </c>
      <c r="O2166">
        <v>29738.244529398999</v>
      </c>
      <c r="P2166">
        <v>0</v>
      </c>
    </row>
    <row r="2167" spans="1:16" x14ac:dyDescent="0.2">
      <c r="A2167" s="3" t="s">
        <v>49</v>
      </c>
      <c r="B2167" s="3" t="s">
        <v>50</v>
      </c>
      <c r="C2167">
        <v>35</v>
      </c>
      <c r="D2167">
        <v>10000</v>
      </c>
      <c r="E2167">
        <v>499</v>
      </c>
      <c r="F2167">
        <v>1</v>
      </c>
      <c r="G2167">
        <v>39482.677260513999</v>
      </c>
      <c r="H2167">
        <v>2.30788E-4</v>
      </c>
      <c r="I2167">
        <v>2754</v>
      </c>
      <c r="J2167">
        <v>2736</v>
      </c>
      <c r="K2167">
        <v>18</v>
      </c>
      <c r="L2167">
        <v>500</v>
      </c>
      <c r="M2167">
        <v>499</v>
      </c>
      <c r="N2167">
        <v>1</v>
      </c>
      <c r="O2167">
        <v>29726.960841290798</v>
      </c>
      <c r="P2167">
        <v>0</v>
      </c>
    </row>
    <row r="2168" spans="1:16" x14ac:dyDescent="0.2">
      <c r="A2168" s="3" t="s">
        <v>49</v>
      </c>
      <c r="B2168" s="3" t="s">
        <v>50</v>
      </c>
      <c r="C2168">
        <v>36</v>
      </c>
      <c r="D2168">
        <v>10000</v>
      </c>
      <c r="E2168">
        <v>499</v>
      </c>
      <c r="F2168">
        <v>1</v>
      </c>
      <c r="G2168">
        <v>39482.677260513999</v>
      </c>
      <c r="H2168">
        <v>2.3064099999999999E-4</v>
      </c>
      <c r="I2168">
        <v>2717</v>
      </c>
      <c r="J2168">
        <v>2698</v>
      </c>
      <c r="K2168">
        <v>19</v>
      </c>
      <c r="L2168">
        <v>500</v>
      </c>
      <c r="M2168">
        <v>499</v>
      </c>
      <c r="N2168">
        <v>1</v>
      </c>
      <c r="O2168">
        <v>29864.620020784601</v>
      </c>
      <c r="P2168">
        <v>0</v>
      </c>
    </row>
    <row r="2169" spans="1:16" x14ac:dyDescent="0.2">
      <c r="A2169" s="3" t="s">
        <v>49</v>
      </c>
      <c r="B2169" s="3" t="s">
        <v>50</v>
      </c>
      <c r="C2169">
        <v>14</v>
      </c>
      <c r="D2169">
        <v>10000</v>
      </c>
      <c r="E2169">
        <v>499</v>
      </c>
      <c r="F2169">
        <v>1</v>
      </c>
      <c r="G2169">
        <v>10000</v>
      </c>
      <c r="H2169">
        <v>2.3024699999999999E-4</v>
      </c>
      <c r="I2169">
        <v>2719</v>
      </c>
      <c r="J2169">
        <v>2698</v>
      </c>
      <c r="K2169">
        <v>21</v>
      </c>
      <c r="L2169">
        <v>500</v>
      </c>
      <c r="M2169">
        <v>499</v>
      </c>
      <c r="N2169">
        <v>1</v>
      </c>
      <c r="O2169">
        <v>7281</v>
      </c>
      <c r="P2169">
        <v>1</v>
      </c>
    </row>
    <row r="2170" spans="1:16" x14ac:dyDescent="0.2">
      <c r="A2170" s="3" t="s">
        <v>49</v>
      </c>
      <c r="B2170" s="3" t="s">
        <v>50</v>
      </c>
      <c r="C2170">
        <v>2</v>
      </c>
      <c r="D2170">
        <v>10000</v>
      </c>
      <c r="E2170">
        <v>499</v>
      </c>
      <c r="F2170">
        <v>1</v>
      </c>
      <c r="G2170">
        <v>39482.677260513999</v>
      </c>
      <c r="H2170">
        <v>2.29266E-4</v>
      </c>
      <c r="I2170">
        <v>2695</v>
      </c>
      <c r="J2170">
        <v>2676</v>
      </c>
      <c r="K2170">
        <v>19</v>
      </c>
      <c r="L2170">
        <v>500</v>
      </c>
      <c r="M2170">
        <v>499</v>
      </c>
      <c r="N2170">
        <v>1</v>
      </c>
      <c r="O2170">
        <v>29753.6378123795</v>
      </c>
      <c r="P2170">
        <v>0</v>
      </c>
    </row>
    <row r="2171" spans="1:16" x14ac:dyDescent="0.2">
      <c r="A2171" s="3" t="s">
        <v>49</v>
      </c>
      <c r="B2171" s="3" t="s">
        <v>50</v>
      </c>
      <c r="C2171">
        <v>27</v>
      </c>
      <c r="D2171">
        <v>10000</v>
      </c>
      <c r="E2171">
        <v>499</v>
      </c>
      <c r="F2171">
        <v>1</v>
      </c>
      <c r="G2171">
        <v>39482.677260513999</v>
      </c>
      <c r="H2171">
        <v>2.2845999999999999E-4</v>
      </c>
      <c r="I2171">
        <v>2768</v>
      </c>
      <c r="J2171">
        <v>2754</v>
      </c>
      <c r="K2171">
        <v>14</v>
      </c>
      <c r="L2171">
        <v>500</v>
      </c>
      <c r="M2171">
        <v>499</v>
      </c>
      <c r="N2171">
        <v>1</v>
      </c>
      <c r="O2171">
        <v>29658.505182762099</v>
      </c>
      <c r="P2171">
        <v>0</v>
      </c>
    </row>
    <row r="2172" spans="1:16" x14ac:dyDescent="0.2">
      <c r="A2172" s="3" t="s">
        <v>49</v>
      </c>
      <c r="B2172" s="3" t="s">
        <v>50</v>
      </c>
      <c r="C2172">
        <v>21</v>
      </c>
      <c r="D2172">
        <v>10000</v>
      </c>
      <c r="E2172">
        <v>499</v>
      </c>
      <c r="F2172">
        <v>1</v>
      </c>
      <c r="G2172">
        <v>10000</v>
      </c>
      <c r="H2172">
        <v>2.2832199999999999E-4</v>
      </c>
      <c r="I2172">
        <v>2702</v>
      </c>
      <c r="J2172">
        <v>2683</v>
      </c>
      <c r="K2172">
        <v>19</v>
      </c>
      <c r="L2172">
        <v>500</v>
      </c>
      <c r="M2172">
        <v>499</v>
      </c>
      <c r="N2172">
        <v>1</v>
      </c>
      <c r="O2172">
        <v>7298</v>
      </c>
      <c r="P2172">
        <v>1</v>
      </c>
    </row>
    <row r="2173" spans="1:16" x14ac:dyDescent="0.2">
      <c r="A2173" s="3" t="s">
        <v>49</v>
      </c>
      <c r="B2173" s="3" t="s">
        <v>50</v>
      </c>
      <c r="C2173">
        <v>13</v>
      </c>
      <c r="D2173">
        <v>10000</v>
      </c>
      <c r="E2173">
        <v>499</v>
      </c>
      <c r="F2173">
        <v>1</v>
      </c>
      <c r="G2173">
        <v>39482.677260513999</v>
      </c>
      <c r="H2173">
        <v>2.2822200000000001E-4</v>
      </c>
      <c r="I2173">
        <v>2751</v>
      </c>
      <c r="J2173">
        <v>2732</v>
      </c>
      <c r="K2173">
        <v>19</v>
      </c>
      <c r="L2173">
        <v>500</v>
      </c>
      <c r="M2173">
        <v>499</v>
      </c>
      <c r="N2173">
        <v>1</v>
      </c>
      <c r="O2173">
        <v>29733.861965075401</v>
      </c>
      <c r="P2173">
        <v>0</v>
      </c>
    </row>
    <row r="2174" spans="1:16" x14ac:dyDescent="0.2">
      <c r="A2174" s="3" t="s">
        <v>49</v>
      </c>
      <c r="B2174" s="3" t="s">
        <v>50</v>
      </c>
      <c r="C2174">
        <v>8</v>
      </c>
      <c r="D2174">
        <v>10000</v>
      </c>
      <c r="E2174">
        <v>499</v>
      </c>
      <c r="F2174">
        <v>1</v>
      </c>
      <c r="G2174">
        <v>39482.677260513999</v>
      </c>
      <c r="H2174">
        <v>2.2820300000000001E-4</v>
      </c>
      <c r="I2174">
        <v>2729</v>
      </c>
      <c r="J2174">
        <v>2709</v>
      </c>
      <c r="K2174">
        <v>20</v>
      </c>
      <c r="L2174">
        <v>500</v>
      </c>
      <c r="M2174">
        <v>499</v>
      </c>
      <c r="N2174">
        <v>1</v>
      </c>
      <c r="O2174">
        <v>29790.656694087698</v>
      </c>
      <c r="P2174">
        <v>0</v>
      </c>
    </row>
    <row r="2175" spans="1:16" x14ac:dyDescent="0.2">
      <c r="A2175" s="3" t="s">
        <v>49</v>
      </c>
      <c r="B2175" s="3" t="s">
        <v>50</v>
      </c>
      <c r="C2175">
        <v>10</v>
      </c>
      <c r="D2175">
        <v>10000</v>
      </c>
      <c r="E2175">
        <v>499</v>
      </c>
      <c r="F2175">
        <v>1</v>
      </c>
      <c r="G2175">
        <v>10000</v>
      </c>
      <c r="H2175">
        <v>2.27937E-4</v>
      </c>
      <c r="I2175">
        <v>2776</v>
      </c>
      <c r="J2175">
        <v>2754</v>
      </c>
      <c r="K2175">
        <v>22</v>
      </c>
      <c r="L2175">
        <v>500</v>
      </c>
      <c r="M2175">
        <v>499</v>
      </c>
      <c r="N2175">
        <v>1</v>
      </c>
      <c r="O2175">
        <v>7224</v>
      </c>
      <c r="P2175">
        <v>1</v>
      </c>
    </row>
    <row r="2176" spans="1:16" x14ac:dyDescent="0.2">
      <c r="A2176" s="3" t="s">
        <v>49</v>
      </c>
      <c r="B2176" s="3" t="s">
        <v>50</v>
      </c>
      <c r="C2176">
        <v>47</v>
      </c>
      <c r="D2176">
        <v>10000</v>
      </c>
      <c r="E2176">
        <v>499</v>
      </c>
      <c r="F2176">
        <v>1</v>
      </c>
      <c r="G2176">
        <v>39482.677260513999</v>
      </c>
      <c r="H2176">
        <v>2.2786400000000001E-4</v>
      </c>
      <c r="I2176">
        <v>2681</v>
      </c>
      <c r="J2176">
        <v>2669</v>
      </c>
      <c r="K2176">
        <v>12</v>
      </c>
      <c r="L2176">
        <v>500</v>
      </c>
      <c r="M2176">
        <v>499</v>
      </c>
      <c r="N2176">
        <v>1</v>
      </c>
      <c r="O2176">
        <v>29923.422937048799</v>
      </c>
      <c r="P2176">
        <v>0</v>
      </c>
    </row>
    <row r="2177" spans="1:16" x14ac:dyDescent="0.2">
      <c r="A2177" s="3" t="s">
        <v>49</v>
      </c>
      <c r="B2177" s="3" t="s">
        <v>50</v>
      </c>
      <c r="C2177">
        <v>49</v>
      </c>
      <c r="D2177">
        <v>10000</v>
      </c>
      <c r="E2177">
        <v>499</v>
      </c>
      <c r="F2177">
        <v>1</v>
      </c>
      <c r="G2177">
        <v>39482.677260513999</v>
      </c>
      <c r="H2177">
        <v>2.27672E-4</v>
      </c>
      <c r="I2177">
        <v>2715</v>
      </c>
      <c r="J2177">
        <v>2695</v>
      </c>
      <c r="K2177">
        <v>20</v>
      </c>
      <c r="L2177">
        <v>500</v>
      </c>
      <c r="M2177">
        <v>499</v>
      </c>
      <c r="N2177">
        <v>1</v>
      </c>
      <c r="O2177">
        <v>29860.953621075401</v>
      </c>
      <c r="P2177">
        <v>0</v>
      </c>
    </row>
    <row r="2178" spans="1:16" x14ac:dyDescent="0.2">
      <c r="A2178" s="3" t="s">
        <v>49</v>
      </c>
      <c r="B2178" s="3" t="s">
        <v>50</v>
      </c>
      <c r="C2178">
        <v>19</v>
      </c>
      <c r="D2178">
        <v>10000</v>
      </c>
      <c r="E2178">
        <v>499</v>
      </c>
      <c r="F2178">
        <v>1</v>
      </c>
      <c r="G2178">
        <v>39482.677260513999</v>
      </c>
      <c r="H2178">
        <v>2.2741499999999999E-4</v>
      </c>
      <c r="I2178">
        <v>2705</v>
      </c>
      <c r="J2178">
        <v>2685</v>
      </c>
      <c r="K2178">
        <v>20</v>
      </c>
      <c r="L2178">
        <v>500</v>
      </c>
      <c r="M2178">
        <v>499</v>
      </c>
      <c r="N2178">
        <v>1</v>
      </c>
      <c r="O2178">
        <v>29823.7492069121</v>
      </c>
      <c r="P2178">
        <v>0</v>
      </c>
    </row>
    <row r="2179" spans="1:16" x14ac:dyDescent="0.2">
      <c r="A2179" s="3" t="s">
        <v>49</v>
      </c>
      <c r="B2179" s="3" t="s">
        <v>50</v>
      </c>
      <c r="C2179">
        <v>5</v>
      </c>
      <c r="D2179">
        <v>10000</v>
      </c>
      <c r="E2179">
        <v>499</v>
      </c>
      <c r="F2179">
        <v>1</v>
      </c>
      <c r="G2179">
        <v>39482.677260513999</v>
      </c>
      <c r="H2179">
        <v>2.2740600000000001E-4</v>
      </c>
      <c r="I2179">
        <v>2731</v>
      </c>
      <c r="J2179">
        <v>2713</v>
      </c>
      <c r="K2179">
        <v>18</v>
      </c>
      <c r="L2179">
        <v>500</v>
      </c>
      <c r="M2179">
        <v>499</v>
      </c>
      <c r="N2179">
        <v>1</v>
      </c>
      <c r="O2179">
        <v>29745.148079748298</v>
      </c>
      <c r="P2179">
        <v>0</v>
      </c>
    </row>
    <row r="2180" spans="1:16" x14ac:dyDescent="0.2">
      <c r="A2180" s="3" t="s">
        <v>49</v>
      </c>
      <c r="B2180" s="3" t="s">
        <v>50</v>
      </c>
      <c r="C2180">
        <v>12</v>
      </c>
      <c r="D2180">
        <v>10000</v>
      </c>
      <c r="E2180">
        <v>499</v>
      </c>
      <c r="F2180">
        <v>1</v>
      </c>
      <c r="G2180">
        <v>39482.677260513999</v>
      </c>
      <c r="H2180">
        <v>2.27397E-4</v>
      </c>
      <c r="I2180">
        <v>2724</v>
      </c>
      <c r="J2180">
        <v>2702</v>
      </c>
      <c r="K2180">
        <v>22</v>
      </c>
      <c r="L2180">
        <v>500</v>
      </c>
      <c r="M2180">
        <v>499</v>
      </c>
      <c r="N2180">
        <v>1</v>
      </c>
      <c r="O2180">
        <v>29749.258723830699</v>
      </c>
      <c r="P2180">
        <v>0</v>
      </c>
    </row>
    <row r="2181" spans="1:16" x14ac:dyDescent="0.2">
      <c r="A2181" s="3" t="s">
        <v>49</v>
      </c>
      <c r="B2181" s="3" t="s">
        <v>50</v>
      </c>
      <c r="C2181">
        <v>20</v>
      </c>
      <c r="D2181">
        <v>10000</v>
      </c>
      <c r="E2181">
        <v>499</v>
      </c>
      <c r="F2181">
        <v>1</v>
      </c>
      <c r="G2181">
        <v>39482.677260513999</v>
      </c>
      <c r="H2181">
        <v>2.2712200000000001E-4</v>
      </c>
      <c r="I2181">
        <v>2720</v>
      </c>
      <c r="J2181">
        <v>2698</v>
      </c>
      <c r="K2181">
        <v>22</v>
      </c>
      <c r="L2181">
        <v>500</v>
      </c>
      <c r="M2181">
        <v>499</v>
      </c>
      <c r="N2181">
        <v>1</v>
      </c>
      <c r="O2181">
        <v>29787.570235854899</v>
      </c>
      <c r="P2181">
        <v>0</v>
      </c>
    </row>
    <row r="2182" spans="1:16" x14ac:dyDescent="0.2">
      <c r="A2182" s="3" t="s">
        <v>49</v>
      </c>
      <c r="B2182" s="3" t="s">
        <v>50</v>
      </c>
      <c r="C2182">
        <v>37</v>
      </c>
      <c r="D2182">
        <v>10000</v>
      </c>
      <c r="E2182">
        <v>499</v>
      </c>
      <c r="F2182">
        <v>1</v>
      </c>
      <c r="G2182">
        <v>10000</v>
      </c>
      <c r="H2182">
        <v>2.2703099999999999E-4</v>
      </c>
      <c r="I2182">
        <v>2702</v>
      </c>
      <c r="J2182">
        <v>2685</v>
      </c>
      <c r="K2182">
        <v>17</v>
      </c>
      <c r="L2182">
        <v>500</v>
      </c>
      <c r="M2182">
        <v>499</v>
      </c>
      <c r="N2182">
        <v>1</v>
      </c>
      <c r="O2182">
        <v>7298</v>
      </c>
      <c r="P2182">
        <v>1</v>
      </c>
    </row>
    <row r="2183" spans="1:16" x14ac:dyDescent="0.2">
      <c r="A2183" s="3" t="s">
        <v>49</v>
      </c>
      <c r="B2183" s="3" t="s">
        <v>50</v>
      </c>
      <c r="C2183">
        <v>46</v>
      </c>
      <c r="D2183">
        <v>10000</v>
      </c>
      <c r="E2183">
        <v>499</v>
      </c>
      <c r="F2183">
        <v>1</v>
      </c>
      <c r="G2183">
        <v>39482.677260513999</v>
      </c>
      <c r="H2183">
        <v>2.2701199999999999E-4</v>
      </c>
      <c r="I2183">
        <v>2725</v>
      </c>
      <c r="J2183">
        <v>2705</v>
      </c>
      <c r="K2183">
        <v>20</v>
      </c>
      <c r="L2183">
        <v>500</v>
      </c>
      <c r="M2183">
        <v>499</v>
      </c>
      <c r="N2183">
        <v>1</v>
      </c>
      <c r="O2183">
        <v>29718.430214354401</v>
      </c>
      <c r="P2183">
        <v>0</v>
      </c>
    </row>
    <row r="2184" spans="1:16" x14ac:dyDescent="0.2">
      <c r="A2184" s="3" t="s">
        <v>49</v>
      </c>
      <c r="B2184" s="3" t="s">
        <v>50</v>
      </c>
      <c r="C2184">
        <v>26</v>
      </c>
      <c r="D2184">
        <v>10000</v>
      </c>
      <c r="E2184">
        <v>499</v>
      </c>
      <c r="F2184">
        <v>1</v>
      </c>
      <c r="G2184">
        <v>39482.677260513999</v>
      </c>
      <c r="H2184">
        <v>2.2698400000000001E-4</v>
      </c>
      <c r="I2184">
        <v>2726</v>
      </c>
      <c r="J2184">
        <v>2704</v>
      </c>
      <c r="K2184">
        <v>22</v>
      </c>
      <c r="L2184">
        <v>500</v>
      </c>
      <c r="M2184">
        <v>499</v>
      </c>
      <c r="N2184">
        <v>1</v>
      </c>
      <c r="O2184">
        <v>29782.233405667001</v>
      </c>
      <c r="P2184">
        <v>0</v>
      </c>
    </row>
    <row r="2185" spans="1:16" x14ac:dyDescent="0.2">
      <c r="A2185" s="3" t="s">
        <v>49</v>
      </c>
      <c r="B2185" s="3" t="s">
        <v>50</v>
      </c>
      <c r="C2185">
        <v>48</v>
      </c>
      <c r="D2185">
        <v>10000</v>
      </c>
      <c r="E2185">
        <v>499</v>
      </c>
      <c r="F2185">
        <v>1</v>
      </c>
      <c r="G2185">
        <v>39482.677260513999</v>
      </c>
      <c r="H2185">
        <v>2.2665399999999999E-4</v>
      </c>
      <c r="I2185">
        <v>2741</v>
      </c>
      <c r="J2185">
        <v>2723</v>
      </c>
      <c r="K2185">
        <v>18</v>
      </c>
      <c r="L2185">
        <v>500</v>
      </c>
      <c r="M2185">
        <v>499</v>
      </c>
      <c r="N2185">
        <v>1</v>
      </c>
      <c r="O2185">
        <v>29760.106383337999</v>
      </c>
      <c r="P2185">
        <v>0</v>
      </c>
    </row>
    <row r="2186" spans="1:16" x14ac:dyDescent="0.2">
      <c r="A2186" s="3" t="s">
        <v>49</v>
      </c>
      <c r="B2186" s="3" t="s">
        <v>50</v>
      </c>
      <c r="C2186">
        <v>42</v>
      </c>
      <c r="D2186">
        <v>10000</v>
      </c>
      <c r="E2186">
        <v>499</v>
      </c>
      <c r="F2186">
        <v>1</v>
      </c>
      <c r="G2186">
        <v>39482.677260513999</v>
      </c>
      <c r="H2186">
        <v>2.2661799999999999E-4</v>
      </c>
      <c r="I2186">
        <v>2732</v>
      </c>
      <c r="J2186">
        <v>2715</v>
      </c>
      <c r="K2186">
        <v>17</v>
      </c>
      <c r="L2186">
        <v>500</v>
      </c>
      <c r="M2186">
        <v>499</v>
      </c>
      <c r="N2186">
        <v>1</v>
      </c>
      <c r="O2186">
        <v>29761.099761319801</v>
      </c>
      <c r="P2186">
        <v>0</v>
      </c>
    </row>
    <row r="2187" spans="1:16" x14ac:dyDescent="0.2">
      <c r="A2187" s="3" t="s">
        <v>49</v>
      </c>
      <c r="B2187" s="3" t="s">
        <v>50</v>
      </c>
      <c r="C2187">
        <v>37</v>
      </c>
      <c r="D2187">
        <v>10000</v>
      </c>
      <c r="E2187">
        <v>499</v>
      </c>
      <c r="F2187">
        <v>1</v>
      </c>
      <c r="G2187">
        <v>39482.677260513999</v>
      </c>
      <c r="H2187">
        <v>2.26388E-4</v>
      </c>
      <c r="I2187">
        <v>2697</v>
      </c>
      <c r="J2187">
        <v>2673</v>
      </c>
      <c r="K2187">
        <v>24</v>
      </c>
      <c r="L2187">
        <v>500</v>
      </c>
      <c r="M2187">
        <v>499</v>
      </c>
      <c r="N2187">
        <v>1</v>
      </c>
      <c r="O2187">
        <v>29816.635028938599</v>
      </c>
      <c r="P2187">
        <v>0</v>
      </c>
    </row>
    <row r="2188" spans="1:16" x14ac:dyDescent="0.2">
      <c r="A2188" s="3" t="s">
        <v>49</v>
      </c>
      <c r="B2188" s="3" t="s">
        <v>50</v>
      </c>
      <c r="C2188">
        <v>31</v>
      </c>
      <c r="D2188">
        <v>10000</v>
      </c>
      <c r="E2188">
        <v>499</v>
      </c>
      <c r="F2188">
        <v>1</v>
      </c>
      <c r="G2188">
        <v>10000</v>
      </c>
      <c r="H2188">
        <v>2.2614999999999999E-4</v>
      </c>
      <c r="I2188">
        <v>2687</v>
      </c>
      <c r="J2188">
        <v>2669</v>
      </c>
      <c r="K2188">
        <v>18</v>
      </c>
      <c r="L2188">
        <v>500</v>
      </c>
      <c r="M2188">
        <v>499</v>
      </c>
      <c r="N2188">
        <v>1</v>
      </c>
      <c r="O2188">
        <v>7313</v>
      </c>
      <c r="P2188">
        <v>1</v>
      </c>
    </row>
    <row r="2189" spans="1:16" x14ac:dyDescent="0.2">
      <c r="A2189" s="3" t="s">
        <v>49</v>
      </c>
      <c r="B2189" s="3" t="s">
        <v>50</v>
      </c>
      <c r="C2189">
        <v>46</v>
      </c>
      <c r="D2189">
        <v>10000</v>
      </c>
      <c r="E2189">
        <v>499</v>
      </c>
      <c r="F2189">
        <v>1</v>
      </c>
      <c r="G2189">
        <v>10000</v>
      </c>
      <c r="H2189">
        <v>2.2614999999999999E-4</v>
      </c>
      <c r="I2189">
        <v>2726</v>
      </c>
      <c r="J2189">
        <v>2706</v>
      </c>
      <c r="K2189">
        <v>20</v>
      </c>
      <c r="L2189">
        <v>500</v>
      </c>
      <c r="M2189">
        <v>499</v>
      </c>
      <c r="N2189">
        <v>1</v>
      </c>
      <c r="O2189">
        <v>7274</v>
      </c>
      <c r="P2189">
        <v>1</v>
      </c>
    </row>
    <row r="2190" spans="1:16" x14ac:dyDescent="0.2">
      <c r="A2190" s="3" t="s">
        <v>49</v>
      </c>
      <c r="B2190" s="3" t="s">
        <v>50</v>
      </c>
      <c r="C2190">
        <v>11</v>
      </c>
      <c r="D2190">
        <v>10000</v>
      </c>
      <c r="E2190">
        <v>499</v>
      </c>
      <c r="F2190">
        <v>1</v>
      </c>
      <c r="G2190">
        <v>10000</v>
      </c>
      <c r="H2190">
        <v>2.26104E-4</v>
      </c>
      <c r="I2190">
        <v>2693</v>
      </c>
      <c r="J2190">
        <v>2679</v>
      </c>
      <c r="K2190">
        <v>14</v>
      </c>
      <c r="L2190">
        <v>500</v>
      </c>
      <c r="M2190">
        <v>499</v>
      </c>
      <c r="N2190">
        <v>1</v>
      </c>
      <c r="O2190">
        <v>7307</v>
      </c>
      <c r="P2190">
        <v>1</v>
      </c>
    </row>
    <row r="2191" spans="1:16" x14ac:dyDescent="0.2">
      <c r="A2191" s="3" t="s">
        <v>49</v>
      </c>
      <c r="B2191" s="3" t="s">
        <v>50</v>
      </c>
      <c r="C2191">
        <v>11</v>
      </c>
      <c r="D2191">
        <v>10000</v>
      </c>
      <c r="E2191">
        <v>499</v>
      </c>
      <c r="F2191">
        <v>1</v>
      </c>
      <c r="G2191">
        <v>39482.677260513999</v>
      </c>
      <c r="H2191">
        <v>2.26085E-4</v>
      </c>
      <c r="I2191">
        <v>2671</v>
      </c>
      <c r="J2191">
        <v>2651</v>
      </c>
      <c r="K2191">
        <v>20</v>
      </c>
      <c r="L2191">
        <v>500</v>
      </c>
      <c r="M2191">
        <v>499</v>
      </c>
      <c r="N2191">
        <v>1</v>
      </c>
      <c r="O2191">
        <v>29951.136830752501</v>
      </c>
      <c r="P2191">
        <v>0</v>
      </c>
    </row>
    <row r="2192" spans="1:16" x14ac:dyDescent="0.2">
      <c r="A2192" s="3" t="s">
        <v>49</v>
      </c>
      <c r="B2192" s="3" t="s">
        <v>50</v>
      </c>
      <c r="C2192">
        <v>45</v>
      </c>
      <c r="D2192">
        <v>10000</v>
      </c>
      <c r="E2192">
        <v>499</v>
      </c>
      <c r="F2192">
        <v>1</v>
      </c>
      <c r="G2192">
        <v>10000</v>
      </c>
      <c r="H2192">
        <v>2.26076E-4</v>
      </c>
      <c r="I2192">
        <v>2672</v>
      </c>
      <c r="J2192">
        <v>2659</v>
      </c>
      <c r="K2192">
        <v>13</v>
      </c>
      <c r="L2192">
        <v>500</v>
      </c>
      <c r="M2192">
        <v>499</v>
      </c>
      <c r="N2192">
        <v>1</v>
      </c>
      <c r="O2192">
        <v>7328</v>
      </c>
      <c r="P2192">
        <v>1</v>
      </c>
    </row>
    <row r="2193" spans="1:16" x14ac:dyDescent="0.2">
      <c r="A2193" s="3" t="s">
        <v>49</v>
      </c>
      <c r="B2193" s="3" t="s">
        <v>50</v>
      </c>
      <c r="C2193">
        <v>49</v>
      </c>
      <c r="D2193">
        <v>10000</v>
      </c>
      <c r="E2193">
        <v>499</v>
      </c>
      <c r="F2193">
        <v>1</v>
      </c>
      <c r="G2193">
        <v>10000</v>
      </c>
      <c r="H2193">
        <v>2.25885E-4</v>
      </c>
      <c r="I2193">
        <v>2695</v>
      </c>
      <c r="J2193">
        <v>2677</v>
      </c>
      <c r="K2193">
        <v>18</v>
      </c>
      <c r="L2193">
        <v>500</v>
      </c>
      <c r="M2193">
        <v>499</v>
      </c>
      <c r="N2193">
        <v>1</v>
      </c>
      <c r="O2193">
        <v>7305</v>
      </c>
      <c r="P2193">
        <v>1</v>
      </c>
    </row>
    <row r="2194" spans="1:16" x14ac:dyDescent="0.2">
      <c r="A2194" s="3" t="s">
        <v>49</v>
      </c>
      <c r="B2194" s="3" t="s">
        <v>50</v>
      </c>
      <c r="C2194">
        <v>8</v>
      </c>
      <c r="D2194">
        <v>10000</v>
      </c>
      <c r="E2194">
        <v>499</v>
      </c>
      <c r="F2194">
        <v>1</v>
      </c>
      <c r="G2194">
        <v>10000</v>
      </c>
      <c r="H2194">
        <v>2.25875E-4</v>
      </c>
      <c r="I2194">
        <v>2694</v>
      </c>
      <c r="J2194">
        <v>2677</v>
      </c>
      <c r="K2194">
        <v>17</v>
      </c>
      <c r="L2194">
        <v>500</v>
      </c>
      <c r="M2194">
        <v>499</v>
      </c>
      <c r="N2194">
        <v>1</v>
      </c>
      <c r="O2194">
        <v>7306</v>
      </c>
      <c r="P2194">
        <v>1</v>
      </c>
    </row>
    <row r="2195" spans="1:16" x14ac:dyDescent="0.2">
      <c r="A2195" s="3" t="s">
        <v>49</v>
      </c>
      <c r="B2195" s="3" t="s">
        <v>50</v>
      </c>
      <c r="C2195">
        <v>34</v>
      </c>
      <c r="D2195">
        <v>10000</v>
      </c>
      <c r="E2195">
        <v>499</v>
      </c>
      <c r="F2195">
        <v>1</v>
      </c>
      <c r="G2195">
        <v>39482.677260513999</v>
      </c>
      <c r="H2195">
        <v>2.25765E-4</v>
      </c>
      <c r="I2195">
        <v>2719</v>
      </c>
      <c r="J2195">
        <v>2702</v>
      </c>
      <c r="K2195">
        <v>17</v>
      </c>
      <c r="L2195">
        <v>500</v>
      </c>
      <c r="M2195">
        <v>499</v>
      </c>
      <c r="N2195">
        <v>1</v>
      </c>
      <c r="O2195">
        <v>29850.402658097199</v>
      </c>
      <c r="P2195">
        <v>0</v>
      </c>
    </row>
    <row r="2196" spans="1:16" x14ac:dyDescent="0.2">
      <c r="A2196" s="3" t="s">
        <v>49</v>
      </c>
      <c r="B2196" s="3" t="s">
        <v>50</v>
      </c>
      <c r="C2196">
        <v>31</v>
      </c>
      <c r="D2196">
        <v>10000</v>
      </c>
      <c r="E2196">
        <v>499</v>
      </c>
      <c r="F2196">
        <v>1</v>
      </c>
      <c r="G2196">
        <v>39482.677260513999</v>
      </c>
      <c r="H2196">
        <v>2.25591E-4</v>
      </c>
      <c r="I2196">
        <v>2699</v>
      </c>
      <c r="J2196">
        <v>2684</v>
      </c>
      <c r="K2196">
        <v>15</v>
      </c>
      <c r="L2196">
        <v>500</v>
      </c>
      <c r="M2196">
        <v>499</v>
      </c>
      <c r="N2196">
        <v>1</v>
      </c>
      <c r="O2196">
        <v>29788.5155498313</v>
      </c>
      <c r="P2196">
        <v>0</v>
      </c>
    </row>
    <row r="2197" spans="1:16" x14ac:dyDescent="0.2">
      <c r="A2197" s="3" t="s">
        <v>49</v>
      </c>
      <c r="B2197" s="3" t="s">
        <v>50</v>
      </c>
      <c r="C2197">
        <v>44</v>
      </c>
      <c r="D2197">
        <v>10000</v>
      </c>
      <c r="E2197">
        <v>499</v>
      </c>
      <c r="F2197">
        <v>1</v>
      </c>
      <c r="G2197">
        <v>39482.677260513999</v>
      </c>
      <c r="H2197">
        <v>2.2554500000000001E-4</v>
      </c>
      <c r="I2197">
        <v>2752</v>
      </c>
      <c r="J2197">
        <v>2741</v>
      </c>
      <c r="K2197">
        <v>11</v>
      </c>
      <c r="L2197">
        <v>500</v>
      </c>
      <c r="M2197">
        <v>499</v>
      </c>
      <c r="N2197">
        <v>1</v>
      </c>
      <c r="O2197">
        <v>29695.9842616897</v>
      </c>
      <c r="P2197">
        <v>0</v>
      </c>
    </row>
    <row r="2198" spans="1:16" x14ac:dyDescent="0.2">
      <c r="A2198" s="3" t="s">
        <v>49</v>
      </c>
      <c r="B2198" s="3" t="s">
        <v>50</v>
      </c>
      <c r="C2198">
        <v>39</v>
      </c>
      <c r="D2198">
        <v>10000</v>
      </c>
      <c r="E2198">
        <v>499</v>
      </c>
      <c r="F2198">
        <v>1</v>
      </c>
      <c r="G2198">
        <v>39482.677260513999</v>
      </c>
      <c r="H2198">
        <v>2.25398E-4</v>
      </c>
      <c r="I2198">
        <v>2706</v>
      </c>
      <c r="J2198">
        <v>2683</v>
      </c>
      <c r="K2198">
        <v>23</v>
      </c>
      <c r="L2198">
        <v>500</v>
      </c>
      <c r="M2198">
        <v>499</v>
      </c>
      <c r="N2198">
        <v>1</v>
      </c>
      <c r="O2198">
        <v>29832.687960192201</v>
      </c>
      <c r="P2198">
        <v>0</v>
      </c>
    </row>
    <row r="2199" spans="1:16" x14ac:dyDescent="0.2">
      <c r="A2199" s="3" t="s">
        <v>49</v>
      </c>
      <c r="B2199" s="3" t="s">
        <v>50</v>
      </c>
      <c r="C2199">
        <v>38</v>
      </c>
      <c r="D2199">
        <v>10000</v>
      </c>
      <c r="E2199">
        <v>499</v>
      </c>
      <c r="F2199">
        <v>1</v>
      </c>
      <c r="G2199">
        <v>10000</v>
      </c>
      <c r="H2199">
        <v>2.2526999999999999E-4</v>
      </c>
      <c r="I2199">
        <v>2759</v>
      </c>
      <c r="J2199">
        <v>2736</v>
      </c>
      <c r="K2199">
        <v>23</v>
      </c>
      <c r="L2199">
        <v>500</v>
      </c>
      <c r="M2199">
        <v>499</v>
      </c>
      <c r="N2199">
        <v>1</v>
      </c>
      <c r="O2199">
        <v>7241</v>
      </c>
      <c r="P2199">
        <v>1</v>
      </c>
    </row>
    <row r="2200" spans="1:16" x14ac:dyDescent="0.2">
      <c r="A2200" s="3" t="s">
        <v>49</v>
      </c>
      <c r="B2200" s="3" t="s">
        <v>50</v>
      </c>
      <c r="C2200">
        <v>20</v>
      </c>
      <c r="D2200">
        <v>10000</v>
      </c>
      <c r="E2200">
        <v>499</v>
      </c>
      <c r="F2200">
        <v>1</v>
      </c>
      <c r="G2200">
        <v>10000</v>
      </c>
      <c r="H2200">
        <v>2.25224E-4</v>
      </c>
      <c r="I2200">
        <v>2734</v>
      </c>
      <c r="J2200">
        <v>2712</v>
      </c>
      <c r="K2200">
        <v>22</v>
      </c>
      <c r="L2200">
        <v>500</v>
      </c>
      <c r="M2200">
        <v>499</v>
      </c>
      <c r="N2200">
        <v>1</v>
      </c>
      <c r="O2200">
        <v>7266</v>
      </c>
      <c r="P2200">
        <v>1</v>
      </c>
    </row>
    <row r="2201" spans="1:16" x14ac:dyDescent="0.2">
      <c r="A2201" s="3" t="s">
        <v>49</v>
      </c>
      <c r="B2201" s="3" t="s">
        <v>50</v>
      </c>
      <c r="C2201">
        <v>5</v>
      </c>
      <c r="D2201">
        <v>10000</v>
      </c>
      <c r="E2201">
        <v>499</v>
      </c>
      <c r="F2201">
        <v>1</v>
      </c>
      <c r="G2201">
        <v>10000</v>
      </c>
      <c r="H2201">
        <v>2.2514200000000001E-4</v>
      </c>
      <c r="I2201">
        <v>2690</v>
      </c>
      <c r="J2201">
        <v>2675</v>
      </c>
      <c r="K2201">
        <v>15</v>
      </c>
      <c r="L2201">
        <v>500</v>
      </c>
      <c r="M2201">
        <v>499</v>
      </c>
      <c r="N2201">
        <v>1</v>
      </c>
      <c r="O2201">
        <v>7310</v>
      </c>
      <c r="P2201">
        <v>1</v>
      </c>
    </row>
    <row r="2202" spans="1:16" x14ac:dyDescent="0.2">
      <c r="A2202" s="3" t="s">
        <v>49</v>
      </c>
      <c r="B2202" s="3" t="s">
        <v>50</v>
      </c>
      <c r="C2202">
        <v>7</v>
      </c>
      <c r="D2202">
        <v>10000</v>
      </c>
      <c r="E2202">
        <v>499</v>
      </c>
      <c r="F2202">
        <v>1</v>
      </c>
      <c r="G2202">
        <v>10000</v>
      </c>
      <c r="H2202">
        <v>2.25059E-4</v>
      </c>
      <c r="I2202">
        <v>2726</v>
      </c>
      <c r="J2202">
        <v>2713</v>
      </c>
      <c r="K2202">
        <v>13</v>
      </c>
      <c r="L2202">
        <v>500</v>
      </c>
      <c r="M2202">
        <v>499</v>
      </c>
      <c r="N2202">
        <v>1</v>
      </c>
      <c r="O2202">
        <v>7274</v>
      </c>
      <c r="P2202">
        <v>1</v>
      </c>
    </row>
    <row r="2203" spans="1:16" x14ac:dyDescent="0.2">
      <c r="A2203" s="3" t="s">
        <v>49</v>
      </c>
      <c r="B2203" s="3" t="s">
        <v>50</v>
      </c>
      <c r="C2203">
        <v>18</v>
      </c>
      <c r="D2203">
        <v>10000</v>
      </c>
      <c r="E2203">
        <v>499</v>
      </c>
      <c r="F2203">
        <v>1</v>
      </c>
      <c r="G2203">
        <v>39482.677260513999</v>
      </c>
      <c r="H2203">
        <v>2.2501300000000001E-4</v>
      </c>
      <c r="I2203">
        <v>2712</v>
      </c>
      <c r="J2203">
        <v>2695</v>
      </c>
      <c r="K2203">
        <v>17</v>
      </c>
      <c r="L2203">
        <v>500</v>
      </c>
      <c r="M2203">
        <v>499</v>
      </c>
      <c r="N2203">
        <v>1</v>
      </c>
      <c r="O2203">
        <v>29805.088073288902</v>
      </c>
      <c r="P2203">
        <v>0</v>
      </c>
    </row>
    <row r="2204" spans="1:16" x14ac:dyDescent="0.2">
      <c r="A2204" s="3" t="s">
        <v>49</v>
      </c>
      <c r="B2204" s="3" t="s">
        <v>50</v>
      </c>
      <c r="C2204">
        <v>43</v>
      </c>
      <c r="D2204">
        <v>10000</v>
      </c>
      <c r="E2204">
        <v>499</v>
      </c>
      <c r="F2204">
        <v>1</v>
      </c>
      <c r="G2204">
        <v>10000</v>
      </c>
      <c r="H2204">
        <v>2.2493099999999999E-4</v>
      </c>
      <c r="I2204">
        <v>2720</v>
      </c>
      <c r="J2204">
        <v>2703</v>
      </c>
      <c r="K2204">
        <v>17</v>
      </c>
      <c r="L2204">
        <v>500</v>
      </c>
      <c r="M2204">
        <v>499</v>
      </c>
      <c r="N2204">
        <v>1</v>
      </c>
      <c r="O2204">
        <v>7280</v>
      </c>
      <c r="P2204">
        <v>1</v>
      </c>
    </row>
    <row r="2205" spans="1:16" x14ac:dyDescent="0.2">
      <c r="A2205" s="3" t="s">
        <v>49</v>
      </c>
      <c r="B2205" s="3" t="s">
        <v>50</v>
      </c>
      <c r="C2205">
        <v>15</v>
      </c>
      <c r="D2205">
        <v>10000</v>
      </c>
      <c r="E2205">
        <v>499</v>
      </c>
      <c r="F2205">
        <v>1</v>
      </c>
      <c r="G2205">
        <v>10000</v>
      </c>
      <c r="H2205">
        <v>2.24537E-4</v>
      </c>
      <c r="I2205">
        <v>2712</v>
      </c>
      <c r="J2205">
        <v>2694</v>
      </c>
      <c r="K2205">
        <v>18</v>
      </c>
      <c r="L2205">
        <v>500</v>
      </c>
      <c r="M2205">
        <v>499</v>
      </c>
      <c r="N2205">
        <v>1</v>
      </c>
      <c r="O2205">
        <v>7288</v>
      </c>
      <c r="P2205">
        <v>1</v>
      </c>
    </row>
    <row r="2206" spans="1:16" x14ac:dyDescent="0.2">
      <c r="A2206" s="3" t="s">
        <v>49</v>
      </c>
      <c r="B2206" s="3" t="s">
        <v>50</v>
      </c>
      <c r="C2206">
        <v>23</v>
      </c>
      <c r="D2206">
        <v>10000</v>
      </c>
      <c r="E2206">
        <v>499</v>
      </c>
      <c r="F2206">
        <v>1</v>
      </c>
      <c r="G2206">
        <v>10000</v>
      </c>
      <c r="H2206">
        <v>2.2445399999999999E-4</v>
      </c>
      <c r="I2206">
        <v>2680</v>
      </c>
      <c r="J2206">
        <v>2658</v>
      </c>
      <c r="K2206">
        <v>22</v>
      </c>
      <c r="L2206">
        <v>500</v>
      </c>
      <c r="M2206">
        <v>499</v>
      </c>
      <c r="N2206">
        <v>1</v>
      </c>
      <c r="O2206">
        <v>7320</v>
      </c>
      <c r="P2206">
        <v>1</v>
      </c>
    </row>
    <row r="2207" spans="1:16" x14ac:dyDescent="0.2">
      <c r="A2207" s="3" t="s">
        <v>49</v>
      </c>
      <c r="B2207" s="3" t="s">
        <v>50</v>
      </c>
      <c r="C2207">
        <v>12</v>
      </c>
      <c r="D2207">
        <v>10000</v>
      </c>
      <c r="E2207">
        <v>499</v>
      </c>
      <c r="F2207">
        <v>1</v>
      </c>
      <c r="G2207">
        <v>10000</v>
      </c>
      <c r="H2207">
        <v>2.24198E-4</v>
      </c>
      <c r="I2207">
        <v>2738</v>
      </c>
      <c r="J2207">
        <v>2721</v>
      </c>
      <c r="K2207">
        <v>17</v>
      </c>
      <c r="L2207">
        <v>500</v>
      </c>
      <c r="M2207">
        <v>499</v>
      </c>
      <c r="N2207">
        <v>1</v>
      </c>
      <c r="O2207">
        <v>7262</v>
      </c>
      <c r="P2207">
        <v>1</v>
      </c>
    </row>
    <row r="2208" spans="1:16" x14ac:dyDescent="0.2">
      <c r="A2208" s="3" t="s">
        <v>49</v>
      </c>
      <c r="B2208" s="3" t="s">
        <v>50</v>
      </c>
      <c r="C2208">
        <v>32</v>
      </c>
      <c r="D2208">
        <v>10000</v>
      </c>
      <c r="E2208">
        <v>499</v>
      </c>
      <c r="F2208">
        <v>1</v>
      </c>
      <c r="G2208">
        <v>39482.677260513999</v>
      </c>
      <c r="H2208">
        <v>2.24088E-4</v>
      </c>
      <c r="I2208">
        <v>2702</v>
      </c>
      <c r="J2208">
        <v>2673</v>
      </c>
      <c r="K2208">
        <v>29</v>
      </c>
      <c r="L2208">
        <v>500</v>
      </c>
      <c r="M2208">
        <v>499</v>
      </c>
      <c r="N2208">
        <v>1</v>
      </c>
      <c r="O2208">
        <v>29804.031927418899</v>
      </c>
      <c r="P2208">
        <v>0</v>
      </c>
    </row>
    <row r="2209" spans="1:16" x14ac:dyDescent="0.2">
      <c r="A2209" s="3" t="s">
        <v>49</v>
      </c>
      <c r="B2209" s="3" t="s">
        <v>50</v>
      </c>
      <c r="C2209">
        <v>15</v>
      </c>
      <c r="D2209">
        <v>10000</v>
      </c>
      <c r="E2209">
        <v>499</v>
      </c>
      <c r="F2209">
        <v>1</v>
      </c>
      <c r="G2209">
        <v>39482.677260513999</v>
      </c>
      <c r="H2209">
        <v>2.2388599999999999E-4</v>
      </c>
      <c r="I2209">
        <v>2662</v>
      </c>
      <c r="J2209">
        <v>2641</v>
      </c>
      <c r="K2209">
        <v>21</v>
      </c>
      <c r="L2209">
        <v>500</v>
      </c>
      <c r="M2209">
        <v>499</v>
      </c>
      <c r="N2209">
        <v>1</v>
      </c>
      <c r="O2209">
        <v>29860.675107236701</v>
      </c>
      <c r="P2209">
        <v>0</v>
      </c>
    </row>
    <row r="2210" spans="1:16" x14ac:dyDescent="0.2">
      <c r="A2210" s="3" t="s">
        <v>49</v>
      </c>
      <c r="B2210" s="3" t="s">
        <v>50</v>
      </c>
      <c r="C2210">
        <v>29</v>
      </c>
      <c r="D2210">
        <v>10000</v>
      </c>
      <c r="E2210">
        <v>499</v>
      </c>
      <c r="F2210">
        <v>1</v>
      </c>
      <c r="G2210">
        <v>39482.677260513999</v>
      </c>
      <c r="H2210">
        <v>2.2328100000000001E-4</v>
      </c>
      <c r="I2210">
        <v>2685</v>
      </c>
      <c r="J2210">
        <v>2667</v>
      </c>
      <c r="K2210">
        <v>18</v>
      </c>
      <c r="L2210">
        <v>500</v>
      </c>
      <c r="M2210">
        <v>499</v>
      </c>
      <c r="N2210">
        <v>1</v>
      </c>
      <c r="O2210">
        <v>29916.134804079498</v>
      </c>
      <c r="P2210">
        <v>0</v>
      </c>
    </row>
    <row r="2211" spans="1:16" x14ac:dyDescent="0.2">
      <c r="A2211" s="3" t="s">
        <v>49</v>
      </c>
      <c r="B2211" s="3" t="s">
        <v>50</v>
      </c>
      <c r="C2211">
        <v>36</v>
      </c>
      <c r="D2211">
        <v>10000</v>
      </c>
      <c r="E2211">
        <v>499</v>
      </c>
      <c r="F2211">
        <v>1</v>
      </c>
      <c r="G2211">
        <v>10000</v>
      </c>
      <c r="H2211">
        <v>2.2311600000000001E-4</v>
      </c>
      <c r="I2211">
        <v>2708</v>
      </c>
      <c r="J2211">
        <v>2686</v>
      </c>
      <c r="K2211">
        <v>22</v>
      </c>
      <c r="L2211">
        <v>500</v>
      </c>
      <c r="M2211">
        <v>499</v>
      </c>
      <c r="N2211">
        <v>1</v>
      </c>
      <c r="O2211">
        <v>7292</v>
      </c>
      <c r="P2211">
        <v>1</v>
      </c>
    </row>
    <row r="2212" spans="1:16" x14ac:dyDescent="0.2">
      <c r="A2212" s="3" t="s">
        <v>49</v>
      </c>
      <c r="B2212" s="3" t="s">
        <v>50</v>
      </c>
      <c r="C2212">
        <v>4</v>
      </c>
      <c r="D2212">
        <v>10000</v>
      </c>
      <c r="E2212">
        <v>499</v>
      </c>
      <c r="F2212">
        <v>1</v>
      </c>
      <c r="G2212">
        <v>39482.677260513999</v>
      </c>
      <c r="H2212">
        <v>2.2306999999999999E-4</v>
      </c>
      <c r="I2212">
        <v>2687</v>
      </c>
      <c r="J2212">
        <v>2675</v>
      </c>
      <c r="K2212">
        <v>12</v>
      </c>
      <c r="L2212">
        <v>500</v>
      </c>
      <c r="M2212">
        <v>499</v>
      </c>
      <c r="N2212">
        <v>1</v>
      </c>
      <c r="O2212">
        <v>29871.447311904001</v>
      </c>
      <c r="P2212">
        <v>0</v>
      </c>
    </row>
    <row r="2213" spans="1:16" x14ac:dyDescent="0.2">
      <c r="A2213" s="3" t="s">
        <v>49</v>
      </c>
      <c r="B2213" s="3" t="s">
        <v>50</v>
      </c>
      <c r="C2213">
        <v>30</v>
      </c>
      <c r="D2213">
        <v>10000</v>
      </c>
      <c r="E2213">
        <v>499</v>
      </c>
      <c r="F2213">
        <v>1</v>
      </c>
      <c r="G2213">
        <v>39482.677260513999</v>
      </c>
      <c r="H2213">
        <v>2.22804E-4</v>
      </c>
      <c r="I2213">
        <v>2690</v>
      </c>
      <c r="J2213">
        <v>2663</v>
      </c>
      <c r="K2213">
        <v>27</v>
      </c>
      <c r="L2213">
        <v>500</v>
      </c>
      <c r="M2213">
        <v>499</v>
      </c>
      <c r="N2213">
        <v>1</v>
      </c>
      <c r="O2213">
        <v>29919.033553616999</v>
      </c>
      <c r="P2213">
        <v>0</v>
      </c>
    </row>
    <row r="2214" spans="1:16" x14ac:dyDescent="0.2">
      <c r="A2214" s="3" t="s">
        <v>49</v>
      </c>
      <c r="B2214" s="3" t="s">
        <v>50</v>
      </c>
      <c r="C2214">
        <v>40</v>
      </c>
      <c r="D2214">
        <v>10000</v>
      </c>
      <c r="E2214">
        <v>499</v>
      </c>
      <c r="F2214">
        <v>1</v>
      </c>
      <c r="G2214">
        <v>10000</v>
      </c>
      <c r="H2214">
        <v>2.2270300000000001E-4</v>
      </c>
      <c r="I2214">
        <v>2686</v>
      </c>
      <c r="J2214">
        <v>2662</v>
      </c>
      <c r="K2214">
        <v>24</v>
      </c>
      <c r="L2214">
        <v>500</v>
      </c>
      <c r="M2214">
        <v>499</v>
      </c>
      <c r="N2214">
        <v>1</v>
      </c>
      <c r="O2214">
        <v>7314</v>
      </c>
      <c r="P2214">
        <v>1</v>
      </c>
    </row>
    <row r="2215" spans="1:16" x14ac:dyDescent="0.2">
      <c r="A2215" s="3" t="s">
        <v>49</v>
      </c>
      <c r="B2215" s="3" t="s">
        <v>50</v>
      </c>
      <c r="C2215">
        <v>17</v>
      </c>
      <c r="D2215">
        <v>10000</v>
      </c>
      <c r="E2215">
        <v>499</v>
      </c>
      <c r="F2215">
        <v>1</v>
      </c>
      <c r="G2215">
        <v>10000</v>
      </c>
      <c r="H2215">
        <v>2.22117E-4</v>
      </c>
      <c r="I2215">
        <v>2715</v>
      </c>
      <c r="J2215">
        <v>2691</v>
      </c>
      <c r="K2215">
        <v>24</v>
      </c>
      <c r="L2215">
        <v>500</v>
      </c>
      <c r="M2215">
        <v>499</v>
      </c>
      <c r="N2215">
        <v>1</v>
      </c>
      <c r="O2215">
        <v>7285</v>
      </c>
      <c r="P2215">
        <v>1</v>
      </c>
    </row>
    <row r="2216" spans="1:16" x14ac:dyDescent="0.2">
      <c r="A2216" s="3" t="s">
        <v>49</v>
      </c>
      <c r="B2216" s="3" t="s">
        <v>50</v>
      </c>
      <c r="C2216">
        <v>16</v>
      </c>
      <c r="D2216">
        <v>10000</v>
      </c>
      <c r="E2216">
        <v>499</v>
      </c>
      <c r="F2216">
        <v>1</v>
      </c>
      <c r="G2216">
        <v>10000</v>
      </c>
      <c r="H2216">
        <v>2.2177699999999999E-4</v>
      </c>
      <c r="I2216">
        <v>2704</v>
      </c>
      <c r="J2216">
        <v>2681</v>
      </c>
      <c r="K2216">
        <v>23</v>
      </c>
      <c r="L2216">
        <v>500</v>
      </c>
      <c r="M2216">
        <v>499</v>
      </c>
      <c r="N2216">
        <v>1</v>
      </c>
      <c r="O2216">
        <v>7296</v>
      </c>
      <c r="P2216">
        <v>1</v>
      </c>
    </row>
    <row r="2217" spans="1:16" x14ac:dyDescent="0.2">
      <c r="A2217" s="3" t="s">
        <v>49</v>
      </c>
      <c r="B2217" s="3" t="s">
        <v>50</v>
      </c>
      <c r="C2217">
        <v>9</v>
      </c>
      <c r="D2217">
        <v>10000</v>
      </c>
      <c r="E2217">
        <v>499</v>
      </c>
      <c r="F2217">
        <v>1</v>
      </c>
      <c r="G2217">
        <v>10000</v>
      </c>
      <c r="H2217">
        <v>2.2175E-4</v>
      </c>
      <c r="I2217">
        <v>2709</v>
      </c>
      <c r="J2217">
        <v>2690</v>
      </c>
      <c r="K2217">
        <v>19</v>
      </c>
      <c r="L2217">
        <v>500</v>
      </c>
      <c r="M2217">
        <v>499</v>
      </c>
      <c r="N2217">
        <v>1</v>
      </c>
      <c r="O2217">
        <v>7291</v>
      </c>
      <c r="P2217">
        <v>1</v>
      </c>
    </row>
    <row r="2218" spans="1:16" x14ac:dyDescent="0.2">
      <c r="A2218" s="3" t="s">
        <v>49</v>
      </c>
      <c r="B2218" s="3" t="s">
        <v>50</v>
      </c>
      <c r="C2218">
        <v>22</v>
      </c>
      <c r="D2218">
        <v>10000</v>
      </c>
      <c r="E2218">
        <v>499</v>
      </c>
      <c r="F2218">
        <v>1</v>
      </c>
      <c r="G2218">
        <v>39482.677260513999</v>
      </c>
      <c r="H2218">
        <v>2.2145699999999999E-4</v>
      </c>
      <c r="I2218">
        <v>2704</v>
      </c>
      <c r="J2218">
        <v>2676</v>
      </c>
      <c r="K2218">
        <v>28</v>
      </c>
      <c r="L2218">
        <v>500</v>
      </c>
      <c r="M2218">
        <v>499</v>
      </c>
      <c r="N2218">
        <v>1</v>
      </c>
      <c r="O2218">
        <v>29822.780865545901</v>
      </c>
      <c r="P2218">
        <v>0</v>
      </c>
    </row>
    <row r="2219" spans="1:16" x14ac:dyDescent="0.2">
      <c r="A2219" s="3" t="s">
        <v>49</v>
      </c>
      <c r="B2219" s="3" t="s">
        <v>50</v>
      </c>
      <c r="C2219">
        <v>40</v>
      </c>
      <c r="D2219">
        <v>10000</v>
      </c>
      <c r="E2219">
        <v>499</v>
      </c>
      <c r="F2219">
        <v>1</v>
      </c>
      <c r="G2219">
        <v>39482.677260513999</v>
      </c>
      <c r="H2219">
        <v>2.2139300000000001E-4</v>
      </c>
      <c r="I2219">
        <v>2676</v>
      </c>
      <c r="J2219">
        <v>2663</v>
      </c>
      <c r="K2219">
        <v>13</v>
      </c>
      <c r="L2219">
        <v>500</v>
      </c>
      <c r="M2219">
        <v>499</v>
      </c>
      <c r="N2219">
        <v>1</v>
      </c>
      <c r="O2219">
        <v>29935.314877443099</v>
      </c>
      <c r="P2219">
        <v>0</v>
      </c>
    </row>
    <row r="2220" spans="1:16" x14ac:dyDescent="0.2">
      <c r="A2220" s="3" t="s">
        <v>49</v>
      </c>
      <c r="B2220" s="3" t="s">
        <v>50</v>
      </c>
      <c r="C2220">
        <v>7</v>
      </c>
      <c r="D2220">
        <v>10000</v>
      </c>
      <c r="E2220">
        <v>499</v>
      </c>
      <c r="F2220">
        <v>1</v>
      </c>
      <c r="G2220">
        <v>39482.677260513999</v>
      </c>
      <c r="H2220">
        <v>2.2108100000000001E-4</v>
      </c>
      <c r="I2220">
        <v>2679</v>
      </c>
      <c r="J2220">
        <v>2655</v>
      </c>
      <c r="K2220">
        <v>24</v>
      </c>
      <c r="L2220">
        <v>500</v>
      </c>
      <c r="M2220">
        <v>499</v>
      </c>
      <c r="N2220">
        <v>1</v>
      </c>
      <c r="O2220">
        <v>29925.234588252199</v>
      </c>
      <c r="P2220">
        <v>0</v>
      </c>
    </row>
    <row r="2221" spans="1:16" x14ac:dyDescent="0.2">
      <c r="A2221" s="3" t="s">
        <v>49</v>
      </c>
      <c r="B2221" s="3" t="s">
        <v>50</v>
      </c>
      <c r="C2221">
        <v>32</v>
      </c>
      <c r="D2221">
        <v>10000</v>
      </c>
      <c r="E2221">
        <v>499</v>
      </c>
      <c r="F2221">
        <v>1</v>
      </c>
      <c r="G2221">
        <v>10000</v>
      </c>
      <c r="H2221">
        <v>2.2075999999999999E-4</v>
      </c>
      <c r="I2221">
        <v>2677</v>
      </c>
      <c r="J2221">
        <v>2661</v>
      </c>
      <c r="K2221">
        <v>16</v>
      </c>
      <c r="L2221">
        <v>500</v>
      </c>
      <c r="M2221">
        <v>499</v>
      </c>
      <c r="N2221">
        <v>1</v>
      </c>
      <c r="O2221">
        <v>7323</v>
      </c>
      <c r="P2221">
        <v>1</v>
      </c>
    </row>
    <row r="2222" spans="1:16" x14ac:dyDescent="0.2">
      <c r="A2222" s="3" t="s">
        <v>49</v>
      </c>
      <c r="B2222" s="3" t="s">
        <v>50</v>
      </c>
      <c r="C2222">
        <v>14</v>
      </c>
      <c r="D2222">
        <v>10000</v>
      </c>
      <c r="E2222">
        <v>499</v>
      </c>
      <c r="F2222">
        <v>1</v>
      </c>
      <c r="G2222">
        <v>39482.677260513999</v>
      </c>
      <c r="H2222">
        <v>2.2052199999999999E-4</v>
      </c>
      <c r="I2222">
        <v>2707</v>
      </c>
      <c r="J2222">
        <v>2683</v>
      </c>
      <c r="K2222">
        <v>24</v>
      </c>
      <c r="L2222">
        <v>500</v>
      </c>
      <c r="M2222">
        <v>499</v>
      </c>
      <c r="N2222">
        <v>1</v>
      </c>
      <c r="O2222">
        <v>29809.741781970199</v>
      </c>
      <c r="P2222">
        <v>0</v>
      </c>
    </row>
    <row r="2223" spans="1:16" x14ac:dyDescent="0.2">
      <c r="A2223" s="3" t="s">
        <v>49</v>
      </c>
      <c r="B2223" s="3" t="s">
        <v>50</v>
      </c>
      <c r="C2223">
        <v>6</v>
      </c>
      <c r="D2223">
        <v>10000</v>
      </c>
      <c r="E2223">
        <v>499</v>
      </c>
      <c r="F2223">
        <v>1</v>
      </c>
      <c r="G2223">
        <v>10000</v>
      </c>
      <c r="H2223">
        <v>2.2006400000000001E-4</v>
      </c>
      <c r="I2223">
        <v>2695</v>
      </c>
      <c r="J2223">
        <v>2682</v>
      </c>
      <c r="K2223">
        <v>13</v>
      </c>
      <c r="L2223">
        <v>500</v>
      </c>
      <c r="M2223">
        <v>499</v>
      </c>
      <c r="N2223">
        <v>1</v>
      </c>
      <c r="O2223">
        <v>7305</v>
      </c>
      <c r="P2223">
        <v>1</v>
      </c>
    </row>
  </sheetData>
  <phoneticPr fontId="10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5933-911B-4164-ABE2-F6FB1CE1264B}">
  <sheetPr codeName="Planilha3"/>
  <dimension ref="A1:S3301"/>
  <sheetViews>
    <sheetView topLeftCell="A1087" workbookViewId="0">
      <selection activeCell="G1" sqref="G1"/>
    </sheetView>
  </sheetViews>
  <sheetFormatPr defaultRowHeight="12.75" x14ac:dyDescent="0.2"/>
  <cols>
    <col min="1" max="1" width="18.33203125" bestFit="1" customWidth="1"/>
    <col min="2" max="2" width="13.33203125" bestFit="1" customWidth="1"/>
    <col min="3" max="3" width="7.6640625" bestFit="1" customWidth="1"/>
    <col min="4" max="4" width="10.83203125" bestFit="1" customWidth="1"/>
    <col min="5" max="5" width="14.83203125" bestFit="1" customWidth="1"/>
    <col min="6" max="6" width="15.1640625" bestFit="1" customWidth="1"/>
    <col min="7" max="7" width="12.5" bestFit="1" customWidth="1"/>
    <col min="8" max="9" width="18" bestFit="1" customWidth="1"/>
    <col min="10" max="11" width="21.33203125" bestFit="1" customWidth="1"/>
    <col min="12" max="12" width="16.5" bestFit="1" customWidth="1"/>
    <col min="13" max="14" width="19.6640625" bestFit="1" customWidth="1"/>
    <col min="15" max="15" width="13.33203125" bestFit="1" customWidth="1"/>
    <col min="16" max="16" width="32.6640625" bestFit="1" customWidth="1"/>
    <col min="17" max="17" width="15.6640625" bestFit="1" customWidth="1"/>
    <col min="18" max="18" width="9.1640625" bestFit="1" customWidth="1"/>
    <col min="19" max="19" width="8.6640625" bestFit="1" customWidth="1"/>
    <col min="20" max="20" width="12.6640625" bestFit="1" customWidth="1"/>
    <col min="21" max="21" width="11.5" bestFit="1" customWidth="1"/>
    <col min="22" max="22" width="14.1640625" bestFit="1" customWidth="1"/>
    <col min="23" max="23" width="14.5" bestFit="1" customWidth="1"/>
    <col min="24" max="24" width="11" bestFit="1" customWidth="1"/>
    <col min="25" max="25" width="9.5" bestFit="1" customWidth="1"/>
    <col min="26" max="26" width="12.1640625" bestFit="1" customWidth="1"/>
    <col min="27" max="27" width="12.5" bestFit="1" customWidth="1"/>
    <col min="28" max="28" width="12.6640625" bestFit="1" customWidth="1"/>
    <col min="29" max="29" width="18.1640625" bestFit="1" customWidth="1"/>
    <col min="30" max="30" width="16.5" bestFit="1" customWidth="1"/>
    <col min="31" max="31" width="11.1640625" bestFit="1" customWidth="1"/>
    <col min="32" max="32" width="14" bestFit="1" customWidth="1"/>
    <col min="33" max="33" width="13.5" bestFit="1" customWidth="1"/>
    <col min="34" max="34" width="15.6640625" bestFit="1" customWidth="1"/>
    <col min="35" max="35" width="9.1640625" bestFit="1" customWidth="1"/>
    <col min="36" max="36" width="15.33203125" bestFit="1" customWidth="1"/>
  </cols>
  <sheetData>
    <row r="1" spans="1:19" x14ac:dyDescent="0.2">
      <c r="A1" t="s">
        <v>30</v>
      </c>
      <c r="B1" t="s">
        <v>20</v>
      </c>
      <c r="C1" t="s">
        <v>31</v>
      </c>
      <c r="D1" t="s">
        <v>12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53</v>
      </c>
      <c r="Q1" t="s">
        <v>14</v>
      </c>
      <c r="R1" t="s">
        <v>15</v>
      </c>
      <c r="S1" t="s">
        <v>56</v>
      </c>
    </row>
    <row r="2" spans="1:19" x14ac:dyDescent="0.2">
      <c r="A2" s="3" t="s">
        <v>54</v>
      </c>
      <c r="B2" s="3" t="s">
        <v>55</v>
      </c>
      <c r="C2">
        <v>23</v>
      </c>
      <c r="D2">
        <v>20000</v>
      </c>
      <c r="E2">
        <v>499</v>
      </c>
      <c r="F2">
        <v>1</v>
      </c>
      <c r="G2">
        <v>82302.7524576211</v>
      </c>
      <c r="H2">
        <v>3.4666452639999998</v>
      </c>
      <c r="I2">
        <v>15511</v>
      </c>
      <c r="J2">
        <v>4976</v>
      </c>
      <c r="K2">
        <v>10535</v>
      </c>
      <c r="L2">
        <v>500</v>
      </c>
      <c r="M2">
        <v>499</v>
      </c>
      <c r="N2">
        <v>1</v>
      </c>
      <c r="O2">
        <v>18452.814170806301</v>
      </c>
      <c r="P2" s="3" t="s">
        <v>52</v>
      </c>
      <c r="Q2">
        <v>50</v>
      </c>
      <c r="R2">
        <v>0.999</v>
      </c>
      <c r="S2">
        <v>0</v>
      </c>
    </row>
    <row r="3" spans="1:19" x14ac:dyDescent="0.2">
      <c r="A3" s="3" t="s">
        <v>54</v>
      </c>
      <c r="B3" s="3" t="s">
        <v>55</v>
      </c>
      <c r="C3">
        <v>15</v>
      </c>
      <c r="D3">
        <v>19000</v>
      </c>
      <c r="E3">
        <v>499</v>
      </c>
      <c r="F3">
        <v>1</v>
      </c>
      <c r="G3">
        <v>84218.384375429901</v>
      </c>
      <c r="H3">
        <v>3.4530600370000002</v>
      </c>
      <c r="I3">
        <v>15272</v>
      </c>
      <c r="J3">
        <v>4779</v>
      </c>
      <c r="K3">
        <v>10493</v>
      </c>
      <c r="L3">
        <v>500</v>
      </c>
      <c r="M3">
        <v>499</v>
      </c>
      <c r="N3">
        <v>1</v>
      </c>
      <c r="O3">
        <v>16789.0215565824</v>
      </c>
      <c r="P3" s="3" t="s">
        <v>50</v>
      </c>
      <c r="Q3">
        <v>50</v>
      </c>
      <c r="R3">
        <v>0.999</v>
      </c>
      <c r="S3">
        <v>0</v>
      </c>
    </row>
    <row r="4" spans="1:19" x14ac:dyDescent="0.2">
      <c r="A4" s="3" t="s">
        <v>54</v>
      </c>
      <c r="B4" s="3" t="s">
        <v>55</v>
      </c>
      <c r="C4">
        <v>45</v>
      </c>
      <c r="D4">
        <v>19000</v>
      </c>
      <c r="E4">
        <v>499</v>
      </c>
      <c r="F4">
        <v>1</v>
      </c>
      <c r="G4">
        <v>84218.384375429901</v>
      </c>
      <c r="H4">
        <v>3.420676759</v>
      </c>
      <c r="I4">
        <v>15251</v>
      </c>
      <c r="J4">
        <v>4773</v>
      </c>
      <c r="K4">
        <v>10478</v>
      </c>
      <c r="L4">
        <v>500</v>
      </c>
      <c r="M4">
        <v>499</v>
      </c>
      <c r="N4">
        <v>1</v>
      </c>
      <c r="O4">
        <v>16812.1589572265</v>
      </c>
      <c r="P4" s="3" t="s">
        <v>52</v>
      </c>
      <c r="Q4">
        <v>50</v>
      </c>
      <c r="R4">
        <v>0.999</v>
      </c>
      <c r="S4">
        <v>0</v>
      </c>
    </row>
    <row r="5" spans="1:19" x14ac:dyDescent="0.2">
      <c r="A5" s="3" t="s">
        <v>54</v>
      </c>
      <c r="B5" s="3" t="s">
        <v>55</v>
      </c>
      <c r="C5">
        <v>32</v>
      </c>
      <c r="D5">
        <v>18000</v>
      </c>
      <c r="E5">
        <v>499</v>
      </c>
      <c r="F5">
        <v>1</v>
      </c>
      <c r="G5">
        <v>75479.649376234796</v>
      </c>
      <c r="H5">
        <v>3.3420189520000001</v>
      </c>
      <c r="I5">
        <v>14912</v>
      </c>
      <c r="J5">
        <v>4600</v>
      </c>
      <c r="K5">
        <v>10312</v>
      </c>
      <c r="L5">
        <v>500</v>
      </c>
      <c r="M5">
        <v>499</v>
      </c>
      <c r="N5">
        <v>1</v>
      </c>
      <c r="O5">
        <v>12086.192001895801</v>
      </c>
      <c r="P5" s="3" t="s">
        <v>52</v>
      </c>
      <c r="Q5">
        <v>50</v>
      </c>
      <c r="R5">
        <v>0.999</v>
      </c>
      <c r="S5">
        <v>0</v>
      </c>
    </row>
    <row r="6" spans="1:19" x14ac:dyDescent="0.2">
      <c r="A6" s="3" t="s">
        <v>54</v>
      </c>
      <c r="B6" s="3" t="s">
        <v>55</v>
      </c>
      <c r="C6">
        <v>47</v>
      </c>
      <c r="D6">
        <v>17000</v>
      </c>
      <c r="E6">
        <v>499</v>
      </c>
      <c r="F6">
        <v>1</v>
      </c>
      <c r="G6">
        <v>65872.258119671897</v>
      </c>
      <c r="H6">
        <v>3.2668123320000002</v>
      </c>
      <c r="I6">
        <v>14520</v>
      </c>
      <c r="J6">
        <v>4535</v>
      </c>
      <c r="K6">
        <v>9985</v>
      </c>
      <c r="L6">
        <v>500</v>
      </c>
      <c r="M6">
        <v>499</v>
      </c>
      <c r="N6">
        <v>1</v>
      </c>
      <c r="O6">
        <v>9017.4574442363992</v>
      </c>
      <c r="P6" s="3" t="s">
        <v>50</v>
      </c>
      <c r="Q6">
        <v>50</v>
      </c>
      <c r="R6">
        <v>0.999</v>
      </c>
      <c r="S6">
        <v>0</v>
      </c>
    </row>
    <row r="7" spans="1:19" x14ac:dyDescent="0.2">
      <c r="A7" s="3" t="s">
        <v>54</v>
      </c>
      <c r="B7" s="3" t="s">
        <v>55</v>
      </c>
      <c r="C7">
        <v>4</v>
      </c>
      <c r="D7">
        <v>17000</v>
      </c>
      <c r="E7">
        <v>499</v>
      </c>
      <c r="F7">
        <v>1</v>
      </c>
      <c r="G7">
        <v>65872.258119671897</v>
      </c>
      <c r="H7">
        <v>3.260990348</v>
      </c>
      <c r="I7">
        <v>14492</v>
      </c>
      <c r="J7">
        <v>4501</v>
      </c>
      <c r="K7">
        <v>9991</v>
      </c>
      <c r="L7">
        <v>500</v>
      </c>
      <c r="M7">
        <v>499</v>
      </c>
      <c r="N7">
        <v>1</v>
      </c>
      <c r="O7">
        <v>9061.1674927987006</v>
      </c>
      <c r="P7" s="3" t="s">
        <v>50</v>
      </c>
      <c r="Q7">
        <v>50</v>
      </c>
      <c r="R7">
        <v>0.999</v>
      </c>
      <c r="S7">
        <v>0</v>
      </c>
    </row>
    <row r="8" spans="1:19" x14ac:dyDescent="0.2">
      <c r="A8" s="3" t="s">
        <v>54</v>
      </c>
      <c r="B8" s="3" t="s">
        <v>55</v>
      </c>
      <c r="C8">
        <v>50</v>
      </c>
      <c r="D8">
        <v>15000</v>
      </c>
      <c r="E8">
        <v>499</v>
      </c>
      <c r="F8">
        <v>1</v>
      </c>
      <c r="G8">
        <v>60572.237308582698</v>
      </c>
      <c r="H8">
        <v>3.1373120459999999</v>
      </c>
      <c r="I8">
        <v>13644</v>
      </c>
      <c r="J8">
        <v>4181</v>
      </c>
      <c r="K8">
        <v>9463</v>
      </c>
      <c r="L8">
        <v>500</v>
      </c>
      <c r="M8">
        <v>499</v>
      </c>
      <c r="N8">
        <v>1</v>
      </c>
      <c r="O8">
        <v>4901.9311712496001</v>
      </c>
      <c r="P8" s="3" t="s">
        <v>52</v>
      </c>
      <c r="Q8">
        <v>50</v>
      </c>
      <c r="R8">
        <v>0.999</v>
      </c>
      <c r="S8">
        <v>0</v>
      </c>
    </row>
    <row r="9" spans="1:19" x14ac:dyDescent="0.2">
      <c r="A9" s="3" t="s">
        <v>54</v>
      </c>
      <c r="B9" s="3" t="s">
        <v>55</v>
      </c>
      <c r="C9">
        <v>20</v>
      </c>
      <c r="D9">
        <v>14000</v>
      </c>
      <c r="E9">
        <v>499</v>
      </c>
      <c r="F9">
        <v>1</v>
      </c>
      <c r="G9">
        <v>58565.0323707059</v>
      </c>
      <c r="H9">
        <v>3.059204174</v>
      </c>
      <c r="I9">
        <v>13140</v>
      </c>
      <c r="J9">
        <v>3871</v>
      </c>
      <c r="K9">
        <v>9269</v>
      </c>
      <c r="L9">
        <v>500</v>
      </c>
      <c r="M9">
        <v>499</v>
      </c>
      <c r="N9">
        <v>1</v>
      </c>
      <c r="O9">
        <v>3208.476357478</v>
      </c>
      <c r="P9" s="3" t="s">
        <v>52</v>
      </c>
      <c r="Q9">
        <v>50</v>
      </c>
      <c r="R9">
        <v>0.999</v>
      </c>
      <c r="S9">
        <v>0</v>
      </c>
    </row>
    <row r="10" spans="1:19" x14ac:dyDescent="0.2">
      <c r="A10" s="3" t="s">
        <v>54</v>
      </c>
      <c r="B10" s="3" t="s">
        <v>55</v>
      </c>
      <c r="C10">
        <v>10</v>
      </c>
      <c r="D10">
        <v>18000</v>
      </c>
      <c r="E10">
        <v>499</v>
      </c>
      <c r="F10">
        <v>1</v>
      </c>
      <c r="G10">
        <v>18000</v>
      </c>
      <c r="H10">
        <v>2.9895488270000001</v>
      </c>
      <c r="I10">
        <v>14781</v>
      </c>
      <c r="J10">
        <v>5249</v>
      </c>
      <c r="K10">
        <v>9532</v>
      </c>
      <c r="L10">
        <v>500</v>
      </c>
      <c r="M10">
        <v>499</v>
      </c>
      <c r="N10">
        <v>1</v>
      </c>
      <c r="O10">
        <v>3219</v>
      </c>
      <c r="P10" s="3" t="s">
        <v>51</v>
      </c>
      <c r="Q10">
        <v>50</v>
      </c>
      <c r="R10">
        <v>0.999</v>
      </c>
      <c r="S10">
        <v>1</v>
      </c>
    </row>
    <row r="11" spans="1:19" x14ac:dyDescent="0.2">
      <c r="A11" s="3" t="s">
        <v>54</v>
      </c>
      <c r="B11" s="3" t="s">
        <v>55</v>
      </c>
      <c r="C11">
        <v>2</v>
      </c>
      <c r="D11">
        <v>10000</v>
      </c>
      <c r="E11">
        <v>499</v>
      </c>
      <c r="F11">
        <v>1</v>
      </c>
      <c r="G11">
        <v>10000</v>
      </c>
      <c r="H11">
        <v>2.9532365280000001</v>
      </c>
      <c r="I11">
        <v>10000</v>
      </c>
      <c r="J11">
        <v>3588</v>
      </c>
      <c r="K11">
        <v>6412</v>
      </c>
      <c r="L11">
        <v>500</v>
      </c>
      <c r="M11">
        <v>499</v>
      </c>
      <c r="N11">
        <v>1</v>
      </c>
      <c r="O11">
        <v>0</v>
      </c>
      <c r="P11" s="3" t="s">
        <v>50</v>
      </c>
      <c r="Q11">
        <v>50</v>
      </c>
      <c r="R11">
        <v>0.999</v>
      </c>
      <c r="S11">
        <v>1</v>
      </c>
    </row>
    <row r="12" spans="1:19" x14ac:dyDescent="0.2">
      <c r="A12" s="3" t="s">
        <v>54</v>
      </c>
      <c r="B12" s="3" t="s">
        <v>55</v>
      </c>
      <c r="C12">
        <v>26</v>
      </c>
      <c r="D12">
        <v>20000</v>
      </c>
      <c r="E12">
        <v>499</v>
      </c>
      <c r="F12">
        <v>1</v>
      </c>
      <c r="G12">
        <v>82302.7524576211</v>
      </c>
      <c r="H12">
        <v>0.64346124500000002</v>
      </c>
      <c r="I12">
        <v>15545</v>
      </c>
      <c r="J12">
        <v>4943</v>
      </c>
      <c r="K12">
        <v>10602</v>
      </c>
      <c r="L12">
        <v>500</v>
      </c>
      <c r="M12">
        <v>499</v>
      </c>
      <c r="N12">
        <v>1</v>
      </c>
      <c r="O12">
        <v>18380.941494271799</v>
      </c>
      <c r="P12" s="3" t="s">
        <v>52</v>
      </c>
      <c r="Q12">
        <v>50</v>
      </c>
      <c r="R12">
        <v>0.999</v>
      </c>
      <c r="S12">
        <v>0</v>
      </c>
    </row>
    <row r="13" spans="1:19" x14ac:dyDescent="0.2">
      <c r="A13" s="3" t="s">
        <v>54</v>
      </c>
      <c r="B13" s="3" t="s">
        <v>55</v>
      </c>
      <c r="C13">
        <v>26</v>
      </c>
      <c r="D13">
        <v>20000</v>
      </c>
      <c r="E13">
        <v>499</v>
      </c>
      <c r="F13">
        <v>1</v>
      </c>
      <c r="G13">
        <v>82302.7524576211</v>
      </c>
      <c r="H13">
        <v>0.63358985199999995</v>
      </c>
      <c r="I13">
        <v>15543</v>
      </c>
      <c r="J13">
        <v>4990</v>
      </c>
      <c r="K13">
        <v>10553</v>
      </c>
      <c r="L13">
        <v>500</v>
      </c>
      <c r="M13">
        <v>499</v>
      </c>
      <c r="N13">
        <v>1</v>
      </c>
      <c r="O13">
        <v>18580.435481481501</v>
      </c>
      <c r="P13" s="3" t="s">
        <v>50</v>
      </c>
      <c r="Q13">
        <v>50</v>
      </c>
      <c r="R13">
        <v>0.999</v>
      </c>
      <c r="S13">
        <v>0</v>
      </c>
    </row>
    <row r="14" spans="1:19" x14ac:dyDescent="0.2">
      <c r="A14" s="3" t="s">
        <v>54</v>
      </c>
      <c r="B14" s="3" t="s">
        <v>55</v>
      </c>
      <c r="C14">
        <v>32</v>
      </c>
      <c r="D14">
        <v>20000</v>
      </c>
      <c r="E14">
        <v>499</v>
      </c>
      <c r="F14">
        <v>1</v>
      </c>
      <c r="G14">
        <v>82302.7524576211</v>
      </c>
      <c r="H14">
        <v>0.57415544299999999</v>
      </c>
      <c r="I14">
        <v>15524</v>
      </c>
      <c r="J14">
        <v>4954</v>
      </c>
      <c r="K14">
        <v>10570</v>
      </c>
      <c r="L14">
        <v>500</v>
      </c>
      <c r="M14">
        <v>499</v>
      </c>
      <c r="N14">
        <v>1</v>
      </c>
      <c r="O14">
        <v>18458.960798953602</v>
      </c>
      <c r="P14" s="3" t="s">
        <v>50</v>
      </c>
      <c r="Q14">
        <v>50</v>
      </c>
      <c r="R14">
        <v>0.999</v>
      </c>
      <c r="S14">
        <v>0</v>
      </c>
    </row>
    <row r="15" spans="1:19" x14ac:dyDescent="0.2">
      <c r="A15" s="3" t="s">
        <v>54</v>
      </c>
      <c r="B15" s="3" t="s">
        <v>55</v>
      </c>
      <c r="C15">
        <v>4</v>
      </c>
      <c r="D15">
        <v>20000</v>
      </c>
      <c r="E15">
        <v>499</v>
      </c>
      <c r="F15">
        <v>1</v>
      </c>
      <c r="G15">
        <v>82302.7524576211</v>
      </c>
      <c r="H15">
        <v>0.56980294099999995</v>
      </c>
      <c r="I15">
        <v>15547</v>
      </c>
      <c r="J15">
        <v>4934</v>
      </c>
      <c r="K15">
        <v>10613</v>
      </c>
      <c r="L15">
        <v>500</v>
      </c>
      <c r="M15">
        <v>499</v>
      </c>
      <c r="N15">
        <v>1</v>
      </c>
      <c r="O15">
        <v>18499.903272242798</v>
      </c>
      <c r="P15" s="3" t="s">
        <v>50</v>
      </c>
      <c r="Q15">
        <v>50</v>
      </c>
      <c r="R15">
        <v>0.999</v>
      </c>
      <c r="S15">
        <v>0</v>
      </c>
    </row>
    <row r="16" spans="1:19" x14ac:dyDescent="0.2">
      <c r="A16" s="3" t="s">
        <v>54</v>
      </c>
      <c r="B16" s="3" t="s">
        <v>55</v>
      </c>
      <c r="C16">
        <v>27</v>
      </c>
      <c r="D16">
        <v>20000</v>
      </c>
      <c r="E16">
        <v>499</v>
      </c>
      <c r="F16">
        <v>1</v>
      </c>
      <c r="G16">
        <v>82302.7524576211</v>
      </c>
      <c r="H16">
        <v>0.56399180699999996</v>
      </c>
      <c r="I16">
        <v>15496</v>
      </c>
      <c r="J16">
        <v>4914</v>
      </c>
      <c r="K16">
        <v>10582</v>
      </c>
      <c r="L16">
        <v>500</v>
      </c>
      <c r="M16">
        <v>499</v>
      </c>
      <c r="N16">
        <v>1</v>
      </c>
      <c r="O16">
        <v>18457.921070892098</v>
      </c>
      <c r="P16" s="3" t="s">
        <v>50</v>
      </c>
      <c r="Q16">
        <v>50</v>
      </c>
      <c r="R16">
        <v>0.999</v>
      </c>
      <c r="S16">
        <v>0</v>
      </c>
    </row>
    <row r="17" spans="1:19" x14ac:dyDescent="0.2">
      <c r="A17" s="3" t="s">
        <v>54</v>
      </c>
      <c r="B17" s="3" t="s">
        <v>55</v>
      </c>
      <c r="C17">
        <v>8</v>
      </c>
      <c r="D17">
        <v>20000</v>
      </c>
      <c r="E17">
        <v>499</v>
      </c>
      <c r="F17">
        <v>1</v>
      </c>
      <c r="G17">
        <v>82302.7524576211</v>
      </c>
      <c r="H17">
        <v>0.56334733800000003</v>
      </c>
      <c r="I17">
        <v>15536</v>
      </c>
      <c r="J17">
        <v>4947</v>
      </c>
      <c r="K17">
        <v>10589</v>
      </c>
      <c r="L17">
        <v>500</v>
      </c>
      <c r="M17">
        <v>499</v>
      </c>
      <c r="N17">
        <v>1</v>
      </c>
      <c r="O17">
        <v>18377.985307120998</v>
      </c>
      <c r="P17" s="3" t="s">
        <v>50</v>
      </c>
      <c r="Q17">
        <v>50</v>
      </c>
      <c r="R17">
        <v>0.999</v>
      </c>
      <c r="S17">
        <v>0</v>
      </c>
    </row>
    <row r="18" spans="1:19" x14ac:dyDescent="0.2">
      <c r="A18" s="3" t="s">
        <v>54</v>
      </c>
      <c r="B18" s="3" t="s">
        <v>55</v>
      </c>
      <c r="C18">
        <v>27</v>
      </c>
      <c r="D18">
        <v>20000</v>
      </c>
      <c r="E18">
        <v>499</v>
      </c>
      <c r="F18">
        <v>1</v>
      </c>
      <c r="G18">
        <v>82302.7524576211</v>
      </c>
      <c r="H18">
        <v>0.56329441800000002</v>
      </c>
      <c r="I18">
        <v>15456</v>
      </c>
      <c r="J18">
        <v>4862</v>
      </c>
      <c r="K18">
        <v>10594</v>
      </c>
      <c r="L18">
        <v>500</v>
      </c>
      <c r="M18">
        <v>499</v>
      </c>
      <c r="N18">
        <v>1</v>
      </c>
      <c r="O18">
        <v>18674.537963153602</v>
      </c>
      <c r="P18" s="3" t="s">
        <v>52</v>
      </c>
      <c r="Q18">
        <v>50</v>
      </c>
      <c r="R18">
        <v>0.999</v>
      </c>
      <c r="S18">
        <v>0</v>
      </c>
    </row>
    <row r="19" spans="1:19" x14ac:dyDescent="0.2">
      <c r="A19" s="3" t="s">
        <v>54</v>
      </c>
      <c r="B19" s="3" t="s">
        <v>55</v>
      </c>
      <c r="C19">
        <v>32</v>
      </c>
      <c r="D19">
        <v>20000</v>
      </c>
      <c r="E19">
        <v>499</v>
      </c>
      <c r="F19">
        <v>1</v>
      </c>
      <c r="G19">
        <v>82302.7524576211</v>
      </c>
      <c r="H19">
        <v>0.56283213600000004</v>
      </c>
      <c r="I19">
        <v>15558</v>
      </c>
      <c r="J19">
        <v>4930</v>
      </c>
      <c r="K19">
        <v>10628</v>
      </c>
      <c r="L19">
        <v>500</v>
      </c>
      <c r="M19">
        <v>499</v>
      </c>
      <c r="N19">
        <v>1</v>
      </c>
      <c r="O19">
        <v>18425.102375062801</v>
      </c>
      <c r="P19" s="3" t="s">
        <v>52</v>
      </c>
      <c r="Q19">
        <v>50</v>
      </c>
      <c r="R19">
        <v>0.999</v>
      </c>
      <c r="S19">
        <v>0</v>
      </c>
    </row>
    <row r="20" spans="1:19" x14ac:dyDescent="0.2">
      <c r="A20" s="3" t="s">
        <v>54</v>
      </c>
      <c r="B20" s="3" t="s">
        <v>55</v>
      </c>
      <c r="C20">
        <v>28</v>
      </c>
      <c r="D20">
        <v>20000</v>
      </c>
      <c r="E20">
        <v>499</v>
      </c>
      <c r="F20">
        <v>1</v>
      </c>
      <c r="G20">
        <v>82302.7524576211</v>
      </c>
      <c r="H20">
        <v>0.56151109399999999</v>
      </c>
      <c r="I20">
        <v>15520</v>
      </c>
      <c r="J20">
        <v>4958</v>
      </c>
      <c r="K20">
        <v>10562</v>
      </c>
      <c r="L20">
        <v>500</v>
      </c>
      <c r="M20">
        <v>499</v>
      </c>
      <c r="N20">
        <v>1</v>
      </c>
      <c r="O20">
        <v>18483.304325170699</v>
      </c>
      <c r="P20" s="3" t="s">
        <v>50</v>
      </c>
      <c r="Q20">
        <v>50</v>
      </c>
      <c r="R20">
        <v>0.999</v>
      </c>
      <c r="S20">
        <v>0</v>
      </c>
    </row>
    <row r="21" spans="1:19" x14ac:dyDescent="0.2">
      <c r="A21" s="3" t="s">
        <v>54</v>
      </c>
      <c r="B21" s="3" t="s">
        <v>55</v>
      </c>
      <c r="C21">
        <v>20</v>
      </c>
      <c r="D21">
        <v>20000</v>
      </c>
      <c r="E21">
        <v>499</v>
      </c>
      <c r="F21">
        <v>1</v>
      </c>
      <c r="G21">
        <v>82302.7524576211</v>
      </c>
      <c r="H21">
        <v>0.56085947599999997</v>
      </c>
      <c r="I21">
        <v>15509</v>
      </c>
      <c r="J21">
        <v>4912</v>
      </c>
      <c r="K21">
        <v>10597</v>
      </c>
      <c r="L21">
        <v>500</v>
      </c>
      <c r="M21">
        <v>499</v>
      </c>
      <c r="N21">
        <v>1</v>
      </c>
      <c r="O21">
        <v>18505.805029895098</v>
      </c>
      <c r="P21" s="3" t="s">
        <v>50</v>
      </c>
      <c r="Q21">
        <v>50</v>
      </c>
      <c r="R21">
        <v>0.999</v>
      </c>
      <c r="S21">
        <v>0</v>
      </c>
    </row>
    <row r="22" spans="1:19" x14ac:dyDescent="0.2">
      <c r="A22" s="3" t="s">
        <v>54</v>
      </c>
      <c r="B22" s="3" t="s">
        <v>55</v>
      </c>
      <c r="C22">
        <v>10</v>
      </c>
      <c r="D22">
        <v>20000</v>
      </c>
      <c r="E22">
        <v>499</v>
      </c>
      <c r="F22">
        <v>1</v>
      </c>
      <c r="G22">
        <v>82302.7524576211</v>
      </c>
      <c r="H22">
        <v>0.55935357900000005</v>
      </c>
      <c r="I22">
        <v>15521</v>
      </c>
      <c r="J22">
        <v>4880</v>
      </c>
      <c r="K22">
        <v>10641</v>
      </c>
      <c r="L22">
        <v>500</v>
      </c>
      <c r="M22">
        <v>499</v>
      </c>
      <c r="N22">
        <v>1</v>
      </c>
      <c r="O22">
        <v>18441.587499801499</v>
      </c>
      <c r="P22" s="3" t="s">
        <v>50</v>
      </c>
      <c r="Q22">
        <v>50</v>
      </c>
      <c r="R22">
        <v>0.999</v>
      </c>
      <c r="S22">
        <v>0</v>
      </c>
    </row>
    <row r="23" spans="1:19" x14ac:dyDescent="0.2">
      <c r="A23" s="3" t="s">
        <v>54</v>
      </c>
      <c r="B23" s="3" t="s">
        <v>55</v>
      </c>
      <c r="C23">
        <v>28</v>
      </c>
      <c r="D23">
        <v>20000</v>
      </c>
      <c r="E23">
        <v>499</v>
      </c>
      <c r="F23">
        <v>1</v>
      </c>
      <c r="G23">
        <v>82302.7524576211</v>
      </c>
      <c r="H23">
        <v>0.55836493200000004</v>
      </c>
      <c r="I23">
        <v>15504</v>
      </c>
      <c r="J23">
        <v>4936</v>
      </c>
      <c r="K23">
        <v>10568</v>
      </c>
      <c r="L23">
        <v>500</v>
      </c>
      <c r="M23">
        <v>499</v>
      </c>
      <c r="N23">
        <v>1</v>
      </c>
      <c r="O23">
        <v>18450.552744768898</v>
      </c>
      <c r="P23" s="3" t="s">
        <v>52</v>
      </c>
      <c r="Q23">
        <v>50</v>
      </c>
      <c r="R23">
        <v>0.999</v>
      </c>
      <c r="S23">
        <v>0</v>
      </c>
    </row>
    <row r="24" spans="1:19" x14ac:dyDescent="0.2">
      <c r="A24" s="3" t="s">
        <v>54</v>
      </c>
      <c r="B24" s="3" t="s">
        <v>55</v>
      </c>
      <c r="C24">
        <v>42</v>
      </c>
      <c r="D24">
        <v>20000</v>
      </c>
      <c r="E24">
        <v>499</v>
      </c>
      <c r="F24">
        <v>1</v>
      </c>
      <c r="G24">
        <v>82302.7524576211</v>
      </c>
      <c r="H24">
        <v>0.55421220800000004</v>
      </c>
      <c r="I24">
        <v>15526</v>
      </c>
      <c r="J24">
        <v>4933</v>
      </c>
      <c r="K24">
        <v>10593</v>
      </c>
      <c r="L24">
        <v>500</v>
      </c>
      <c r="M24">
        <v>499</v>
      </c>
      <c r="N24">
        <v>1</v>
      </c>
      <c r="O24">
        <v>18478.4130355124</v>
      </c>
      <c r="P24" s="3" t="s">
        <v>50</v>
      </c>
      <c r="Q24">
        <v>50</v>
      </c>
      <c r="R24">
        <v>0.999</v>
      </c>
      <c r="S24">
        <v>0</v>
      </c>
    </row>
    <row r="25" spans="1:19" x14ac:dyDescent="0.2">
      <c r="A25" s="3" t="s">
        <v>54</v>
      </c>
      <c r="B25" s="3" t="s">
        <v>55</v>
      </c>
      <c r="C25">
        <v>30</v>
      </c>
      <c r="D25">
        <v>20000</v>
      </c>
      <c r="E25">
        <v>499</v>
      </c>
      <c r="F25">
        <v>1</v>
      </c>
      <c r="G25">
        <v>82302.7524576211</v>
      </c>
      <c r="H25">
        <v>0.55157635900000002</v>
      </c>
      <c r="I25">
        <v>15543</v>
      </c>
      <c r="J25">
        <v>4997</v>
      </c>
      <c r="K25">
        <v>10546</v>
      </c>
      <c r="L25">
        <v>500</v>
      </c>
      <c r="M25">
        <v>499</v>
      </c>
      <c r="N25">
        <v>1</v>
      </c>
      <c r="O25">
        <v>18256.491454678198</v>
      </c>
      <c r="P25" s="3" t="s">
        <v>52</v>
      </c>
      <c r="Q25">
        <v>50</v>
      </c>
      <c r="R25">
        <v>0.999</v>
      </c>
      <c r="S25">
        <v>0</v>
      </c>
    </row>
    <row r="26" spans="1:19" x14ac:dyDescent="0.2">
      <c r="A26" s="3" t="s">
        <v>54</v>
      </c>
      <c r="B26" s="3" t="s">
        <v>55</v>
      </c>
      <c r="C26">
        <v>5</v>
      </c>
      <c r="D26">
        <v>20000</v>
      </c>
      <c r="E26">
        <v>499</v>
      </c>
      <c r="F26">
        <v>1</v>
      </c>
      <c r="G26">
        <v>82302.7524576211</v>
      </c>
      <c r="H26">
        <v>0.54899626199999996</v>
      </c>
      <c r="I26">
        <v>15545</v>
      </c>
      <c r="J26">
        <v>4951</v>
      </c>
      <c r="K26">
        <v>10594</v>
      </c>
      <c r="L26">
        <v>500</v>
      </c>
      <c r="M26">
        <v>499</v>
      </c>
      <c r="N26">
        <v>1</v>
      </c>
      <c r="O26">
        <v>18355.3499427356</v>
      </c>
      <c r="P26" s="3" t="s">
        <v>50</v>
      </c>
      <c r="Q26">
        <v>50</v>
      </c>
      <c r="R26">
        <v>0.999</v>
      </c>
      <c r="S26">
        <v>0</v>
      </c>
    </row>
    <row r="27" spans="1:19" x14ac:dyDescent="0.2">
      <c r="A27" s="3" t="s">
        <v>54</v>
      </c>
      <c r="B27" s="3" t="s">
        <v>55</v>
      </c>
      <c r="C27">
        <v>2</v>
      </c>
      <c r="D27">
        <v>20000</v>
      </c>
      <c r="E27">
        <v>499</v>
      </c>
      <c r="F27">
        <v>1</v>
      </c>
      <c r="G27">
        <v>82302.7524576211</v>
      </c>
      <c r="H27">
        <v>0.548047324</v>
      </c>
      <c r="I27">
        <v>15526</v>
      </c>
      <c r="J27">
        <v>4972</v>
      </c>
      <c r="K27">
        <v>10554</v>
      </c>
      <c r="L27">
        <v>500</v>
      </c>
      <c r="M27">
        <v>499</v>
      </c>
      <c r="N27">
        <v>1</v>
      </c>
      <c r="O27">
        <v>18421.324825470001</v>
      </c>
      <c r="P27" s="3" t="s">
        <v>50</v>
      </c>
      <c r="Q27">
        <v>50</v>
      </c>
      <c r="R27">
        <v>0.999</v>
      </c>
      <c r="S27">
        <v>0</v>
      </c>
    </row>
    <row r="28" spans="1:19" x14ac:dyDescent="0.2">
      <c r="A28" s="3" t="s">
        <v>54</v>
      </c>
      <c r="B28" s="3" t="s">
        <v>55</v>
      </c>
      <c r="C28">
        <v>43</v>
      </c>
      <c r="D28">
        <v>20000</v>
      </c>
      <c r="E28">
        <v>499</v>
      </c>
      <c r="F28">
        <v>1</v>
      </c>
      <c r="G28">
        <v>82302.7524576211</v>
      </c>
      <c r="H28">
        <v>0.54763068199999998</v>
      </c>
      <c r="I28">
        <v>15557</v>
      </c>
      <c r="J28">
        <v>4936</v>
      </c>
      <c r="K28">
        <v>10621</v>
      </c>
      <c r="L28">
        <v>500</v>
      </c>
      <c r="M28">
        <v>499</v>
      </c>
      <c r="N28">
        <v>1</v>
      </c>
      <c r="O28">
        <v>18415.0774511204</v>
      </c>
      <c r="P28" s="3" t="s">
        <v>52</v>
      </c>
      <c r="Q28">
        <v>50</v>
      </c>
      <c r="R28">
        <v>0.999</v>
      </c>
      <c r="S28">
        <v>0</v>
      </c>
    </row>
    <row r="29" spans="1:19" x14ac:dyDescent="0.2">
      <c r="A29" s="3" t="s">
        <v>54</v>
      </c>
      <c r="B29" s="3" t="s">
        <v>55</v>
      </c>
      <c r="C29">
        <v>40</v>
      </c>
      <c r="D29">
        <v>20000</v>
      </c>
      <c r="E29">
        <v>499</v>
      </c>
      <c r="F29">
        <v>1</v>
      </c>
      <c r="G29">
        <v>82302.7524576211</v>
      </c>
      <c r="H29">
        <v>0.54761848999999996</v>
      </c>
      <c r="I29">
        <v>15532</v>
      </c>
      <c r="J29">
        <v>4925</v>
      </c>
      <c r="K29">
        <v>10607</v>
      </c>
      <c r="L29">
        <v>500</v>
      </c>
      <c r="M29">
        <v>499</v>
      </c>
      <c r="N29">
        <v>1</v>
      </c>
      <c r="O29">
        <v>18351.8778888384</v>
      </c>
      <c r="P29" s="3" t="s">
        <v>50</v>
      </c>
      <c r="Q29">
        <v>50</v>
      </c>
      <c r="R29">
        <v>0.999</v>
      </c>
      <c r="S29">
        <v>0</v>
      </c>
    </row>
    <row r="30" spans="1:19" x14ac:dyDescent="0.2">
      <c r="A30" s="3" t="s">
        <v>54</v>
      </c>
      <c r="B30" s="3" t="s">
        <v>55</v>
      </c>
      <c r="C30">
        <v>6</v>
      </c>
      <c r="D30">
        <v>20000</v>
      </c>
      <c r="E30">
        <v>499</v>
      </c>
      <c r="F30">
        <v>1</v>
      </c>
      <c r="G30">
        <v>82302.7524576211</v>
      </c>
      <c r="H30">
        <v>0.54658629000000003</v>
      </c>
      <c r="I30">
        <v>15531</v>
      </c>
      <c r="J30">
        <v>4940</v>
      </c>
      <c r="K30">
        <v>10591</v>
      </c>
      <c r="L30">
        <v>500</v>
      </c>
      <c r="M30">
        <v>499</v>
      </c>
      <c r="N30">
        <v>1</v>
      </c>
      <c r="O30">
        <v>18416.231219253801</v>
      </c>
      <c r="P30" s="3" t="s">
        <v>52</v>
      </c>
      <c r="Q30">
        <v>50</v>
      </c>
      <c r="R30">
        <v>0.999</v>
      </c>
      <c r="S30">
        <v>0</v>
      </c>
    </row>
    <row r="31" spans="1:19" x14ac:dyDescent="0.2">
      <c r="A31" s="3" t="s">
        <v>54</v>
      </c>
      <c r="B31" s="3" t="s">
        <v>55</v>
      </c>
      <c r="C31">
        <v>17</v>
      </c>
      <c r="D31">
        <v>20000</v>
      </c>
      <c r="E31">
        <v>499</v>
      </c>
      <c r="F31">
        <v>1</v>
      </c>
      <c r="G31">
        <v>82302.7524576211</v>
      </c>
      <c r="H31">
        <v>0.54615504599999998</v>
      </c>
      <c r="I31">
        <v>15506</v>
      </c>
      <c r="J31">
        <v>4912</v>
      </c>
      <c r="K31">
        <v>10594</v>
      </c>
      <c r="L31">
        <v>500</v>
      </c>
      <c r="M31">
        <v>499</v>
      </c>
      <c r="N31">
        <v>1</v>
      </c>
      <c r="O31">
        <v>18433.112744702899</v>
      </c>
      <c r="P31" s="3" t="s">
        <v>50</v>
      </c>
      <c r="Q31">
        <v>50</v>
      </c>
      <c r="R31">
        <v>0.999</v>
      </c>
      <c r="S31">
        <v>0</v>
      </c>
    </row>
    <row r="32" spans="1:19" x14ac:dyDescent="0.2">
      <c r="A32" s="3" t="s">
        <v>54</v>
      </c>
      <c r="B32" s="3" t="s">
        <v>55</v>
      </c>
      <c r="C32">
        <v>14</v>
      </c>
      <c r="D32">
        <v>20000</v>
      </c>
      <c r="E32">
        <v>499</v>
      </c>
      <c r="F32">
        <v>1</v>
      </c>
      <c r="G32">
        <v>82302.7524576211</v>
      </c>
      <c r="H32">
        <v>0.54590491600000002</v>
      </c>
      <c r="I32">
        <v>15487</v>
      </c>
      <c r="J32">
        <v>4927</v>
      </c>
      <c r="K32">
        <v>10560</v>
      </c>
      <c r="L32">
        <v>500</v>
      </c>
      <c r="M32">
        <v>499</v>
      </c>
      <c r="N32">
        <v>1</v>
      </c>
      <c r="O32">
        <v>18462.321077689699</v>
      </c>
      <c r="P32" s="3" t="s">
        <v>52</v>
      </c>
      <c r="Q32">
        <v>50</v>
      </c>
      <c r="R32">
        <v>0.999</v>
      </c>
      <c r="S32">
        <v>0</v>
      </c>
    </row>
    <row r="33" spans="1:19" x14ac:dyDescent="0.2">
      <c r="A33" s="3" t="s">
        <v>54</v>
      </c>
      <c r="B33" s="3" t="s">
        <v>55</v>
      </c>
      <c r="C33">
        <v>15</v>
      </c>
      <c r="D33">
        <v>20000</v>
      </c>
      <c r="E33">
        <v>499</v>
      </c>
      <c r="F33">
        <v>1</v>
      </c>
      <c r="G33">
        <v>82302.7524576211</v>
      </c>
      <c r="H33">
        <v>0.545643604</v>
      </c>
      <c r="I33">
        <v>15508</v>
      </c>
      <c r="J33">
        <v>4908</v>
      </c>
      <c r="K33">
        <v>10600</v>
      </c>
      <c r="L33">
        <v>500</v>
      </c>
      <c r="M33">
        <v>499</v>
      </c>
      <c r="N33">
        <v>1</v>
      </c>
      <c r="O33">
        <v>18528.407467598299</v>
      </c>
      <c r="P33" s="3" t="s">
        <v>52</v>
      </c>
      <c r="Q33">
        <v>50</v>
      </c>
      <c r="R33">
        <v>0.999</v>
      </c>
      <c r="S33">
        <v>0</v>
      </c>
    </row>
    <row r="34" spans="1:19" x14ac:dyDescent="0.2">
      <c r="A34" s="3" t="s">
        <v>54</v>
      </c>
      <c r="B34" s="3" t="s">
        <v>55</v>
      </c>
      <c r="C34">
        <v>21</v>
      </c>
      <c r="D34">
        <v>20000</v>
      </c>
      <c r="E34">
        <v>499</v>
      </c>
      <c r="F34">
        <v>1</v>
      </c>
      <c r="G34">
        <v>82302.7524576211</v>
      </c>
      <c r="H34">
        <v>0.54352249699999999</v>
      </c>
      <c r="I34">
        <v>15542</v>
      </c>
      <c r="J34">
        <v>4957</v>
      </c>
      <c r="K34">
        <v>10585</v>
      </c>
      <c r="L34">
        <v>500</v>
      </c>
      <c r="M34">
        <v>499</v>
      </c>
      <c r="N34">
        <v>1</v>
      </c>
      <c r="O34">
        <v>18310.3914915526</v>
      </c>
      <c r="P34" s="3" t="s">
        <v>50</v>
      </c>
      <c r="Q34">
        <v>50</v>
      </c>
      <c r="R34">
        <v>0.999</v>
      </c>
      <c r="S34">
        <v>0</v>
      </c>
    </row>
    <row r="35" spans="1:19" x14ac:dyDescent="0.2">
      <c r="A35" s="3" t="s">
        <v>54</v>
      </c>
      <c r="B35" s="3" t="s">
        <v>55</v>
      </c>
      <c r="C35">
        <v>19</v>
      </c>
      <c r="D35">
        <v>20000</v>
      </c>
      <c r="E35">
        <v>499</v>
      </c>
      <c r="F35">
        <v>1</v>
      </c>
      <c r="G35">
        <v>82302.7524576211</v>
      </c>
      <c r="H35">
        <v>0.54345019999999999</v>
      </c>
      <c r="I35">
        <v>15555</v>
      </c>
      <c r="J35">
        <v>4962</v>
      </c>
      <c r="K35">
        <v>10593</v>
      </c>
      <c r="L35">
        <v>500</v>
      </c>
      <c r="M35">
        <v>499</v>
      </c>
      <c r="N35">
        <v>1</v>
      </c>
      <c r="O35">
        <v>18284.162440744101</v>
      </c>
      <c r="P35" s="3" t="s">
        <v>50</v>
      </c>
      <c r="Q35">
        <v>50</v>
      </c>
      <c r="R35">
        <v>0.999</v>
      </c>
      <c r="S35">
        <v>0</v>
      </c>
    </row>
    <row r="36" spans="1:19" x14ac:dyDescent="0.2">
      <c r="A36" s="3" t="s">
        <v>54</v>
      </c>
      <c r="B36" s="3" t="s">
        <v>55</v>
      </c>
      <c r="C36">
        <v>11</v>
      </c>
      <c r="D36">
        <v>20000</v>
      </c>
      <c r="E36">
        <v>499</v>
      </c>
      <c r="F36">
        <v>1</v>
      </c>
      <c r="G36">
        <v>82302.7524576211</v>
      </c>
      <c r="H36">
        <v>0.54309938300000005</v>
      </c>
      <c r="I36">
        <v>15537</v>
      </c>
      <c r="J36">
        <v>4925</v>
      </c>
      <c r="K36">
        <v>10612</v>
      </c>
      <c r="L36">
        <v>500</v>
      </c>
      <c r="M36">
        <v>499</v>
      </c>
      <c r="N36">
        <v>1</v>
      </c>
      <c r="O36">
        <v>18415.6408753912</v>
      </c>
      <c r="P36" s="3" t="s">
        <v>50</v>
      </c>
      <c r="Q36">
        <v>50</v>
      </c>
      <c r="R36">
        <v>0.999</v>
      </c>
      <c r="S36">
        <v>0</v>
      </c>
    </row>
    <row r="37" spans="1:19" x14ac:dyDescent="0.2">
      <c r="A37" s="3" t="s">
        <v>54</v>
      </c>
      <c r="B37" s="3" t="s">
        <v>55</v>
      </c>
      <c r="C37">
        <v>18</v>
      </c>
      <c r="D37">
        <v>20000</v>
      </c>
      <c r="E37">
        <v>499</v>
      </c>
      <c r="F37">
        <v>1</v>
      </c>
      <c r="G37">
        <v>82302.7524576211</v>
      </c>
      <c r="H37">
        <v>0.54229459899999999</v>
      </c>
      <c r="I37">
        <v>15536</v>
      </c>
      <c r="J37">
        <v>4943</v>
      </c>
      <c r="K37">
        <v>10593</v>
      </c>
      <c r="L37">
        <v>500</v>
      </c>
      <c r="M37">
        <v>499</v>
      </c>
      <c r="N37">
        <v>1</v>
      </c>
      <c r="O37">
        <v>18509.6438826183</v>
      </c>
      <c r="P37" s="3" t="s">
        <v>52</v>
      </c>
      <c r="Q37">
        <v>50</v>
      </c>
      <c r="R37">
        <v>0.999</v>
      </c>
      <c r="S37">
        <v>0</v>
      </c>
    </row>
    <row r="38" spans="1:19" x14ac:dyDescent="0.2">
      <c r="A38" s="3" t="s">
        <v>54</v>
      </c>
      <c r="B38" s="3" t="s">
        <v>55</v>
      </c>
      <c r="C38">
        <v>22</v>
      </c>
      <c r="D38">
        <v>20000</v>
      </c>
      <c r="E38">
        <v>499</v>
      </c>
      <c r="F38">
        <v>1</v>
      </c>
      <c r="G38">
        <v>82302.7524576211</v>
      </c>
      <c r="H38">
        <v>0.54198685499999999</v>
      </c>
      <c r="I38">
        <v>15540</v>
      </c>
      <c r="J38">
        <v>4960</v>
      </c>
      <c r="K38">
        <v>10580</v>
      </c>
      <c r="L38">
        <v>500</v>
      </c>
      <c r="M38">
        <v>499</v>
      </c>
      <c r="N38">
        <v>1</v>
      </c>
      <c r="O38">
        <v>18343.735717729702</v>
      </c>
      <c r="P38" s="3" t="s">
        <v>50</v>
      </c>
      <c r="Q38">
        <v>50</v>
      </c>
      <c r="R38">
        <v>0.999</v>
      </c>
      <c r="S38">
        <v>0</v>
      </c>
    </row>
    <row r="39" spans="1:19" x14ac:dyDescent="0.2">
      <c r="A39" s="3" t="s">
        <v>54</v>
      </c>
      <c r="B39" s="3" t="s">
        <v>55</v>
      </c>
      <c r="C39">
        <v>3</v>
      </c>
      <c r="D39">
        <v>20000</v>
      </c>
      <c r="E39">
        <v>499</v>
      </c>
      <c r="F39">
        <v>1</v>
      </c>
      <c r="G39">
        <v>82302.7524576211</v>
      </c>
      <c r="H39">
        <v>0.54179660299999999</v>
      </c>
      <c r="I39">
        <v>15510</v>
      </c>
      <c r="J39">
        <v>4939</v>
      </c>
      <c r="K39">
        <v>10571</v>
      </c>
      <c r="L39">
        <v>500</v>
      </c>
      <c r="M39">
        <v>499</v>
      </c>
      <c r="N39">
        <v>1</v>
      </c>
      <c r="O39">
        <v>18419.775448261698</v>
      </c>
      <c r="P39" s="3" t="s">
        <v>50</v>
      </c>
      <c r="Q39">
        <v>50</v>
      </c>
      <c r="R39">
        <v>0.999</v>
      </c>
      <c r="S39">
        <v>0</v>
      </c>
    </row>
    <row r="40" spans="1:19" x14ac:dyDescent="0.2">
      <c r="A40" s="3" t="s">
        <v>54</v>
      </c>
      <c r="B40" s="3" t="s">
        <v>55</v>
      </c>
      <c r="C40">
        <v>22</v>
      </c>
      <c r="D40">
        <v>20000</v>
      </c>
      <c r="E40">
        <v>499</v>
      </c>
      <c r="F40">
        <v>1</v>
      </c>
      <c r="G40">
        <v>82302.7524576211</v>
      </c>
      <c r="H40">
        <v>0.53978514099999997</v>
      </c>
      <c r="I40">
        <v>15513</v>
      </c>
      <c r="J40">
        <v>4944</v>
      </c>
      <c r="K40">
        <v>10569</v>
      </c>
      <c r="L40">
        <v>500</v>
      </c>
      <c r="M40">
        <v>499</v>
      </c>
      <c r="N40">
        <v>1</v>
      </c>
      <c r="O40">
        <v>18518.6585384596</v>
      </c>
      <c r="P40" s="3" t="s">
        <v>52</v>
      </c>
      <c r="Q40">
        <v>50</v>
      </c>
      <c r="R40">
        <v>0.999</v>
      </c>
      <c r="S40">
        <v>0</v>
      </c>
    </row>
    <row r="41" spans="1:19" x14ac:dyDescent="0.2">
      <c r="A41" s="3" t="s">
        <v>54</v>
      </c>
      <c r="B41" s="3" t="s">
        <v>55</v>
      </c>
      <c r="C41">
        <v>48</v>
      </c>
      <c r="D41">
        <v>20000</v>
      </c>
      <c r="E41">
        <v>499</v>
      </c>
      <c r="F41">
        <v>1</v>
      </c>
      <c r="G41">
        <v>82302.7524576211</v>
      </c>
      <c r="H41">
        <v>0.53931345399999997</v>
      </c>
      <c r="I41">
        <v>15510</v>
      </c>
      <c r="J41">
        <v>4918</v>
      </c>
      <c r="K41">
        <v>10592</v>
      </c>
      <c r="L41">
        <v>500</v>
      </c>
      <c r="M41">
        <v>499</v>
      </c>
      <c r="N41">
        <v>1</v>
      </c>
      <c r="O41">
        <v>18565.089799658501</v>
      </c>
      <c r="P41" s="3" t="s">
        <v>50</v>
      </c>
      <c r="Q41">
        <v>50</v>
      </c>
      <c r="R41">
        <v>0.999</v>
      </c>
      <c r="S41">
        <v>0</v>
      </c>
    </row>
    <row r="42" spans="1:19" x14ac:dyDescent="0.2">
      <c r="A42" s="3" t="s">
        <v>54</v>
      </c>
      <c r="B42" s="3" t="s">
        <v>55</v>
      </c>
      <c r="C42">
        <v>34</v>
      </c>
      <c r="D42">
        <v>20000</v>
      </c>
      <c r="E42">
        <v>499</v>
      </c>
      <c r="F42">
        <v>1</v>
      </c>
      <c r="G42">
        <v>82302.7524576211</v>
      </c>
      <c r="H42">
        <v>0.53915748200000002</v>
      </c>
      <c r="I42">
        <v>15508</v>
      </c>
      <c r="J42">
        <v>4915</v>
      </c>
      <c r="K42">
        <v>10593</v>
      </c>
      <c r="L42">
        <v>500</v>
      </c>
      <c r="M42">
        <v>499</v>
      </c>
      <c r="N42">
        <v>1</v>
      </c>
      <c r="O42">
        <v>18426.9874455842</v>
      </c>
      <c r="P42" s="3" t="s">
        <v>50</v>
      </c>
      <c r="Q42">
        <v>50</v>
      </c>
      <c r="R42">
        <v>0.999</v>
      </c>
      <c r="S42">
        <v>0</v>
      </c>
    </row>
    <row r="43" spans="1:19" x14ac:dyDescent="0.2">
      <c r="A43" s="3" t="s">
        <v>54</v>
      </c>
      <c r="B43" s="3" t="s">
        <v>55</v>
      </c>
      <c r="C43">
        <v>7</v>
      </c>
      <c r="D43">
        <v>20000</v>
      </c>
      <c r="E43">
        <v>499</v>
      </c>
      <c r="F43">
        <v>1</v>
      </c>
      <c r="G43">
        <v>82302.7524576211</v>
      </c>
      <c r="H43">
        <v>0.53892129600000005</v>
      </c>
      <c r="I43">
        <v>15541</v>
      </c>
      <c r="J43">
        <v>4880</v>
      </c>
      <c r="K43">
        <v>10661</v>
      </c>
      <c r="L43">
        <v>500</v>
      </c>
      <c r="M43">
        <v>499</v>
      </c>
      <c r="N43">
        <v>1</v>
      </c>
      <c r="O43">
        <v>18380.7695384293</v>
      </c>
      <c r="P43" s="3" t="s">
        <v>50</v>
      </c>
      <c r="Q43">
        <v>50</v>
      </c>
      <c r="R43">
        <v>0.999</v>
      </c>
      <c r="S43">
        <v>0</v>
      </c>
    </row>
    <row r="44" spans="1:19" x14ac:dyDescent="0.2">
      <c r="A44" s="3" t="s">
        <v>54</v>
      </c>
      <c r="B44" s="3" t="s">
        <v>55</v>
      </c>
      <c r="C44">
        <v>17</v>
      </c>
      <c r="D44">
        <v>20000</v>
      </c>
      <c r="E44">
        <v>499</v>
      </c>
      <c r="F44">
        <v>1</v>
      </c>
      <c r="G44">
        <v>82302.7524576211</v>
      </c>
      <c r="H44">
        <v>0.53881114100000005</v>
      </c>
      <c r="I44">
        <v>15527</v>
      </c>
      <c r="J44">
        <v>4937</v>
      </c>
      <c r="K44">
        <v>10590</v>
      </c>
      <c r="L44">
        <v>500</v>
      </c>
      <c r="M44">
        <v>499</v>
      </c>
      <c r="N44">
        <v>1</v>
      </c>
      <c r="O44">
        <v>18411.162432801098</v>
      </c>
      <c r="P44" s="3" t="s">
        <v>52</v>
      </c>
      <c r="Q44">
        <v>50</v>
      </c>
      <c r="R44">
        <v>0.999</v>
      </c>
      <c r="S44">
        <v>0</v>
      </c>
    </row>
    <row r="45" spans="1:19" x14ac:dyDescent="0.2">
      <c r="A45" s="3" t="s">
        <v>54</v>
      </c>
      <c r="B45" s="3" t="s">
        <v>55</v>
      </c>
      <c r="C45">
        <v>43</v>
      </c>
      <c r="D45">
        <v>20000</v>
      </c>
      <c r="E45">
        <v>499</v>
      </c>
      <c r="F45">
        <v>1</v>
      </c>
      <c r="G45">
        <v>82302.7524576211</v>
      </c>
      <c r="H45">
        <v>0.53823219099999997</v>
      </c>
      <c r="I45">
        <v>15507</v>
      </c>
      <c r="J45">
        <v>4961</v>
      </c>
      <c r="K45">
        <v>10546</v>
      </c>
      <c r="L45">
        <v>500</v>
      </c>
      <c r="M45">
        <v>499</v>
      </c>
      <c r="N45">
        <v>1</v>
      </c>
      <c r="O45">
        <v>18552.4594752392</v>
      </c>
      <c r="P45" s="3" t="s">
        <v>50</v>
      </c>
      <c r="Q45">
        <v>50</v>
      </c>
      <c r="R45">
        <v>0.999</v>
      </c>
      <c r="S45">
        <v>0</v>
      </c>
    </row>
    <row r="46" spans="1:19" x14ac:dyDescent="0.2">
      <c r="A46" s="3" t="s">
        <v>54</v>
      </c>
      <c r="B46" s="3" t="s">
        <v>55</v>
      </c>
      <c r="C46">
        <v>12</v>
      </c>
      <c r="D46">
        <v>20000</v>
      </c>
      <c r="E46">
        <v>499</v>
      </c>
      <c r="F46">
        <v>1</v>
      </c>
      <c r="G46">
        <v>82302.7524576211</v>
      </c>
      <c r="H46">
        <v>0.53820504199999997</v>
      </c>
      <c r="I46">
        <v>15544</v>
      </c>
      <c r="J46">
        <v>4943</v>
      </c>
      <c r="K46">
        <v>10601</v>
      </c>
      <c r="L46">
        <v>500</v>
      </c>
      <c r="M46">
        <v>499</v>
      </c>
      <c r="N46">
        <v>1</v>
      </c>
      <c r="O46">
        <v>18371.9624081566</v>
      </c>
      <c r="P46" s="3" t="s">
        <v>50</v>
      </c>
      <c r="Q46">
        <v>50</v>
      </c>
      <c r="R46">
        <v>0.999</v>
      </c>
      <c r="S46">
        <v>0</v>
      </c>
    </row>
    <row r="47" spans="1:19" x14ac:dyDescent="0.2">
      <c r="A47" s="3" t="s">
        <v>54</v>
      </c>
      <c r="B47" s="3" t="s">
        <v>55</v>
      </c>
      <c r="C47">
        <v>9</v>
      </c>
      <c r="D47">
        <v>20000</v>
      </c>
      <c r="E47">
        <v>499</v>
      </c>
      <c r="F47">
        <v>1</v>
      </c>
      <c r="G47">
        <v>82302.7524576211</v>
      </c>
      <c r="H47">
        <v>0.537896877</v>
      </c>
      <c r="I47">
        <v>15498</v>
      </c>
      <c r="J47">
        <v>4888</v>
      </c>
      <c r="K47">
        <v>10610</v>
      </c>
      <c r="L47">
        <v>500</v>
      </c>
      <c r="M47">
        <v>499</v>
      </c>
      <c r="N47">
        <v>1</v>
      </c>
      <c r="O47">
        <v>18468.634449717301</v>
      </c>
      <c r="P47" s="3" t="s">
        <v>52</v>
      </c>
      <c r="Q47">
        <v>50</v>
      </c>
      <c r="R47">
        <v>0.999</v>
      </c>
      <c r="S47">
        <v>0</v>
      </c>
    </row>
    <row r="48" spans="1:19" x14ac:dyDescent="0.2">
      <c r="A48" s="3" t="s">
        <v>54</v>
      </c>
      <c r="B48" s="3" t="s">
        <v>55</v>
      </c>
      <c r="C48">
        <v>48</v>
      </c>
      <c r="D48">
        <v>20000</v>
      </c>
      <c r="E48">
        <v>499</v>
      </c>
      <c r="F48">
        <v>1</v>
      </c>
      <c r="G48">
        <v>82302.7524576211</v>
      </c>
      <c r="H48">
        <v>0.53776489599999999</v>
      </c>
      <c r="I48">
        <v>15593</v>
      </c>
      <c r="J48">
        <v>4941</v>
      </c>
      <c r="K48">
        <v>10652</v>
      </c>
      <c r="L48">
        <v>500</v>
      </c>
      <c r="M48">
        <v>499</v>
      </c>
      <c r="N48">
        <v>1</v>
      </c>
      <c r="O48">
        <v>18253.747976213599</v>
      </c>
      <c r="P48" s="3" t="s">
        <v>52</v>
      </c>
      <c r="Q48">
        <v>50</v>
      </c>
      <c r="R48">
        <v>0.999</v>
      </c>
      <c r="S48">
        <v>0</v>
      </c>
    </row>
    <row r="49" spans="1:19" x14ac:dyDescent="0.2">
      <c r="A49" s="3" t="s">
        <v>54</v>
      </c>
      <c r="B49" s="3" t="s">
        <v>55</v>
      </c>
      <c r="C49">
        <v>4</v>
      </c>
      <c r="D49">
        <v>20000</v>
      </c>
      <c r="E49">
        <v>499</v>
      </c>
      <c r="F49">
        <v>1</v>
      </c>
      <c r="G49">
        <v>82302.7524576211</v>
      </c>
      <c r="H49">
        <v>0.537668755</v>
      </c>
      <c r="I49">
        <v>15504</v>
      </c>
      <c r="J49">
        <v>4929</v>
      </c>
      <c r="K49">
        <v>10575</v>
      </c>
      <c r="L49">
        <v>500</v>
      </c>
      <c r="M49">
        <v>499</v>
      </c>
      <c r="N49">
        <v>1</v>
      </c>
      <c r="O49">
        <v>18552.322917036901</v>
      </c>
      <c r="P49" s="3" t="s">
        <v>52</v>
      </c>
      <c r="Q49">
        <v>50</v>
      </c>
      <c r="R49">
        <v>0.999</v>
      </c>
      <c r="S49">
        <v>0</v>
      </c>
    </row>
    <row r="50" spans="1:19" x14ac:dyDescent="0.2">
      <c r="A50" s="3" t="s">
        <v>54</v>
      </c>
      <c r="B50" s="3" t="s">
        <v>55</v>
      </c>
      <c r="C50">
        <v>30</v>
      </c>
      <c r="D50">
        <v>20000</v>
      </c>
      <c r="E50">
        <v>499</v>
      </c>
      <c r="F50">
        <v>1</v>
      </c>
      <c r="G50">
        <v>82302.7524576211</v>
      </c>
      <c r="H50">
        <v>0.53746190199999999</v>
      </c>
      <c r="I50">
        <v>15555</v>
      </c>
      <c r="J50">
        <v>4947</v>
      </c>
      <c r="K50">
        <v>10608</v>
      </c>
      <c r="L50">
        <v>500</v>
      </c>
      <c r="M50">
        <v>499</v>
      </c>
      <c r="N50">
        <v>1</v>
      </c>
      <c r="O50">
        <v>18397.361659001901</v>
      </c>
      <c r="P50" s="3" t="s">
        <v>50</v>
      </c>
      <c r="Q50">
        <v>50</v>
      </c>
      <c r="R50">
        <v>0.999</v>
      </c>
      <c r="S50">
        <v>0</v>
      </c>
    </row>
    <row r="51" spans="1:19" x14ac:dyDescent="0.2">
      <c r="A51" s="3" t="s">
        <v>54</v>
      </c>
      <c r="B51" s="3" t="s">
        <v>55</v>
      </c>
      <c r="C51">
        <v>8</v>
      </c>
      <c r="D51">
        <v>20000</v>
      </c>
      <c r="E51">
        <v>499</v>
      </c>
      <c r="F51">
        <v>1</v>
      </c>
      <c r="G51">
        <v>82302.7524576211</v>
      </c>
      <c r="H51">
        <v>0.53735378199999995</v>
      </c>
      <c r="I51">
        <v>15557</v>
      </c>
      <c r="J51">
        <v>4947</v>
      </c>
      <c r="K51">
        <v>10610</v>
      </c>
      <c r="L51">
        <v>500</v>
      </c>
      <c r="M51">
        <v>499</v>
      </c>
      <c r="N51">
        <v>1</v>
      </c>
      <c r="O51">
        <v>18399.085257090301</v>
      </c>
      <c r="P51" s="3" t="s">
        <v>52</v>
      </c>
      <c r="Q51">
        <v>50</v>
      </c>
      <c r="R51">
        <v>0.999</v>
      </c>
      <c r="S51">
        <v>0</v>
      </c>
    </row>
    <row r="52" spans="1:19" x14ac:dyDescent="0.2">
      <c r="A52" s="3" t="s">
        <v>54</v>
      </c>
      <c r="B52" s="3" t="s">
        <v>55</v>
      </c>
      <c r="C52">
        <v>25</v>
      </c>
      <c r="D52">
        <v>20000</v>
      </c>
      <c r="E52">
        <v>499</v>
      </c>
      <c r="F52">
        <v>1</v>
      </c>
      <c r="G52">
        <v>82302.7524576211</v>
      </c>
      <c r="H52">
        <v>0.53669833099999997</v>
      </c>
      <c r="I52">
        <v>15504</v>
      </c>
      <c r="J52">
        <v>4930</v>
      </c>
      <c r="K52">
        <v>10574</v>
      </c>
      <c r="L52">
        <v>500</v>
      </c>
      <c r="M52">
        <v>499</v>
      </c>
      <c r="N52">
        <v>1</v>
      </c>
      <c r="O52">
        <v>18461.775031884601</v>
      </c>
      <c r="P52" s="3" t="s">
        <v>52</v>
      </c>
      <c r="Q52">
        <v>50</v>
      </c>
      <c r="R52">
        <v>0.999</v>
      </c>
      <c r="S52">
        <v>0</v>
      </c>
    </row>
    <row r="53" spans="1:19" x14ac:dyDescent="0.2">
      <c r="A53" s="3" t="s">
        <v>54</v>
      </c>
      <c r="B53" s="3" t="s">
        <v>55</v>
      </c>
      <c r="C53">
        <v>46</v>
      </c>
      <c r="D53">
        <v>20000</v>
      </c>
      <c r="E53">
        <v>499</v>
      </c>
      <c r="F53">
        <v>1</v>
      </c>
      <c r="G53">
        <v>82302.7524576211</v>
      </c>
      <c r="H53">
        <v>0.53623202400000003</v>
      </c>
      <c r="I53">
        <v>15536</v>
      </c>
      <c r="J53">
        <v>5000</v>
      </c>
      <c r="K53">
        <v>10536</v>
      </c>
      <c r="L53">
        <v>500</v>
      </c>
      <c r="M53">
        <v>499</v>
      </c>
      <c r="N53">
        <v>1</v>
      </c>
      <c r="O53">
        <v>18348.562177914198</v>
      </c>
      <c r="P53" s="3" t="s">
        <v>50</v>
      </c>
      <c r="Q53">
        <v>50</v>
      </c>
      <c r="R53">
        <v>0.999</v>
      </c>
      <c r="S53">
        <v>0</v>
      </c>
    </row>
    <row r="54" spans="1:19" x14ac:dyDescent="0.2">
      <c r="A54" s="3" t="s">
        <v>54</v>
      </c>
      <c r="B54" s="3" t="s">
        <v>55</v>
      </c>
      <c r="C54">
        <v>9</v>
      </c>
      <c r="D54">
        <v>20000</v>
      </c>
      <c r="E54">
        <v>499</v>
      </c>
      <c r="F54">
        <v>1</v>
      </c>
      <c r="G54">
        <v>82302.7524576211</v>
      </c>
      <c r="H54">
        <v>0.53591702200000002</v>
      </c>
      <c r="I54">
        <v>15541</v>
      </c>
      <c r="J54">
        <v>4978</v>
      </c>
      <c r="K54">
        <v>10563</v>
      </c>
      <c r="L54">
        <v>500</v>
      </c>
      <c r="M54">
        <v>499</v>
      </c>
      <c r="N54">
        <v>1</v>
      </c>
      <c r="O54">
        <v>18271.0132128886</v>
      </c>
      <c r="P54" s="3" t="s">
        <v>50</v>
      </c>
      <c r="Q54">
        <v>50</v>
      </c>
      <c r="R54">
        <v>0.999</v>
      </c>
      <c r="S54">
        <v>0</v>
      </c>
    </row>
    <row r="55" spans="1:19" x14ac:dyDescent="0.2">
      <c r="A55" s="3" t="s">
        <v>54</v>
      </c>
      <c r="B55" s="3" t="s">
        <v>55</v>
      </c>
      <c r="C55">
        <v>25</v>
      </c>
      <c r="D55">
        <v>20000</v>
      </c>
      <c r="E55">
        <v>499</v>
      </c>
      <c r="F55">
        <v>1</v>
      </c>
      <c r="G55">
        <v>82302.7524576211</v>
      </c>
      <c r="H55">
        <v>0.53543522399999999</v>
      </c>
      <c r="I55">
        <v>15518</v>
      </c>
      <c r="J55">
        <v>4932</v>
      </c>
      <c r="K55">
        <v>10586</v>
      </c>
      <c r="L55">
        <v>500</v>
      </c>
      <c r="M55">
        <v>499</v>
      </c>
      <c r="N55">
        <v>1</v>
      </c>
      <c r="O55">
        <v>18553.023957814399</v>
      </c>
      <c r="P55" s="3" t="s">
        <v>50</v>
      </c>
      <c r="Q55">
        <v>50</v>
      </c>
      <c r="R55">
        <v>0.999</v>
      </c>
      <c r="S55">
        <v>0</v>
      </c>
    </row>
    <row r="56" spans="1:19" x14ac:dyDescent="0.2">
      <c r="A56" s="3" t="s">
        <v>54</v>
      </c>
      <c r="B56" s="3" t="s">
        <v>55</v>
      </c>
      <c r="C56">
        <v>12</v>
      </c>
      <c r="D56">
        <v>20000</v>
      </c>
      <c r="E56">
        <v>499</v>
      </c>
      <c r="F56">
        <v>1</v>
      </c>
      <c r="G56">
        <v>82302.7524576211</v>
      </c>
      <c r="H56">
        <v>0.53541614900000001</v>
      </c>
      <c r="I56">
        <v>15492</v>
      </c>
      <c r="J56">
        <v>4943</v>
      </c>
      <c r="K56">
        <v>10549</v>
      </c>
      <c r="L56">
        <v>500</v>
      </c>
      <c r="M56">
        <v>499</v>
      </c>
      <c r="N56">
        <v>1</v>
      </c>
      <c r="O56">
        <v>18435.4337234218</v>
      </c>
      <c r="P56" s="3" t="s">
        <v>52</v>
      </c>
      <c r="Q56">
        <v>50</v>
      </c>
      <c r="R56">
        <v>0.999</v>
      </c>
      <c r="S56">
        <v>0</v>
      </c>
    </row>
    <row r="57" spans="1:19" x14ac:dyDescent="0.2">
      <c r="A57" s="3" t="s">
        <v>54</v>
      </c>
      <c r="B57" s="3" t="s">
        <v>55</v>
      </c>
      <c r="C57">
        <v>15</v>
      </c>
      <c r="D57">
        <v>20000</v>
      </c>
      <c r="E57">
        <v>499</v>
      </c>
      <c r="F57">
        <v>1</v>
      </c>
      <c r="G57">
        <v>82302.7524576211</v>
      </c>
      <c r="H57">
        <v>0.53465558199999996</v>
      </c>
      <c r="I57">
        <v>15534</v>
      </c>
      <c r="J57">
        <v>4955</v>
      </c>
      <c r="K57">
        <v>10579</v>
      </c>
      <c r="L57">
        <v>500</v>
      </c>
      <c r="M57">
        <v>499</v>
      </c>
      <c r="N57">
        <v>1</v>
      </c>
      <c r="O57">
        <v>18398.480828187599</v>
      </c>
      <c r="P57" s="3" t="s">
        <v>50</v>
      </c>
      <c r="Q57">
        <v>50</v>
      </c>
      <c r="R57">
        <v>0.999</v>
      </c>
      <c r="S57">
        <v>0</v>
      </c>
    </row>
    <row r="58" spans="1:19" x14ac:dyDescent="0.2">
      <c r="A58" s="3" t="s">
        <v>54</v>
      </c>
      <c r="B58" s="3" t="s">
        <v>55</v>
      </c>
      <c r="C58">
        <v>50</v>
      </c>
      <c r="D58">
        <v>20000</v>
      </c>
      <c r="E58">
        <v>499</v>
      </c>
      <c r="F58">
        <v>1</v>
      </c>
      <c r="G58">
        <v>82302.7524576211</v>
      </c>
      <c r="H58">
        <v>0.53435909699999995</v>
      </c>
      <c r="I58">
        <v>15522</v>
      </c>
      <c r="J58">
        <v>4953</v>
      </c>
      <c r="K58">
        <v>10569</v>
      </c>
      <c r="L58">
        <v>500</v>
      </c>
      <c r="M58">
        <v>499</v>
      </c>
      <c r="N58">
        <v>1</v>
      </c>
      <c r="O58">
        <v>18352.202237553902</v>
      </c>
      <c r="P58" s="3" t="s">
        <v>52</v>
      </c>
      <c r="Q58">
        <v>50</v>
      </c>
      <c r="R58">
        <v>0.999</v>
      </c>
      <c r="S58">
        <v>0</v>
      </c>
    </row>
    <row r="59" spans="1:19" x14ac:dyDescent="0.2">
      <c r="A59" s="3" t="s">
        <v>54</v>
      </c>
      <c r="B59" s="3" t="s">
        <v>55</v>
      </c>
      <c r="C59">
        <v>38</v>
      </c>
      <c r="D59">
        <v>20000</v>
      </c>
      <c r="E59">
        <v>499</v>
      </c>
      <c r="F59">
        <v>1</v>
      </c>
      <c r="G59">
        <v>82302.7524576211</v>
      </c>
      <c r="H59">
        <v>0.53392885199999995</v>
      </c>
      <c r="I59">
        <v>15534</v>
      </c>
      <c r="J59">
        <v>4909</v>
      </c>
      <c r="K59">
        <v>10625</v>
      </c>
      <c r="L59">
        <v>500</v>
      </c>
      <c r="M59">
        <v>499</v>
      </c>
      <c r="N59">
        <v>1</v>
      </c>
      <c r="O59">
        <v>18431.487782483298</v>
      </c>
      <c r="P59" s="3" t="s">
        <v>50</v>
      </c>
      <c r="Q59">
        <v>50</v>
      </c>
      <c r="R59">
        <v>0.999</v>
      </c>
      <c r="S59">
        <v>0</v>
      </c>
    </row>
    <row r="60" spans="1:19" x14ac:dyDescent="0.2">
      <c r="A60" s="3" t="s">
        <v>54</v>
      </c>
      <c r="B60" s="3" t="s">
        <v>55</v>
      </c>
      <c r="C60">
        <v>41</v>
      </c>
      <c r="D60">
        <v>20000</v>
      </c>
      <c r="E60">
        <v>499</v>
      </c>
      <c r="F60">
        <v>1</v>
      </c>
      <c r="G60">
        <v>82302.7524576211</v>
      </c>
      <c r="H60">
        <v>0.53383819499999996</v>
      </c>
      <c r="I60">
        <v>15540</v>
      </c>
      <c r="J60">
        <v>4948</v>
      </c>
      <c r="K60">
        <v>10592</v>
      </c>
      <c r="L60">
        <v>500</v>
      </c>
      <c r="M60">
        <v>499</v>
      </c>
      <c r="N60">
        <v>1</v>
      </c>
      <c r="O60">
        <v>18302.462351623399</v>
      </c>
      <c r="P60" s="3" t="s">
        <v>50</v>
      </c>
      <c r="Q60">
        <v>50</v>
      </c>
      <c r="R60">
        <v>0.999</v>
      </c>
      <c r="S60">
        <v>0</v>
      </c>
    </row>
    <row r="61" spans="1:19" x14ac:dyDescent="0.2">
      <c r="A61" s="3" t="s">
        <v>54</v>
      </c>
      <c r="B61" s="3" t="s">
        <v>55</v>
      </c>
      <c r="C61">
        <v>49</v>
      </c>
      <c r="D61">
        <v>20000</v>
      </c>
      <c r="E61">
        <v>499</v>
      </c>
      <c r="F61">
        <v>1</v>
      </c>
      <c r="G61">
        <v>82302.7524576211</v>
      </c>
      <c r="H61">
        <v>0.533724215</v>
      </c>
      <c r="I61">
        <v>15481</v>
      </c>
      <c r="J61">
        <v>4934</v>
      </c>
      <c r="K61">
        <v>10547</v>
      </c>
      <c r="L61">
        <v>500</v>
      </c>
      <c r="M61">
        <v>499</v>
      </c>
      <c r="N61">
        <v>1</v>
      </c>
      <c r="O61">
        <v>18392.202874279901</v>
      </c>
      <c r="P61" s="3" t="s">
        <v>50</v>
      </c>
      <c r="Q61">
        <v>50</v>
      </c>
      <c r="R61">
        <v>0.999</v>
      </c>
      <c r="S61">
        <v>0</v>
      </c>
    </row>
    <row r="62" spans="1:19" x14ac:dyDescent="0.2">
      <c r="A62" s="3" t="s">
        <v>54</v>
      </c>
      <c r="B62" s="3" t="s">
        <v>55</v>
      </c>
      <c r="C62">
        <v>47</v>
      </c>
      <c r="D62">
        <v>20000</v>
      </c>
      <c r="E62">
        <v>499</v>
      </c>
      <c r="F62">
        <v>1</v>
      </c>
      <c r="G62">
        <v>82302.7524576211</v>
      </c>
      <c r="H62">
        <v>0.53279741400000002</v>
      </c>
      <c r="I62">
        <v>15534</v>
      </c>
      <c r="J62">
        <v>4992</v>
      </c>
      <c r="K62">
        <v>10542</v>
      </c>
      <c r="L62">
        <v>500</v>
      </c>
      <c r="M62">
        <v>499</v>
      </c>
      <c r="N62">
        <v>1</v>
      </c>
      <c r="O62">
        <v>18352.312719171601</v>
      </c>
      <c r="P62" s="3" t="s">
        <v>52</v>
      </c>
      <c r="Q62">
        <v>50</v>
      </c>
      <c r="R62">
        <v>0.999</v>
      </c>
      <c r="S62">
        <v>0</v>
      </c>
    </row>
    <row r="63" spans="1:19" x14ac:dyDescent="0.2">
      <c r="A63" s="3" t="s">
        <v>54</v>
      </c>
      <c r="B63" s="3" t="s">
        <v>55</v>
      </c>
      <c r="C63">
        <v>37</v>
      </c>
      <c r="D63">
        <v>20000</v>
      </c>
      <c r="E63">
        <v>499</v>
      </c>
      <c r="F63">
        <v>1</v>
      </c>
      <c r="G63">
        <v>82302.7524576211</v>
      </c>
      <c r="H63">
        <v>0.53271416299999996</v>
      </c>
      <c r="I63">
        <v>15515</v>
      </c>
      <c r="J63">
        <v>4944</v>
      </c>
      <c r="K63">
        <v>10571</v>
      </c>
      <c r="L63">
        <v>500</v>
      </c>
      <c r="M63">
        <v>499</v>
      </c>
      <c r="N63">
        <v>1</v>
      </c>
      <c r="O63">
        <v>18401.968351271</v>
      </c>
      <c r="P63" s="3" t="s">
        <v>52</v>
      </c>
      <c r="Q63">
        <v>50</v>
      </c>
      <c r="R63">
        <v>0.999</v>
      </c>
      <c r="S63">
        <v>0</v>
      </c>
    </row>
    <row r="64" spans="1:19" x14ac:dyDescent="0.2">
      <c r="A64" s="3" t="s">
        <v>54</v>
      </c>
      <c r="B64" s="3" t="s">
        <v>55</v>
      </c>
      <c r="C64">
        <v>49</v>
      </c>
      <c r="D64">
        <v>20000</v>
      </c>
      <c r="E64">
        <v>499</v>
      </c>
      <c r="F64">
        <v>1</v>
      </c>
      <c r="G64">
        <v>82302.7524576211</v>
      </c>
      <c r="H64">
        <v>0.53263451399999995</v>
      </c>
      <c r="I64">
        <v>15571</v>
      </c>
      <c r="J64">
        <v>4967</v>
      </c>
      <c r="K64">
        <v>10604</v>
      </c>
      <c r="L64">
        <v>500</v>
      </c>
      <c r="M64">
        <v>499</v>
      </c>
      <c r="N64">
        <v>1</v>
      </c>
      <c r="O64">
        <v>18427.095779695901</v>
      </c>
      <c r="P64" s="3" t="s">
        <v>52</v>
      </c>
      <c r="Q64">
        <v>50</v>
      </c>
      <c r="R64">
        <v>0.999</v>
      </c>
      <c r="S64">
        <v>0</v>
      </c>
    </row>
    <row r="65" spans="1:19" x14ac:dyDescent="0.2">
      <c r="A65" s="3" t="s">
        <v>54</v>
      </c>
      <c r="B65" s="3" t="s">
        <v>55</v>
      </c>
      <c r="C65">
        <v>33</v>
      </c>
      <c r="D65">
        <v>20000</v>
      </c>
      <c r="E65">
        <v>499</v>
      </c>
      <c r="F65">
        <v>1</v>
      </c>
      <c r="G65">
        <v>82302.7524576211</v>
      </c>
      <c r="H65">
        <v>0.53230062099999997</v>
      </c>
      <c r="I65">
        <v>15557</v>
      </c>
      <c r="J65">
        <v>4977</v>
      </c>
      <c r="K65">
        <v>10580</v>
      </c>
      <c r="L65">
        <v>500</v>
      </c>
      <c r="M65">
        <v>499</v>
      </c>
      <c r="N65">
        <v>1</v>
      </c>
      <c r="O65">
        <v>18313.841329713101</v>
      </c>
      <c r="P65" s="3" t="s">
        <v>50</v>
      </c>
      <c r="Q65">
        <v>50</v>
      </c>
      <c r="R65">
        <v>0.999</v>
      </c>
      <c r="S65">
        <v>0</v>
      </c>
    </row>
    <row r="66" spans="1:19" x14ac:dyDescent="0.2">
      <c r="A66" s="3" t="s">
        <v>54</v>
      </c>
      <c r="B66" s="3" t="s">
        <v>55</v>
      </c>
      <c r="C66">
        <v>35</v>
      </c>
      <c r="D66">
        <v>20000</v>
      </c>
      <c r="E66">
        <v>499</v>
      </c>
      <c r="F66">
        <v>1</v>
      </c>
      <c r="G66">
        <v>82302.7524576211</v>
      </c>
      <c r="H66">
        <v>0.53108084200000005</v>
      </c>
      <c r="I66">
        <v>15547</v>
      </c>
      <c r="J66">
        <v>4937</v>
      </c>
      <c r="K66">
        <v>10610</v>
      </c>
      <c r="L66">
        <v>500</v>
      </c>
      <c r="M66">
        <v>499</v>
      </c>
      <c r="N66">
        <v>1</v>
      </c>
      <c r="O66">
        <v>18332.893456637299</v>
      </c>
      <c r="P66" s="3" t="s">
        <v>52</v>
      </c>
      <c r="Q66">
        <v>50</v>
      </c>
      <c r="R66">
        <v>0.999</v>
      </c>
      <c r="S66">
        <v>0</v>
      </c>
    </row>
    <row r="67" spans="1:19" x14ac:dyDescent="0.2">
      <c r="A67" s="3" t="s">
        <v>54</v>
      </c>
      <c r="B67" s="3" t="s">
        <v>55</v>
      </c>
      <c r="C67">
        <v>15</v>
      </c>
      <c r="D67">
        <v>19000</v>
      </c>
      <c r="E67">
        <v>499</v>
      </c>
      <c r="F67">
        <v>1</v>
      </c>
      <c r="G67">
        <v>84218.384375429901</v>
      </c>
      <c r="H67">
        <v>0.53067030400000004</v>
      </c>
      <c r="I67">
        <v>15288</v>
      </c>
      <c r="J67">
        <v>4795</v>
      </c>
      <c r="K67">
        <v>10493</v>
      </c>
      <c r="L67">
        <v>500</v>
      </c>
      <c r="M67">
        <v>499</v>
      </c>
      <c r="N67">
        <v>1</v>
      </c>
      <c r="O67">
        <v>16773.393519412799</v>
      </c>
      <c r="P67" s="3" t="s">
        <v>52</v>
      </c>
      <c r="Q67">
        <v>50</v>
      </c>
      <c r="R67">
        <v>0.999</v>
      </c>
      <c r="S67">
        <v>0</v>
      </c>
    </row>
    <row r="68" spans="1:19" x14ac:dyDescent="0.2">
      <c r="A68" s="3" t="s">
        <v>54</v>
      </c>
      <c r="B68" s="3" t="s">
        <v>55</v>
      </c>
      <c r="C68">
        <v>47</v>
      </c>
      <c r="D68">
        <v>20000</v>
      </c>
      <c r="E68">
        <v>499</v>
      </c>
      <c r="F68">
        <v>1</v>
      </c>
      <c r="G68">
        <v>82302.7524576211</v>
      </c>
      <c r="H68">
        <v>0.53059757799999996</v>
      </c>
      <c r="I68">
        <v>15537</v>
      </c>
      <c r="J68">
        <v>4969</v>
      </c>
      <c r="K68">
        <v>10568</v>
      </c>
      <c r="L68">
        <v>500</v>
      </c>
      <c r="M68">
        <v>499</v>
      </c>
      <c r="N68">
        <v>1</v>
      </c>
      <c r="O68">
        <v>18439.650474197901</v>
      </c>
      <c r="P68" s="3" t="s">
        <v>50</v>
      </c>
      <c r="Q68">
        <v>50</v>
      </c>
      <c r="R68">
        <v>0.999</v>
      </c>
      <c r="S68">
        <v>0</v>
      </c>
    </row>
    <row r="69" spans="1:19" x14ac:dyDescent="0.2">
      <c r="A69" s="3" t="s">
        <v>54</v>
      </c>
      <c r="B69" s="3" t="s">
        <v>55</v>
      </c>
      <c r="C69">
        <v>7</v>
      </c>
      <c r="D69">
        <v>20000</v>
      </c>
      <c r="E69">
        <v>499</v>
      </c>
      <c r="F69">
        <v>1</v>
      </c>
      <c r="G69">
        <v>82302.7524576211</v>
      </c>
      <c r="H69">
        <v>0.53005481200000004</v>
      </c>
      <c r="I69">
        <v>15541</v>
      </c>
      <c r="J69">
        <v>4943</v>
      </c>
      <c r="K69">
        <v>10598</v>
      </c>
      <c r="L69">
        <v>500</v>
      </c>
      <c r="M69">
        <v>499</v>
      </c>
      <c r="N69">
        <v>1</v>
      </c>
      <c r="O69">
        <v>18428.307853756</v>
      </c>
      <c r="P69" s="3" t="s">
        <v>52</v>
      </c>
      <c r="Q69">
        <v>50</v>
      </c>
      <c r="R69">
        <v>0.999</v>
      </c>
      <c r="S69">
        <v>0</v>
      </c>
    </row>
    <row r="70" spans="1:19" x14ac:dyDescent="0.2">
      <c r="A70" s="3" t="s">
        <v>54</v>
      </c>
      <c r="B70" s="3" t="s">
        <v>55</v>
      </c>
      <c r="C70">
        <v>35</v>
      </c>
      <c r="D70">
        <v>20000</v>
      </c>
      <c r="E70">
        <v>499</v>
      </c>
      <c r="F70">
        <v>1</v>
      </c>
      <c r="G70">
        <v>82302.7524576211</v>
      </c>
      <c r="H70">
        <v>0.529646595</v>
      </c>
      <c r="I70">
        <v>15499</v>
      </c>
      <c r="J70">
        <v>4931</v>
      </c>
      <c r="K70">
        <v>10568</v>
      </c>
      <c r="L70">
        <v>500</v>
      </c>
      <c r="M70">
        <v>499</v>
      </c>
      <c r="N70">
        <v>1</v>
      </c>
      <c r="O70">
        <v>18472.5783373671</v>
      </c>
      <c r="P70" s="3" t="s">
        <v>50</v>
      </c>
      <c r="Q70">
        <v>50</v>
      </c>
      <c r="R70">
        <v>0.999</v>
      </c>
      <c r="S70">
        <v>0</v>
      </c>
    </row>
    <row r="71" spans="1:19" x14ac:dyDescent="0.2">
      <c r="A71" s="3" t="s">
        <v>54</v>
      </c>
      <c r="B71" s="3" t="s">
        <v>55</v>
      </c>
      <c r="C71">
        <v>11</v>
      </c>
      <c r="D71">
        <v>20000</v>
      </c>
      <c r="E71">
        <v>499</v>
      </c>
      <c r="F71">
        <v>1</v>
      </c>
      <c r="G71">
        <v>82302.7524576211</v>
      </c>
      <c r="H71">
        <v>0.52957464300000001</v>
      </c>
      <c r="I71">
        <v>15506</v>
      </c>
      <c r="J71">
        <v>4959</v>
      </c>
      <c r="K71">
        <v>10547</v>
      </c>
      <c r="L71">
        <v>500</v>
      </c>
      <c r="M71">
        <v>499</v>
      </c>
      <c r="N71">
        <v>1</v>
      </c>
      <c r="O71">
        <v>18556.584101296601</v>
      </c>
      <c r="P71" s="3" t="s">
        <v>52</v>
      </c>
      <c r="Q71">
        <v>50</v>
      </c>
      <c r="R71">
        <v>0.999</v>
      </c>
      <c r="S71">
        <v>0</v>
      </c>
    </row>
    <row r="72" spans="1:19" x14ac:dyDescent="0.2">
      <c r="A72" s="3" t="s">
        <v>54</v>
      </c>
      <c r="B72" s="3" t="s">
        <v>55</v>
      </c>
      <c r="C72">
        <v>36</v>
      </c>
      <c r="D72">
        <v>19000</v>
      </c>
      <c r="E72">
        <v>499</v>
      </c>
      <c r="F72">
        <v>1</v>
      </c>
      <c r="G72">
        <v>84218.384375429901</v>
      </c>
      <c r="H72">
        <v>0.52937439900000005</v>
      </c>
      <c r="I72">
        <v>15292</v>
      </c>
      <c r="J72">
        <v>4822</v>
      </c>
      <c r="K72">
        <v>10470</v>
      </c>
      <c r="L72">
        <v>500</v>
      </c>
      <c r="M72">
        <v>499</v>
      </c>
      <c r="N72">
        <v>1</v>
      </c>
      <c r="O72">
        <v>16772.2605003116</v>
      </c>
      <c r="P72" s="3" t="s">
        <v>50</v>
      </c>
      <c r="Q72">
        <v>50</v>
      </c>
      <c r="R72">
        <v>0.999</v>
      </c>
      <c r="S72">
        <v>0</v>
      </c>
    </row>
    <row r="73" spans="1:19" x14ac:dyDescent="0.2">
      <c r="A73" s="3" t="s">
        <v>54</v>
      </c>
      <c r="B73" s="3" t="s">
        <v>55</v>
      </c>
      <c r="C73">
        <v>14</v>
      </c>
      <c r="D73">
        <v>20000</v>
      </c>
      <c r="E73">
        <v>499</v>
      </c>
      <c r="F73">
        <v>1</v>
      </c>
      <c r="G73">
        <v>82302.7524576211</v>
      </c>
      <c r="H73">
        <v>0.52920958399999996</v>
      </c>
      <c r="I73">
        <v>15546</v>
      </c>
      <c r="J73">
        <v>4922</v>
      </c>
      <c r="K73">
        <v>10624</v>
      </c>
      <c r="L73">
        <v>500</v>
      </c>
      <c r="M73">
        <v>499</v>
      </c>
      <c r="N73">
        <v>1</v>
      </c>
      <c r="O73">
        <v>18459.1393651158</v>
      </c>
      <c r="P73" s="3" t="s">
        <v>50</v>
      </c>
      <c r="Q73">
        <v>50</v>
      </c>
      <c r="R73">
        <v>0.999</v>
      </c>
      <c r="S73">
        <v>0</v>
      </c>
    </row>
    <row r="74" spans="1:19" x14ac:dyDescent="0.2">
      <c r="A74" s="3" t="s">
        <v>54</v>
      </c>
      <c r="B74" s="3" t="s">
        <v>55</v>
      </c>
      <c r="C74">
        <v>33</v>
      </c>
      <c r="D74">
        <v>20000</v>
      </c>
      <c r="E74">
        <v>499</v>
      </c>
      <c r="F74">
        <v>1</v>
      </c>
      <c r="G74">
        <v>82302.7524576211</v>
      </c>
      <c r="H74">
        <v>0.52898216899999995</v>
      </c>
      <c r="I74">
        <v>15489</v>
      </c>
      <c r="J74">
        <v>4904</v>
      </c>
      <c r="K74">
        <v>10585</v>
      </c>
      <c r="L74">
        <v>500</v>
      </c>
      <c r="M74">
        <v>499</v>
      </c>
      <c r="N74">
        <v>1</v>
      </c>
      <c r="O74">
        <v>18562.171427940899</v>
      </c>
      <c r="P74" s="3" t="s">
        <v>52</v>
      </c>
      <c r="Q74">
        <v>50</v>
      </c>
      <c r="R74">
        <v>0.999</v>
      </c>
      <c r="S74">
        <v>0</v>
      </c>
    </row>
    <row r="75" spans="1:19" x14ac:dyDescent="0.2">
      <c r="A75" s="3" t="s">
        <v>54</v>
      </c>
      <c r="B75" s="3" t="s">
        <v>55</v>
      </c>
      <c r="C75">
        <v>42</v>
      </c>
      <c r="D75">
        <v>20000</v>
      </c>
      <c r="E75">
        <v>499</v>
      </c>
      <c r="F75">
        <v>1</v>
      </c>
      <c r="G75">
        <v>82302.7524576211</v>
      </c>
      <c r="H75">
        <v>0.52801429899999996</v>
      </c>
      <c r="I75">
        <v>15535</v>
      </c>
      <c r="J75">
        <v>4954</v>
      </c>
      <c r="K75">
        <v>10581</v>
      </c>
      <c r="L75">
        <v>500</v>
      </c>
      <c r="M75">
        <v>499</v>
      </c>
      <c r="N75">
        <v>1</v>
      </c>
      <c r="O75">
        <v>18408.5759607451</v>
      </c>
      <c r="P75" s="3" t="s">
        <v>52</v>
      </c>
      <c r="Q75">
        <v>50</v>
      </c>
      <c r="R75">
        <v>0.999</v>
      </c>
      <c r="S75">
        <v>0</v>
      </c>
    </row>
    <row r="76" spans="1:19" x14ac:dyDescent="0.2">
      <c r="A76" s="3" t="s">
        <v>54</v>
      </c>
      <c r="B76" s="3" t="s">
        <v>55</v>
      </c>
      <c r="C76">
        <v>40</v>
      </c>
      <c r="D76">
        <v>20000</v>
      </c>
      <c r="E76">
        <v>499</v>
      </c>
      <c r="F76">
        <v>1</v>
      </c>
      <c r="G76">
        <v>82302.7524576211</v>
      </c>
      <c r="H76">
        <v>0.52739511100000003</v>
      </c>
      <c r="I76">
        <v>15483</v>
      </c>
      <c r="J76">
        <v>4921</v>
      </c>
      <c r="K76">
        <v>10562</v>
      </c>
      <c r="L76">
        <v>500</v>
      </c>
      <c r="M76">
        <v>499</v>
      </c>
      <c r="N76">
        <v>1</v>
      </c>
      <c r="O76">
        <v>18452.898352654502</v>
      </c>
      <c r="P76" s="3" t="s">
        <v>52</v>
      </c>
      <c r="Q76">
        <v>50</v>
      </c>
      <c r="R76">
        <v>0.999</v>
      </c>
      <c r="S76">
        <v>0</v>
      </c>
    </row>
    <row r="77" spans="1:19" x14ac:dyDescent="0.2">
      <c r="A77" s="3" t="s">
        <v>54</v>
      </c>
      <c r="B77" s="3" t="s">
        <v>55</v>
      </c>
      <c r="C77">
        <v>29</v>
      </c>
      <c r="D77">
        <v>20000</v>
      </c>
      <c r="E77">
        <v>499</v>
      </c>
      <c r="F77">
        <v>1</v>
      </c>
      <c r="G77">
        <v>82302.7524576211</v>
      </c>
      <c r="H77">
        <v>0.52702171799999997</v>
      </c>
      <c r="I77">
        <v>15532</v>
      </c>
      <c r="J77">
        <v>4958</v>
      </c>
      <c r="K77">
        <v>10574</v>
      </c>
      <c r="L77">
        <v>500</v>
      </c>
      <c r="M77">
        <v>499</v>
      </c>
      <c r="N77">
        <v>1</v>
      </c>
      <c r="O77">
        <v>18411.023905063099</v>
      </c>
      <c r="P77" s="3" t="s">
        <v>50</v>
      </c>
      <c r="Q77">
        <v>50</v>
      </c>
      <c r="R77">
        <v>0.999</v>
      </c>
      <c r="S77">
        <v>0</v>
      </c>
    </row>
    <row r="78" spans="1:19" x14ac:dyDescent="0.2">
      <c r="A78" s="3" t="s">
        <v>54</v>
      </c>
      <c r="B78" s="3" t="s">
        <v>55</v>
      </c>
      <c r="C78">
        <v>34</v>
      </c>
      <c r="D78">
        <v>20000</v>
      </c>
      <c r="E78">
        <v>499</v>
      </c>
      <c r="F78">
        <v>1</v>
      </c>
      <c r="G78">
        <v>82302.7524576211</v>
      </c>
      <c r="H78">
        <v>0.52625608599999996</v>
      </c>
      <c r="I78">
        <v>15551</v>
      </c>
      <c r="J78">
        <v>4917</v>
      </c>
      <c r="K78">
        <v>10634</v>
      </c>
      <c r="L78">
        <v>500</v>
      </c>
      <c r="M78">
        <v>499</v>
      </c>
      <c r="N78">
        <v>1</v>
      </c>
      <c r="O78">
        <v>18446.2165104835</v>
      </c>
      <c r="P78" s="3" t="s">
        <v>52</v>
      </c>
      <c r="Q78">
        <v>50</v>
      </c>
      <c r="R78">
        <v>0.999</v>
      </c>
      <c r="S78">
        <v>0</v>
      </c>
    </row>
    <row r="79" spans="1:19" x14ac:dyDescent="0.2">
      <c r="A79" s="3" t="s">
        <v>54</v>
      </c>
      <c r="B79" s="3" t="s">
        <v>55</v>
      </c>
      <c r="C79">
        <v>13</v>
      </c>
      <c r="D79">
        <v>20000</v>
      </c>
      <c r="E79">
        <v>499</v>
      </c>
      <c r="F79">
        <v>1</v>
      </c>
      <c r="G79">
        <v>82302.7524576211</v>
      </c>
      <c r="H79">
        <v>0.52584015799999995</v>
      </c>
      <c r="I79">
        <v>15498</v>
      </c>
      <c r="J79">
        <v>4977</v>
      </c>
      <c r="K79">
        <v>10521</v>
      </c>
      <c r="L79">
        <v>500</v>
      </c>
      <c r="M79">
        <v>499</v>
      </c>
      <c r="N79">
        <v>1</v>
      </c>
      <c r="O79">
        <v>18433.9892828386</v>
      </c>
      <c r="P79" s="3" t="s">
        <v>50</v>
      </c>
      <c r="Q79">
        <v>50</v>
      </c>
      <c r="R79">
        <v>0.999</v>
      </c>
      <c r="S79">
        <v>0</v>
      </c>
    </row>
    <row r="80" spans="1:19" x14ac:dyDescent="0.2">
      <c r="A80" s="3" t="s">
        <v>54</v>
      </c>
      <c r="B80" s="3" t="s">
        <v>55</v>
      </c>
      <c r="C80">
        <v>20</v>
      </c>
      <c r="D80">
        <v>20000</v>
      </c>
      <c r="E80">
        <v>499</v>
      </c>
      <c r="F80">
        <v>1</v>
      </c>
      <c r="G80">
        <v>82302.7524576211</v>
      </c>
      <c r="H80">
        <v>0.52580646900000005</v>
      </c>
      <c r="I80">
        <v>15530</v>
      </c>
      <c r="J80">
        <v>4952</v>
      </c>
      <c r="K80">
        <v>10578</v>
      </c>
      <c r="L80">
        <v>500</v>
      </c>
      <c r="M80">
        <v>499</v>
      </c>
      <c r="N80">
        <v>1</v>
      </c>
      <c r="O80">
        <v>18525.9358477231</v>
      </c>
      <c r="P80" s="3" t="s">
        <v>52</v>
      </c>
      <c r="Q80">
        <v>50</v>
      </c>
      <c r="R80">
        <v>0.999</v>
      </c>
      <c r="S80">
        <v>0</v>
      </c>
    </row>
    <row r="81" spans="1:19" x14ac:dyDescent="0.2">
      <c r="A81" s="3" t="s">
        <v>54</v>
      </c>
      <c r="B81" s="3" t="s">
        <v>55</v>
      </c>
      <c r="C81">
        <v>13</v>
      </c>
      <c r="D81">
        <v>20000</v>
      </c>
      <c r="E81">
        <v>499</v>
      </c>
      <c r="F81">
        <v>1</v>
      </c>
      <c r="G81">
        <v>82302.7524576211</v>
      </c>
      <c r="H81">
        <v>0.52563077300000005</v>
      </c>
      <c r="I81">
        <v>15505</v>
      </c>
      <c r="J81">
        <v>4915</v>
      </c>
      <c r="K81">
        <v>10590</v>
      </c>
      <c r="L81">
        <v>500</v>
      </c>
      <c r="M81">
        <v>499</v>
      </c>
      <c r="N81">
        <v>1</v>
      </c>
      <c r="O81">
        <v>18547.829125162501</v>
      </c>
      <c r="P81" s="3" t="s">
        <v>52</v>
      </c>
      <c r="Q81">
        <v>50</v>
      </c>
      <c r="R81">
        <v>0.999</v>
      </c>
      <c r="S81">
        <v>0</v>
      </c>
    </row>
    <row r="82" spans="1:19" x14ac:dyDescent="0.2">
      <c r="A82" s="3" t="s">
        <v>54</v>
      </c>
      <c r="B82" s="3" t="s">
        <v>55</v>
      </c>
      <c r="C82">
        <v>38</v>
      </c>
      <c r="D82">
        <v>20000</v>
      </c>
      <c r="E82">
        <v>499</v>
      </c>
      <c r="F82">
        <v>1</v>
      </c>
      <c r="G82">
        <v>82302.7524576211</v>
      </c>
      <c r="H82">
        <v>0.52558417800000001</v>
      </c>
      <c r="I82">
        <v>15564</v>
      </c>
      <c r="J82">
        <v>4996</v>
      </c>
      <c r="K82">
        <v>10568</v>
      </c>
      <c r="L82">
        <v>500</v>
      </c>
      <c r="M82">
        <v>499</v>
      </c>
      <c r="N82">
        <v>1</v>
      </c>
      <c r="O82">
        <v>18383.726776036401</v>
      </c>
      <c r="P82" s="3" t="s">
        <v>52</v>
      </c>
      <c r="Q82">
        <v>50</v>
      </c>
      <c r="R82">
        <v>0.999</v>
      </c>
      <c r="S82">
        <v>0</v>
      </c>
    </row>
    <row r="83" spans="1:19" x14ac:dyDescent="0.2">
      <c r="A83" s="3" t="s">
        <v>54</v>
      </c>
      <c r="B83" s="3" t="s">
        <v>55</v>
      </c>
      <c r="C83">
        <v>36</v>
      </c>
      <c r="D83">
        <v>20000</v>
      </c>
      <c r="E83">
        <v>499</v>
      </c>
      <c r="F83">
        <v>1</v>
      </c>
      <c r="G83">
        <v>82302.7524576211</v>
      </c>
      <c r="H83">
        <v>0.52556384899999997</v>
      </c>
      <c r="I83">
        <v>15519</v>
      </c>
      <c r="J83">
        <v>4969</v>
      </c>
      <c r="K83">
        <v>10550</v>
      </c>
      <c r="L83">
        <v>500</v>
      </c>
      <c r="M83">
        <v>499</v>
      </c>
      <c r="N83">
        <v>1</v>
      </c>
      <c r="O83">
        <v>18477.392586623799</v>
      </c>
      <c r="P83" s="3" t="s">
        <v>50</v>
      </c>
      <c r="Q83">
        <v>50</v>
      </c>
      <c r="R83">
        <v>0.999</v>
      </c>
      <c r="S83">
        <v>0</v>
      </c>
    </row>
    <row r="84" spans="1:19" x14ac:dyDescent="0.2">
      <c r="A84" s="3" t="s">
        <v>54</v>
      </c>
      <c r="B84" s="3" t="s">
        <v>55</v>
      </c>
      <c r="C84">
        <v>39</v>
      </c>
      <c r="D84">
        <v>19000</v>
      </c>
      <c r="E84">
        <v>499</v>
      </c>
      <c r="F84">
        <v>1</v>
      </c>
      <c r="G84">
        <v>84218.384375429901</v>
      </c>
      <c r="H84">
        <v>0.525367221</v>
      </c>
      <c r="I84">
        <v>15317</v>
      </c>
      <c r="J84">
        <v>4748</v>
      </c>
      <c r="K84">
        <v>10569</v>
      </c>
      <c r="L84">
        <v>500</v>
      </c>
      <c r="M84">
        <v>499</v>
      </c>
      <c r="N84">
        <v>1</v>
      </c>
      <c r="O84">
        <v>16737.1945148626</v>
      </c>
      <c r="P84" s="3" t="s">
        <v>50</v>
      </c>
      <c r="Q84">
        <v>50</v>
      </c>
      <c r="R84">
        <v>0.999</v>
      </c>
      <c r="S84">
        <v>0</v>
      </c>
    </row>
    <row r="85" spans="1:19" x14ac:dyDescent="0.2">
      <c r="A85" s="3" t="s">
        <v>54</v>
      </c>
      <c r="B85" s="3" t="s">
        <v>55</v>
      </c>
      <c r="C85">
        <v>46</v>
      </c>
      <c r="D85">
        <v>20000</v>
      </c>
      <c r="E85">
        <v>499</v>
      </c>
      <c r="F85">
        <v>1</v>
      </c>
      <c r="G85">
        <v>82302.7524576211</v>
      </c>
      <c r="H85">
        <v>0.52481024899999995</v>
      </c>
      <c r="I85">
        <v>15494</v>
      </c>
      <c r="J85">
        <v>4952</v>
      </c>
      <c r="K85">
        <v>10542</v>
      </c>
      <c r="L85">
        <v>500</v>
      </c>
      <c r="M85">
        <v>499</v>
      </c>
      <c r="N85">
        <v>1</v>
      </c>
      <c r="O85">
        <v>18401.091292604899</v>
      </c>
      <c r="P85" s="3" t="s">
        <v>52</v>
      </c>
      <c r="Q85">
        <v>50</v>
      </c>
      <c r="R85">
        <v>0.999</v>
      </c>
      <c r="S85">
        <v>0</v>
      </c>
    </row>
    <row r="86" spans="1:19" x14ac:dyDescent="0.2">
      <c r="A86" s="3" t="s">
        <v>54</v>
      </c>
      <c r="B86" s="3" t="s">
        <v>55</v>
      </c>
      <c r="C86">
        <v>18</v>
      </c>
      <c r="D86">
        <v>20000</v>
      </c>
      <c r="E86">
        <v>499</v>
      </c>
      <c r="F86">
        <v>1</v>
      </c>
      <c r="G86">
        <v>82302.7524576211</v>
      </c>
      <c r="H86">
        <v>0.524258271</v>
      </c>
      <c r="I86">
        <v>15511</v>
      </c>
      <c r="J86">
        <v>4952</v>
      </c>
      <c r="K86">
        <v>10559</v>
      </c>
      <c r="L86">
        <v>500</v>
      </c>
      <c r="M86">
        <v>499</v>
      </c>
      <c r="N86">
        <v>1</v>
      </c>
      <c r="O86">
        <v>18364.314137006098</v>
      </c>
      <c r="P86" s="3" t="s">
        <v>50</v>
      </c>
      <c r="Q86">
        <v>50</v>
      </c>
      <c r="R86">
        <v>0.999</v>
      </c>
      <c r="S86">
        <v>0</v>
      </c>
    </row>
    <row r="87" spans="1:19" x14ac:dyDescent="0.2">
      <c r="A87" s="3" t="s">
        <v>54</v>
      </c>
      <c r="B87" s="3" t="s">
        <v>55</v>
      </c>
      <c r="C87">
        <v>12</v>
      </c>
      <c r="D87">
        <v>19000</v>
      </c>
      <c r="E87">
        <v>499</v>
      </c>
      <c r="F87">
        <v>1</v>
      </c>
      <c r="G87">
        <v>84218.384375429901</v>
      </c>
      <c r="H87">
        <v>0.52415456900000001</v>
      </c>
      <c r="I87">
        <v>15273</v>
      </c>
      <c r="J87">
        <v>4778</v>
      </c>
      <c r="K87">
        <v>10495</v>
      </c>
      <c r="L87">
        <v>500</v>
      </c>
      <c r="M87">
        <v>499</v>
      </c>
      <c r="N87">
        <v>1</v>
      </c>
      <c r="O87">
        <v>16706.8315556214</v>
      </c>
      <c r="P87" s="3" t="s">
        <v>50</v>
      </c>
      <c r="Q87">
        <v>50</v>
      </c>
      <c r="R87">
        <v>0.999</v>
      </c>
      <c r="S87">
        <v>0</v>
      </c>
    </row>
    <row r="88" spans="1:19" x14ac:dyDescent="0.2">
      <c r="A88" s="3" t="s">
        <v>54</v>
      </c>
      <c r="B88" s="3" t="s">
        <v>55</v>
      </c>
      <c r="C88">
        <v>16</v>
      </c>
      <c r="D88">
        <v>20000</v>
      </c>
      <c r="E88">
        <v>499</v>
      </c>
      <c r="F88">
        <v>1</v>
      </c>
      <c r="G88">
        <v>82302.7524576211</v>
      </c>
      <c r="H88">
        <v>0.52390761900000005</v>
      </c>
      <c r="I88">
        <v>15544</v>
      </c>
      <c r="J88">
        <v>4995</v>
      </c>
      <c r="K88">
        <v>10549</v>
      </c>
      <c r="L88">
        <v>500</v>
      </c>
      <c r="M88">
        <v>499</v>
      </c>
      <c r="N88">
        <v>1</v>
      </c>
      <c r="O88">
        <v>18447.46402842</v>
      </c>
      <c r="P88" s="3" t="s">
        <v>50</v>
      </c>
      <c r="Q88">
        <v>50</v>
      </c>
      <c r="R88">
        <v>0.999</v>
      </c>
      <c r="S88">
        <v>0</v>
      </c>
    </row>
    <row r="89" spans="1:19" x14ac:dyDescent="0.2">
      <c r="A89" s="3" t="s">
        <v>54</v>
      </c>
      <c r="B89" s="3" t="s">
        <v>55</v>
      </c>
      <c r="C89">
        <v>50</v>
      </c>
      <c r="D89">
        <v>20000</v>
      </c>
      <c r="E89">
        <v>499</v>
      </c>
      <c r="F89">
        <v>1</v>
      </c>
      <c r="G89">
        <v>82302.7524576211</v>
      </c>
      <c r="H89">
        <v>0.52354318099999997</v>
      </c>
      <c r="I89">
        <v>15526</v>
      </c>
      <c r="J89">
        <v>4920</v>
      </c>
      <c r="K89">
        <v>10606</v>
      </c>
      <c r="L89">
        <v>500</v>
      </c>
      <c r="M89">
        <v>499</v>
      </c>
      <c r="N89">
        <v>1</v>
      </c>
      <c r="O89">
        <v>18473.362107311201</v>
      </c>
      <c r="P89" s="3" t="s">
        <v>50</v>
      </c>
      <c r="Q89">
        <v>50</v>
      </c>
      <c r="R89">
        <v>0.999</v>
      </c>
      <c r="S89">
        <v>0</v>
      </c>
    </row>
    <row r="90" spans="1:19" x14ac:dyDescent="0.2">
      <c r="A90" s="3" t="s">
        <v>54</v>
      </c>
      <c r="B90" s="3" t="s">
        <v>55</v>
      </c>
      <c r="C90">
        <v>31</v>
      </c>
      <c r="D90">
        <v>20000</v>
      </c>
      <c r="E90">
        <v>499</v>
      </c>
      <c r="F90">
        <v>1</v>
      </c>
      <c r="G90">
        <v>82302.7524576211</v>
      </c>
      <c r="H90">
        <v>0.52336296400000004</v>
      </c>
      <c r="I90">
        <v>15492</v>
      </c>
      <c r="J90">
        <v>4909</v>
      </c>
      <c r="K90">
        <v>10583</v>
      </c>
      <c r="L90">
        <v>500</v>
      </c>
      <c r="M90">
        <v>499</v>
      </c>
      <c r="N90">
        <v>1</v>
      </c>
      <c r="O90">
        <v>18549.502808778001</v>
      </c>
      <c r="P90" s="3" t="s">
        <v>50</v>
      </c>
      <c r="Q90">
        <v>50</v>
      </c>
      <c r="R90">
        <v>0.999</v>
      </c>
      <c r="S90">
        <v>0</v>
      </c>
    </row>
    <row r="91" spans="1:19" x14ac:dyDescent="0.2">
      <c r="A91" s="3" t="s">
        <v>54</v>
      </c>
      <c r="B91" s="3" t="s">
        <v>55</v>
      </c>
      <c r="C91">
        <v>21</v>
      </c>
      <c r="D91">
        <v>19000</v>
      </c>
      <c r="E91">
        <v>499</v>
      </c>
      <c r="F91">
        <v>1</v>
      </c>
      <c r="G91">
        <v>84218.384375429901</v>
      </c>
      <c r="H91">
        <v>0.52312931699999998</v>
      </c>
      <c r="I91">
        <v>15279</v>
      </c>
      <c r="J91">
        <v>4797</v>
      </c>
      <c r="K91">
        <v>10482</v>
      </c>
      <c r="L91">
        <v>500</v>
      </c>
      <c r="M91">
        <v>499</v>
      </c>
      <c r="N91">
        <v>1</v>
      </c>
      <c r="O91">
        <v>16767.868649451098</v>
      </c>
      <c r="P91" s="3" t="s">
        <v>50</v>
      </c>
      <c r="Q91">
        <v>50</v>
      </c>
      <c r="R91">
        <v>0.999</v>
      </c>
      <c r="S91">
        <v>0</v>
      </c>
    </row>
    <row r="92" spans="1:19" x14ac:dyDescent="0.2">
      <c r="A92" s="3" t="s">
        <v>54</v>
      </c>
      <c r="B92" s="3" t="s">
        <v>55</v>
      </c>
      <c r="C92">
        <v>24</v>
      </c>
      <c r="D92">
        <v>20000</v>
      </c>
      <c r="E92">
        <v>499</v>
      </c>
      <c r="F92">
        <v>1</v>
      </c>
      <c r="G92">
        <v>82302.7524576211</v>
      </c>
      <c r="H92">
        <v>0.52310949799999995</v>
      </c>
      <c r="I92">
        <v>15516</v>
      </c>
      <c r="J92">
        <v>4936</v>
      </c>
      <c r="K92">
        <v>10580</v>
      </c>
      <c r="L92">
        <v>500</v>
      </c>
      <c r="M92">
        <v>499</v>
      </c>
      <c r="N92">
        <v>1</v>
      </c>
      <c r="O92">
        <v>18474.4496546181</v>
      </c>
      <c r="P92" s="3" t="s">
        <v>52</v>
      </c>
      <c r="Q92">
        <v>50</v>
      </c>
      <c r="R92">
        <v>0.999</v>
      </c>
      <c r="S92">
        <v>0</v>
      </c>
    </row>
    <row r="93" spans="1:19" x14ac:dyDescent="0.2">
      <c r="A93" s="3" t="s">
        <v>54</v>
      </c>
      <c r="B93" s="3" t="s">
        <v>55</v>
      </c>
      <c r="C93">
        <v>5</v>
      </c>
      <c r="D93">
        <v>20000</v>
      </c>
      <c r="E93">
        <v>499</v>
      </c>
      <c r="F93">
        <v>1</v>
      </c>
      <c r="G93">
        <v>82302.7524576211</v>
      </c>
      <c r="H93">
        <v>0.52299653700000004</v>
      </c>
      <c r="I93">
        <v>15548</v>
      </c>
      <c r="J93">
        <v>4955</v>
      </c>
      <c r="K93">
        <v>10593</v>
      </c>
      <c r="L93">
        <v>500</v>
      </c>
      <c r="M93">
        <v>499</v>
      </c>
      <c r="N93">
        <v>1</v>
      </c>
      <c r="O93">
        <v>18297.374516742799</v>
      </c>
      <c r="P93" s="3" t="s">
        <v>52</v>
      </c>
      <c r="Q93">
        <v>50</v>
      </c>
      <c r="R93">
        <v>0.999</v>
      </c>
      <c r="S93">
        <v>0</v>
      </c>
    </row>
    <row r="94" spans="1:19" x14ac:dyDescent="0.2">
      <c r="A94" s="3" t="s">
        <v>54</v>
      </c>
      <c r="B94" s="3" t="s">
        <v>55</v>
      </c>
      <c r="C94">
        <v>39</v>
      </c>
      <c r="D94">
        <v>20000</v>
      </c>
      <c r="E94">
        <v>499</v>
      </c>
      <c r="F94">
        <v>1</v>
      </c>
      <c r="G94">
        <v>82302.7524576211</v>
      </c>
      <c r="H94">
        <v>0.52272798200000004</v>
      </c>
      <c r="I94">
        <v>15485</v>
      </c>
      <c r="J94">
        <v>4958</v>
      </c>
      <c r="K94">
        <v>10527</v>
      </c>
      <c r="L94">
        <v>500</v>
      </c>
      <c r="M94">
        <v>499</v>
      </c>
      <c r="N94">
        <v>1</v>
      </c>
      <c r="O94">
        <v>18578.989862330902</v>
      </c>
      <c r="P94" s="3" t="s">
        <v>50</v>
      </c>
      <c r="Q94">
        <v>50</v>
      </c>
      <c r="R94">
        <v>0.999</v>
      </c>
      <c r="S94">
        <v>0</v>
      </c>
    </row>
    <row r="95" spans="1:19" x14ac:dyDescent="0.2">
      <c r="A95" s="3" t="s">
        <v>54</v>
      </c>
      <c r="B95" s="3" t="s">
        <v>55</v>
      </c>
      <c r="C95">
        <v>10</v>
      </c>
      <c r="D95">
        <v>20000</v>
      </c>
      <c r="E95">
        <v>499</v>
      </c>
      <c r="F95">
        <v>1</v>
      </c>
      <c r="G95">
        <v>82302.7524576211</v>
      </c>
      <c r="H95">
        <v>0.52224838600000001</v>
      </c>
      <c r="I95">
        <v>15495</v>
      </c>
      <c r="J95">
        <v>4918</v>
      </c>
      <c r="K95">
        <v>10577</v>
      </c>
      <c r="L95">
        <v>500</v>
      </c>
      <c r="M95">
        <v>499</v>
      </c>
      <c r="N95">
        <v>1</v>
      </c>
      <c r="O95">
        <v>18505.2001427707</v>
      </c>
      <c r="P95" s="3" t="s">
        <v>52</v>
      </c>
      <c r="Q95">
        <v>50</v>
      </c>
      <c r="R95">
        <v>0.999</v>
      </c>
      <c r="S95">
        <v>0</v>
      </c>
    </row>
    <row r="96" spans="1:19" x14ac:dyDescent="0.2">
      <c r="A96" s="3" t="s">
        <v>54</v>
      </c>
      <c r="B96" s="3" t="s">
        <v>55</v>
      </c>
      <c r="C96">
        <v>44</v>
      </c>
      <c r="D96">
        <v>20000</v>
      </c>
      <c r="E96">
        <v>499</v>
      </c>
      <c r="F96">
        <v>1</v>
      </c>
      <c r="G96">
        <v>82302.7524576211</v>
      </c>
      <c r="H96">
        <v>0.522177903</v>
      </c>
      <c r="I96">
        <v>15526</v>
      </c>
      <c r="J96">
        <v>4910</v>
      </c>
      <c r="K96">
        <v>10616</v>
      </c>
      <c r="L96">
        <v>500</v>
      </c>
      <c r="M96">
        <v>499</v>
      </c>
      <c r="N96">
        <v>1</v>
      </c>
      <c r="O96">
        <v>18476.7639266037</v>
      </c>
      <c r="P96" s="3" t="s">
        <v>50</v>
      </c>
      <c r="Q96">
        <v>50</v>
      </c>
      <c r="R96">
        <v>0.999</v>
      </c>
      <c r="S96">
        <v>0</v>
      </c>
    </row>
    <row r="97" spans="1:19" x14ac:dyDescent="0.2">
      <c r="A97" s="3" t="s">
        <v>54</v>
      </c>
      <c r="B97" s="3" t="s">
        <v>55</v>
      </c>
      <c r="C97">
        <v>24</v>
      </c>
      <c r="D97">
        <v>20000</v>
      </c>
      <c r="E97">
        <v>499</v>
      </c>
      <c r="F97">
        <v>1</v>
      </c>
      <c r="G97">
        <v>82302.7524576211</v>
      </c>
      <c r="H97">
        <v>0.52143238000000003</v>
      </c>
      <c r="I97">
        <v>15529</v>
      </c>
      <c r="J97">
        <v>4911</v>
      </c>
      <c r="K97">
        <v>10618</v>
      </c>
      <c r="L97">
        <v>500</v>
      </c>
      <c r="M97">
        <v>499</v>
      </c>
      <c r="N97">
        <v>1</v>
      </c>
      <c r="O97">
        <v>18475.703830654598</v>
      </c>
      <c r="P97" s="3" t="s">
        <v>50</v>
      </c>
      <c r="Q97">
        <v>50</v>
      </c>
      <c r="R97">
        <v>0.999</v>
      </c>
      <c r="S97">
        <v>0</v>
      </c>
    </row>
    <row r="98" spans="1:19" x14ac:dyDescent="0.2">
      <c r="A98" s="3" t="s">
        <v>54</v>
      </c>
      <c r="B98" s="3" t="s">
        <v>55</v>
      </c>
      <c r="C98">
        <v>13</v>
      </c>
      <c r="D98">
        <v>19000</v>
      </c>
      <c r="E98">
        <v>499</v>
      </c>
      <c r="F98">
        <v>1</v>
      </c>
      <c r="G98">
        <v>84218.384375429901</v>
      </c>
      <c r="H98">
        <v>0.51973007999999998</v>
      </c>
      <c r="I98">
        <v>15324</v>
      </c>
      <c r="J98">
        <v>4783</v>
      </c>
      <c r="K98">
        <v>10541</v>
      </c>
      <c r="L98">
        <v>500</v>
      </c>
      <c r="M98">
        <v>499</v>
      </c>
      <c r="N98">
        <v>1</v>
      </c>
      <c r="O98">
        <v>16671.476592337502</v>
      </c>
      <c r="P98" s="3" t="s">
        <v>52</v>
      </c>
      <c r="Q98">
        <v>50</v>
      </c>
      <c r="R98">
        <v>0.999</v>
      </c>
      <c r="S98">
        <v>0</v>
      </c>
    </row>
    <row r="99" spans="1:19" x14ac:dyDescent="0.2">
      <c r="A99" s="3" t="s">
        <v>54</v>
      </c>
      <c r="B99" s="3" t="s">
        <v>55</v>
      </c>
      <c r="C99">
        <v>49</v>
      </c>
      <c r="D99">
        <v>19000</v>
      </c>
      <c r="E99">
        <v>499</v>
      </c>
      <c r="F99">
        <v>1</v>
      </c>
      <c r="G99">
        <v>84218.384375429901</v>
      </c>
      <c r="H99">
        <v>0.51927180399999995</v>
      </c>
      <c r="I99">
        <v>15281</v>
      </c>
      <c r="J99">
        <v>4818</v>
      </c>
      <c r="K99">
        <v>10463</v>
      </c>
      <c r="L99">
        <v>500</v>
      </c>
      <c r="M99">
        <v>499</v>
      </c>
      <c r="N99">
        <v>1</v>
      </c>
      <c r="O99">
        <v>16806.915188420498</v>
      </c>
      <c r="P99" s="3" t="s">
        <v>50</v>
      </c>
      <c r="Q99">
        <v>50</v>
      </c>
      <c r="R99">
        <v>0.999</v>
      </c>
      <c r="S99">
        <v>0</v>
      </c>
    </row>
    <row r="100" spans="1:19" x14ac:dyDescent="0.2">
      <c r="A100" s="3" t="s">
        <v>54</v>
      </c>
      <c r="B100" s="3" t="s">
        <v>55</v>
      </c>
      <c r="C100">
        <v>45</v>
      </c>
      <c r="D100">
        <v>20000</v>
      </c>
      <c r="E100">
        <v>499</v>
      </c>
      <c r="F100">
        <v>1</v>
      </c>
      <c r="G100">
        <v>82302.7524576211</v>
      </c>
      <c r="H100">
        <v>0.51898694000000001</v>
      </c>
      <c r="I100">
        <v>15529</v>
      </c>
      <c r="J100">
        <v>4957</v>
      </c>
      <c r="K100">
        <v>10572</v>
      </c>
      <c r="L100">
        <v>500</v>
      </c>
      <c r="M100">
        <v>499</v>
      </c>
      <c r="N100">
        <v>1</v>
      </c>
      <c r="O100">
        <v>18432.221336326002</v>
      </c>
      <c r="P100" s="3" t="s">
        <v>52</v>
      </c>
      <c r="Q100">
        <v>50</v>
      </c>
      <c r="R100">
        <v>0.999</v>
      </c>
      <c r="S100">
        <v>0</v>
      </c>
    </row>
    <row r="101" spans="1:19" x14ac:dyDescent="0.2">
      <c r="A101" s="3" t="s">
        <v>54</v>
      </c>
      <c r="B101" s="3" t="s">
        <v>55</v>
      </c>
      <c r="C101">
        <v>29</v>
      </c>
      <c r="D101">
        <v>20000</v>
      </c>
      <c r="E101">
        <v>499</v>
      </c>
      <c r="F101">
        <v>1</v>
      </c>
      <c r="G101">
        <v>82302.7524576211</v>
      </c>
      <c r="H101">
        <v>0.51893225300000001</v>
      </c>
      <c r="I101">
        <v>15518</v>
      </c>
      <c r="J101">
        <v>4956</v>
      </c>
      <c r="K101">
        <v>10562</v>
      </c>
      <c r="L101">
        <v>500</v>
      </c>
      <c r="M101">
        <v>499</v>
      </c>
      <c r="N101">
        <v>1</v>
      </c>
      <c r="O101">
        <v>18469.935668440201</v>
      </c>
      <c r="P101" s="3" t="s">
        <v>52</v>
      </c>
      <c r="Q101">
        <v>50</v>
      </c>
      <c r="R101">
        <v>0.999</v>
      </c>
      <c r="S101">
        <v>0</v>
      </c>
    </row>
    <row r="102" spans="1:19" x14ac:dyDescent="0.2">
      <c r="A102" s="3" t="s">
        <v>54</v>
      </c>
      <c r="B102" s="3" t="s">
        <v>55</v>
      </c>
      <c r="C102">
        <v>23</v>
      </c>
      <c r="D102">
        <v>20000</v>
      </c>
      <c r="E102">
        <v>499</v>
      </c>
      <c r="F102">
        <v>1</v>
      </c>
      <c r="G102">
        <v>82302.7524576211</v>
      </c>
      <c r="H102">
        <v>0.51852997499999998</v>
      </c>
      <c r="I102">
        <v>15493</v>
      </c>
      <c r="J102">
        <v>4879</v>
      </c>
      <c r="K102">
        <v>10614</v>
      </c>
      <c r="L102">
        <v>500</v>
      </c>
      <c r="M102">
        <v>499</v>
      </c>
      <c r="N102">
        <v>1</v>
      </c>
      <c r="O102">
        <v>18612.406622028098</v>
      </c>
      <c r="P102" s="3" t="s">
        <v>50</v>
      </c>
      <c r="Q102">
        <v>50</v>
      </c>
      <c r="R102">
        <v>0.999</v>
      </c>
      <c r="S102">
        <v>0</v>
      </c>
    </row>
    <row r="103" spans="1:19" x14ac:dyDescent="0.2">
      <c r="A103" s="3" t="s">
        <v>54</v>
      </c>
      <c r="B103" s="3" t="s">
        <v>55</v>
      </c>
      <c r="C103">
        <v>1</v>
      </c>
      <c r="D103">
        <v>20000</v>
      </c>
      <c r="E103">
        <v>499</v>
      </c>
      <c r="F103">
        <v>1</v>
      </c>
      <c r="G103">
        <v>82302.7524576211</v>
      </c>
      <c r="H103">
        <v>0.51838133900000005</v>
      </c>
      <c r="I103">
        <v>15535</v>
      </c>
      <c r="J103">
        <v>4926</v>
      </c>
      <c r="K103">
        <v>10609</v>
      </c>
      <c r="L103">
        <v>500</v>
      </c>
      <c r="M103">
        <v>499</v>
      </c>
      <c r="N103">
        <v>1</v>
      </c>
      <c r="O103">
        <v>18349.962043476</v>
      </c>
      <c r="P103" s="3" t="s">
        <v>52</v>
      </c>
      <c r="Q103">
        <v>50</v>
      </c>
      <c r="R103">
        <v>0.999</v>
      </c>
      <c r="S103">
        <v>0</v>
      </c>
    </row>
    <row r="104" spans="1:19" x14ac:dyDescent="0.2">
      <c r="A104" s="3" t="s">
        <v>54</v>
      </c>
      <c r="B104" s="3" t="s">
        <v>55</v>
      </c>
      <c r="C104">
        <v>44</v>
      </c>
      <c r="D104">
        <v>20000</v>
      </c>
      <c r="E104">
        <v>499</v>
      </c>
      <c r="F104">
        <v>1</v>
      </c>
      <c r="G104">
        <v>82302.7524576211</v>
      </c>
      <c r="H104">
        <v>0.51811924600000003</v>
      </c>
      <c r="I104">
        <v>15540</v>
      </c>
      <c r="J104">
        <v>4959</v>
      </c>
      <c r="K104">
        <v>10581</v>
      </c>
      <c r="L104">
        <v>500</v>
      </c>
      <c r="M104">
        <v>499</v>
      </c>
      <c r="N104">
        <v>1</v>
      </c>
      <c r="O104">
        <v>18342.413000983099</v>
      </c>
      <c r="P104" s="3" t="s">
        <v>52</v>
      </c>
      <c r="Q104">
        <v>50</v>
      </c>
      <c r="R104">
        <v>0.999</v>
      </c>
      <c r="S104">
        <v>0</v>
      </c>
    </row>
    <row r="105" spans="1:19" x14ac:dyDescent="0.2">
      <c r="A105" s="3" t="s">
        <v>54</v>
      </c>
      <c r="B105" s="3" t="s">
        <v>55</v>
      </c>
      <c r="C105">
        <v>32</v>
      </c>
      <c r="D105">
        <v>19000</v>
      </c>
      <c r="E105">
        <v>499</v>
      </c>
      <c r="F105">
        <v>1</v>
      </c>
      <c r="G105">
        <v>84218.384375429901</v>
      </c>
      <c r="H105">
        <v>0.51772047099999996</v>
      </c>
      <c r="I105">
        <v>15274</v>
      </c>
      <c r="J105">
        <v>4788</v>
      </c>
      <c r="K105">
        <v>10486</v>
      </c>
      <c r="L105">
        <v>500</v>
      </c>
      <c r="M105">
        <v>499</v>
      </c>
      <c r="N105">
        <v>1</v>
      </c>
      <c r="O105">
        <v>16669.359189488801</v>
      </c>
      <c r="P105" s="3" t="s">
        <v>52</v>
      </c>
      <c r="Q105">
        <v>50</v>
      </c>
      <c r="R105">
        <v>0.999</v>
      </c>
      <c r="S105">
        <v>0</v>
      </c>
    </row>
    <row r="106" spans="1:19" x14ac:dyDescent="0.2">
      <c r="A106" s="3" t="s">
        <v>54</v>
      </c>
      <c r="B106" s="3" t="s">
        <v>55</v>
      </c>
      <c r="C106">
        <v>16</v>
      </c>
      <c r="D106">
        <v>20000</v>
      </c>
      <c r="E106">
        <v>499</v>
      </c>
      <c r="F106">
        <v>1</v>
      </c>
      <c r="G106">
        <v>82302.7524576211</v>
      </c>
      <c r="H106">
        <v>0.51672710799999999</v>
      </c>
      <c r="I106">
        <v>15513</v>
      </c>
      <c r="J106">
        <v>4934</v>
      </c>
      <c r="K106">
        <v>10579</v>
      </c>
      <c r="L106">
        <v>500</v>
      </c>
      <c r="M106">
        <v>499</v>
      </c>
      <c r="N106">
        <v>1</v>
      </c>
      <c r="O106">
        <v>18342.6266902729</v>
      </c>
      <c r="P106" s="3" t="s">
        <v>52</v>
      </c>
      <c r="Q106">
        <v>50</v>
      </c>
      <c r="R106">
        <v>0.999</v>
      </c>
      <c r="S106">
        <v>0</v>
      </c>
    </row>
    <row r="107" spans="1:19" x14ac:dyDescent="0.2">
      <c r="A107" s="3" t="s">
        <v>54</v>
      </c>
      <c r="B107" s="3" t="s">
        <v>55</v>
      </c>
      <c r="C107">
        <v>42</v>
      </c>
      <c r="D107">
        <v>19000</v>
      </c>
      <c r="E107">
        <v>499</v>
      </c>
      <c r="F107">
        <v>1</v>
      </c>
      <c r="G107">
        <v>84218.384375429901</v>
      </c>
      <c r="H107">
        <v>0.51648333999999996</v>
      </c>
      <c r="I107">
        <v>15244</v>
      </c>
      <c r="J107">
        <v>4743</v>
      </c>
      <c r="K107">
        <v>10501</v>
      </c>
      <c r="L107">
        <v>500</v>
      </c>
      <c r="M107">
        <v>499</v>
      </c>
      <c r="N107">
        <v>1</v>
      </c>
      <c r="O107">
        <v>16804.4419809955</v>
      </c>
      <c r="P107" s="3" t="s">
        <v>50</v>
      </c>
      <c r="Q107">
        <v>50</v>
      </c>
      <c r="R107">
        <v>0.999</v>
      </c>
      <c r="S107">
        <v>0</v>
      </c>
    </row>
    <row r="108" spans="1:19" x14ac:dyDescent="0.2">
      <c r="A108" s="3" t="s">
        <v>54</v>
      </c>
      <c r="B108" s="3" t="s">
        <v>55</v>
      </c>
      <c r="C108">
        <v>9</v>
      </c>
      <c r="D108">
        <v>19000</v>
      </c>
      <c r="E108">
        <v>499</v>
      </c>
      <c r="F108">
        <v>1</v>
      </c>
      <c r="G108">
        <v>84218.384375429901</v>
      </c>
      <c r="H108">
        <v>0.51553246699999999</v>
      </c>
      <c r="I108">
        <v>15313</v>
      </c>
      <c r="J108">
        <v>4776</v>
      </c>
      <c r="K108">
        <v>10537</v>
      </c>
      <c r="L108">
        <v>500</v>
      </c>
      <c r="M108">
        <v>499</v>
      </c>
      <c r="N108">
        <v>1</v>
      </c>
      <c r="O108">
        <v>16709.336243996098</v>
      </c>
      <c r="P108" s="3" t="s">
        <v>50</v>
      </c>
      <c r="Q108">
        <v>50</v>
      </c>
      <c r="R108">
        <v>0.999</v>
      </c>
      <c r="S108">
        <v>0</v>
      </c>
    </row>
    <row r="109" spans="1:19" x14ac:dyDescent="0.2">
      <c r="A109" s="3" t="s">
        <v>54</v>
      </c>
      <c r="B109" s="3" t="s">
        <v>55</v>
      </c>
      <c r="C109">
        <v>1</v>
      </c>
      <c r="D109">
        <v>20000</v>
      </c>
      <c r="E109">
        <v>499</v>
      </c>
      <c r="F109">
        <v>1</v>
      </c>
      <c r="G109">
        <v>82302.7524576211</v>
      </c>
      <c r="H109">
        <v>0.51492837700000005</v>
      </c>
      <c r="I109">
        <v>15495</v>
      </c>
      <c r="J109">
        <v>4933</v>
      </c>
      <c r="K109">
        <v>10562</v>
      </c>
      <c r="L109">
        <v>500</v>
      </c>
      <c r="M109">
        <v>499</v>
      </c>
      <c r="N109">
        <v>1</v>
      </c>
      <c r="O109">
        <v>18558.926693609599</v>
      </c>
      <c r="P109" s="3" t="s">
        <v>50</v>
      </c>
      <c r="Q109">
        <v>50</v>
      </c>
      <c r="R109">
        <v>0.999</v>
      </c>
      <c r="S109">
        <v>0</v>
      </c>
    </row>
    <row r="110" spans="1:19" x14ac:dyDescent="0.2">
      <c r="A110" s="3" t="s">
        <v>54</v>
      </c>
      <c r="B110" s="3" t="s">
        <v>55</v>
      </c>
      <c r="C110">
        <v>10</v>
      </c>
      <c r="D110">
        <v>19000</v>
      </c>
      <c r="E110">
        <v>499</v>
      </c>
      <c r="F110">
        <v>1</v>
      </c>
      <c r="G110">
        <v>84218.384375429901</v>
      </c>
      <c r="H110">
        <v>0.51471033099999997</v>
      </c>
      <c r="I110">
        <v>15247</v>
      </c>
      <c r="J110">
        <v>4746</v>
      </c>
      <c r="K110">
        <v>10501</v>
      </c>
      <c r="L110">
        <v>500</v>
      </c>
      <c r="M110">
        <v>499</v>
      </c>
      <c r="N110">
        <v>1</v>
      </c>
      <c r="O110">
        <v>16818.686083912398</v>
      </c>
      <c r="P110" s="3" t="s">
        <v>50</v>
      </c>
      <c r="Q110">
        <v>50</v>
      </c>
      <c r="R110">
        <v>0.999</v>
      </c>
      <c r="S110">
        <v>0</v>
      </c>
    </row>
    <row r="111" spans="1:19" x14ac:dyDescent="0.2">
      <c r="A111" s="3" t="s">
        <v>54</v>
      </c>
      <c r="B111" s="3" t="s">
        <v>55</v>
      </c>
      <c r="C111">
        <v>5</v>
      </c>
      <c r="D111">
        <v>19000</v>
      </c>
      <c r="E111">
        <v>499</v>
      </c>
      <c r="F111">
        <v>1</v>
      </c>
      <c r="G111">
        <v>84218.384375429901</v>
      </c>
      <c r="H111">
        <v>0.51408394599999996</v>
      </c>
      <c r="I111">
        <v>15246</v>
      </c>
      <c r="J111">
        <v>4754</v>
      </c>
      <c r="K111">
        <v>10492</v>
      </c>
      <c r="L111">
        <v>500</v>
      </c>
      <c r="M111">
        <v>499</v>
      </c>
      <c r="N111">
        <v>1</v>
      </c>
      <c r="O111">
        <v>16787.372883174299</v>
      </c>
      <c r="P111" s="3" t="s">
        <v>50</v>
      </c>
      <c r="Q111">
        <v>50</v>
      </c>
      <c r="R111">
        <v>0.999</v>
      </c>
      <c r="S111">
        <v>0</v>
      </c>
    </row>
    <row r="112" spans="1:19" x14ac:dyDescent="0.2">
      <c r="A112" s="3" t="s">
        <v>54</v>
      </c>
      <c r="B112" s="3" t="s">
        <v>55</v>
      </c>
      <c r="C112">
        <v>46</v>
      </c>
      <c r="D112">
        <v>19000</v>
      </c>
      <c r="E112">
        <v>499</v>
      </c>
      <c r="F112">
        <v>1</v>
      </c>
      <c r="G112">
        <v>84218.384375429901</v>
      </c>
      <c r="H112">
        <v>0.51402426099999998</v>
      </c>
      <c r="I112">
        <v>15306</v>
      </c>
      <c r="J112">
        <v>4779</v>
      </c>
      <c r="K112">
        <v>10527</v>
      </c>
      <c r="L112">
        <v>500</v>
      </c>
      <c r="M112">
        <v>499</v>
      </c>
      <c r="N112">
        <v>1</v>
      </c>
      <c r="O112">
        <v>16718.927198515899</v>
      </c>
      <c r="P112" s="3" t="s">
        <v>50</v>
      </c>
      <c r="Q112">
        <v>50</v>
      </c>
      <c r="R112">
        <v>0.999</v>
      </c>
      <c r="S112">
        <v>0</v>
      </c>
    </row>
    <row r="113" spans="1:19" x14ac:dyDescent="0.2">
      <c r="A113" s="3" t="s">
        <v>54</v>
      </c>
      <c r="B113" s="3" t="s">
        <v>55</v>
      </c>
      <c r="C113">
        <v>21</v>
      </c>
      <c r="D113">
        <v>20000</v>
      </c>
      <c r="E113">
        <v>499</v>
      </c>
      <c r="F113">
        <v>1</v>
      </c>
      <c r="G113">
        <v>82302.7524576211</v>
      </c>
      <c r="H113">
        <v>0.513928783</v>
      </c>
      <c r="I113">
        <v>15536</v>
      </c>
      <c r="J113">
        <v>4929</v>
      </c>
      <c r="K113">
        <v>10607</v>
      </c>
      <c r="L113">
        <v>500</v>
      </c>
      <c r="M113">
        <v>499</v>
      </c>
      <c r="N113">
        <v>1</v>
      </c>
      <c r="O113">
        <v>18363.616444080701</v>
      </c>
      <c r="P113" s="3" t="s">
        <v>52</v>
      </c>
      <c r="Q113">
        <v>50</v>
      </c>
      <c r="R113">
        <v>0.999</v>
      </c>
      <c r="S113">
        <v>0</v>
      </c>
    </row>
    <row r="114" spans="1:19" x14ac:dyDescent="0.2">
      <c r="A114" s="3" t="s">
        <v>54</v>
      </c>
      <c r="B114" s="3" t="s">
        <v>55</v>
      </c>
      <c r="C114">
        <v>31</v>
      </c>
      <c r="D114">
        <v>20000</v>
      </c>
      <c r="E114">
        <v>499</v>
      </c>
      <c r="F114">
        <v>1</v>
      </c>
      <c r="G114">
        <v>82302.7524576211</v>
      </c>
      <c r="H114">
        <v>0.51391390599999998</v>
      </c>
      <c r="I114">
        <v>15520</v>
      </c>
      <c r="J114">
        <v>4936</v>
      </c>
      <c r="K114">
        <v>10584</v>
      </c>
      <c r="L114">
        <v>500</v>
      </c>
      <c r="M114">
        <v>499</v>
      </c>
      <c r="N114">
        <v>1</v>
      </c>
      <c r="O114">
        <v>18500.394953464802</v>
      </c>
      <c r="P114" s="3" t="s">
        <v>52</v>
      </c>
      <c r="Q114">
        <v>50</v>
      </c>
      <c r="R114">
        <v>0.999</v>
      </c>
      <c r="S114">
        <v>0</v>
      </c>
    </row>
    <row r="115" spans="1:19" x14ac:dyDescent="0.2">
      <c r="A115" s="3" t="s">
        <v>54</v>
      </c>
      <c r="B115" s="3" t="s">
        <v>55</v>
      </c>
      <c r="C115">
        <v>45</v>
      </c>
      <c r="D115">
        <v>20000</v>
      </c>
      <c r="E115">
        <v>499</v>
      </c>
      <c r="F115">
        <v>1</v>
      </c>
      <c r="G115">
        <v>82302.7524576211</v>
      </c>
      <c r="H115">
        <v>0.51362249800000004</v>
      </c>
      <c r="I115">
        <v>15516</v>
      </c>
      <c r="J115">
        <v>4960</v>
      </c>
      <c r="K115">
        <v>10556</v>
      </c>
      <c r="L115">
        <v>500</v>
      </c>
      <c r="M115">
        <v>499</v>
      </c>
      <c r="N115">
        <v>1</v>
      </c>
      <c r="O115">
        <v>18563.187215407899</v>
      </c>
      <c r="P115" s="3" t="s">
        <v>50</v>
      </c>
      <c r="Q115">
        <v>50</v>
      </c>
      <c r="R115">
        <v>0.999</v>
      </c>
      <c r="S115">
        <v>0</v>
      </c>
    </row>
    <row r="116" spans="1:19" x14ac:dyDescent="0.2">
      <c r="A116" s="3" t="s">
        <v>54</v>
      </c>
      <c r="B116" s="3" t="s">
        <v>55</v>
      </c>
      <c r="C116">
        <v>41</v>
      </c>
      <c r="D116">
        <v>20000</v>
      </c>
      <c r="E116">
        <v>499</v>
      </c>
      <c r="F116">
        <v>1</v>
      </c>
      <c r="G116">
        <v>82302.7524576211</v>
      </c>
      <c r="H116">
        <v>0.51353230699999997</v>
      </c>
      <c r="I116">
        <v>15489</v>
      </c>
      <c r="J116">
        <v>4912</v>
      </c>
      <c r="K116">
        <v>10577</v>
      </c>
      <c r="L116">
        <v>500</v>
      </c>
      <c r="M116">
        <v>499</v>
      </c>
      <c r="N116">
        <v>1</v>
      </c>
      <c r="O116">
        <v>18566.219551083901</v>
      </c>
      <c r="P116" s="3" t="s">
        <v>52</v>
      </c>
      <c r="Q116">
        <v>50</v>
      </c>
      <c r="R116">
        <v>0.999</v>
      </c>
      <c r="S116">
        <v>0</v>
      </c>
    </row>
    <row r="117" spans="1:19" x14ac:dyDescent="0.2">
      <c r="A117" s="3" t="s">
        <v>54</v>
      </c>
      <c r="B117" s="3" t="s">
        <v>55</v>
      </c>
      <c r="C117">
        <v>37</v>
      </c>
      <c r="D117">
        <v>20000</v>
      </c>
      <c r="E117">
        <v>499</v>
      </c>
      <c r="F117">
        <v>1</v>
      </c>
      <c r="G117">
        <v>82302.7524576211</v>
      </c>
      <c r="H117">
        <v>0.51325571299999995</v>
      </c>
      <c r="I117">
        <v>15552</v>
      </c>
      <c r="J117">
        <v>4944</v>
      </c>
      <c r="K117">
        <v>10608</v>
      </c>
      <c r="L117">
        <v>500</v>
      </c>
      <c r="M117">
        <v>499</v>
      </c>
      <c r="N117">
        <v>1</v>
      </c>
      <c r="O117">
        <v>18306.433337725401</v>
      </c>
      <c r="P117" s="3" t="s">
        <v>50</v>
      </c>
      <c r="Q117">
        <v>50</v>
      </c>
      <c r="R117">
        <v>0.999</v>
      </c>
      <c r="S117">
        <v>0</v>
      </c>
    </row>
    <row r="118" spans="1:19" x14ac:dyDescent="0.2">
      <c r="A118" s="3" t="s">
        <v>54</v>
      </c>
      <c r="B118" s="3" t="s">
        <v>55</v>
      </c>
      <c r="C118">
        <v>25</v>
      </c>
      <c r="D118">
        <v>19000</v>
      </c>
      <c r="E118">
        <v>499</v>
      </c>
      <c r="F118">
        <v>1</v>
      </c>
      <c r="G118">
        <v>84218.384375429901</v>
      </c>
      <c r="H118">
        <v>0.51321786300000005</v>
      </c>
      <c r="I118">
        <v>15252</v>
      </c>
      <c r="J118">
        <v>4762</v>
      </c>
      <c r="K118">
        <v>10490</v>
      </c>
      <c r="L118">
        <v>500</v>
      </c>
      <c r="M118">
        <v>499</v>
      </c>
      <c r="N118">
        <v>1</v>
      </c>
      <c r="O118">
        <v>16863.885492509398</v>
      </c>
      <c r="P118" s="3" t="s">
        <v>50</v>
      </c>
      <c r="Q118">
        <v>50</v>
      </c>
      <c r="R118">
        <v>0.999</v>
      </c>
      <c r="S118">
        <v>0</v>
      </c>
    </row>
    <row r="119" spans="1:19" x14ac:dyDescent="0.2">
      <c r="A119" s="3" t="s">
        <v>54</v>
      </c>
      <c r="B119" s="3" t="s">
        <v>55</v>
      </c>
      <c r="C119">
        <v>48</v>
      </c>
      <c r="D119">
        <v>19000</v>
      </c>
      <c r="E119">
        <v>499</v>
      </c>
      <c r="F119">
        <v>1</v>
      </c>
      <c r="G119">
        <v>84218.384375429901</v>
      </c>
      <c r="H119">
        <v>0.51319200399999998</v>
      </c>
      <c r="I119">
        <v>15282</v>
      </c>
      <c r="J119">
        <v>4741</v>
      </c>
      <c r="K119">
        <v>10541</v>
      </c>
      <c r="L119">
        <v>500</v>
      </c>
      <c r="M119">
        <v>499</v>
      </c>
      <c r="N119">
        <v>1</v>
      </c>
      <c r="O119">
        <v>16724.375523072798</v>
      </c>
      <c r="P119" s="3" t="s">
        <v>52</v>
      </c>
      <c r="Q119">
        <v>50</v>
      </c>
      <c r="R119">
        <v>0.999</v>
      </c>
      <c r="S119">
        <v>0</v>
      </c>
    </row>
    <row r="120" spans="1:19" x14ac:dyDescent="0.2">
      <c r="A120" s="3" t="s">
        <v>54</v>
      </c>
      <c r="B120" s="3" t="s">
        <v>55</v>
      </c>
      <c r="C120">
        <v>13</v>
      </c>
      <c r="D120">
        <v>19000</v>
      </c>
      <c r="E120">
        <v>499</v>
      </c>
      <c r="F120">
        <v>1</v>
      </c>
      <c r="G120">
        <v>84218.384375429901</v>
      </c>
      <c r="H120">
        <v>0.51271672300000004</v>
      </c>
      <c r="I120">
        <v>15288</v>
      </c>
      <c r="J120">
        <v>4785</v>
      </c>
      <c r="K120">
        <v>10503</v>
      </c>
      <c r="L120">
        <v>500</v>
      </c>
      <c r="M120">
        <v>499</v>
      </c>
      <c r="N120">
        <v>1</v>
      </c>
      <c r="O120">
        <v>16796.3083367986</v>
      </c>
      <c r="P120" s="3" t="s">
        <v>50</v>
      </c>
      <c r="Q120">
        <v>50</v>
      </c>
      <c r="R120">
        <v>0.999</v>
      </c>
      <c r="S120">
        <v>0</v>
      </c>
    </row>
    <row r="121" spans="1:19" x14ac:dyDescent="0.2">
      <c r="A121" s="3" t="s">
        <v>54</v>
      </c>
      <c r="B121" s="3" t="s">
        <v>55</v>
      </c>
      <c r="C121">
        <v>6</v>
      </c>
      <c r="D121">
        <v>20000</v>
      </c>
      <c r="E121">
        <v>499</v>
      </c>
      <c r="F121">
        <v>1</v>
      </c>
      <c r="G121">
        <v>82302.7524576211</v>
      </c>
      <c r="H121">
        <v>0.51270187300000003</v>
      </c>
      <c r="I121">
        <v>15538</v>
      </c>
      <c r="J121">
        <v>5000</v>
      </c>
      <c r="K121">
        <v>10538</v>
      </c>
      <c r="L121">
        <v>500</v>
      </c>
      <c r="M121">
        <v>499</v>
      </c>
      <c r="N121">
        <v>1</v>
      </c>
      <c r="O121">
        <v>18481.238138230899</v>
      </c>
      <c r="P121" s="3" t="s">
        <v>50</v>
      </c>
      <c r="Q121">
        <v>50</v>
      </c>
      <c r="R121">
        <v>0.999</v>
      </c>
      <c r="S121">
        <v>0</v>
      </c>
    </row>
    <row r="122" spans="1:19" x14ac:dyDescent="0.2">
      <c r="A122" s="3" t="s">
        <v>54</v>
      </c>
      <c r="B122" s="3" t="s">
        <v>55</v>
      </c>
      <c r="C122">
        <v>3</v>
      </c>
      <c r="D122">
        <v>20000</v>
      </c>
      <c r="E122">
        <v>499</v>
      </c>
      <c r="F122">
        <v>1</v>
      </c>
      <c r="G122">
        <v>82302.7524576211</v>
      </c>
      <c r="H122">
        <v>0.51209767500000003</v>
      </c>
      <c r="I122">
        <v>15542</v>
      </c>
      <c r="J122">
        <v>4962</v>
      </c>
      <c r="K122">
        <v>10580</v>
      </c>
      <c r="L122">
        <v>500</v>
      </c>
      <c r="M122">
        <v>499</v>
      </c>
      <c r="N122">
        <v>1</v>
      </c>
      <c r="O122">
        <v>18391.730571562399</v>
      </c>
      <c r="P122" s="3" t="s">
        <v>52</v>
      </c>
      <c r="Q122">
        <v>50</v>
      </c>
      <c r="R122">
        <v>0.999</v>
      </c>
      <c r="S122">
        <v>0</v>
      </c>
    </row>
    <row r="123" spans="1:19" x14ac:dyDescent="0.2">
      <c r="A123" s="3" t="s">
        <v>54</v>
      </c>
      <c r="B123" s="3" t="s">
        <v>55</v>
      </c>
      <c r="C123">
        <v>33</v>
      </c>
      <c r="D123">
        <v>19000</v>
      </c>
      <c r="E123">
        <v>499</v>
      </c>
      <c r="F123">
        <v>1</v>
      </c>
      <c r="G123">
        <v>84218.384375429901</v>
      </c>
      <c r="H123">
        <v>0.51167394600000005</v>
      </c>
      <c r="I123">
        <v>15255</v>
      </c>
      <c r="J123">
        <v>4791</v>
      </c>
      <c r="K123">
        <v>10464</v>
      </c>
      <c r="L123">
        <v>500</v>
      </c>
      <c r="M123">
        <v>499</v>
      </c>
      <c r="N123">
        <v>1</v>
      </c>
      <c r="O123">
        <v>16782.3069882815</v>
      </c>
      <c r="P123" s="3" t="s">
        <v>50</v>
      </c>
      <c r="Q123">
        <v>50</v>
      </c>
      <c r="R123">
        <v>0.999</v>
      </c>
      <c r="S123">
        <v>0</v>
      </c>
    </row>
    <row r="124" spans="1:19" x14ac:dyDescent="0.2">
      <c r="A124" s="3" t="s">
        <v>54</v>
      </c>
      <c r="B124" s="3" t="s">
        <v>55</v>
      </c>
      <c r="C124">
        <v>17</v>
      </c>
      <c r="D124">
        <v>19000</v>
      </c>
      <c r="E124">
        <v>499</v>
      </c>
      <c r="F124">
        <v>1</v>
      </c>
      <c r="G124">
        <v>84218.384375429901</v>
      </c>
      <c r="H124">
        <v>0.51160808300000005</v>
      </c>
      <c r="I124">
        <v>15261</v>
      </c>
      <c r="J124">
        <v>4803</v>
      </c>
      <c r="K124">
        <v>10458</v>
      </c>
      <c r="L124">
        <v>500</v>
      </c>
      <c r="M124">
        <v>499</v>
      </c>
      <c r="N124">
        <v>1</v>
      </c>
      <c r="O124">
        <v>16838.446951172398</v>
      </c>
      <c r="P124" s="3" t="s">
        <v>50</v>
      </c>
      <c r="Q124">
        <v>50</v>
      </c>
      <c r="R124">
        <v>0.999</v>
      </c>
      <c r="S124">
        <v>0</v>
      </c>
    </row>
    <row r="125" spans="1:19" x14ac:dyDescent="0.2">
      <c r="A125" s="3" t="s">
        <v>54</v>
      </c>
      <c r="B125" s="3" t="s">
        <v>55</v>
      </c>
      <c r="C125">
        <v>19</v>
      </c>
      <c r="D125">
        <v>19000</v>
      </c>
      <c r="E125">
        <v>499</v>
      </c>
      <c r="F125">
        <v>1</v>
      </c>
      <c r="G125">
        <v>84218.384375429901</v>
      </c>
      <c r="H125">
        <v>0.51143861899999998</v>
      </c>
      <c r="I125">
        <v>15284</v>
      </c>
      <c r="J125">
        <v>4751</v>
      </c>
      <c r="K125">
        <v>10533</v>
      </c>
      <c r="L125">
        <v>500</v>
      </c>
      <c r="M125">
        <v>499</v>
      </c>
      <c r="N125">
        <v>1</v>
      </c>
      <c r="O125">
        <v>16795.3768598243</v>
      </c>
      <c r="P125" s="3" t="s">
        <v>50</v>
      </c>
      <c r="Q125">
        <v>50</v>
      </c>
      <c r="R125">
        <v>0.999</v>
      </c>
      <c r="S125">
        <v>0</v>
      </c>
    </row>
    <row r="126" spans="1:19" x14ac:dyDescent="0.2">
      <c r="A126" s="3" t="s">
        <v>54</v>
      </c>
      <c r="B126" s="3" t="s">
        <v>55</v>
      </c>
      <c r="C126">
        <v>2</v>
      </c>
      <c r="D126">
        <v>20000</v>
      </c>
      <c r="E126">
        <v>499</v>
      </c>
      <c r="F126">
        <v>1</v>
      </c>
      <c r="G126">
        <v>82302.7524576211</v>
      </c>
      <c r="H126">
        <v>0.51109653099999997</v>
      </c>
      <c r="I126">
        <v>15523</v>
      </c>
      <c r="J126">
        <v>4922</v>
      </c>
      <c r="K126">
        <v>10601</v>
      </c>
      <c r="L126">
        <v>500</v>
      </c>
      <c r="M126">
        <v>499</v>
      </c>
      <c r="N126">
        <v>1</v>
      </c>
      <c r="O126">
        <v>18429.911451105101</v>
      </c>
      <c r="P126" s="3" t="s">
        <v>52</v>
      </c>
      <c r="Q126">
        <v>50</v>
      </c>
      <c r="R126">
        <v>0.999</v>
      </c>
      <c r="S126">
        <v>0</v>
      </c>
    </row>
    <row r="127" spans="1:19" x14ac:dyDescent="0.2">
      <c r="A127" s="3" t="s">
        <v>54</v>
      </c>
      <c r="B127" s="3" t="s">
        <v>55</v>
      </c>
      <c r="C127">
        <v>6</v>
      </c>
      <c r="D127">
        <v>19000</v>
      </c>
      <c r="E127">
        <v>499</v>
      </c>
      <c r="F127">
        <v>1</v>
      </c>
      <c r="G127">
        <v>84218.384375429901</v>
      </c>
      <c r="H127">
        <v>0.51068945899999996</v>
      </c>
      <c r="I127">
        <v>15277</v>
      </c>
      <c r="J127">
        <v>4785</v>
      </c>
      <c r="K127">
        <v>10492</v>
      </c>
      <c r="L127">
        <v>500</v>
      </c>
      <c r="M127">
        <v>499</v>
      </c>
      <c r="N127">
        <v>1</v>
      </c>
      <c r="O127">
        <v>16759.438342041001</v>
      </c>
      <c r="P127" s="3" t="s">
        <v>50</v>
      </c>
      <c r="Q127">
        <v>50</v>
      </c>
      <c r="R127">
        <v>0.999</v>
      </c>
      <c r="S127">
        <v>0</v>
      </c>
    </row>
    <row r="128" spans="1:19" x14ac:dyDescent="0.2">
      <c r="A128" s="3" t="s">
        <v>54</v>
      </c>
      <c r="B128" s="3" t="s">
        <v>55</v>
      </c>
      <c r="C128">
        <v>48</v>
      </c>
      <c r="D128">
        <v>19000</v>
      </c>
      <c r="E128">
        <v>499</v>
      </c>
      <c r="F128">
        <v>1</v>
      </c>
      <c r="G128">
        <v>84218.384375429901</v>
      </c>
      <c r="H128">
        <v>0.50932758700000003</v>
      </c>
      <c r="I128">
        <v>15277</v>
      </c>
      <c r="J128">
        <v>4787</v>
      </c>
      <c r="K128">
        <v>10490</v>
      </c>
      <c r="L128">
        <v>500</v>
      </c>
      <c r="M128">
        <v>499</v>
      </c>
      <c r="N128">
        <v>1</v>
      </c>
      <c r="O128">
        <v>16783.0372866129</v>
      </c>
      <c r="P128" s="3" t="s">
        <v>50</v>
      </c>
      <c r="Q128">
        <v>50</v>
      </c>
      <c r="R128">
        <v>0.999</v>
      </c>
      <c r="S128">
        <v>0</v>
      </c>
    </row>
    <row r="129" spans="1:19" x14ac:dyDescent="0.2">
      <c r="A129" s="3" t="s">
        <v>54</v>
      </c>
      <c r="B129" s="3" t="s">
        <v>55</v>
      </c>
      <c r="C129">
        <v>45</v>
      </c>
      <c r="D129">
        <v>19000</v>
      </c>
      <c r="E129">
        <v>499</v>
      </c>
      <c r="F129">
        <v>1</v>
      </c>
      <c r="G129">
        <v>84218.384375429901</v>
      </c>
      <c r="H129">
        <v>0.50916185599999997</v>
      </c>
      <c r="I129">
        <v>15277</v>
      </c>
      <c r="J129">
        <v>4774</v>
      </c>
      <c r="K129">
        <v>10503</v>
      </c>
      <c r="L129">
        <v>500</v>
      </c>
      <c r="M129">
        <v>499</v>
      </c>
      <c r="N129">
        <v>1</v>
      </c>
      <c r="O129">
        <v>16818.3597468765</v>
      </c>
      <c r="P129" s="3" t="s">
        <v>50</v>
      </c>
      <c r="Q129">
        <v>50</v>
      </c>
      <c r="R129">
        <v>0.999</v>
      </c>
      <c r="S129">
        <v>0</v>
      </c>
    </row>
    <row r="130" spans="1:19" x14ac:dyDescent="0.2">
      <c r="A130" s="3" t="s">
        <v>54</v>
      </c>
      <c r="B130" s="3" t="s">
        <v>55</v>
      </c>
      <c r="C130">
        <v>42</v>
      </c>
      <c r="D130">
        <v>19000</v>
      </c>
      <c r="E130">
        <v>499</v>
      </c>
      <c r="F130">
        <v>1</v>
      </c>
      <c r="G130">
        <v>84218.384375429901</v>
      </c>
      <c r="H130">
        <v>0.50856168800000001</v>
      </c>
      <c r="I130">
        <v>15298</v>
      </c>
      <c r="J130">
        <v>4819</v>
      </c>
      <c r="K130">
        <v>10479</v>
      </c>
      <c r="L130">
        <v>500</v>
      </c>
      <c r="M130">
        <v>499</v>
      </c>
      <c r="N130">
        <v>1</v>
      </c>
      <c r="O130">
        <v>16715.188809183899</v>
      </c>
      <c r="P130" s="3" t="s">
        <v>52</v>
      </c>
      <c r="Q130">
        <v>50</v>
      </c>
      <c r="R130">
        <v>0.999</v>
      </c>
      <c r="S130">
        <v>0</v>
      </c>
    </row>
    <row r="131" spans="1:19" x14ac:dyDescent="0.2">
      <c r="A131" s="3" t="s">
        <v>54</v>
      </c>
      <c r="B131" s="3" t="s">
        <v>55</v>
      </c>
      <c r="C131">
        <v>30</v>
      </c>
      <c r="D131">
        <v>19000</v>
      </c>
      <c r="E131">
        <v>499</v>
      </c>
      <c r="F131">
        <v>1</v>
      </c>
      <c r="G131">
        <v>84218.384375429901</v>
      </c>
      <c r="H131">
        <v>0.50762184200000005</v>
      </c>
      <c r="I131">
        <v>15285</v>
      </c>
      <c r="J131">
        <v>4847</v>
      </c>
      <c r="K131">
        <v>10438</v>
      </c>
      <c r="L131">
        <v>500</v>
      </c>
      <c r="M131">
        <v>499</v>
      </c>
      <c r="N131">
        <v>1</v>
      </c>
      <c r="O131">
        <v>16711.176348909801</v>
      </c>
      <c r="P131" s="3" t="s">
        <v>50</v>
      </c>
      <c r="Q131">
        <v>50</v>
      </c>
      <c r="R131">
        <v>0.999</v>
      </c>
      <c r="S131">
        <v>0</v>
      </c>
    </row>
    <row r="132" spans="1:19" x14ac:dyDescent="0.2">
      <c r="A132" s="3" t="s">
        <v>54</v>
      </c>
      <c r="B132" s="3" t="s">
        <v>55</v>
      </c>
      <c r="C132">
        <v>21</v>
      </c>
      <c r="D132">
        <v>19000</v>
      </c>
      <c r="E132">
        <v>499</v>
      </c>
      <c r="F132">
        <v>1</v>
      </c>
      <c r="G132">
        <v>84218.384375429901</v>
      </c>
      <c r="H132">
        <v>0.50735403999999995</v>
      </c>
      <c r="I132">
        <v>15268</v>
      </c>
      <c r="J132">
        <v>4760</v>
      </c>
      <c r="K132">
        <v>10508</v>
      </c>
      <c r="L132">
        <v>500</v>
      </c>
      <c r="M132">
        <v>499</v>
      </c>
      <c r="N132">
        <v>1</v>
      </c>
      <c r="O132">
        <v>16752.299144193301</v>
      </c>
      <c r="P132" s="3" t="s">
        <v>52</v>
      </c>
      <c r="Q132">
        <v>50</v>
      </c>
      <c r="R132">
        <v>0.999</v>
      </c>
      <c r="S132">
        <v>0</v>
      </c>
    </row>
    <row r="133" spans="1:19" x14ac:dyDescent="0.2">
      <c r="A133" s="3" t="s">
        <v>54</v>
      </c>
      <c r="B133" s="3" t="s">
        <v>55</v>
      </c>
      <c r="C133">
        <v>50</v>
      </c>
      <c r="D133">
        <v>19000</v>
      </c>
      <c r="E133">
        <v>499</v>
      </c>
      <c r="F133">
        <v>1</v>
      </c>
      <c r="G133">
        <v>84218.384375429901</v>
      </c>
      <c r="H133">
        <v>0.50709536399999999</v>
      </c>
      <c r="I133">
        <v>15238</v>
      </c>
      <c r="J133">
        <v>4745</v>
      </c>
      <c r="K133">
        <v>10493</v>
      </c>
      <c r="L133">
        <v>500</v>
      </c>
      <c r="M133">
        <v>499</v>
      </c>
      <c r="N133">
        <v>1</v>
      </c>
      <c r="O133">
        <v>16871.287746356498</v>
      </c>
      <c r="P133" s="3" t="s">
        <v>50</v>
      </c>
      <c r="Q133">
        <v>50</v>
      </c>
      <c r="R133">
        <v>0.999</v>
      </c>
      <c r="S133">
        <v>0</v>
      </c>
    </row>
    <row r="134" spans="1:19" x14ac:dyDescent="0.2">
      <c r="A134" s="3" t="s">
        <v>54</v>
      </c>
      <c r="B134" s="3" t="s">
        <v>55</v>
      </c>
      <c r="C134">
        <v>14</v>
      </c>
      <c r="D134">
        <v>19000</v>
      </c>
      <c r="E134">
        <v>499</v>
      </c>
      <c r="F134">
        <v>1</v>
      </c>
      <c r="G134">
        <v>84218.384375429901</v>
      </c>
      <c r="H134">
        <v>0.50697356900000001</v>
      </c>
      <c r="I134">
        <v>15273</v>
      </c>
      <c r="J134">
        <v>4756</v>
      </c>
      <c r="K134">
        <v>10517</v>
      </c>
      <c r="L134">
        <v>500</v>
      </c>
      <c r="M134">
        <v>499</v>
      </c>
      <c r="N134">
        <v>1</v>
      </c>
      <c r="O134">
        <v>16784.242202411799</v>
      </c>
      <c r="P134" s="3" t="s">
        <v>52</v>
      </c>
      <c r="Q134">
        <v>50</v>
      </c>
      <c r="R134">
        <v>0.999</v>
      </c>
      <c r="S134">
        <v>0</v>
      </c>
    </row>
    <row r="135" spans="1:19" x14ac:dyDescent="0.2">
      <c r="A135" s="3" t="s">
        <v>54</v>
      </c>
      <c r="B135" s="3" t="s">
        <v>55</v>
      </c>
      <c r="C135">
        <v>11</v>
      </c>
      <c r="D135">
        <v>19000</v>
      </c>
      <c r="E135">
        <v>499</v>
      </c>
      <c r="F135">
        <v>1</v>
      </c>
      <c r="G135">
        <v>84218.384375429901</v>
      </c>
      <c r="H135">
        <v>0.50664762299999999</v>
      </c>
      <c r="I135">
        <v>15272</v>
      </c>
      <c r="J135">
        <v>4785</v>
      </c>
      <c r="K135">
        <v>10487</v>
      </c>
      <c r="L135">
        <v>500</v>
      </c>
      <c r="M135">
        <v>499</v>
      </c>
      <c r="N135">
        <v>1</v>
      </c>
      <c r="O135">
        <v>16759.6710271763</v>
      </c>
      <c r="P135" s="3" t="s">
        <v>50</v>
      </c>
      <c r="Q135">
        <v>50</v>
      </c>
      <c r="R135">
        <v>0.999</v>
      </c>
      <c r="S135">
        <v>0</v>
      </c>
    </row>
    <row r="136" spans="1:19" x14ac:dyDescent="0.2">
      <c r="A136" s="3" t="s">
        <v>54</v>
      </c>
      <c r="B136" s="3" t="s">
        <v>55</v>
      </c>
      <c r="C136">
        <v>14</v>
      </c>
      <c r="D136">
        <v>19000</v>
      </c>
      <c r="E136">
        <v>499</v>
      </c>
      <c r="F136">
        <v>1</v>
      </c>
      <c r="G136">
        <v>84218.384375429901</v>
      </c>
      <c r="H136">
        <v>0.50614714199999999</v>
      </c>
      <c r="I136">
        <v>15285</v>
      </c>
      <c r="J136">
        <v>4816</v>
      </c>
      <c r="K136">
        <v>10469</v>
      </c>
      <c r="L136">
        <v>500</v>
      </c>
      <c r="M136">
        <v>499</v>
      </c>
      <c r="N136">
        <v>1</v>
      </c>
      <c r="O136">
        <v>16729.989185635099</v>
      </c>
      <c r="P136" s="3" t="s">
        <v>50</v>
      </c>
      <c r="Q136">
        <v>50</v>
      </c>
      <c r="R136">
        <v>0.999</v>
      </c>
      <c r="S136">
        <v>0</v>
      </c>
    </row>
    <row r="137" spans="1:19" x14ac:dyDescent="0.2">
      <c r="A137" s="3" t="s">
        <v>54</v>
      </c>
      <c r="B137" s="3" t="s">
        <v>55</v>
      </c>
      <c r="C137">
        <v>20</v>
      </c>
      <c r="D137">
        <v>19000</v>
      </c>
      <c r="E137">
        <v>499</v>
      </c>
      <c r="F137">
        <v>1</v>
      </c>
      <c r="G137">
        <v>84218.384375429901</v>
      </c>
      <c r="H137">
        <v>0.50542102499999997</v>
      </c>
      <c r="I137">
        <v>15266</v>
      </c>
      <c r="J137">
        <v>4799</v>
      </c>
      <c r="K137">
        <v>10467</v>
      </c>
      <c r="L137">
        <v>500</v>
      </c>
      <c r="M137">
        <v>499</v>
      </c>
      <c r="N137">
        <v>1</v>
      </c>
      <c r="O137">
        <v>16829.964719997999</v>
      </c>
      <c r="P137" s="3" t="s">
        <v>50</v>
      </c>
      <c r="Q137">
        <v>50</v>
      </c>
      <c r="R137">
        <v>0.999</v>
      </c>
      <c r="S137">
        <v>0</v>
      </c>
    </row>
    <row r="138" spans="1:19" x14ac:dyDescent="0.2">
      <c r="A138" s="3" t="s">
        <v>54</v>
      </c>
      <c r="B138" s="3" t="s">
        <v>55</v>
      </c>
      <c r="C138">
        <v>22</v>
      </c>
      <c r="D138">
        <v>19000</v>
      </c>
      <c r="E138">
        <v>499</v>
      </c>
      <c r="F138">
        <v>1</v>
      </c>
      <c r="G138">
        <v>84218.384375429901</v>
      </c>
      <c r="H138">
        <v>0.50510585900000005</v>
      </c>
      <c r="I138">
        <v>15267</v>
      </c>
      <c r="J138">
        <v>4758</v>
      </c>
      <c r="K138">
        <v>10509</v>
      </c>
      <c r="L138">
        <v>500</v>
      </c>
      <c r="M138">
        <v>499</v>
      </c>
      <c r="N138">
        <v>1</v>
      </c>
      <c r="O138">
        <v>16765.418795953399</v>
      </c>
      <c r="P138" s="3" t="s">
        <v>50</v>
      </c>
      <c r="Q138">
        <v>50</v>
      </c>
      <c r="R138">
        <v>0.999</v>
      </c>
      <c r="S138">
        <v>0</v>
      </c>
    </row>
    <row r="139" spans="1:19" x14ac:dyDescent="0.2">
      <c r="A139" s="3" t="s">
        <v>54</v>
      </c>
      <c r="B139" s="3" t="s">
        <v>55</v>
      </c>
      <c r="C139">
        <v>5</v>
      </c>
      <c r="D139">
        <v>19000</v>
      </c>
      <c r="E139">
        <v>499</v>
      </c>
      <c r="F139">
        <v>1</v>
      </c>
      <c r="G139">
        <v>84218.384375429901</v>
      </c>
      <c r="H139">
        <v>0.50480599800000003</v>
      </c>
      <c r="I139">
        <v>15287</v>
      </c>
      <c r="J139">
        <v>4761</v>
      </c>
      <c r="K139">
        <v>10526</v>
      </c>
      <c r="L139">
        <v>500</v>
      </c>
      <c r="M139">
        <v>499</v>
      </c>
      <c r="N139">
        <v>1</v>
      </c>
      <c r="O139">
        <v>16823.979525223102</v>
      </c>
      <c r="P139" s="3" t="s">
        <v>52</v>
      </c>
      <c r="Q139">
        <v>50</v>
      </c>
      <c r="R139">
        <v>0.999</v>
      </c>
      <c r="S139">
        <v>0</v>
      </c>
    </row>
    <row r="140" spans="1:19" x14ac:dyDescent="0.2">
      <c r="A140" s="3" t="s">
        <v>54</v>
      </c>
      <c r="B140" s="3" t="s">
        <v>55</v>
      </c>
      <c r="C140">
        <v>49</v>
      </c>
      <c r="D140">
        <v>19000</v>
      </c>
      <c r="E140">
        <v>499</v>
      </c>
      <c r="F140">
        <v>1</v>
      </c>
      <c r="G140">
        <v>84218.384375429901</v>
      </c>
      <c r="H140">
        <v>0.50388181700000001</v>
      </c>
      <c r="I140">
        <v>15322</v>
      </c>
      <c r="J140">
        <v>4799</v>
      </c>
      <c r="K140">
        <v>10523</v>
      </c>
      <c r="L140">
        <v>500</v>
      </c>
      <c r="M140">
        <v>499</v>
      </c>
      <c r="N140">
        <v>1</v>
      </c>
      <c r="O140">
        <v>16703.559265313401</v>
      </c>
      <c r="P140" s="3" t="s">
        <v>52</v>
      </c>
      <c r="Q140">
        <v>50</v>
      </c>
      <c r="R140">
        <v>0.999</v>
      </c>
      <c r="S140">
        <v>0</v>
      </c>
    </row>
    <row r="141" spans="1:19" x14ac:dyDescent="0.2">
      <c r="A141" s="3" t="s">
        <v>54</v>
      </c>
      <c r="B141" s="3" t="s">
        <v>55</v>
      </c>
      <c r="C141">
        <v>31</v>
      </c>
      <c r="D141">
        <v>19000</v>
      </c>
      <c r="E141">
        <v>499</v>
      </c>
      <c r="F141">
        <v>1</v>
      </c>
      <c r="G141">
        <v>84218.384375429901</v>
      </c>
      <c r="H141">
        <v>0.50378578100000004</v>
      </c>
      <c r="I141">
        <v>15263</v>
      </c>
      <c r="J141">
        <v>4809</v>
      </c>
      <c r="K141">
        <v>10454</v>
      </c>
      <c r="L141">
        <v>500</v>
      </c>
      <c r="M141">
        <v>499</v>
      </c>
      <c r="N141">
        <v>1</v>
      </c>
      <c r="O141">
        <v>16840.072446780901</v>
      </c>
      <c r="P141" s="3" t="s">
        <v>50</v>
      </c>
      <c r="Q141">
        <v>50</v>
      </c>
      <c r="R141">
        <v>0.999</v>
      </c>
      <c r="S141">
        <v>0</v>
      </c>
    </row>
    <row r="142" spans="1:19" x14ac:dyDescent="0.2">
      <c r="A142" s="3" t="s">
        <v>54</v>
      </c>
      <c r="B142" s="3" t="s">
        <v>55</v>
      </c>
      <c r="C142">
        <v>43</v>
      </c>
      <c r="D142">
        <v>19000</v>
      </c>
      <c r="E142">
        <v>499</v>
      </c>
      <c r="F142">
        <v>1</v>
      </c>
      <c r="G142">
        <v>84218.384375429901</v>
      </c>
      <c r="H142">
        <v>0.50347984300000004</v>
      </c>
      <c r="I142">
        <v>15239</v>
      </c>
      <c r="J142">
        <v>4778</v>
      </c>
      <c r="K142">
        <v>10461</v>
      </c>
      <c r="L142">
        <v>500</v>
      </c>
      <c r="M142">
        <v>499</v>
      </c>
      <c r="N142">
        <v>1</v>
      </c>
      <c r="O142">
        <v>16935.553266072398</v>
      </c>
      <c r="P142" s="3" t="s">
        <v>50</v>
      </c>
      <c r="Q142">
        <v>50</v>
      </c>
      <c r="R142">
        <v>0.999</v>
      </c>
      <c r="S142">
        <v>0</v>
      </c>
    </row>
    <row r="143" spans="1:19" x14ac:dyDescent="0.2">
      <c r="A143" s="3" t="s">
        <v>54</v>
      </c>
      <c r="B143" s="3" t="s">
        <v>55</v>
      </c>
      <c r="C143">
        <v>28</v>
      </c>
      <c r="D143">
        <v>19000</v>
      </c>
      <c r="E143">
        <v>499</v>
      </c>
      <c r="F143">
        <v>1</v>
      </c>
      <c r="G143">
        <v>84218.384375429901</v>
      </c>
      <c r="H143">
        <v>0.50328189999999995</v>
      </c>
      <c r="I143">
        <v>15240</v>
      </c>
      <c r="J143">
        <v>4760</v>
      </c>
      <c r="K143">
        <v>10480</v>
      </c>
      <c r="L143">
        <v>500</v>
      </c>
      <c r="M143">
        <v>499</v>
      </c>
      <c r="N143">
        <v>1</v>
      </c>
      <c r="O143">
        <v>16837.111254564101</v>
      </c>
      <c r="P143" s="3" t="s">
        <v>50</v>
      </c>
      <c r="Q143">
        <v>50</v>
      </c>
      <c r="R143">
        <v>0.999</v>
      </c>
      <c r="S143">
        <v>0</v>
      </c>
    </row>
    <row r="144" spans="1:19" x14ac:dyDescent="0.2">
      <c r="A144" s="3" t="s">
        <v>54</v>
      </c>
      <c r="B144" s="3" t="s">
        <v>55</v>
      </c>
      <c r="C144">
        <v>10</v>
      </c>
      <c r="D144">
        <v>19000</v>
      </c>
      <c r="E144">
        <v>499</v>
      </c>
      <c r="F144">
        <v>1</v>
      </c>
      <c r="G144">
        <v>84218.384375429901</v>
      </c>
      <c r="H144">
        <v>0.50256478500000001</v>
      </c>
      <c r="I144">
        <v>15263</v>
      </c>
      <c r="J144">
        <v>4770</v>
      </c>
      <c r="K144">
        <v>10493</v>
      </c>
      <c r="L144">
        <v>500</v>
      </c>
      <c r="M144">
        <v>499</v>
      </c>
      <c r="N144">
        <v>1</v>
      </c>
      <c r="O144">
        <v>16776.596396822501</v>
      </c>
      <c r="P144" s="3" t="s">
        <v>52</v>
      </c>
      <c r="Q144">
        <v>50</v>
      </c>
      <c r="R144">
        <v>0.999</v>
      </c>
      <c r="S144">
        <v>0</v>
      </c>
    </row>
    <row r="145" spans="1:19" x14ac:dyDescent="0.2">
      <c r="A145" s="3" t="s">
        <v>54</v>
      </c>
      <c r="B145" s="3" t="s">
        <v>55</v>
      </c>
      <c r="C145">
        <v>19</v>
      </c>
      <c r="D145">
        <v>20000</v>
      </c>
      <c r="E145">
        <v>499</v>
      </c>
      <c r="F145">
        <v>1</v>
      </c>
      <c r="G145">
        <v>82302.7524576211</v>
      </c>
      <c r="H145">
        <v>0.50248619000000005</v>
      </c>
      <c r="I145">
        <v>15559</v>
      </c>
      <c r="J145">
        <v>4898</v>
      </c>
      <c r="K145">
        <v>10661</v>
      </c>
      <c r="L145">
        <v>500</v>
      </c>
      <c r="M145">
        <v>499</v>
      </c>
      <c r="N145">
        <v>1</v>
      </c>
      <c r="O145">
        <v>18395.5300723297</v>
      </c>
      <c r="P145" s="3" t="s">
        <v>52</v>
      </c>
      <c r="Q145">
        <v>50</v>
      </c>
      <c r="R145">
        <v>0.999</v>
      </c>
      <c r="S145">
        <v>0</v>
      </c>
    </row>
    <row r="146" spans="1:19" x14ac:dyDescent="0.2">
      <c r="A146" s="3" t="s">
        <v>54</v>
      </c>
      <c r="B146" s="3" t="s">
        <v>55</v>
      </c>
      <c r="C146">
        <v>24</v>
      </c>
      <c r="D146">
        <v>19000</v>
      </c>
      <c r="E146">
        <v>499</v>
      </c>
      <c r="F146">
        <v>1</v>
      </c>
      <c r="G146">
        <v>84218.384375429901</v>
      </c>
      <c r="H146">
        <v>0.50143499499999999</v>
      </c>
      <c r="I146">
        <v>15276</v>
      </c>
      <c r="J146">
        <v>4765</v>
      </c>
      <c r="K146">
        <v>10511</v>
      </c>
      <c r="L146">
        <v>500</v>
      </c>
      <c r="M146">
        <v>499</v>
      </c>
      <c r="N146">
        <v>1</v>
      </c>
      <c r="O146">
        <v>16817.3037131987</v>
      </c>
      <c r="P146" s="3" t="s">
        <v>50</v>
      </c>
      <c r="Q146">
        <v>50</v>
      </c>
      <c r="R146">
        <v>0.999</v>
      </c>
      <c r="S146">
        <v>0</v>
      </c>
    </row>
    <row r="147" spans="1:19" x14ac:dyDescent="0.2">
      <c r="A147" s="3" t="s">
        <v>54</v>
      </c>
      <c r="B147" s="3" t="s">
        <v>55</v>
      </c>
      <c r="C147">
        <v>32</v>
      </c>
      <c r="D147">
        <v>19000</v>
      </c>
      <c r="E147">
        <v>499</v>
      </c>
      <c r="F147">
        <v>1</v>
      </c>
      <c r="G147">
        <v>84218.384375429901</v>
      </c>
      <c r="H147">
        <v>0.50061583700000001</v>
      </c>
      <c r="I147">
        <v>15307</v>
      </c>
      <c r="J147">
        <v>4751</v>
      </c>
      <c r="K147">
        <v>10556</v>
      </c>
      <c r="L147">
        <v>500</v>
      </c>
      <c r="M147">
        <v>499</v>
      </c>
      <c r="N147">
        <v>1</v>
      </c>
      <c r="O147">
        <v>16716.2558386774</v>
      </c>
      <c r="P147" s="3" t="s">
        <v>50</v>
      </c>
      <c r="Q147">
        <v>50</v>
      </c>
      <c r="R147">
        <v>0.999</v>
      </c>
      <c r="S147">
        <v>0</v>
      </c>
    </row>
    <row r="148" spans="1:19" x14ac:dyDescent="0.2">
      <c r="A148" s="3" t="s">
        <v>54</v>
      </c>
      <c r="B148" s="3" t="s">
        <v>55</v>
      </c>
      <c r="C148">
        <v>36</v>
      </c>
      <c r="D148">
        <v>20000</v>
      </c>
      <c r="E148">
        <v>499</v>
      </c>
      <c r="F148">
        <v>1</v>
      </c>
      <c r="G148">
        <v>82302.7524576211</v>
      </c>
      <c r="H148">
        <v>0.50010116699999996</v>
      </c>
      <c r="I148">
        <v>15477</v>
      </c>
      <c r="J148">
        <v>4884</v>
      </c>
      <c r="K148">
        <v>10593</v>
      </c>
      <c r="L148">
        <v>500</v>
      </c>
      <c r="M148">
        <v>499</v>
      </c>
      <c r="N148">
        <v>1</v>
      </c>
      <c r="O148">
        <v>18531.556700445999</v>
      </c>
      <c r="P148" s="3" t="s">
        <v>52</v>
      </c>
      <c r="Q148">
        <v>50</v>
      </c>
      <c r="R148">
        <v>0.999</v>
      </c>
      <c r="S148">
        <v>0</v>
      </c>
    </row>
    <row r="149" spans="1:19" x14ac:dyDescent="0.2">
      <c r="A149" s="3" t="s">
        <v>54</v>
      </c>
      <c r="B149" s="3" t="s">
        <v>55</v>
      </c>
      <c r="C149">
        <v>26</v>
      </c>
      <c r="D149">
        <v>19000</v>
      </c>
      <c r="E149">
        <v>499</v>
      </c>
      <c r="F149">
        <v>1</v>
      </c>
      <c r="G149">
        <v>84218.384375429901</v>
      </c>
      <c r="H149">
        <v>0.49930655699999998</v>
      </c>
      <c r="I149">
        <v>15275</v>
      </c>
      <c r="J149">
        <v>4797</v>
      </c>
      <c r="K149">
        <v>10478</v>
      </c>
      <c r="L149">
        <v>500</v>
      </c>
      <c r="M149">
        <v>499</v>
      </c>
      <c r="N149">
        <v>1</v>
      </c>
      <c r="O149">
        <v>16839.728249129901</v>
      </c>
      <c r="P149" s="3" t="s">
        <v>50</v>
      </c>
      <c r="Q149">
        <v>50</v>
      </c>
      <c r="R149">
        <v>0.999</v>
      </c>
      <c r="S149">
        <v>0</v>
      </c>
    </row>
    <row r="150" spans="1:19" x14ac:dyDescent="0.2">
      <c r="A150" s="3" t="s">
        <v>54</v>
      </c>
      <c r="B150" s="3" t="s">
        <v>55</v>
      </c>
      <c r="C150">
        <v>27</v>
      </c>
      <c r="D150">
        <v>19000</v>
      </c>
      <c r="E150">
        <v>499</v>
      </c>
      <c r="F150">
        <v>1</v>
      </c>
      <c r="G150">
        <v>84218.384375429901</v>
      </c>
      <c r="H150">
        <v>0.49924735100000001</v>
      </c>
      <c r="I150">
        <v>15277</v>
      </c>
      <c r="J150">
        <v>4731</v>
      </c>
      <c r="K150">
        <v>10546</v>
      </c>
      <c r="L150">
        <v>500</v>
      </c>
      <c r="M150">
        <v>499</v>
      </c>
      <c r="N150">
        <v>1</v>
      </c>
      <c r="O150">
        <v>16803.0025110877</v>
      </c>
      <c r="P150" s="3" t="s">
        <v>50</v>
      </c>
      <c r="Q150">
        <v>50</v>
      </c>
      <c r="R150">
        <v>0.999</v>
      </c>
      <c r="S150">
        <v>0</v>
      </c>
    </row>
    <row r="151" spans="1:19" x14ac:dyDescent="0.2">
      <c r="A151" s="3" t="s">
        <v>54</v>
      </c>
      <c r="B151" s="3" t="s">
        <v>55</v>
      </c>
      <c r="C151">
        <v>12</v>
      </c>
      <c r="D151">
        <v>19000</v>
      </c>
      <c r="E151">
        <v>499</v>
      </c>
      <c r="F151">
        <v>1</v>
      </c>
      <c r="G151">
        <v>84218.384375429901</v>
      </c>
      <c r="H151">
        <v>0.49856617800000003</v>
      </c>
      <c r="I151">
        <v>15262</v>
      </c>
      <c r="J151">
        <v>4800</v>
      </c>
      <c r="K151">
        <v>10462</v>
      </c>
      <c r="L151">
        <v>500</v>
      </c>
      <c r="M151">
        <v>499</v>
      </c>
      <c r="N151">
        <v>1</v>
      </c>
      <c r="O151">
        <v>16802.8477004056</v>
      </c>
      <c r="P151" s="3" t="s">
        <v>52</v>
      </c>
      <c r="Q151">
        <v>50</v>
      </c>
      <c r="R151">
        <v>0.999</v>
      </c>
      <c r="S151">
        <v>0</v>
      </c>
    </row>
    <row r="152" spans="1:19" x14ac:dyDescent="0.2">
      <c r="A152" s="3" t="s">
        <v>54</v>
      </c>
      <c r="B152" s="3" t="s">
        <v>55</v>
      </c>
      <c r="C152">
        <v>29</v>
      </c>
      <c r="D152">
        <v>19000</v>
      </c>
      <c r="E152">
        <v>499</v>
      </c>
      <c r="F152">
        <v>1</v>
      </c>
      <c r="G152">
        <v>84218.384375429901</v>
      </c>
      <c r="H152">
        <v>0.49847327299999999</v>
      </c>
      <c r="I152">
        <v>15267</v>
      </c>
      <c r="J152">
        <v>4817</v>
      </c>
      <c r="K152">
        <v>10450</v>
      </c>
      <c r="L152">
        <v>500</v>
      </c>
      <c r="M152">
        <v>499</v>
      </c>
      <c r="N152">
        <v>1</v>
      </c>
      <c r="O152">
        <v>16802.450568400898</v>
      </c>
      <c r="P152" s="3" t="s">
        <v>50</v>
      </c>
      <c r="Q152">
        <v>50</v>
      </c>
      <c r="R152">
        <v>0.999</v>
      </c>
      <c r="S152">
        <v>0</v>
      </c>
    </row>
    <row r="153" spans="1:19" x14ac:dyDescent="0.2">
      <c r="A153" s="3" t="s">
        <v>54</v>
      </c>
      <c r="B153" s="3" t="s">
        <v>55</v>
      </c>
      <c r="C153">
        <v>28</v>
      </c>
      <c r="D153">
        <v>19000</v>
      </c>
      <c r="E153">
        <v>499</v>
      </c>
      <c r="F153">
        <v>1</v>
      </c>
      <c r="G153">
        <v>84218.384375429901</v>
      </c>
      <c r="H153">
        <v>0.49821239</v>
      </c>
      <c r="I153">
        <v>15261</v>
      </c>
      <c r="J153">
        <v>4767</v>
      </c>
      <c r="K153">
        <v>10494</v>
      </c>
      <c r="L153">
        <v>500</v>
      </c>
      <c r="M153">
        <v>499</v>
      </c>
      <c r="N153">
        <v>1</v>
      </c>
      <c r="O153">
        <v>16763.366089092098</v>
      </c>
      <c r="P153" s="3" t="s">
        <v>52</v>
      </c>
      <c r="Q153">
        <v>50</v>
      </c>
      <c r="R153">
        <v>0.999</v>
      </c>
      <c r="S153">
        <v>0</v>
      </c>
    </row>
    <row r="154" spans="1:19" x14ac:dyDescent="0.2">
      <c r="A154" s="3" t="s">
        <v>54</v>
      </c>
      <c r="B154" s="3" t="s">
        <v>55</v>
      </c>
      <c r="C154">
        <v>16</v>
      </c>
      <c r="D154">
        <v>19000</v>
      </c>
      <c r="E154">
        <v>499</v>
      </c>
      <c r="F154">
        <v>1</v>
      </c>
      <c r="G154">
        <v>84218.384375429901</v>
      </c>
      <c r="H154">
        <v>0.498017775</v>
      </c>
      <c r="I154">
        <v>15277</v>
      </c>
      <c r="J154">
        <v>4768</v>
      </c>
      <c r="K154">
        <v>10509</v>
      </c>
      <c r="L154">
        <v>500</v>
      </c>
      <c r="M154">
        <v>499</v>
      </c>
      <c r="N154">
        <v>1</v>
      </c>
      <c r="O154">
        <v>16856.566215986299</v>
      </c>
      <c r="P154" s="3" t="s">
        <v>50</v>
      </c>
      <c r="Q154">
        <v>50</v>
      </c>
      <c r="R154">
        <v>0.999</v>
      </c>
      <c r="S154">
        <v>0</v>
      </c>
    </row>
    <row r="155" spans="1:19" x14ac:dyDescent="0.2">
      <c r="A155" s="3" t="s">
        <v>54</v>
      </c>
      <c r="B155" s="3" t="s">
        <v>55</v>
      </c>
      <c r="C155">
        <v>8</v>
      </c>
      <c r="D155">
        <v>19000</v>
      </c>
      <c r="E155">
        <v>499</v>
      </c>
      <c r="F155">
        <v>1</v>
      </c>
      <c r="G155">
        <v>84218.384375429901</v>
      </c>
      <c r="H155">
        <v>0.49764526199999998</v>
      </c>
      <c r="I155">
        <v>15291</v>
      </c>
      <c r="J155">
        <v>4830</v>
      </c>
      <c r="K155">
        <v>10461</v>
      </c>
      <c r="L155">
        <v>500</v>
      </c>
      <c r="M155">
        <v>499</v>
      </c>
      <c r="N155">
        <v>1</v>
      </c>
      <c r="O155">
        <v>16716.165845425301</v>
      </c>
      <c r="P155" s="3" t="s">
        <v>50</v>
      </c>
      <c r="Q155">
        <v>50</v>
      </c>
      <c r="R155">
        <v>0.999</v>
      </c>
      <c r="S155">
        <v>0</v>
      </c>
    </row>
    <row r="156" spans="1:19" x14ac:dyDescent="0.2">
      <c r="A156" s="3" t="s">
        <v>54</v>
      </c>
      <c r="B156" s="3" t="s">
        <v>55</v>
      </c>
      <c r="C156">
        <v>50</v>
      </c>
      <c r="D156">
        <v>19000</v>
      </c>
      <c r="E156">
        <v>499</v>
      </c>
      <c r="F156">
        <v>1</v>
      </c>
      <c r="G156">
        <v>84218.384375429901</v>
      </c>
      <c r="H156">
        <v>0.49750444500000002</v>
      </c>
      <c r="I156">
        <v>15288</v>
      </c>
      <c r="J156">
        <v>4716</v>
      </c>
      <c r="K156">
        <v>10572</v>
      </c>
      <c r="L156">
        <v>500</v>
      </c>
      <c r="M156">
        <v>499</v>
      </c>
      <c r="N156">
        <v>1</v>
      </c>
      <c r="O156">
        <v>16791.677013873101</v>
      </c>
      <c r="P156" s="3" t="s">
        <v>52</v>
      </c>
      <c r="Q156">
        <v>50</v>
      </c>
      <c r="R156">
        <v>0.999</v>
      </c>
      <c r="S156">
        <v>0</v>
      </c>
    </row>
    <row r="157" spans="1:19" x14ac:dyDescent="0.2">
      <c r="A157" s="3" t="s">
        <v>54</v>
      </c>
      <c r="B157" s="3" t="s">
        <v>55</v>
      </c>
      <c r="C157">
        <v>6</v>
      </c>
      <c r="D157">
        <v>19000</v>
      </c>
      <c r="E157">
        <v>499</v>
      </c>
      <c r="F157">
        <v>1</v>
      </c>
      <c r="G157">
        <v>84218.384375429901</v>
      </c>
      <c r="H157">
        <v>0.49731602200000002</v>
      </c>
      <c r="I157">
        <v>15272</v>
      </c>
      <c r="J157">
        <v>4744</v>
      </c>
      <c r="K157">
        <v>10528</v>
      </c>
      <c r="L157">
        <v>500</v>
      </c>
      <c r="M157">
        <v>499</v>
      </c>
      <c r="N157">
        <v>1</v>
      </c>
      <c r="O157">
        <v>16787.3184612982</v>
      </c>
      <c r="P157" s="3" t="s">
        <v>52</v>
      </c>
      <c r="Q157">
        <v>50</v>
      </c>
      <c r="R157">
        <v>0.999</v>
      </c>
      <c r="S157">
        <v>0</v>
      </c>
    </row>
    <row r="158" spans="1:19" x14ac:dyDescent="0.2">
      <c r="A158" s="3" t="s">
        <v>54</v>
      </c>
      <c r="B158" s="3" t="s">
        <v>55</v>
      </c>
      <c r="C158">
        <v>40</v>
      </c>
      <c r="D158">
        <v>19000</v>
      </c>
      <c r="E158">
        <v>499</v>
      </c>
      <c r="F158">
        <v>1</v>
      </c>
      <c r="G158">
        <v>84218.384375429901</v>
      </c>
      <c r="H158">
        <v>0.496309269</v>
      </c>
      <c r="I158">
        <v>15294</v>
      </c>
      <c r="J158">
        <v>4727</v>
      </c>
      <c r="K158">
        <v>10567</v>
      </c>
      <c r="L158">
        <v>500</v>
      </c>
      <c r="M158">
        <v>499</v>
      </c>
      <c r="N158">
        <v>1</v>
      </c>
      <c r="O158">
        <v>16739.4345570687</v>
      </c>
      <c r="P158" s="3" t="s">
        <v>50</v>
      </c>
      <c r="Q158">
        <v>50</v>
      </c>
      <c r="R158">
        <v>0.999</v>
      </c>
      <c r="S158">
        <v>0</v>
      </c>
    </row>
    <row r="159" spans="1:19" x14ac:dyDescent="0.2">
      <c r="A159" s="3" t="s">
        <v>54</v>
      </c>
      <c r="B159" s="3" t="s">
        <v>55</v>
      </c>
      <c r="C159">
        <v>47</v>
      </c>
      <c r="D159">
        <v>19000</v>
      </c>
      <c r="E159">
        <v>499</v>
      </c>
      <c r="F159">
        <v>1</v>
      </c>
      <c r="G159">
        <v>84218.384375429901</v>
      </c>
      <c r="H159">
        <v>0.49553570499999999</v>
      </c>
      <c r="I159">
        <v>15248</v>
      </c>
      <c r="J159">
        <v>4764</v>
      </c>
      <c r="K159">
        <v>10484</v>
      </c>
      <c r="L159">
        <v>500</v>
      </c>
      <c r="M159">
        <v>499</v>
      </c>
      <c r="N159">
        <v>1</v>
      </c>
      <c r="O159">
        <v>16817.723537199599</v>
      </c>
      <c r="P159" s="3" t="s">
        <v>50</v>
      </c>
      <c r="Q159">
        <v>50</v>
      </c>
      <c r="R159">
        <v>0.999</v>
      </c>
      <c r="S159">
        <v>0</v>
      </c>
    </row>
    <row r="160" spans="1:19" x14ac:dyDescent="0.2">
      <c r="A160" s="3" t="s">
        <v>54</v>
      </c>
      <c r="B160" s="3" t="s">
        <v>55</v>
      </c>
      <c r="C160">
        <v>7</v>
      </c>
      <c r="D160">
        <v>19000</v>
      </c>
      <c r="E160">
        <v>499</v>
      </c>
      <c r="F160">
        <v>1</v>
      </c>
      <c r="G160">
        <v>84218.384375429901</v>
      </c>
      <c r="H160">
        <v>0.495041799</v>
      </c>
      <c r="I160">
        <v>15265</v>
      </c>
      <c r="J160">
        <v>4736</v>
      </c>
      <c r="K160">
        <v>10529</v>
      </c>
      <c r="L160">
        <v>500</v>
      </c>
      <c r="M160">
        <v>499</v>
      </c>
      <c r="N160">
        <v>1</v>
      </c>
      <c r="O160">
        <v>16787.5700626199</v>
      </c>
      <c r="P160" s="3" t="s">
        <v>50</v>
      </c>
      <c r="Q160">
        <v>50</v>
      </c>
      <c r="R160">
        <v>0.999</v>
      </c>
      <c r="S160">
        <v>0</v>
      </c>
    </row>
    <row r="161" spans="1:19" x14ac:dyDescent="0.2">
      <c r="A161" s="3" t="s">
        <v>54</v>
      </c>
      <c r="B161" s="3" t="s">
        <v>55</v>
      </c>
      <c r="C161">
        <v>35</v>
      </c>
      <c r="D161">
        <v>19000</v>
      </c>
      <c r="E161">
        <v>499</v>
      </c>
      <c r="F161">
        <v>1</v>
      </c>
      <c r="G161">
        <v>84218.384375429901</v>
      </c>
      <c r="H161">
        <v>0.49496460799999997</v>
      </c>
      <c r="I161">
        <v>15213</v>
      </c>
      <c r="J161">
        <v>4750</v>
      </c>
      <c r="K161">
        <v>10463</v>
      </c>
      <c r="L161">
        <v>500</v>
      </c>
      <c r="M161">
        <v>499</v>
      </c>
      <c r="N161">
        <v>1</v>
      </c>
      <c r="O161">
        <v>16885.002408782399</v>
      </c>
      <c r="P161" s="3" t="s">
        <v>50</v>
      </c>
      <c r="Q161">
        <v>50</v>
      </c>
      <c r="R161">
        <v>0.999</v>
      </c>
      <c r="S161">
        <v>0</v>
      </c>
    </row>
    <row r="162" spans="1:19" x14ac:dyDescent="0.2">
      <c r="A162" s="3" t="s">
        <v>54</v>
      </c>
      <c r="B162" s="3" t="s">
        <v>55</v>
      </c>
      <c r="C162">
        <v>16</v>
      </c>
      <c r="D162">
        <v>19000</v>
      </c>
      <c r="E162">
        <v>499</v>
      </c>
      <c r="F162">
        <v>1</v>
      </c>
      <c r="G162">
        <v>84218.384375429901</v>
      </c>
      <c r="H162">
        <v>0.49455179599999999</v>
      </c>
      <c r="I162">
        <v>15266</v>
      </c>
      <c r="J162">
        <v>4757</v>
      </c>
      <c r="K162">
        <v>10509</v>
      </c>
      <c r="L162">
        <v>500</v>
      </c>
      <c r="M162">
        <v>499</v>
      </c>
      <c r="N162">
        <v>1</v>
      </c>
      <c r="O162">
        <v>16835.921463308001</v>
      </c>
      <c r="P162" s="3" t="s">
        <v>52</v>
      </c>
      <c r="Q162">
        <v>50</v>
      </c>
      <c r="R162">
        <v>0.999</v>
      </c>
      <c r="S162">
        <v>0</v>
      </c>
    </row>
    <row r="163" spans="1:19" x14ac:dyDescent="0.2">
      <c r="A163" s="3" t="s">
        <v>54</v>
      </c>
      <c r="B163" s="3" t="s">
        <v>55</v>
      </c>
      <c r="C163">
        <v>37</v>
      </c>
      <c r="D163">
        <v>19000</v>
      </c>
      <c r="E163">
        <v>499</v>
      </c>
      <c r="F163">
        <v>1</v>
      </c>
      <c r="G163">
        <v>84218.384375429901</v>
      </c>
      <c r="H163">
        <v>0.49427274599999999</v>
      </c>
      <c r="I163">
        <v>15225</v>
      </c>
      <c r="J163">
        <v>4769</v>
      </c>
      <c r="K163">
        <v>10456</v>
      </c>
      <c r="L163">
        <v>500</v>
      </c>
      <c r="M163">
        <v>499</v>
      </c>
      <c r="N163">
        <v>1</v>
      </c>
      <c r="O163">
        <v>16970.006762392299</v>
      </c>
      <c r="P163" s="3" t="s">
        <v>50</v>
      </c>
      <c r="Q163">
        <v>50</v>
      </c>
      <c r="R163">
        <v>0.999</v>
      </c>
      <c r="S163">
        <v>0</v>
      </c>
    </row>
    <row r="164" spans="1:19" x14ac:dyDescent="0.2">
      <c r="A164" s="3" t="s">
        <v>54</v>
      </c>
      <c r="B164" s="3" t="s">
        <v>55</v>
      </c>
      <c r="C164">
        <v>44</v>
      </c>
      <c r="D164">
        <v>19000</v>
      </c>
      <c r="E164">
        <v>499</v>
      </c>
      <c r="F164">
        <v>1</v>
      </c>
      <c r="G164">
        <v>84218.384375429901</v>
      </c>
      <c r="H164">
        <v>0.49353691199999999</v>
      </c>
      <c r="I164">
        <v>15247</v>
      </c>
      <c r="J164">
        <v>4709</v>
      </c>
      <c r="K164">
        <v>10538</v>
      </c>
      <c r="L164">
        <v>500</v>
      </c>
      <c r="M164">
        <v>499</v>
      </c>
      <c r="N164">
        <v>1</v>
      </c>
      <c r="O164">
        <v>16899.878029312102</v>
      </c>
      <c r="P164" s="3" t="s">
        <v>50</v>
      </c>
      <c r="Q164">
        <v>50</v>
      </c>
      <c r="R164">
        <v>0.999</v>
      </c>
      <c r="S164">
        <v>0</v>
      </c>
    </row>
    <row r="165" spans="1:19" x14ac:dyDescent="0.2">
      <c r="A165" s="3" t="s">
        <v>54</v>
      </c>
      <c r="B165" s="3" t="s">
        <v>55</v>
      </c>
      <c r="C165">
        <v>26</v>
      </c>
      <c r="D165">
        <v>19000</v>
      </c>
      <c r="E165">
        <v>499</v>
      </c>
      <c r="F165">
        <v>1</v>
      </c>
      <c r="G165">
        <v>84218.384375429901</v>
      </c>
      <c r="H165">
        <v>0.49303590200000003</v>
      </c>
      <c r="I165">
        <v>15270</v>
      </c>
      <c r="J165">
        <v>4751</v>
      </c>
      <c r="K165">
        <v>10519</v>
      </c>
      <c r="L165">
        <v>500</v>
      </c>
      <c r="M165">
        <v>499</v>
      </c>
      <c r="N165">
        <v>1</v>
      </c>
      <c r="O165">
        <v>16713.2038030453</v>
      </c>
      <c r="P165" s="3" t="s">
        <v>52</v>
      </c>
      <c r="Q165">
        <v>50</v>
      </c>
      <c r="R165">
        <v>0.999</v>
      </c>
      <c r="S165">
        <v>0</v>
      </c>
    </row>
    <row r="166" spans="1:19" x14ac:dyDescent="0.2">
      <c r="A166" s="3" t="s">
        <v>54</v>
      </c>
      <c r="B166" s="3" t="s">
        <v>55</v>
      </c>
      <c r="C166">
        <v>18</v>
      </c>
      <c r="D166">
        <v>19000</v>
      </c>
      <c r="E166">
        <v>499</v>
      </c>
      <c r="F166">
        <v>1</v>
      </c>
      <c r="G166">
        <v>84218.384375429901</v>
      </c>
      <c r="H166">
        <v>0.492929548</v>
      </c>
      <c r="I166">
        <v>15264</v>
      </c>
      <c r="J166">
        <v>4765</v>
      </c>
      <c r="K166">
        <v>10499</v>
      </c>
      <c r="L166">
        <v>500</v>
      </c>
      <c r="M166">
        <v>499</v>
      </c>
      <c r="N166">
        <v>1</v>
      </c>
      <c r="O166">
        <v>16745.3417244462</v>
      </c>
      <c r="P166" s="3" t="s">
        <v>52</v>
      </c>
      <c r="Q166">
        <v>50</v>
      </c>
      <c r="R166">
        <v>0.999</v>
      </c>
      <c r="S166">
        <v>0</v>
      </c>
    </row>
    <row r="167" spans="1:19" x14ac:dyDescent="0.2">
      <c r="A167" s="3" t="s">
        <v>54</v>
      </c>
      <c r="B167" s="3" t="s">
        <v>55</v>
      </c>
      <c r="C167">
        <v>41</v>
      </c>
      <c r="D167">
        <v>19000</v>
      </c>
      <c r="E167">
        <v>499</v>
      </c>
      <c r="F167">
        <v>1</v>
      </c>
      <c r="G167">
        <v>84218.384375429901</v>
      </c>
      <c r="H167">
        <v>0.49248329099999999</v>
      </c>
      <c r="I167">
        <v>15298</v>
      </c>
      <c r="J167">
        <v>4792</v>
      </c>
      <c r="K167">
        <v>10506</v>
      </c>
      <c r="L167">
        <v>500</v>
      </c>
      <c r="M167">
        <v>499</v>
      </c>
      <c r="N167">
        <v>1</v>
      </c>
      <c r="O167">
        <v>16727.055178587201</v>
      </c>
      <c r="P167" s="3" t="s">
        <v>50</v>
      </c>
      <c r="Q167">
        <v>50</v>
      </c>
      <c r="R167">
        <v>0.999</v>
      </c>
      <c r="S167">
        <v>0</v>
      </c>
    </row>
    <row r="168" spans="1:19" x14ac:dyDescent="0.2">
      <c r="A168" s="3" t="s">
        <v>54</v>
      </c>
      <c r="B168" s="3" t="s">
        <v>55</v>
      </c>
      <c r="C168">
        <v>20</v>
      </c>
      <c r="D168">
        <v>19000</v>
      </c>
      <c r="E168">
        <v>499</v>
      </c>
      <c r="F168">
        <v>1</v>
      </c>
      <c r="G168">
        <v>84218.384375429901</v>
      </c>
      <c r="H168">
        <v>0.49112136699999998</v>
      </c>
      <c r="I168">
        <v>15274</v>
      </c>
      <c r="J168">
        <v>4746</v>
      </c>
      <c r="K168">
        <v>10528</v>
      </c>
      <c r="L168">
        <v>500</v>
      </c>
      <c r="M168">
        <v>499</v>
      </c>
      <c r="N168">
        <v>1</v>
      </c>
      <c r="O168">
        <v>16814.3204609106</v>
      </c>
      <c r="P168" s="3" t="s">
        <v>52</v>
      </c>
      <c r="Q168">
        <v>50</v>
      </c>
      <c r="R168">
        <v>0.999</v>
      </c>
      <c r="S168">
        <v>0</v>
      </c>
    </row>
    <row r="169" spans="1:19" x14ac:dyDescent="0.2">
      <c r="A169" s="3" t="s">
        <v>54</v>
      </c>
      <c r="B169" s="3" t="s">
        <v>55</v>
      </c>
      <c r="C169">
        <v>11</v>
      </c>
      <c r="D169">
        <v>19000</v>
      </c>
      <c r="E169">
        <v>499</v>
      </c>
      <c r="F169">
        <v>1</v>
      </c>
      <c r="G169">
        <v>84218.384375429901</v>
      </c>
      <c r="H169">
        <v>0.49097382099999998</v>
      </c>
      <c r="I169">
        <v>15239</v>
      </c>
      <c r="J169">
        <v>4733</v>
      </c>
      <c r="K169">
        <v>10506</v>
      </c>
      <c r="L169">
        <v>500</v>
      </c>
      <c r="M169">
        <v>499</v>
      </c>
      <c r="N169">
        <v>1</v>
      </c>
      <c r="O169">
        <v>16943.460163466501</v>
      </c>
      <c r="P169" s="3" t="s">
        <v>52</v>
      </c>
      <c r="Q169">
        <v>50</v>
      </c>
      <c r="R169">
        <v>0.999</v>
      </c>
      <c r="S169">
        <v>0</v>
      </c>
    </row>
    <row r="170" spans="1:19" x14ac:dyDescent="0.2">
      <c r="A170" s="3" t="s">
        <v>54</v>
      </c>
      <c r="B170" s="3" t="s">
        <v>55</v>
      </c>
      <c r="C170">
        <v>23</v>
      </c>
      <c r="D170">
        <v>19000</v>
      </c>
      <c r="E170">
        <v>499</v>
      </c>
      <c r="F170">
        <v>1</v>
      </c>
      <c r="G170">
        <v>84218.384375429901</v>
      </c>
      <c r="H170">
        <v>0.49060061799999999</v>
      </c>
      <c r="I170">
        <v>15279</v>
      </c>
      <c r="J170">
        <v>4795</v>
      </c>
      <c r="K170">
        <v>10484</v>
      </c>
      <c r="L170">
        <v>500</v>
      </c>
      <c r="M170">
        <v>499</v>
      </c>
      <c r="N170">
        <v>1</v>
      </c>
      <c r="O170">
        <v>16778.979952726499</v>
      </c>
      <c r="P170" s="3" t="s">
        <v>50</v>
      </c>
      <c r="Q170">
        <v>50</v>
      </c>
      <c r="R170">
        <v>0.999</v>
      </c>
      <c r="S170">
        <v>0</v>
      </c>
    </row>
    <row r="171" spans="1:19" x14ac:dyDescent="0.2">
      <c r="A171" s="3" t="s">
        <v>54</v>
      </c>
      <c r="B171" s="3" t="s">
        <v>55</v>
      </c>
      <c r="C171">
        <v>18</v>
      </c>
      <c r="D171">
        <v>19000</v>
      </c>
      <c r="E171">
        <v>499</v>
      </c>
      <c r="F171">
        <v>1</v>
      </c>
      <c r="G171">
        <v>84218.384375429901</v>
      </c>
      <c r="H171">
        <v>0.49011932600000002</v>
      </c>
      <c r="I171">
        <v>15235</v>
      </c>
      <c r="J171">
        <v>4773</v>
      </c>
      <c r="K171">
        <v>10462</v>
      </c>
      <c r="L171">
        <v>500</v>
      </c>
      <c r="M171">
        <v>499</v>
      </c>
      <c r="N171">
        <v>1</v>
      </c>
      <c r="O171">
        <v>16805.8990445608</v>
      </c>
      <c r="P171" s="3" t="s">
        <v>50</v>
      </c>
      <c r="Q171">
        <v>50</v>
      </c>
      <c r="R171">
        <v>0.999</v>
      </c>
      <c r="S171">
        <v>0</v>
      </c>
    </row>
    <row r="172" spans="1:19" x14ac:dyDescent="0.2">
      <c r="A172" s="3" t="s">
        <v>54</v>
      </c>
      <c r="B172" s="3" t="s">
        <v>55</v>
      </c>
      <c r="C172">
        <v>39</v>
      </c>
      <c r="D172">
        <v>20000</v>
      </c>
      <c r="E172">
        <v>499</v>
      </c>
      <c r="F172">
        <v>1</v>
      </c>
      <c r="G172">
        <v>82302.7524576211</v>
      </c>
      <c r="H172">
        <v>0.48987438300000002</v>
      </c>
      <c r="I172">
        <v>15536</v>
      </c>
      <c r="J172">
        <v>4927</v>
      </c>
      <c r="K172">
        <v>10609</v>
      </c>
      <c r="L172">
        <v>500</v>
      </c>
      <c r="M172">
        <v>499</v>
      </c>
      <c r="N172">
        <v>1</v>
      </c>
      <c r="O172">
        <v>18590.272118106499</v>
      </c>
      <c r="P172" s="3" t="s">
        <v>52</v>
      </c>
      <c r="Q172">
        <v>50</v>
      </c>
      <c r="R172">
        <v>0.999</v>
      </c>
      <c r="S172">
        <v>0</v>
      </c>
    </row>
    <row r="173" spans="1:19" x14ac:dyDescent="0.2">
      <c r="A173" s="3" t="s">
        <v>54</v>
      </c>
      <c r="B173" s="3" t="s">
        <v>55</v>
      </c>
      <c r="C173">
        <v>44</v>
      </c>
      <c r="D173">
        <v>19000</v>
      </c>
      <c r="E173">
        <v>499</v>
      </c>
      <c r="F173">
        <v>1</v>
      </c>
      <c r="G173">
        <v>84218.384375429901</v>
      </c>
      <c r="H173">
        <v>0.48949057499999998</v>
      </c>
      <c r="I173">
        <v>15274</v>
      </c>
      <c r="J173">
        <v>4791</v>
      </c>
      <c r="K173">
        <v>10483</v>
      </c>
      <c r="L173">
        <v>500</v>
      </c>
      <c r="M173">
        <v>499</v>
      </c>
      <c r="N173">
        <v>1</v>
      </c>
      <c r="O173">
        <v>16837.0163886552</v>
      </c>
      <c r="P173" s="3" t="s">
        <v>52</v>
      </c>
      <c r="Q173">
        <v>50</v>
      </c>
      <c r="R173">
        <v>0.999</v>
      </c>
      <c r="S173">
        <v>0</v>
      </c>
    </row>
    <row r="174" spans="1:19" x14ac:dyDescent="0.2">
      <c r="A174" s="3" t="s">
        <v>54</v>
      </c>
      <c r="B174" s="3" t="s">
        <v>55</v>
      </c>
      <c r="C174">
        <v>33</v>
      </c>
      <c r="D174">
        <v>19000</v>
      </c>
      <c r="E174">
        <v>499</v>
      </c>
      <c r="F174">
        <v>1</v>
      </c>
      <c r="G174">
        <v>84218.384375429901</v>
      </c>
      <c r="H174">
        <v>0.48846757899999999</v>
      </c>
      <c r="I174">
        <v>15249</v>
      </c>
      <c r="J174">
        <v>4775</v>
      </c>
      <c r="K174">
        <v>10474</v>
      </c>
      <c r="L174">
        <v>500</v>
      </c>
      <c r="M174">
        <v>499</v>
      </c>
      <c r="N174">
        <v>1</v>
      </c>
      <c r="O174">
        <v>16750.928834986498</v>
      </c>
      <c r="P174" s="3" t="s">
        <v>52</v>
      </c>
      <c r="Q174">
        <v>50</v>
      </c>
      <c r="R174">
        <v>0.999</v>
      </c>
      <c r="S174">
        <v>0</v>
      </c>
    </row>
    <row r="175" spans="1:19" x14ac:dyDescent="0.2">
      <c r="A175" s="3" t="s">
        <v>54</v>
      </c>
      <c r="B175" s="3" t="s">
        <v>55</v>
      </c>
      <c r="C175">
        <v>3</v>
      </c>
      <c r="D175">
        <v>19000</v>
      </c>
      <c r="E175">
        <v>499</v>
      </c>
      <c r="F175">
        <v>1</v>
      </c>
      <c r="G175">
        <v>84218.384375429901</v>
      </c>
      <c r="H175">
        <v>0.48842617399999999</v>
      </c>
      <c r="I175">
        <v>15262</v>
      </c>
      <c r="J175">
        <v>4786</v>
      </c>
      <c r="K175">
        <v>10476</v>
      </c>
      <c r="L175">
        <v>500</v>
      </c>
      <c r="M175">
        <v>499</v>
      </c>
      <c r="N175">
        <v>1</v>
      </c>
      <c r="O175">
        <v>16843.424332916999</v>
      </c>
      <c r="P175" s="3" t="s">
        <v>52</v>
      </c>
      <c r="Q175">
        <v>50</v>
      </c>
      <c r="R175">
        <v>0.999</v>
      </c>
      <c r="S175">
        <v>0</v>
      </c>
    </row>
    <row r="176" spans="1:19" x14ac:dyDescent="0.2">
      <c r="A176" s="3" t="s">
        <v>54</v>
      </c>
      <c r="B176" s="3" t="s">
        <v>55</v>
      </c>
      <c r="C176">
        <v>23</v>
      </c>
      <c r="D176">
        <v>19000</v>
      </c>
      <c r="E176">
        <v>499</v>
      </c>
      <c r="F176">
        <v>1</v>
      </c>
      <c r="G176">
        <v>84218.384375429901</v>
      </c>
      <c r="H176">
        <v>0.488339146</v>
      </c>
      <c r="I176">
        <v>15239</v>
      </c>
      <c r="J176">
        <v>4745</v>
      </c>
      <c r="K176">
        <v>10494</v>
      </c>
      <c r="L176">
        <v>500</v>
      </c>
      <c r="M176">
        <v>499</v>
      </c>
      <c r="N176">
        <v>1</v>
      </c>
      <c r="O176">
        <v>16902.277999262998</v>
      </c>
      <c r="P176" s="3" t="s">
        <v>52</v>
      </c>
      <c r="Q176">
        <v>50</v>
      </c>
      <c r="R176">
        <v>0.999</v>
      </c>
      <c r="S176">
        <v>0</v>
      </c>
    </row>
    <row r="177" spans="1:19" x14ac:dyDescent="0.2">
      <c r="A177" s="3" t="s">
        <v>54</v>
      </c>
      <c r="B177" s="3" t="s">
        <v>55</v>
      </c>
      <c r="C177">
        <v>40</v>
      </c>
      <c r="D177">
        <v>19000</v>
      </c>
      <c r="E177">
        <v>499</v>
      </c>
      <c r="F177">
        <v>1</v>
      </c>
      <c r="G177">
        <v>84218.384375429901</v>
      </c>
      <c r="H177">
        <v>0.48759454200000002</v>
      </c>
      <c r="I177">
        <v>15285</v>
      </c>
      <c r="J177">
        <v>4790</v>
      </c>
      <c r="K177">
        <v>10495</v>
      </c>
      <c r="L177">
        <v>500</v>
      </c>
      <c r="M177">
        <v>499</v>
      </c>
      <c r="N177">
        <v>1</v>
      </c>
      <c r="O177">
        <v>16698.8024608667</v>
      </c>
      <c r="P177" s="3" t="s">
        <v>52</v>
      </c>
      <c r="Q177">
        <v>50</v>
      </c>
      <c r="R177">
        <v>0.999</v>
      </c>
      <c r="S177">
        <v>0</v>
      </c>
    </row>
    <row r="178" spans="1:19" x14ac:dyDescent="0.2">
      <c r="A178" s="3" t="s">
        <v>54</v>
      </c>
      <c r="B178" s="3" t="s">
        <v>55</v>
      </c>
      <c r="C178">
        <v>17</v>
      </c>
      <c r="D178">
        <v>19000</v>
      </c>
      <c r="E178">
        <v>499</v>
      </c>
      <c r="F178">
        <v>1</v>
      </c>
      <c r="G178">
        <v>84218.384375429901</v>
      </c>
      <c r="H178">
        <v>0.48734889199999998</v>
      </c>
      <c r="I178">
        <v>15266</v>
      </c>
      <c r="J178">
        <v>4751</v>
      </c>
      <c r="K178">
        <v>10515</v>
      </c>
      <c r="L178">
        <v>500</v>
      </c>
      <c r="M178">
        <v>499</v>
      </c>
      <c r="N178">
        <v>1</v>
      </c>
      <c r="O178">
        <v>16842.834468811499</v>
      </c>
      <c r="P178" s="3" t="s">
        <v>52</v>
      </c>
      <c r="Q178">
        <v>50</v>
      </c>
      <c r="R178">
        <v>0.999</v>
      </c>
      <c r="S178">
        <v>0</v>
      </c>
    </row>
    <row r="179" spans="1:19" x14ac:dyDescent="0.2">
      <c r="A179" s="3" t="s">
        <v>54</v>
      </c>
      <c r="B179" s="3" t="s">
        <v>55</v>
      </c>
      <c r="C179">
        <v>35</v>
      </c>
      <c r="D179">
        <v>19000</v>
      </c>
      <c r="E179">
        <v>499</v>
      </c>
      <c r="F179">
        <v>1</v>
      </c>
      <c r="G179">
        <v>84218.384375429901</v>
      </c>
      <c r="H179">
        <v>0.48610629900000002</v>
      </c>
      <c r="I179">
        <v>15281</v>
      </c>
      <c r="J179">
        <v>4779</v>
      </c>
      <c r="K179">
        <v>10502</v>
      </c>
      <c r="L179">
        <v>500</v>
      </c>
      <c r="M179">
        <v>499</v>
      </c>
      <c r="N179">
        <v>1</v>
      </c>
      <c r="O179">
        <v>16792.452833080999</v>
      </c>
      <c r="P179" s="3" t="s">
        <v>52</v>
      </c>
      <c r="Q179">
        <v>50</v>
      </c>
      <c r="R179">
        <v>0.999</v>
      </c>
      <c r="S179">
        <v>0</v>
      </c>
    </row>
    <row r="180" spans="1:19" x14ac:dyDescent="0.2">
      <c r="A180" s="3" t="s">
        <v>54</v>
      </c>
      <c r="B180" s="3" t="s">
        <v>55</v>
      </c>
      <c r="C180">
        <v>37</v>
      </c>
      <c r="D180">
        <v>19000</v>
      </c>
      <c r="E180">
        <v>499</v>
      </c>
      <c r="F180">
        <v>1</v>
      </c>
      <c r="G180">
        <v>84218.384375429901</v>
      </c>
      <c r="H180">
        <v>0.48597725200000003</v>
      </c>
      <c r="I180">
        <v>15283</v>
      </c>
      <c r="J180">
        <v>4786</v>
      </c>
      <c r="K180">
        <v>10497</v>
      </c>
      <c r="L180">
        <v>500</v>
      </c>
      <c r="M180">
        <v>499</v>
      </c>
      <c r="N180">
        <v>1</v>
      </c>
      <c r="O180">
        <v>16804.338450744799</v>
      </c>
      <c r="P180" s="3" t="s">
        <v>52</v>
      </c>
      <c r="Q180">
        <v>50</v>
      </c>
      <c r="R180">
        <v>0.999</v>
      </c>
      <c r="S180">
        <v>0</v>
      </c>
    </row>
    <row r="181" spans="1:19" x14ac:dyDescent="0.2">
      <c r="A181" s="3" t="s">
        <v>54</v>
      </c>
      <c r="B181" s="3" t="s">
        <v>55</v>
      </c>
      <c r="C181">
        <v>3</v>
      </c>
      <c r="D181">
        <v>19000</v>
      </c>
      <c r="E181">
        <v>499</v>
      </c>
      <c r="F181">
        <v>1</v>
      </c>
      <c r="G181">
        <v>84218.384375429901</v>
      </c>
      <c r="H181">
        <v>0.48595888199999998</v>
      </c>
      <c r="I181">
        <v>15277</v>
      </c>
      <c r="J181">
        <v>4818</v>
      </c>
      <c r="K181">
        <v>10459</v>
      </c>
      <c r="L181">
        <v>500</v>
      </c>
      <c r="M181">
        <v>499</v>
      </c>
      <c r="N181">
        <v>1</v>
      </c>
      <c r="O181">
        <v>16692.589022141299</v>
      </c>
      <c r="P181" s="3" t="s">
        <v>50</v>
      </c>
      <c r="Q181">
        <v>50</v>
      </c>
      <c r="R181">
        <v>0.999</v>
      </c>
      <c r="S181">
        <v>0</v>
      </c>
    </row>
    <row r="182" spans="1:19" x14ac:dyDescent="0.2">
      <c r="A182" s="3" t="s">
        <v>54</v>
      </c>
      <c r="B182" s="3" t="s">
        <v>55</v>
      </c>
      <c r="C182">
        <v>46</v>
      </c>
      <c r="D182">
        <v>19000</v>
      </c>
      <c r="E182">
        <v>499</v>
      </c>
      <c r="F182">
        <v>1</v>
      </c>
      <c r="G182">
        <v>84218.384375429901</v>
      </c>
      <c r="H182">
        <v>0.485313459</v>
      </c>
      <c r="I182">
        <v>15265</v>
      </c>
      <c r="J182">
        <v>4799</v>
      </c>
      <c r="K182">
        <v>10466</v>
      </c>
      <c r="L182">
        <v>500</v>
      </c>
      <c r="M182">
        <v>499</v>
      </c>
      <c r="N182">
        <v>1</v>
      </c>
      <c r="O182">
        <v>16740.779799333999</v>
      </c>
      <c r="P182" s="3" t="s">
        <v>52</v>
      </c>
      <c r="Q182">
        <v>50</v>
      </c>
      <c r="R182">
        <v>0.999</v>
      </c>
      <c r="S182">
        <v>0</v>
      </c>
    </row>
    <row r="183" spans="1:19" x14ac:dyDescent="0.2">
      <c r="A183" s="3" t="s">
        <v>54</v>
      </c>
      <c r="B183" s="3" t="s">
        <v>55</v>
      </c>
      <c r="C183">
        <v>2</v>
      </c>
      <c r="D183">
        <v>19000</v>
      </c>
      <c r="E183">
        <v>499</v>
      </c>
      <c r="F183">
        <v>1</v>
      </c>
      <c r="G183">
        <v>84218.384375429901</v>
      </c>
      <c r="H183">
        <v>0.48484379399999999</v>
      </c>
      <c r="I183">
        <v>15274</v>
      </c>
      <c r="J183">
        <v>4775</v>
      </c>
      <c r="K183">
        <v>10499</v>
      </c>
      <c r="L183">
        <v>500</v>
      </c>
      <c r="M183">
        <v>499</v>
      </c>
      <c r="N183">
        <v>1</v>
      </c>
      <c r="O183">
        <v>16742.034357569501</v>
      </c>
      <c r="P183" s="3" t="s">
        <v>52</v>
      </c>
      <c r="Q183">
        <v>50</v>
      </c>
      <c r="R183">
        <v>0.999</v>
      </c>
      <c r="S183">
        <v>0</v>
      </c>
    </row>
    <row r="184" spans="1:19" x14ac:dyDescent="0.2">
      <c r="A184" s="3" t="s">
        <v>54</v>
      </c>
      <c r="B184" s="3" t="s">
        <v>55</v>
      </c>
      <c r="C184">
        <v>24</v>
      </c>
      <c r="D184">
        <v>19000</v>
      </c>
      <c r="E184">
        <v>499</v>
      </c>
      <c r="F184">
        <v>1</v>
      </c>
      <c r="G184">
        <v>84218.384375429901</v>
      </c>
      <c r="H184">
        <v>0.48475916099999999</v>
      </c>
      <c r="I184">
        <v>15308</v>
      </c>
      <c r="J184">
        <v>4772</v>
      </c>
      <c r="K184">
        <v>10536</v>
      </c>
      <c r="L184">
        <v>500</v>
      </c>
      <c r="M184">
        <v>499</v>
      </c>
      <c r="N184">
        <v>1</v>
      </c>
      <c r="O184">
        <v>16703.473600124798</v>
      </c>
      <c r="P184" s="3" t="s">
        <v>52</v>
      </c>
      <c r="Q184">
        <v>50</v>
      </c>
      <c r="R184">
        <v>0.999</v>
      </c>
      <c r="S184">
        <v>0</v>
      </c>
    </row>
    <row r="185" spans="1:19" x14ac:dyDescent="0.2">
      <c r="A185" s="3" t="s">
        <v>54</v>
      </c>
      <c r="B185" s="3" t="s">
        <v>55</v>
      </c>
      <c r="C185">
        <v>29</v>
      </c>
      <c r="D185">
        <v>19000</v>
      </c>
      <c r="E185">
        <v>499</v>
      </c>
      <c r="F185">
        <v>1</v>
      </c>
      <c r="G185">
        <v>84218.384375429901</v>
      </c>
      <c r="H185">
        <v>0.48437402600000001</v>
      </c>
      <c r="I185">
        <v>15270</v>
      </c>
      <c r="J185">
        <v>4791</v>
      </c>
      <c r="K185">
        <v>10479</v>
      </c>
      <c r="L185">
        <v>500</v>
      </c>
      <c r="M185">
        <v>499</v>
      </c>
      <c r="N185">
        <v>1</v>
      </c>
      <c r="O185">
        <v>16759.308412717899</v>
      </c>
      <c r="P185" s="3" t="s">
        <v>52</v>
      </c>
      <c r="Q185">
        <v>50</v>
      </c>
      <c r="R185">
        <v>0.999</v>
      </c>
      <c r="S185">
        <v>0</v>
      </c>
    </row>
    <row r="186" spans="1:19" x14ac:dyDescent="0.2">
      <c r="A186" s="3" t="s">
        <v>54</v>
      </c>
      <c r="B186" s="3" t="s">
        <v>55</v>
      </c>
      <c r="C186">
        <v>47</v>
      </c>
      <c r="D186">
        <v>19000</v>
      </c>
      <c r="E186">
        <v>499</v>
      </c>
      <c r="F186">
        <v>1</v>
      </c>
      <c r="G186">
        <v>84218.384375429901</v>
      </c>
      <c r="H186">
        <v>0.48349065499999999</v>
      </c>
      <c r="I186">
        <v>15271</v>
      </c>
      <c r="J186">
        <v>4734</v>
      </c>
      <c r="K186">
        <v>10537</v>
      </c>
      <c r="L186">
        <v>500</v>
      </c>
      <c r="M186">
        <v>499</v>
      </c>
      <c r="N186">
        <v>1</v>
      </c>
      <c r="O186">
        <v>16793.950570094399</v>
      </c>
      <c r="P186" s="3" t="s">
        <v>52</v>
      </c>
      <c r="Q186">
        <v>50</v>
      </c>
      <c r="R186">
        <v>0.999</v>
      </c>
      <c r="S186">
        <v>0</v>
      </c>
    </row>
    <row r="187" spans="1:19" x14ac:dyDescent="0.2">
      <c r="A187" s="3" t="s">
        <v>54</v>
      </c>
      <c r="B187" s="3" t="s">
        <v>55</v>
      </c>
      <c r="C187">
        <v>43</v>
      </c>
      <c r="D187">
        <v>19000</v>
      </c>
      <c r="E187">
        <v>499</v>
      </c>
      <c r="F187">
        <v>1</v>
      </c>
      <c r="G187">
        <v>84218.384375429901</v>
      </c>
      <c r="H187">
        <v>0.48345682899999998</v>
      </c>
      <c r="I187">
        <v>15263</v>
      </c>
      <c r="J187">
        <v>4751</v>
      </c>
      <c r="K187">
        <v>10512</v>
      </c>
      <c r="L187">
        <v>500</v>
      </c>
      <c r="M187">
        <v>499</v>
      </c>
      <c r="N187">
        <v>1</v>
      </c>
      <c r="O187">
        <v>16884.681562772901</v>
      </c>
      <c r="P187" s="3" t="s">
        <v>52</v>
      </c>
      <c r="Q187">
        <v>50</v>
      </c>
      <c r="R187">
        <v>0.999</v>
      </c>
      <c r="S187">
        <v>0</v>
      </c>
    </row>
    <row r="188" spans="1:19" x14ac:dyDescent="0.2">
      <c r="A188" s="3" t="s">
        <v>54</v>
      </c>
      <c r="B188" s="3" t="s">
        <v>55</v>
      </c>
      <c r="C188">
        <v>38</v>
      </c>
      <c r="D188">
        <v>19000</v>
      </c>
      <c r="E188">
        <v>499</v>
      </c>
      <c r="F188">
        <v>1</v>
      </c>
      <c r="G188">
        <v>84218.384375429901</v>
      </c>
      <c r="H188">
        <v>0.48284224100000001</v>
      </c>
      <c r="I188">
        <v>15299</v>
      </c>
      <c r="J188">
        <v>4812</v>
      </c>
      <c r="K188">
        <v>10487</v>
      </c>
      <c r="L188">
        <v>500</v>
      </c>
      <c r="M188">
        <v>499</v>
      </c>
      <c r="N188">
        <v>1</v>
      </c>
      <c r="O188">
        <v>16687.9873614754</v>
      </c>
      <c r="P188" s="3" t="s">
        <v>50</v>
      </c>
      <c r="Q188">
        <v>50</v>
      </c>
      <c r="R188">
        <v>0.999</v>
      </c>
      <c r="S188">
        <v>0</v>
      </c>
    </row>
    <row r="189" spans="1:19" x14ac:dyDescent="0.2">
      <c r="A189" s="3" t="s">
        <v>54</v>
      </c>
      <c r="B189" s="3" t="s">
        <v>55</v>
      </c>
      <c r="C189">
        <v>9</v>
      </c>
      <c r="D189">
        <v>19000</v>
      </c>
      <c r="E189">
        <v>499</v>
      </c>
      <c r="F189">
        <v>1</v>
      </c>
      <c r="G189">
        <v>84218.384375429901</v>
      </c>
      <c r="H189">
        <v>0.48262833999999999</v>
      </c>
      <c r="I189">
        <v>15248</v>
      </c>
      <c r="J189">
        <v>4757</v>
      </c>
      <c r="K189">
        <v>10491</v>
      </c>
      <c r="L189">
        <v>500</v>
      </c>
      <c r="M189">
        <v>499</v>
      </c>
      <c r="N189">
        <v>1</v>
      </c>
      <c r="O189">
        <v>16805.847666096</v>
      </c>
      <c r="P189" s="3" t="s">
        <v>52</v>
      </c>
      <c r="Q189">
        <v>50</v>
      </c>
      <c r="R189">
        <v>0.999</v>
      </c>
      <c r="S189">
        <v>0</v>
      </c>
    </row>
    <row r="190" spans="1:19" x14ac:dyDescent="0.2">
      <c r="A190" s="3" t="s">
        <v>54</v>
      </c>
      <c r="B190" s="3" t="s">
        <v>55</v>
      </c>
      <c r="C190">
        <v>38</v>
      </c>
      <c r="D190">
        <v>19000</v>
      </c>
      <c r="E190">
        <v>499</v>
      </c>
      <c r="F190">
        <v>1</v>
      </c>
      <c r="G190">
        <v>84218.384375429901</v>
      </c>
      <c r="H190">
        <v>0.48243997399999999</v>
      </c>
      <c r="I190">
        <v>15266</v>
      </c>
      <c r="J190">
        <v>4777</v>
      </c>
      <c r="K190">
        <v>10489</v>
      </c>
      <c r="L190">
        <v>500</v>
      </c>
      <c r="M190">
        <v>499</v>
      </c>
      <c r="N190">
        <v>1</v>
      </c>
      <c r="O190">
        <v>16839.6360823918</v>
      </c>
      <c r="P190" s="3" t="s">
        <v>52</v>
      </c>
      <c r="Q190">
        <v>50</v>
      </c>
      <c r="R190">
        <v>0.999</v>
      </c>
      <c r="S190">
        <v>0</v>
      </c>
    </row>
    <row r="191" spans="1:19" x14ac:dyDescent="0.2">
      <c r="A191" s="3" t="s">
        <v>54</v>
      </c>
      <c r="B191" s="3" t="s">
        <v>55</v>
      </c>
      <c r="C191">
        <v>25</v>
      </c>
      <c r="D191">
        <v>19000</v>
      </c>
      <c r="E191">
        <v>499</v>
      </c>
      <c r="F191">
        <v>1</v>
      </c>
      <c r="G191">
        <v>84218.384375429901</v>
      </c>
      <c r="H191">
        <v>0.48239125599999999</v>
      </c>
      <c r="I191">
        <v>15291</v>
      </c>
      <c r="J191">
        <v>4806</v>
      </c>
      <c r="K191">
        <v>10485</v>
      </c>
      <c r="L191">
        <v>500</v>
      </c>
      <c r="M191">
        <v>499</v>
      </c>
      <c r="N191">
        <v>1</v>
      </c>
      <c r="O191">
        <v>16788.914804279</v>
      </c>
      <c r="P191" s="3" t="s">
        <v>52</v>
      </c>
      <c r="Q191">
        <v>50</v>
      </c>
      <c r="R191">
        <v>0.999</v>
      </c>
      <c r="S191">
        <v>0</v>
      </c>
    </row>
    <row r="192" spans="1:19" x14ac:dyDescent="0.2">
      <c r="A192" s="3" t="s">
        <v>54</v>
      </c>
      <c r="B192" s="3" t="s">
        <v>55</v>
      </c>
      <c r="C192">
        <v>30</v>
      </c>
      <c r="D192">
        <v>19000</v>
      </c>
      <c r="E192">
        <v>499</v>
      </c>
      <c r="F192">
        <v>1</v>
      </c>
      <c r="G192">
        <v>84218.384375429901</v>
      </c>
      <c r="H192">
        <v>0.48222119499999999</v>
      </c>
      <c r="I192">
        <v>15284</v>
      </c>
      <c r="J192">
        <v>4768</v>
      </c>
      <c r="K192">
        <v>10516</v>
      </c>
      <c r="L192">
        <v>500</v>
      </c>
      <c r="M192">
        <v>499</v>
      </c>
      <c r="N192">
        <v>1</v>
      </c>
      <c r="O192">
        <v>16728.986087001998</v>
      </c>
      <c r="P192" s="3" t="s">
        <v>52</v>
      </c>
      <c r="Q192">
        <v>50</v>
      </c>
      <c r="R192">
        <v>0.999</v>
      </c>
      <c r="S192">
        <v>0</v>
      </c>
    </row>
    <row r="193" spans="1:19" x14ac:dyDescent="0.2">
      <c r="A193" s="3" t="s">
        <v>54</v>
      </c>
      <c r="B193" s="3" t="s">
        <v>55</v>
      </c>
      <c r="C193">
        <v>34</v>
      </c>
      <c r="D193">
        <v>19000</v>
      </c>
      <c r="E193">
        <v>499</v>
      </c>
      <c r="F193">
        <v>1</v>
      </c>
      <c r="G193">
        <v>84218.384375429901</v>
      </c>
      <c r="H193">
        <v>0.48207702299999999</v>
      </c>
      <c r="I193">
        <v>15260</v>
      </c>
      <c r="J193">
        <v>4795</v>
      </c>
      <c r="K193">
        <v>10465</v>
      </c>
      <c r="L193">
        <v>500</v>
      </c>
      <c r="M193">
        <v>499</v>
      </c>
      <c r="N193">
        <v>1</v>
      </c>
      <c r="O193">
        <v>16756.8362948295</v>
      </c>
      <c r="P193" s="3" t="s">
        <v>52</v>
      </c>
      <c r="Q193">
        <v>50</v>
      </c>
      <c r="R193">
        <v>0.999</v>
      </c>
      <c r="S193">
        <v>0</v>
      </c>
    </row>
    <row r="194" spans="1:19" x14ac:dyDescent="0.2">
      <c r="A194" s="3" t="s">
        <v>54</v>
      </c>
      <c r="B194" s="3" t="s">
        <v>55</v>
      </c>
      <c r="C194">
        <v>34</v>
      </c>
      <c r="D194">
        <v>19000</v>
      </c>
      <c r="E194">
        <v>499</v>
      </c>
      <c r="F194">
        <v>1</v>
      </c>
      <c r="G194">
        <v>84218.384375429901</v>
      </c>
      <c r="H194">
        <v>0.48115849799999999</v>
      </c>
      <c r="I194">
        <v>15288</v>
      </c>
      <c r="J194">
        <v>4817</v>
      </c>
      <c r="K194">
        <v>10471</v>
      </c>
      <c r="L194">
        <v>500</v>
      </c>
      <c r="M194">
        <v>499</v>
      </c>
      <c r="N194">
        <v>1</v>
      </c>
      <c r="O194">
        <v>16779.4475985834</v>
      </c>
      <c r="P194" s="3" t="s">
        <v>50</v>
      </c>
      <c r="Q194">
        <v>50</v>
      </c>
      <c r="R194">
        <v>0.999</v>
      </c>
      <c r="S194">
        <v>0</v>
      </c>
    </row>
    <row r="195" spans="1:19" x14ac:dyDescent="0.2">
      <c r="A195" s="3" t="s">
        <v>54</v>
      </c>
      <c r="B195" s="3" t="s">
        <v>55</v>
      </c>
      <c r="C195">
        <v>36</v>
      </c>
      <c r="D195">
        <v>19000</v>
      </c>
      <c r="E195">
        <v>499</v>
      </c>
      <c r="F195">
        <v>1</v>
      </c>
      <c r="G195">
        <v>84218.384375429901</v>
      </c>
      <c r="H195">
        <v>0.48086345200000002</v>
      </c>
      <c r="I195">
        <v>15241</v>
      </c>
      <c r="J195">
        <v>4762</v>
      </c>
      <c r="K195">
        <v>10479</v>
      </c>
      <c r="L195">
        <v>500</v>
      </c>
      <c r="M195">
        <v>499</v>
      </c>
      <c r="N195">
        <v>1</v>
      </c>
      <c r="O195">
        <v>16780.8669429162</v>
      </c>
      <c r="P195" s="3" t="s">
        <v>52</v>
      </c>
      <c r="Q195">
        <v>50</v>
      </c>
      <c r="R195">
        <v>0.999</v>
      </c>
      <c r="S195">
        <v>0</v>
      </c>
    </row>
    <row r="196" spans="1:19" x14ac:dyDescent="0.2">
      <c r="A196" s="3" t="s">
        <v>54</v>
      </c>
      <c r="B196" s="3" t="s">
        <v>55</v>
      </c>
      <c r="C196">
        <v>8</v>
      </c>
      <c r="D196">
        <v>19000</v>
      </c>
      <c r="E196">
        <v>499</v>
      </c>
      <c r="F196">
        <v>1</v>
      </c>
      <c r="G196">
        <v>84218.384375429901</v>
      </c>
      <c r="H196">
        <v>0.48082223099999999</v>
      </c>
      <c r="I196">
        <v>15260</v>
      </c>
      <c r="J196">
        <v>4782</v>
      </c>
      <c r="K196">
        <v>10478</v>
      </c>
      <c r="L196">
        <v>500</v>
      </c>
      <c r="M196">
        <v>499</v>
      </c>
      <c r="N196">
        <v>1</v>
      </c>
      <c r="O196">
        <v>16790.336243657501</v>
      </c>
      <c r="P196" s="3" t="s">
        <v>52</v>
      </c>
      <c r="Q196">
        <v>50</v>
      </c>
      <c r="R196">
        <v>0.999</v>
      </c>
      <c r="S196">
        <v>0</v>
      </c>
    </row>
    <row r="197" spans="1:19" x14ac:dyDescent="0.2">
      <c r="A197" s="3" t="s">
        <v>54</v>
      </c>
      <c r="B197" s="3" t="s">
        <v>55</v>
      </c>
      <c r="C197">
        <v>4</v>
      </c>
      <c r="D197">
        <v>19000</v>
      </c>
      <c r="E197">
        <v>499</v>
      </c>
      <c r="F197">
        <v>1</v>
      </c>
      <c r="G197">
        <v>84218.384375429901</v>
      </c>
      <c r="H197">
        <v>0.48030654099999998</v>
      </c>
      <c r="I197">
        <v>15237</v>
      </c>
      <c r="J197">
        <v>4770</v>
      </c>
      <c r="K197">
        <v>10467</v>
      </c>
      <c r="L197">
        <v>500</v>
      </c>
      <c r="M197">
        <v>499</v>
      </c>
      <c r="N197">
        <v>1</v>
      </c>
      <c r="O197">
        <v>16864.324108281999</v>
      </c>
      <c r="P197" s="3" t="s">
        <v>50</v>
      </c>
      <c r="Q197">
        <v>50</v>
      </c>
      <c r="R197">
        <v>0.999</v>
      </c>
      <c r="S197">
        <v>0</v>
      </c>
    </row>
    <row r="198" spans="1:19" x14ac:dyDescent="0.2">
      <c r="A198" s="3" t="s">
        <v>54</v>
      </c>
      <c r="B198" s="3" t="s">
        <v>55</v>
      </c>
      <c r="C198">
        <v>22</v>
      </c>
      <c r="D198">
        <v>19000</v>
      </c>
      <c r="E198">
        <v>499</v>
      </c>
      <c r="F198">
        <v>1</v>
      </c>
      <c r="G198">
        <v>84218.384375429901</v>
      </c>
      <c r="H198">
        <v>0.48015566799999998</v>
      </c>
      <c r="I198">
        <v>15265</v>
      </c>
      <c r="J198">
        <v>4773</v>
      </c>
      <c r="K198">
        <v>10492</v>
      </c>
      <c r="L198">
        <v>500</v>
      </c>
      <c r="M198">
        <v>499</v>
      </c>
      <c r="N198">
        <v>1</v>
      </c>
      <c r="O198">
        <v>16741.223910133798</v>
      </c>
      <c r="P198" s="3" t="s">
        <v>52</v>
      </c>
      <c r="Q198">
        <v>50</v>
      </c>
      <c r="R198">
        <v>0.999</v>
      </c>
      <c r="S198">
        <v>0</v>
      </c>
    </row>
    <row r="199" spans="1:19" x14ac:dyDescent="0.2">
      <c r="A199" s="3" t="s">
        <v>54</v>
      </c>
      <c r="B199" s="3" t="s">
        <v>55</v>
      </c>
      <c r="C199">
        <v>7</v>
      </c>
      <c r="D199">
        <v>19000</v>
      </c>
      <c r="E199">
        <v>499</v>
      </c>
      <c r="F199">
        <v>1</v>
      </c>
      <c r="G199">
        <v>84218.384375429901</v>
      </c>
      <c r="H199">
        <v>0.480133906</v>
      </c>
      <c r="I199">
        <v>15266</v>
      </c>
      <c r="J199">
        <v>4764</v>
      </c>
      <c r="K199">
        <v>10502</v>
      </c>
      <c r="L199">
        <v>500</v>
      </c>
      <c r="M199">
        <v>499</v>
      </c>
      <c r="N199">
        <v>1</v>
      </c>
      <c r="O199">
        <v>16829.9666339293</v>
      </c>
      <c r="P199" s="3" t="s">
        <v>52</v>
      </c>
      <c r="Q199">
        <v>50</v>
      </c>
      <c r="R199">
        <v>0.999</v>
      </c>
      <c r="S199">
        <v>0</v>
      </c>
    </row>
    <row r="200" spans="1:19" x14ac:dyDescent="0.2">
      <c r="A200" s="3" t="s">
        <v>54</v>
      </c>
      <c r="B200" s="3" t="s">
        <v>55</v>
      </c>
      <c r="C200">
        <v>19</v>
      </c>
      <c r="D200">
        <v>19000</v>
      </c>
      <c r="E200">
        <v>499</v>
      </c>
      <c r="F200">
        <v>1</v>
      </c>
      <c r="G200">
        <v>84218.384375429901</v>
      </c>
      <c r="H200">
        <v>0.47985642099999998</v>
      </c>
      <c r="I200">
        <v>15286</v>
      </c>
      <c r="J200">
        <v>4759</v>
      </c>
      <c r="K200">
        <v>10527</v>
      </c>
      <c r="L200">
        <v>500</v>
      </c>
      <c r="M200">
        <v>499</v>
      </c>
      <c r="N200">
        <v>1</v>
      </c>
      <c r="O200">
        <v>16765.478138494502</v>
      </c>
      <c r="P200" s="3" t="s">
        <v>52</v>
      </c>
      <c r="Q200">
        <v>50</v>
      </c>
      <c r="R200">
        <v>0.999</v>
      </c>
      <c r="S200">
        <v>0</v>
      </c>
    </row>
    <row r="201" spans="1:19" x14ac:dyDescent="0.2">
      <c r="A201" s="3" t="s">
        <v>54</v>
      </c>
      <c r="B201" s="3" t="s">
        <v>55</v>
      </c>
      <c r="C201">
        <v>1</v>
      </c>
      <c r="D201">
        <v>19000</v>
      </c>
      <c r="E201">
        <v>499</v>
      </c>
      <c r="F201">
        <v>1</v>
      </c>
      <c r="G201">
        <v>84218.384375429901</v>
      </c>
      <c r="H201">
        <v>0.47636435500000002</v>
      </c>
      <c r="I201">
        <v>15277</v>
      </c>
      <c r="J201">
        <v>4735</v>
      </c>
      <c r="K201">
        <v>10542</v>
      </c>
      <c r="L201">
        <v>500</v>
      </c>
      <c r="M201">
        <v>499</v>
      </c>
      <c r="N201">
        <v>1</v>
      </c>
      <c r="O201">
        <v>16886.626722399898</v>
      </c>
      <c r="P201" s="3" t="s">
        <v>50</v>
      </c>
      <c r="Q201">
        <v>50</v>
      </c>
      <c r="R201">
        <v>0.999</v>
      </c>
      <c r="S201">
        <v>0</v>
      </c>
    </row>
    <row r="202" spans="1:19" x14ac:dyDescent="0.2">
      <c r="A202" s="3" t="s">
        <v>54</v>
      </c>
      <c r="B202" s="3" t="s">
        <v>55</v>
      </c>
      <c r="C202">
        <v>41</v>
      </c>
      <c r="D202">
        <v>19000</v>
      </c>
      <c r="E202">
        <v>499</v>
      </c>
      <c r="F202">
        <v>1</v>
      </c>
      <c r="G202">
        <v>84218.384375429901</v>
      </c>
      <c r="H202">
        <v>0.47594925399999999</v>
      </c>
      <c r="I202">
        <v>15284</v>
      </c>
      <c r="J202">
        <v>4771</v>
      </c>
      <c r="K202">
        <v>10513</v>
      </c>
      <c r="L202">
        <v>500</v>
      </c>
      <c r="M202">
        <v>499</v>
      </c>
      <c r="N202">
        <v>1</v>
      </c>
      <c r="O202">
        <v>16793.651822604101</v>
      </c>
      <c r="P202" s="3" t="s">
        <v>52</v>
      </c>
      <c r="Q202">
        <v>50</v>
      </c>
      <c r="R202">
        <v>0.999</v>
      </c>
      <c r="S202">
        <v>0</v>
      </c>
    </row>
    <row r="203" spans="1:19" x14ac:dyDescent="0.2">
      <c r="A203" s="3" t="s">
        <v>54</v>
      </c>
      <c r="B203" s="3" t="s">
        <v>55</v>
      </c>
      <c r="C203">
        <v>31</v>
      </c>
      <c r="D203">
        <v>19000</v>
      </c>
      <c r="E203">
        <v>499</v>
      </c>
      <c r="F203">
        <v>1</v>
      </c>
      <c r="G203">
        <v>84218.384375429901</v>
      </c>
      <c r="H203">
        <v>0.47567818899999997</v>
      </c>
      <c r="I203">
        <v>15298</v>
      </c>
      <c r="J203">
        <v>4793</v>
      </c>
      <c r="K203">
        <v>10505</v>
      </c>
      <c r="L203">
        <v>500</v>
      </c>
      <c r="M203">
        <v>499</v>
      </c>
      <c r="N203">
        <v>1</v>
      </c>
      <c r="O203">
        <v>16673.693408761101</v>
      </c>
      <c r="P203" s="3" t="s">
        <v>52</v>
      </c>
      <c r="Q203">
        <v>50</v>
      </c>
      <c r="R203">
        <v>0.999</v>
      </c>
      <c r="S203">
        <v>0</v>
      </c>
    </row>
    <row r="204" spans="1:19" x14ac:dyDescent="0.2">
      <c r="A204" s="3" t="s">
        <v>54</v>
      </c>
      <c r="B204" s="3" t="s">
        <v>55</v>
      </c>
      <c r="C204">
        <v>4</v>
      </c>
      <c r="D204">
        <v>19000</v>
      </c>
      <c r="E204">
        <v>499</v>
      </c>
      <c r="F204">
        <v>1</v>
      </c>
      <c r="G204">
        <v>84218.384375429901</v>
      </c>
      <c r="H204">
        <v>0.47298285699999998</v>
      </c>
      <c r="I204">
        <v>15295</v>
      </c>
      <c r="J204">
        <v>4743</v>
      </c>
      <c r="K204">
        <v>10552</v>
      </c>
      <c r="L204">
        <v>500</v>
      </c>
      <c r="M204">
        <v>499</v>
      </c>
      <c r="N204">
        <v>1</v>
      </c>
      <c r="O204">
        <v>16791.751953477298</v>
      </c>
      <c r="P204" s="3" t="s">
        <v>52</v>
      </c>
      <c r="Q204">
        <v>50</v>
      </c>
      <c r="R204">
        <v>0.999</v>
      </c>
      <c r="S204">
        <v>0</v>
      </c>
    </row>
    <row r="205" spans="1:19" x14ac:dyDescent="0.2">
      <c r="A205" s="3" t="s">
        <v>54</v>
      </c>
      <c r="B205" s="3" t="s">
        <v>55</v>
      </c>
      <c r="C205">
        <v>39</v>
      </c>
      <c r="D205">
        <v>19000</v>
      </c>
      <c r="E205">
        <v>499</v>
      </c>
      <c r="F205">
        <v>1</v>
      </c>
      <c r="G205">
        <v>84218.384375429901</v>
      </c>
      <c r="H205">
        <v>0.47276929400000001</v>
      </c>
      <c r="I205">
        <v>15263</v>
      </c>
      <c r="J205">
        <v>4756</v>
      </c>
      <c r="K205">
        <v>10507</v>
      </c>
      <c r="L205">
        <v>500</v>
      </c>
      <c r="M205">
        <v>499</v>
      </c>
      <c r="N205">
        <v>1</v>
      </c>
      <c r="O205">
        <v>16794.549178928701</v>
      </c>
      <c r="P205" s="3" t="s">
        <v>52</v>
      </c>
      <c r="Q205">
        <v>50</v>
      </c>
      <c r="R205">
        <v>0.999</v>
      </c>
      <c r="S205">
        <v>0</v>
      </c>
    </row>
    <row r="206" spans="1:19" x14ac:dyDescent="0.2">
      <c r="A206" s="3" t="s">
        <v>54</v>
      </c>
      <c r="B206" s="3" t="s">
        <v>55</v>
      </c>
      <c r="C206">
        <v>27</v>
      </c>
      <c r="D206">
        <v>19000</v>
      </c>
      <c r="E206">
        <v>499</v>
      </c>
      <c r="F206">
        <v>1</v>
      </c>
      <c r="G206">
        <v>84218.384375429901</v>
      </c>
      <c r="H206">
        <v>0.470262493</v>
      </c>
      <c r="I206">
        <v>15253</v>
      </c>
      <c r="J206">
        <v>4777</v>
      </c>
      <c r="K206">
        <v>10476</v>
      </c>
      <c r="L206">
        <v>500</v>
      </c>
      <c r="M206">
        <v>499</v>
      </c>
      <c r="N206">
        <v>1</v>
      </c>
      <c r="O206">
        <v>16790.859085182099</v>
      </c>
      <c r="P206" s="3" t="s">
        <v>52</v>
      </c>
      <c r="Q206">
        <v>50</v>
      </c>
      <c r="R206">
        <v>0.999</v>
      </c>
      <c r="S206">
        <v>0</v>
      </c>
    </row>
    <row r="207" spans="1:19" x14ac:dyDescent="0.2">
      <c r="A207" s="3" t="s">
        <v>54</v>
      </c>
      <c r="B207" s="3" t="s">
        <v>55</v>
      </c>
      <c r="C207">
        <v>2</v>
      </c>
      <c r="D207">
        <v>19000</v>
      </c>
      <c r="E207">
        <v>499</v>
      </c>
      <c r="F207">
        <v>1</v>
      </c>
      <c r="G207">
        <v>84218.384375429901</v>
      </c>
      <c r="H207">
        <v>0.46749125499999999</v>
      </c>
      <c r="I207">
        <v>15255</v>
      </c>
      <c r="J207">
        <v>4760</v>
      </c>
      <c r="K207">
        <v>10495</v>
      </c>
      <c r="L207">
        <v>500</v>
      </c>
      <c r="M207">
        <v>499</v>
      </c>
      <c r="N207">
        <v>1</v>
      </c>
      <c r="O207">
        <v>16804.475949514599</v>
      </c>
      <c r="P207" s="3" t="s">
        <v>50</v>
      </c>
      <c r="Q207">
        <v>50</v>
      </c>
      <c r="R207">
        <v>0.999</v>
      </c>
      <c r="S207">
        <v>0</v>
      </c>
    </row>
    <row r="208" spans="1:19" x14ac:dyDescent="0.2">
      <c r="A208" s="3" t="s">
        <v>54</v>
      </c>
      <c r="B208" s="3" t="s">
        <v>55</v>
      </c>
      <c r="C208">
        <v>27</v>
      </c>
      <c r="D208">
        <v>18000</v>
      </c>
      <c r="E208">
        <v>499</v>
      </c>
      <c r="F208">
        <v>1</v>
      </c>
      <c r="G208">
        <v>75479.649376234796</v>
      </c>
      <c r="H208">
        <v>0.46515230400000002</v>
      </c>
      <c r="I208">
        <v>14897</v>
      </c>
      <c r="J208">
        <v>4634</v>
      </c>
      <c r="K208">
        <v>10263</v>
      </c>
      <c r="L208">
        <v>500</v>
      </c>
      <c r="M208">
        <v>499</v>
      </c>
      <c r="N208">
        <v>1</v>
      </c>
      <c r="O208">
        <v>12191.5515076785</v>
      </c>
      <c r="P208" s="3" t="s">
        <v>50</v>
      </c>
      <c r="Q208">
        <v>50</v>
      </c>
      <c r="R208">
        <v>0.999</v>
      </c>
      <c r="S208">
        <v>0</v>
      </c>
    </row>
    <row r="209" spans="1:19" x14ac:dyDescent="0.2">
      <c r="A209" s="3" t="s">
        <v>54</v>
      </c>
      <c r="B209" s="3" t="s">
        <v>55</v>
      </c>
      <c r="C209">
        <v>1</v>
      </c>
      <c r="D209">
        <v>19000</v>
      </c>
      <c r="E209">
        <v>499</v>
      </c>
      <c r="F209">
        <v>1</v>
      </c>
      <c r="G209">
        <v>84218.384375429901</v>
      </c>
      <c r="H209">
        <v>0.46112467699999998</v>
      </c>
      <c r="I209">
        <v>15257</v>
      </c>
      <c r="J209">
        <v>4786</v>
      </c>
      <c r="K209">
        <v>10471</v>
      </c>
      <c r="L209">
        <v>500</v>
      </c>
      <c r="M209">
        <v>499</v>
      </c>
      <c r="N209">
        <v>1</v>
      </c>
      <c r="O209">
        <v>16847.9731221765</v>
      </c>
      <c r="P209" s="3" t="s">
        <v>52</v>
      </c>
      <c r="Q209">
        <v>50</v>
      </c>
      <c r="R209">
        <v>0.999</v>
      </c>
      <c r="S209">
        <v>0</v>
      </c>
    </row>
    <row r="210" spans="1:19" x14ac:dyDescent="0.2">
      <c r="A210" s="3" t="s">
        <v>54</v>
      </c>
      <c r="B210" s="3" t="s">
        <v>55</v>
      </c>
      <c r="C210">
        <v>20</v>
      </c>
      <c r="D210">
        <v>18000</v>
      </c>
      <c r="E210">
        <v>499</v>
      </c>
      <c r="F210">
        <v>1</v>
      </c>
      <c r="G210">
        <v>75479.649376234796</v>
      </c>
      <c r="H210">
        <v>0.44412434099999998</v>
      </c>
      <c r="I210">
        <v>14931</v>
      </c>
      <c r="J210">
        <v>4638</v>
      </c>
      <c r="K210">
        <v>10293</v>
      </c>
      <c r="L210">
        <v>500</v>
      </c>
      <c r="M210">
        <v>499</v>
      </c>
      <c r="N210">
        <v>1</v>
      </c>
      <c r="O210">
        <v>12058.964895434799</v>
      </c>
      <c r="P210" s="3" t="s">
        <v>50</v>
      </c>
      <c r="Q210">
        <v>50</v>
      </c>
      <c r="R210">
        <v>0.999</v>
      </c>
      <c r="S210">
        <v>0</v>
      </c>
    </row>
    <row r="211" spans="1:19" x14ac:dyDescent="0.2">
      <c r="A211" s="3" t="s">
        <v>54</v>
      </c>
      <c r="B211" s="3" t="s">
        <v>55</v>
      </c>
      <c r="C211">
        <v>40</v>
      </c>
      <c r="D211">
        <v>18000</v>
      </c>
      <c r="E211">
        <v>499</v>
      </c>
      <c r="F211">
        <v>1</v>
      </c>
      <c r="G211">
        <v>75479.649376234796</v>
      </c>
      <c r="H211">
        <v>0.44203803600000002</v>
      </c>
      <c r="I211">
        <v>14956</v>
      </c>
      <c r="J211">
        <v>4625</v>
      </c>
      <c r="K211">
        <v>10331</v>
      </c>
      <c r="L211">
        <v>500</v>
      </c>
      <c r="M211">
        <v>499</v>
      </c>
      <c r="N211">
        <v>1</v>
      </c>
      <c r="O211">
        <v>12131.438490786601</v>
      </c>
      <c r="P211" s="3" t="s">
        <v>52</v>
      </c>
      <c r="Q211">
        <v>50</v>
      </c>
      <c r="R211">
        <v>0.999</v>
      </c>
      <c r="S211">
        <v>0</v>
      </c>
    </row>
    <row r="212" spans="1:19" x14ac:dyDescent="0.2">
      <c r="A212" s="3" t="s">
        <v>54</v>
      </c>
      <c r="B212" s="3" t="s">
        <v>55</v>
      </c>
      <c r="C212">
        <v>46</v>
      </c>
      <c r="D212">
        <v>18000</v>
      </c>
      <c r="E212">
        <v>499</v>
      </c>
      <c r="F212">
        <v>1</v>
      </c>
      <c r="G212">
        <v>75479.649376234796</v>
      </c>
      <c r="H212">
        <v>0.43857032600000001</v>
      </c>
      <c r="I212">
        <v>14913</v>
      </c>
      <c r="J212">
        <v>4655</v>
      </c>
      <c r="K212">
        <v>10258</v>
      </c>
      <c r="L212">
        <v>500</v>
      </c>
      <c r="M212">
        <v>499</v>
      </c>
      <c r="N212">
        <v>1</v>
      </c>
      <c r="O212">
        <v>12053.8872596078</v>
      </c>
      <c r="P212" s="3" t="s">
        <v>50</v>
      </c>
      <c r="Q212">
        <v>50</v>
      </c>
      <c r="R212">
        <v>0.999</v>
      </c>
      <c r="S212">
        <v>0</v>
      </c>
    </row>
    <row r="213" spans="1:19" x14ac:dyDescent="0.2">
      <c r="A213" s="3" t="s">
        <v>54</v>
      </c>
      <c r="B213" s="3" t="s">
        <v>55</v>
      </c>
      <c r="C213">
        <v>18</v>
      </c>
      <c r="D213">
        <v>18000</v>
      </c>
      <c r="E213">
        <v>499</v>
      </c>
      <c r="F213">
        <v>1</v>
      </c>
      <c r="G213">
        <v>75479.649376234796</v>
      </c>
      <c r="H213">
        <v>0.43839974900000001</v>
      </c>
      <c r="I213">
        <v>14954</v>
      </c>
      <c r="J213">
        <v>4647</v>
      </c>
      <c r="K213">
        <v>10307</v>
      </c>
      <c r="L213">
        <v>500</v>
      </c>
      <c r="M213">
        <v>499</v>
      </c>
      <c r="N213">
        <v>1</v>
      </c>
      <c r="O213">
        <v>12056.5234653199</v>
      </c>
      <c r="P213" s="3" t="s">
        <v>50</v>
      </c>
      <c r="Q213">
        <v>50</v>
      </c>
      <c r="R213">
        <v>0.999</v>
      </c>
      <c r="S213">
        <v>0</v>
      </c>
    </row>
    <row r="214" spans="1:19" x14ac:dyDescent="0.2">
      <c r="A214" s="3" t="s">
        <v>54</v>
      </c>
      <c r="B214" s="3" t="s">
        <v>55</v>
      </c>
      <c r="C214">
        <v>50</v>
      </c>
      <c r="D214">
        <v>18000</v>
      </c>
      <c r="E214">
        <v>499</v>
      </c>
      <c r="F214">
        <v>1</v>
      </c>
      <c r="G214">
        <v>75479.649376234796</v>
      </c>
      <c r="H214">
        <v>0.43693765200000001</v>
      </c>
      <c r="I214">
        <v>14962</v>
      </c>
      <c r="J214">
        <v>4712</v>
      </c>
      <c r="K214">
        <v>10250</v>
      </c>
      <c r="L214">
        <v>500</v>
      </c>
      <c r="M214">
        <v>499</v>
      </c>
      <c r="N214">
        <v>1</v>
      </c>
      <c r="O214">
        <v>11952.876734363699</v>
      </c>
      <c r="P214" s="3" t="s">
        <v>50</v>
      </c>
      <c r="Q214">
        <v>50</v>
      </c>
      <c r="R214">
        <v>0.999</v>
      </c>
      <c r="S214">
        <v>0</v>
      </c>
    </row>
    <row r="215" spans="1:19" x14ac:dyDescent="0.2">
      <c r="A215" s="3" t="s">
        <v>54</v>
      </c>
      <c r="B215" s="3" t="s">
        <v>55</v>
      </c>
      <c r="C215">
        <v>47</v>
      </c>
      <c r="D215">
        <v>18000</v>
      </c>
      <c r="E215">
        <v>499</v>
      </c>
      <c r="F215">
        <v>1</v>
      </c>
      <c r="G215">
        <v>75479.649376234796</v>
      </c>
      <c r="H215">
        <v>0.43537969199999998</v>
      </c>
      <c r="I215">
        <v>14885</v>
      </c>
      <c r="J215">
        <v>4622</v>
      </c>
      <c r="K215">
        <v>10263</v>
      </c>
      <c r="L215">
        <v>500</v>
      </c>
      <c r="M215">
        <v>499</v>
      </c>
      <c r="N215">
        <v>1</v>
      </c>
      <c r="O215">
        <v>12198.571219782199</v>
      </c>
      <c r="P215" s="3" t="s">
        <v>50</v>
      </c>
      <c r="Q215">
        <v>50</v>
      </c>
      <c r="R215">
        <v>0.999</v>
      </c>
      <c r="S215">
        <v>0</v>
      </c>
    </row>
    <row r="216" spans="1:19" x14ac:dyDescent="0.2">
      <c r="A216" s="3" t="s">
        <v>54</v>
      </c>
      <c r="B216" s="3" t="s">
        <v>55</v>
      </c>
      <c r="C216">
        <v>26</v>
      </c>
      <c r="D216">
        <v>18000</v>
      </c>
      <c r="E216">
        <v>499</v>
      </c>
      <c r="F216">
        <v>1</v>
      </c>
      <c r="G216">
        <v>75479.649376234796</v>
      </c>
      <c r="H216">
        <v>0.434824608</v>
      </c>
      <c r="I216">
        <v>14929</v>
      </c>
      <c r="J216">
        <v>4610</v>
      </c>
      <c r="K216">
        <v>10319</v>
      </c>
      <c r="L216">
        <v>500</v>
      </c>
      <c r="M216">
        <v>499</v>
      </c>
      <c r="N216">
        <v>1</v>
      </c>
      <c r="O216">
        <v>12052.2770003307</v>
      </c>
      <c r="P216" s="3" t="s">
        <v>50</v>
      </c>
      <c r="Q216">
        <v>50</v>
      </c>
      <c r="R216">
        <v>0.999</v>
      </c>
      <c r="S216">
        <v>0</v>
      </c>
    </row>
    <row r="217" spans="1:19" x14ac:dyDescent="0.2">
      <c r="A217" s="3" t="s">
        <v>54</v>
      </c>
      <c r="B217" s="3" t="s">
        <v>55</v>
      </c>
      <c r="C217">
        <v>48</v>
      </c>
      <c r="D217">
        <v>18000</v>
      </c>
      <c r="E217">
        <v>499</v>
      </c>
      <c r="F217">
        <v>1</v>
      </c>
      <c r="G217">
        <v>75479.649376234796</v>
      </c>
      <c r="H217">
        <v>0.43335353599999998</v>
      </c>
      <c r="I217">
        <v>14905</v>
      </c>
      <c r="J217">
        <v>4672</v>
      </c>
      <c r="K217">
        <v>10233</v>
      </c>
      <c r="L217">
        <v>500</v>
      </c>
      <c r="M217">
        <v>499</v>
      </c>
      <c r="N217">
        <v>1</v>
      </c>
      <c r="O217">
        <v>12106.940492469401</v>
      </c>
      <c r="P217" s="3" t="s">
        <v>50</v>
      </c>
      <c r="Q217">
        <v>50</v>
      </c>
      <c r="R217">
        <v>0.999</v>
      </c>
      <c r="S217">
        <v>0</v>
      </c>
    </row>
    <row r="218" spans="1:19" x14ac:dyDescent="0.2">
      <c r="A218" s="3" t="s">
        <v>54</v>
      </c>
      <c r="B218" s="3" t="s">
        <v>55</v>
      </c>
      <c r="C218">
        <v>24</v>
      </c>
      <c r="D218">
        <v>18000</v>
      </c>
      <c r="E218">
        <v>499</v>
      </c>
      <c r="F218">
        <v>1</v>
      </c>
      <c r="G218">
        <v>75479.649376234796</v>
      </c>
      <c r="H218">
        <v>0.43302132799999998</v>
      </c>
      <c r="I218">
        <v>14902</v>
      </c>
      <c r="J218">
        <v>4676</v>
      </c>
      <c r="K218">
        <v>10226</v>
      </c>
      <c r="L218">
        <v>500</v>
      </c>
      <c r="M218">
        <v>499</v>
      </c>
      <c r="N218">
        <v>1</v>
      </c>
      <c r="O218">
        <v>12076.9358050545</v>
      </c>
      <c r="P218" s="3" t="s">
        <v>50</v>
      </c>
      <c r="Q218">
        <v>50</v>
      </c>
      <c r="R218">
        <v>0.999</v>
      </c>
      <c r="S218">
        <v>0</v>
      </c>
    </row>
    <row r="219" spans="1:19" x14ac:dyDescent="0.2">
      <c r="A219" s="3" t="s">
        <v>54</v>
      </c>
      <c r="B219" s="3" t="s">
        <v>55</v>
      </c>
      <c r="C219">
        <v>35</v>
      </c>
      <c r="D219">
        <v>18000</v>
      </c>
      <c r="E219">
        <v>499</v>
      </c>
      <c r="F219">
        <v>1</v>
      </c>
      <c r="G219">
        <v>75479.649376234796</v>
      </c>
      <c r="H219">
        <v>0.43261892200000002</v>
      </c>
      <c r="I219">
        <v>14929</v>
      </c>
      <c r="J219">
        <v>4663</v>
      </c>
      <c r="K219">
        <v>10266</v>
      </c>
      <c r="L219">
        <v>500</v>
      </c>
      <c r="M219">
        <v>499</v>
      </c>
      <c r="N219">
        <v>1</v>
      </c>
      <c r="O219">
        <v>12078.186476589601</v>
      </c>
      <c r="P219" s="3" t="s">
        <v>50</v>
      </c>
      <c r="Q219">
        <v>50</v>
      </c>
      <c r="R219">
        <v>0.999</v>
      </c>
      <c r="S219">
        <v>0</v>
      </c>
    </row>
    <row r="220" spans="1:19" x14ac:dyDescent="0.2">
      <c r="A220" s="3" t="s">
        <v>54</v>
      </c>
      <c r="B220" s="3" t="s">
        <v>55</v>
      </c>
      <c r="C220">
        <v>37</v>
      </c>
      <c r="D220">
        <v>18000</v>
      </c>
      <c r="E220">
        <v>499</v>
      </c>
      <c r="F220">
        <v>1</v>
      </c>
      <c r="G220">
        <v>75479.649376234796</v>
      </c>
      <c r="H220">
        <v>0.432573969</v>
      </c>
      <c r="I220">
        <v>14941</v>
      </c>
      <c r="J220">
        <v>4663</v>
      </c>
      <c r="K220">
        <v>10278</v>
      </c>
      <c r="L220">
        <v>500</v>
      </c>
      <c r="M220">
        <v>499</v>
      </c>
      <c r="N220">
        <v>1</v>
      </c>
      <c r="O220">
        <v>12067.8700473394</v>
      </c>
      <c r="P220" s="3" t="s">
        <v>50</v>
      </c>
      <c r="Q220">
        <v>50</v>
      </c>
      <c r="R220">
        <v>0.999</v>
      </c>
      <c r="S220">
        <v>0</v>
      </c>
    </row>
    <row r="221" spans="1:19" x14ac:dyDescent="0.2">
      <c r="A221" s="3" t="s">
        <v>54</v>
      </c>
      <c r="B221" s="3" t="s">
        <v>55</v>
      </c>
      <c r="C221">
        <v>42</v>
      </c>
      <c r="D221">
        <v>18000</v>
      </c>
      <c r="E221">
        <v>499</v>
      </c>
      <c r="F221">
        <v>1</v>
      </c>
      <c r="G221">
        <v>75479.649376234796</v>
      </c>
      <c r="H221">
        <v>0.43106958699999998</v>
      </c>
      <c r="I221">
        <v>14903</v>
      </c>
      <c r="J221">
        <v>4652</v>
      </c>
      <c r="K221">
        <v>10251</v>
      </c>
      <c r="L221">
        <v>500</v>
      </c>
      <c r="M221">
        <v>499</v>
      </c>
      <c r="N221">
        <v>1</v>
      </c>
      <c r="O221">
        <v>12108.391352648199</v>
      </c>
      <c r="P221" s="3" t="s">
        <v>52</v>
      </c>
      <c r="Q221">
        <v>50</v>
      </c>
      <c r="R221">
        <v>0.999</v>
      </c>
      <c r="S221">
        <v>0</v>
      </c>
    </row>
    <row r="222" spans="1:19" x14ac:dyDescent="0.2">
      <c r="A222" s="3" t="s">
        <v>54</v>
      </c>
      <c r="B222" s="3" t="s">
        <v>55</v>
      </c>
      <c r="C222">
        <v>12</v>
      </c>
      <c r="D222">
        <v>18000</v>
      </c>
      <c r="E222">
        <v>499</v>
      </c>
      <c r="F222">
        <v>1</v>
      </c>
      <c r="G222">
        <v>75479.649376234796</v>
      </c>
      <c r="H222">
        <v>0.430731629</v>
      </c>
      <c r="I222">
        <v>14905</v>
      </c>
      <c r="J222">
        <v>4657</v>
      </c>
      <c r="K222">
        <v>10248</v>
      </c>
      <c r="L222">
        <v>500</v>
      </c>
      <c r="M222">
        <v>499</v>
      </c>
      <c r="N222">
        <v>1</v>
      </c>
      <c r="O222">
        <v>12005.423254692299</v>
      </c>
      <c r="P222" s="3" t="s">
        <v>50</v>
      </c>
      <c r="Q222">
        <v>50</v>
      </c>
      <c r="R222">
        <v>0.999</v>
      </c>
      <c r="S222">
        <v>0</v>
      </c>
    </row>
    <row r="223" spans="1:19" x14ac:dyDescent="0.2">
      <c r="A223" s="3" t="s">
        <v>54</v>
      </c>
      <c r="B223" s="3" t="s">
        <v>55</v>
      </c>
      <c r="C223">
        <v>34</v>
      </c>
      <c r="D223">
        <v>18000</v>
      </c>
      <c r="E223">
        <v>499</v>
      </c>
      <c r="F223">
        <v>1</v>
      </c>
      <c r="G223">
        <v>75479.649376234796</v>
      </c>
      <c r="H223">
        <v>0.43027681899999998</v>
      </c>
      <c r="I223">
        <v>14928</v>
      </c>
      <c r="J223">
        <v>4682</v>
      </c>
      <c r="K223">
        <v>10246</v>
      </c>
      <c r="L223">
        <v>500</v>
      </c>
      <c r="M223">
        <v>499</v>
      </c>
      <c r="N223">
        <v>1</v>
      </c>
      <c r="O223">
        <v>12030.872115893701</v>
      </c>
      <c r="P223" s="3" t="s">
        <v>50</v>
      </c>
      <c r="Q223">
        <v>50</v>
      </c>
      <c r="R223">
        <v>0.999</v>
      </c>
      <c r="S223">
        <v>0</v>
      </c>
    </row>
    <row r="224" spans="1:19" x14ac:dyDescent="0.2">
      <c r="A224" s="3" t="s">
        <v>54</v>
      </c>
      <c r="B224" s="3" t="s">
        <v>55</v>
      </c>
      <c r="C224">
        <v>14</v>
      </c>
      <c r="D224">
        <v>18000</v>
      </c>
      <c r="E224">
        <v>499</v>
      </c>
      <c r="F224">
        <v>1</v>
      </c>
      <c r="G224">
        <v>75479.649376234796</v>
      </c>
      <c r="H224">
        <v>0.42939949799999999</v>
      </c>
      <c r="I224">
        <v>14952</v>
      </c>
      <c r="J224">
        <v>4676</v>
      </c>
      <c r="K224">
        <v>10276</v>
      </c>
      <c r="L224">
        <v>500</v>
      </c>
      <c r="M224">
        <v>499</v>
      </c>
      <c r="N224">
        <v>1</v>
      </c>
      <c r="O224">
        <v>11924.1208376376</v>
      </c>
      <c r="P224" s="3" t="s">
        <v>50</v>
      </c>
      <c r="Q224">
        <v>50</v>
      </c>
      <c r="R224">
        <v>0.999</v>
      </c>
      <c r="S224">
        <v>0</v>
      </c>
    </row>
    <row r="225" spans="1:19" x14ac:dyDescent="0.2">
      <c r="A225" s="3" t="s">
        <v>54</v>
      </c>
      <c r="B225" s="3" t="s">
        <v>55</v>
      </c>
      <c r="C225">
        <v>4</v>
      </c>
      <c r="D225">
        <v>18000</v>
      </c>
      <c r="E225">
        <v>499</v>
      </c>
      <c r="F225">
        <v>1</v>
      </c>
      <c r="G225">
        <v>75479.649376234796</v>
      </c>
      <c r="H225">
        <v>0.42933160100000001</v>
      </c>
      <c r="I225">
        <v>14927</v>
      </c>
      <c r="J225">
        <v>4667</v>
      </c>
      <c r="K225">
        <v>10260</v>
      </c>
      <c r="L225">
        <v>500</v>
      </c>
      <c r="M225">
        <v>499</v>
      </c>
      <c r="N225">
        <v>1</v>
      </c>
      <c r="O225">
        <v>12113.8042479492</v>
      </c>
      <c r="P225" s="3" t="s">
        <v>50</v>
      </c>
      <c r="Q225">
        <v>50</v>
      </c>
      <c r="R225">
        <v>0.999</v>
      </c>
      <c r="S225">
        <v>0</v>
      </c>
    </row>
    <row r="226" spans="1:19" x14ac:dyDescent="0.2">
      <c r="A226" s="3" t="s">
        <v>54</v>
      </c>
      <c r="B226" s="3" t="s">
        <v>55</v>
      </c>
      <c r="C226">
        <v>39</v>
      </c>
      <c r="D226">
        <v>18000</v>
      </c>
      <c r="E226">
        <v>499</v>
      </c>
      <c r="F226">
        <v>1</v>
      </c>
      <c r="G226">
        <v>75479.649376234796</v>
      </c>
      <c r="H226">
        <v>0.42932852999999999</v>
      </c>
      <c r="I226">
        <v>14928</v>
      </c>
      <c r="J226">
        <v>4685</v>
      </c>
      <c r="K226">
        <v>10243</v>
      </c>
      <c r="L226">
        <v>500</v>
      </c>
      <c r="M226">
        <v>499</v>
      </c>
      <c r="N226">
        <v>1</v>
      </c>
      <c r="O226">
        <v>11987.9243698339</v>
      </c>
      <c r="P226" s="3" t="s">
        <v>50</v>
      </c>
      <c r="Q226">
        <v>50</v>
      </c>
      <c r="R226">
        <v>0.999</v>
      </c>
      <c r="S226">
        <v>0</v>
      </c>
    </row>
    <row r="227" spans="1:19" x14ac:dyDescent="0.2">
      <c r="A227" s="3" t="s">
        <v>54</v>
      </c>
      <c r="B227" s="3" t="s">
        <v>55</v>
      </c>
      <c r="C227">
        <v>3</v>
      </c>
      <c r="D227">
        <v>18000</v>
      </c>
      <c r="E227">
        <v>499</v>
      </c>
      <c r="F227">
        <v>1</v>
      </c>
      <c r="G227">
        <v>75479.649376234796</v>
      </c>
      <c r="H227">
        <v>0.42890716600000001</v>
      </c>
      <c r="I227">
        <v>14930</v>
      </c>
      <c r="J227">
        <v>4645</v>
      </c>
      <c r="K227">
        <v>10285</v>
      </c>
      <c r="L227">
        <v>500</v>
      </c>
      <c r="M227">
        <v>499</v>
      </c>
      <c r="N227">
        <v>1</v>
      </c>
      <c r="O227">
        <v>12050.8121859537</v>
      </c>
      <c r="P227" s="3" t="s">
        <v>50</v>
      </c>
      <c r="Q227">
        <v>50</v>
      </c>
      <c r="R227">
        <v>0.999</v>
      </c>
      <c r="S227">
        <v>0</v>
      </c>
    </row>
    <row r="228" spans="1:19" x14ac:dyDescent="0.2">
      <c r="A228" s="3" t="s">
        <v>54</v>
      </c>
      <c r="B228" s="3" t="s">
        <v>55</v>
      </c>
      <c r="C228">
        <v>28</v>
      </c>
      <c r="D228">
        <v>18000</v>
      </c>
      <c r="E228">
        <v>499</v>
      </c>
      <c r="F228">
        <v>1</v>
      </c>
      <c r="G228">
        <v>75479.649376234796</v>
      </c>
      <c r="H228">
        <v>0.42863625799999999</v>
      </c>
      <c r="I228">
        <v>14931</v>
      </c>
      <c r="J228">
        <v>4652</v>
      </c>
      <c r="K228">
        <v>10279</v>
      </c>
      <c r="L228">
        <v>500</v>
      </c>
      <c r="M228">
        <v>499</v>
      </c>
      <c r="N228">
        <v>1</v>
      </c>
      <c r="O228">
        <v>12017.975010313599</v>
      </c>
      <c r="P228" s="3" t="s">
        <v>50</v>
      </c>
      <c r="Q228">
        <v>50</v>
      </c>
      <c r="R228">
        <v>0.999</v>
      </c>
      <c r="S228">
        <v>0</v>
      </c>
    </row>
    <row r="229" spans="1:19" x14ac:dyDescent="0.2">
      <c r="A229" s="3" t="s">
        <v>54</v>
      </c>
      <c r="B229" s="3" t="s">
        <v>55</v>
      </c>
      <c r="C229">
        <v>17</v>
      </c>
      <c r="D229">
        <v>18000</v>
      </c>
      <c r="E229">
        <v>499</v>
      </c>
      <c r="F229">
        <v>1</v>
      </c>
      <c r="G229">
        <v>75479.649376234796</v>
      </c>
      <c r="H229">
        <v>0.42828483899999997</v>
      </c>
      <c r="I229">
        <v>14912</v>
      </c>
      <c r="J229">
        <v>4679</v>
      </c>
      <c r="K229">
        <v>10233</v>
      </c>
      <c r="L229">
        <v>500</v>
      </c>
      <c r="M229">
        <v>499</v>
      </c>
      <c r="N229">
        <v>1</v>
      </c>
      <c r="O229">
        <v>12178.690842502099</v>
      </c>
      <c r="P229" s="3" t="s">
        <v>50</v>
      </c>
      <c r="Q229">
        <v>50</v>
      </c>
      <c r="R229">
        <v>0.999</v>
      </c>
      <c r="S229">
        <v>0</v>
      </c>
    </row>
    <row r="230" spans="1:19" x14ac:dyDescent="0.2">
      <c r="A230" s="3" t="s">
        <v>54</v>
      </c>
      <c r="B230" s="3" t="s">
        <v>55</v>
      </c>
      <c r="C230">
        <v>38</v>
      </c>
      <c r="D230">
        <v>18000</v>
      </c>
      <c r="E230">
        <v>499</v>
      </c>
      <c r="F230">
        <v>1</v>
      </c>
      <c r="G230">
        <v>75479.649376234796</v>
      </c>
      <c r="H230">
        <v>0.42820069300000002</v>
      </c>
      <c r="I230">
        <v>14907</v>
      </c>
      <c r="J230">
        <v>4653</v>
      </c>
      <c r="K230">
        <v>10254</v>
      </c>
      <c r="L230">
        <v>500</v>
      </c>
      <c r="M230">
        <v>499</v>
      </c>
      <c r="N230">
        <v>1</v>
      </c>
      <c r="O230">
        <v>12156.4151966645</v>
      </c>
      <c r="P230" s="3" t="s">
        <v>50</v>
      </c>
      <c r="Q230">
        <v>50</v>
      </c>
      <c r="R230">
        <v>0.999</v>
      </c>
      <c r="S230">
        <v>0</v>
      </c>
    </row>
    <row r="231" spans="1:19" x14ac:dyDescent="0.2">
      <c r="A231" s="3" t="s">
        <v>54</v>
      </c>
      <c r="B231" s="3" t="s">
        <v>55</v>
      </c>
      <c r="C231">
        <v>40</v>
      </c>
      <c r="D231">
        <v>18000</v>
      </c>
      <c r="E231">
        <v>499</v>
      </c>
      <c r="F231">
        <v>1</v>
      </c>
      <c r="G231">
        <v>75479.649376234796</v>
      </c>
      <c r="H231">
        <v>0.42793114100000001</v>
      </c>
      <c r="I231">
        <v>14908</v>
      </c>
      <c r="J231">
        <v>4645</v>
      </c>
      <c r="K231">
        <v>10263</v>
      </c>
      <c r="L231">
        <v>500</v>
      </c>
      <c r="M231">
        <v>499</v>
      </c>
      <c r="N231">
        <v>1</v>
      </c>
      <c r="O231">
        <v>12081.949822336101</v>
      </c>
      <c r="P231" s="3" t="s">
        <v>50</v>
      </c>
      <c r="Q231">
        <v>50</v>
      </c>
      <c r="R231">
        <v>0.999</v>
      </c>
      <c r="S231">
        <v>0</v>
      </c>
    </row>
    <row r="232" spans="1:19" x14ac:dyDescent="0.2">
      <c r="A232" s="3" t="s">
        <v>54</v>
      </c>
      <c r="B232" s="3" t="s">
        <v>55</v>
      </c>
      <c r="C232">
        <v>33</v>
      </c>
      <c r="D232">
        <v>18000</v>
      </c>
      <c r="E232">
        <v>499</v>
      </c>
      <c r="F232">
        <v>1</v>
      </c>
      <c r="G232">
        <v>75479.649376234796</v>
      </c>
      <c r="H232">
        <v>0.42683737799999999</v>
      </c>
      <c r="I232">
        <v>14940</v>
      </c>
      <c r="J232">
        <v>4658</v>
      </c>
      <c r="K232">
        <v>10282</v>
      </c>
      <c r="L232">
        <v>500</v>
      </c>
      <c r="M232">
        <v>499</v>
      </c>
      <c r="N232">
        <v>1</v>
      </c>
      <c r="O232">
        <v>12041.251710905901</v>
      </c>
      <c r="P232" s="3" t="s">
        <v>52</v>
      </c>
      <c r="Q232">
        <v>50</v>
      </c>
      <c r="R232">
        <v>0.999</v>
      </c>
      <c r="S232">
        <v>0</v>
      </c>
    </row>
    <row r="233" spans="1:19" x14ac:dyDescent="0.2">
      <c r="A233" s="3" t="s">
        <v>54</v>
      </c>
      <c r="B233" s="3" t="s">
        <v>55</v>
      </c>
      <c r="C233">
        <v>36</v>
      </c>
      <c r="D233">
        <v>18000</v>
      </c>
      <c r="E233">
        <v>499</v>
      </c>
      <c r="F233">
        <v>1</v>
      </c>
      <c r="G233">
        <v>75479.649376234796</v>
      </c>
      <c r="H233">
        <v>0.42575339600000001</v>
      </c>
      <c r="I233">
        <v>14912</v>
      </c>
      <c r="J233">
        <v>4614</v>
      </c>
      <c r="K233">
        <v>10298</v>
      </c>
      <c r="L233">
        <v>500</v>
      </c>
      <c r="M233">
        <v>499</v>
      </c>
      <c r="N233">
        <v>1</v>
      </c>
      <c r="O233">
        <v>12099.2358080944</v>
      </c>
      <c r="P233" s="3" t="s">
        <v>50</v>
      </c>
      <c r="Q233">
        <v>50</v>
      </c>
      <c r="R233">
        <v>0.999</v>
      </c>
      <c r="S233">
        <v>0</v>
      </c>
    </row>
    <row r="234" spans="1:19" x14ac:dyDescent="0.2">
      <c r="A234" s="3" t="s">
        <v>54</v>
      </c>
      <c r="B234" s="3" t="s">
        <v>55</v>
      </c>
      <c r="C234">
        <v>29</v>
      </c>
      <c r="D234">
        <v>18000</v>
      </c>
      <c r="E234">
        <v>499</v>
      </c>
      <c r="F234">
        <v>1</v>
      </c>
      <c r="G234">
        <v>75479.649376234796</v>
      </c>
      <c r="H234">
        <v>0.42572109299999999</v>
      </c>
      <c r="I234">
        <v>14895</v>
      </c>
      <c r="J234">
        <v>4663</v>
      </c>
      <c r="K234">
        <v>10232</v>
      </c>
      <c r="L234">
        <v>500</v>
      </c>
      <c r="M234">
        <v>499</v>
      </c>
      <c r="N234">
        <v>1</v>
      </c>
      <c r="O234">
        <v>12161.896305710001</v>
      </c>
      <c r="P234" s="3" t="s">
        <v>50</v>
      </c>
      <c r="Q234">
        <v>50</v>
      </c>
      <c r="R234">
        <v>0.999</v>
      </c>
      <c r="S234">
        <v>0</v>
      </c>
    </row>
    <row r="235" spans="1:19" x14ac:dyDescent="0.2">
      <c r="A235" s="3" t="s">
        <v>54</v>
      </c>
      <c r="B235" s="3" t="s">
        <v>55</v>
      </c>
      <c r="C235">
        <v>31</v>
      </c>
      <c r="D235">
        <v>18000</v>
      </c>
      <c r="E235">
        <v>499</v>
      </c>
      <c r="F235">
        <v>1</v>
      </c>
      <c r="G235">
        <v>75479.649376234796</v>
      </c>
      <c r="H235">
        <v>0.42569734199999998</v>
      </c>
      <c r="I235">
        <v>14886</v>
      </c>
      <c r="J235">
        <v>4603</v>
      </c>
      <c r="K235">
        <v>10283</v>
      </c>
      <c r="L235">
        <v>500</v>
      </c>
      <c r="M235">
        <v>499</v>
      </c>
      <c r="N235">
        <v>1</v>
      </c>
      <c r="O235">
        <v>12113.889339728799</v>
      </c>
      <c r="P235" s="3" t="s">
        <v>50</v>
      </c>
      <c r="Q235">
        <v>50</v>
      </c>
      <c r="R235">
        <v>0.999</v>
      </c>
      <c r="S235">
        <v>0</v>
      </c>
    </row>
    <row r="236" spans="1:19" x14ac:dyDescent="0.2">
      <c r="A236" s="3" t="s">
        <v>54</v>
      </c>
      <c r="B236" s="3" t="s">
        <v>55</v>
      </c>
      <c r="C236">
        <v>1</v>
      </c>
      <c r="D236">
        <v>18000</v>
      </c>
      <c r="E236">
        <v>499</v>
      </c>
      <c r="F236">
        <v>1</v>
      </c>
      <c r="G236">
        <v>75479.649376234796</v>
      </c>
      <c r="H236">
        <v>0.42549409799999999</v>
      </c>
      <c r="I236">
        <v>14915</v>
      </c>
      <c r="J236">
        <v>4675</v>
      </c>
      <c r="K236">
        <v>10240</v>
      </c>
      <c r="L236">
        <v>500</v>
      </c>
      <c r="M236">
        <v>499</v>
      </c>
      <c r="N236">
        <v>1</v>
      </c>
      <c r="O236">
        <v>12119.3333330162</v>
      </c>
      <c r="P236" s="3" t="s">
        <v>50</v>
      </c>
      <c r="Q236">
        <v>50</v>
      </c>
      <c r="R236">
        <v>0.999</v>
      </c>
      <c r="S236">
        <v>0</v>
      </c>
    </row>
    <row r="237" spans="1:19" x14ac:dyDescent="0.2">
      <c r="A237" s="3" t="s">
        <v>54</v>
      </c>
      <c r="B237" s="3" t="s">
        <v>55</v>
      </c>
      <c r="C237">
        <v>11</v>
      </c>
      <c r="D237">
        <v>18000</v>
      </c>
      <c r="E237">
        <v>499</v>
      </c>
      <c r="F237">
        <v>1</v>
      </c>
      <c r="G237">
        <v>75479.649376234796</v>
      </c>
      <c r="H237">
        <v>0.42519238999999998</v>
      </c>
      <c r="I237">
        <v>14925</v>
      </c>
      <c r="J237">
        <v>4625</v>
      </c>
      <c r="K237">
        <v>10300</v>
      </c>
      <c r="L237">
        <v>500</v>
      </c>
      <c r="M237">
        <v>499</v>
      </c>
      <c r="N237">
        <v>1</v>
      </c>
      <c r="O237">
        <v>11979.295075673301</v>
      </c>
      <c r="P237" s="3" t="s">
        <v>52</v>
      </c>
      <c r="Q237">
        <v>50</v>
      </c>
      <c r="R237">
        <v>0.999</v>
      </c>
      <c r="S237">
        <v>0</v>
      </c>
    </row>
    <row r="238" spans="1:19" x14ac:dyDescent="0.2">
      <c r="A238" s="3" t="s">
        <v>54</v>
      </c>
      <c r="B238" s="3" t="s">
        <v>55</v>
      </c>
      <c r="C238">
        <v>35</v>
      </c>
      <c r="D238">
        <v>18000</v>
      </c>
      <c r="E238">
        <v>499</v>
      </c>
      <c r="F238">
        <v>1</v>
      </c>
      <c r="G238">
        <v>75479.649376234796</v>
      </c>
      <c r="H238">
        <v>0.42447637199999999</v>
      </c>
      <c r="I238">
        <v>14914</v>
      </c>
      <c r="J238">
        <v>4620</v>
      </c>
      <c r="K238">
        <v>10294</v>
      </c>
      <c r="L238">
        <v>500</v>
      </c>
      <c r="M238">
        <v>499</v>
      </c>
      <c r="N238">
        <v>1</v>
      </c>
      <c r="O238">
        <v>12103.9886596333</v>
      </c>
      <c r="P238" s="3" t="s">
        <v>52</v>
      </c>
      <c r="Q238">
        <v>50</v>
      </c>
      <c r="R238">
        <v>0.999</v>
      </c>
      <c r="S238">
        <v>0</v>
      </c>
    </row>
    <row r="239" spans="1:19" x14ac:dyDescent="0.2">
      <c r="A239" s="3" t="s">
        <v>54</v>
      </c>
      <c r="B239" s="3" t="s">
        <v>55</v>
      </c>
      <c r="C239">
        <v>13</v>
      </c>
      <c r="D239">
        <v>18000</v>
      </c>
      <c r="E239">
        <v>499</v>
      </c>
      <c r="F239">
        <v>1</v>
      </c>
      <c r="G239">
        <v>75479.649376234796</v>
      </c>
      <c r="H239">
        <v>0.42420968799999997</v>
      </c>
      <c r="I239">
        <v>14888</v>
      </c>
      <c r="J239">
        <v>4605</v>
      </c>
      <c r="K239">
        <v>10283</v>
      </c>
      <c r="L239">
        <v>500</v>
      </c>
      <c r="M239">
        <v>499</v>
      </c>
      <c r="N239">
        <v>1</v>
      </c>
      <c r="O239">
        <v>12186.265182315299</v>
      </c>
      <c r="P239" s="3" t="s">
        <v>50</v>
      </c>
      <c r="Q239">
        <v>50</v>
      </c>
      <c r="R239">
        <v>0.999</v>
      </c>
      <c r="S239">
        <v>0</v>
      </c>
    </row>
    <row r="240" spans="1:19" x14ac:dyDescent="0.2">
      <c r="A240" s="3" t="s">
        <v>54</v>
      </c>
      <c r="B240" s="3" t="s">
        <v>55</v>
      </c>
      <c r="C240">
        <v>45</v>
      </c>
      <c r="D240">
        <v>18000</v>
      </c>
      <c r="E240">
        <v>499</v>
      </c>
      <c r="F240">
        <v>1</v>
      </c>
      <c r="G240">
        <v>75479.649376234796</v>
      </c>
      <c r="H240">
        <v>0.423470711</v>
      </c>
      <c r="I240">
        <v>14944</v>
      </c>
      <c r="J240">
        <v>4636</v>
      </c>
      <c r="K240">
        <v>10308</v>
      </c>
      <c r="L240">
        <v>500</v>
      </c>
      <c r="M240">
        <v>499</v>
      </c>
      <c r="N240">
        <v>1</v>
      </c>
      <c r="O240">
        <v>12013.4711588627</v>
      </c>
      <c r="P240" s="3" t="s">
        <v>50</v>
      </c>
      <c r="Q240">
        <v>50</v>
      </c>
      <c r="R240">
        <v>0.999</v>
      </c>
      <c r="S240">
        <v>0</v>
      </c>
    </row>
    <row r="241" spans="1:19" x14ac:dyDescent="0.2">
      <c r="A241" s="3" t="s">
        <v>54</v>
      </c>
      <c r="B241" s="3" t="s">
        <v>55</v>
      </c>
      <c r="C241">
        <v>12</v>
      </c>
      <c r="D241">
        <v>18000</v>
      </c>
      <c r="E241">
        <v>499</v>
      </c>
      <c r="F241">
        <v>1</v>
      </c>
      <c r="G241">
        <v>75479.649376234796</v>
      </c>
      <c r="H241">
        <v>0.42284650800000001</v>
      </c>
      <c r="I241">
        <v>14938</v>
      </c>
      <c r="J241">
        <v>4604</v>
      </c>
      <c r="K241">
        <v>10334</v>
      </c>
      <c r="L241">
        <v>500</v>
      </c>
      <c r="M241">
        <v>499</v>
      </c>
      <c r="N241">
        <v>1</v>
      </c>
      <c r="O241">
        <v>12039.731194588299</v>
      </c>
      <c r="P241" s="3" t="s">
        <v>52</v>
      </c>
      <c r="Q241">
        <v>50</v>
      </c>
      <c r="R241">
        <v>0.999</v>
      </c>
      <c r="S241">
        <v>0</v>
      </c>
    </row>
    <row r="242" spans="1:19" x14ac:dyDescent="0.2">
      <c r="A242" s="3" t="s">
        <v>54</v>
      </c>
      <c r="B242" s="3" t="s">
        <v>55</v>
      </c>
      <c r="C242">
        <v>25</v>
      </c>
      <c r="D242">
        <v>18000</v>
      </c>
      <c r="E242">
        <v>499</v>
      </c>
      <c r="F242">
        <v>1</v>
      </c>
      <c r="G242">
        <v>75479.649376234796</v>
      </c>
      <c r="H242">
        <v>0.42243056400000001</v>
      </c>
      <c r="I242">
        <v>14901</v>
      </c>
      <c r="J242">
        <v>4688</v>
      </c>
      <c r="K242">
        <v>10213</v>
      </c>
      <c r="L242">
        <v>500</v>
      </c>
      <c r="M242">
        <v>499</v>
      </c>
      <c r="N242">
        <v>1</v>
      </c>
      <c r="O242">
        <v>12206.347062946999</v>
      </c>
      <c r="P242" s="3" t="s">
        <v>50</v>
      </c>
      <c r="Q242">
        <v>50</v>
      </c>
      <c r="R242">
        <v>0.999</v>
      </c>
      <c r="S242">
        <v>0</v>
      </c>
    </row>
    <row r="243" spans="1:19" x14ac:dyDescent="0.2">
      <c r="A243" s="3" t="s">
        <v>54</v>
      </c>
      <c r="B243" s="3" t="s">
        <v>55</v>
      </c>
      <c r="C243">
        <v>16</v>
      </c>
      <c r="D243">
        <v>18000</v>
      </c>
      <c r="E243">
        <v>499</v>
      </c>
      <c r="F243">
        <v>1</v>
      </c>
      <c r="G243">
        <v>75479.649376234796</v>
      </c>
      <c r="H243">
        <v>0.42239718599999998</v>
      </c>
      <c r="I243">
        <v>14918</v>
      </c>
      <c r="J243">
        <v>4662</v>
      </c>
      <c r="K243">
        <v>10256</v>
      </c>
      <c r="L243">
        <v>500</v>
      </c>
      <c r="M243">
        <v>499</v>
      </c>
      <c r="N243">
        <v>1</v>
      </c>
      <c r="O243">
        <v>12133.0708400519</v>
      </c>
      <c r="P243" s="3" t="s">
        <v>50</v>
      </c>
      <c r="Q243">
        <v>50</v>
      </c>
      <c r="R243">
        <v>0.999</v>
      </c>
      <c r="S243">
        <v>0</v>
      </c>
    </row>
    <row r="244" spans="1:19" x14ac:dyDescent="0.2">
      <c r="A244" s="3" t="s">
        <v>54</v>
      </c>
      <c r="B244" s="3" t="s">
        <v>55</v>
      </c>
      <c r="C244">
        <v>39</v>
      </c>
      <c r="D244">
        <v>18000</v>
      </c>
      <c r="E244">
        <v>499</v>
      </c>
      <c r="F244">
        <v>1</v>
      </c>
      <c r="G244">
        <v>75479.649376234796</v>
      </c>
      <c r="H244">
        <v>0.42223375400000002</v>
      </c>
      <c r="I244">
        <v>14935</v>
      </c>
      <c r="J244">
        <v>4674</v>
      </c>
      <c r="K244">
        <v>10261</v>
      </c>
      <c r="L244">
        <v>500</v>
      </c>
      <c r="M244">
        <v>499</v>
      </c>
      <c r="N244">
        <v>1</v>
      </c>
      <c r="O244">
        <v>12016.354851030799</v>
      </c>
      <c r="P244" s="3" t="s">
        <v>52</v>
      </c>
      <c r="Q244">
        <v>50</v>
      </c>
      <c r="R244">
        <v>0.999</v>
      </c>
      <c r="S244">
        <v>0</v>
      </c>
    </row>
    <row r="245" spans="1:19" x14ac:dyDescent="0.2">
      <c r="A245" s="3" t="s">
        <v>54</v>
      </c>
      <c r="B245" s="3" t="s">
        <v>55</v>
      </c>
      <c r="C245">
        <v>49</v>
      </c>
      <c r="D245">
        <v>18000</v>
      </c>
      <c r="E245">
        <v>499</v>
      </c>
      <c r="F245">
        <v>1</v>
      </c>
      <c r="G245">
        <v>75479.649376234796</v>
      </c>
      <c r="H245">
        <v>0.421920348</v>
      </c>
      <c r="I245">
        <v>14946</v>
      </c>
      <c r="J245">
        <v>4685</v>
      </c>
      <c r="K245">
        <v>10261</v>
      </c>
      <c r="L245">
        <v>500</v>
      </c>
      <c r="M245">
        <v>499</v>
      </c>
      <c r="N245">
        <v>1</v>
      </c>
      <c r="O245">
        <v>11962.4123432417</v>
      </c>
      <c r="P245" s="3" t="s">
        <v>52</v>
      </c>
      <c r="Q245">
        <v>50</v>
      </c>
      <c r="R245">
        <v>0.999</v>
      </c>
      <c r="S245">
        <v>0</v>
      </c>
    </row>
    <row r="246" spans="1:19" x14ac:dyDescent="0.2">
      <c r="A246" s="3" t="s">
        <v>54</v>
      </c>
      <c r="B246" s="3" t="s">
        <v>55</v>
      </c>
      <c r="C246">
        <v>5</v>
      </c>
      <c r="D246">
        <v>18000</v>
      </c>
      <c r="E246">
        <v>499</v>
      </c>
      <c r="F246">
        <v>1</v>
      </c>
      <c r="G246">
        <v>75479.649376234796</v>
      </c>
      <c r="H246">
        <v>0.42191607599999997</v>
      </c>
      <c r="I246">
        <v>14929</v>
      </c>
      <c r="J246">
        <v>4655</v>
      </c>
      <c r="K246">
        <v>10274</v>
      </c>
      <c r="L246">
        <v>500</v>
      </c>
      <c r="M246">
        <v>499</v>
      </c>
      <c r="N246">
        <v>1</v>
      </c>
      <c r="O246">
        <v>12077.619467475501</v>
      </c>
      <c r="P246" s="3" t="s">
        <v>52</v>
      </c>
      <c r="Q246">
        <v>50</v>
      </c>
      <c r="R246">
        <v>0.999</v>
      </c>
      <c r="S246">
        <v>0</v>
      </c>
    </row>
    <row r="247" spans="1:19" x14ac:dyDescent="0.2">
      <c r="A247" s="3" t="s">
        <v>54</v>
      </c>
      <c r="B247" s="3" t="s">
        <v>55</v>
      </c>
      <c r="C247">
        <v>18</v>
      </c>
      <c r="D247">
        <v>18000</v>
      </c>
      <c r="E247">
        <v>499</v>
      </c>
      <c r="F247">
        <v>1</v>
      </c>
      <c r="G247">
        <v>75479.649376234796</v>
      </c>
      <c r="H247">
        <v>0.42182336500000001</v>
      </c>
      <c r="I247">
        <v>14950</v>
      </c>
      <c r="J247">
        <v>4652</v>
      </c>
      <c r="K247">
        <v>10298</v>
      </c>
      <c r="L247">
        <v>500</v>
      </c>
      <c r="M247">
        <v>499</v>
      </c>
      <c r="N247">
        <v>1</v>
      </c>
      <c r="O247">
        <v>11994.053373893599</v>
      </c>
      <c r="P247" s="3" t="s">
        <v>52</v>
      </c>
      <c r="Q247">
        <v>50</v>
      </c>
      <c r="R247">
        <v>0.999</v>
      </c>
      <c r="S247">
        <v>0</v>
      </c>
    </row>
    <row r="248" spans="1:19" x14ac:dyDescent="0.2">
      <c r="A248" s="3" t="s">
        <v>54</v>
      </c>
      <c r="B248" s="3" t="s">
        <v>55</v>
      </c>
      <c r="C248">
        <v>5</v>
      </c>
      <c r="D248">
        <v>18000</v>
      </c>
      <c r="E248">
        <v>499</v>
      </c>
      <c r="F248">
        <v>1</v>
      </c>
      <c r="G248">
        <v>75479.649376234796</v>
      </c>
      <c r="H248">
        <v>0.42171919499999999</v>
      </c>
      <c r="I248">
        <v>14928</v>
      </c>
      <c r="J248">
        <v>4651</v>
      </c>
      <c r="K248">
        <v>10277</v>
      </c>
      <c r="L248">
        <v>500</v>
      </c>
      <c r="M248">
        <v>499</v>
      </c>
      <c r="N248">
        <v>1</v>
      </c>
      <c r="O248">
        <v>12153.447275631501</v>
      </c>
      <c r="P248" s="3" t="s">
        <v>50</v>
      </c>
      <c r="Q248">
        <v>50</v>
      </c>
      <c r="R248">
        <v>0.999</v>
      </c>
      <c r="S248">
        <v>0</v>
      </c>
    </row>
    <row r="249" spans="1:19" x14ac:dyDescent="0.2">
      <c r="A249" s="3" t="s">
        <v>54</v>
      </c>
      <c r="B249" s="3" t="s">
        <v>55</v>
      </c>
      <c r="C249">
        <v>42</v>
      </c>
      <c r="D249">
        <v>18000</v>
      </c>
      <c r="E249">
        <v>499</v>
      </c>
      <c r="F249">
        <v>1</v>
      </c>
      <c r="G249">
        <v>75479.649376234796</v>
      </c>
      <c r="H249">
        <v>0.421704095</v>
      </c>
      <c r="I249">
        <v>14909</v>
      </c>
      <c r="J249">
        <v>4660</v>
      </c>
      <c r="K249">
        <v>10249</v>
      </c>
      <c r="L249">
        <v>500</v>
      </c>
      <c r="M249">
        <v>499</v>
      </c>
      <c r="N249">
        <v>1</v>
      </c>
      <c r="O249">
        <v>12092.6414196307</v>
      </c>
      <c r="P249" s="3" t="s">
        <v>50</v>
      </c>
      <c r="Q249">
        <v>50</v>
      </c>
      <c r="R249">
        <v>0.999</v>
      </c>
      <c r="S249">
        <v>0</v>
      </c>
    </row>
    <row r="250" spans="1:19" x14ac:dyDescent="0.2">
      <c r="A250" s="3" t="s">
        <v>54</v>
      </c>
      <c r="B250" s="3" t="s">
        <v>55</v>
      </c>
      <c r="C250">
        <v>9</v>
      </c>
      <c r="D250">
        <v>18000</v>
      </c>
      <c r="E250">
        <v>499</v>
      </c>
      <c r="F250">
        <v>1</v>
      </c>
      <c r="G250">
        <v>75479.649376234796</v>
      </c>
      <c r="H250">
        <v>0.42167882600000001</v>
      </c>
      <c r="I250">
        <v>14937</v>
      </c>
      <c r="J250">
        <v>4689</v>
      </c>
      <c r="K250">
        <v>10248</v>
      </c>
      <c r="L250">
        <v>500</v>
      </c>
      <c r="M250">
        <v>499</v>
      </c>
      <c r="N250">
        <v>1</v>
      </c>
      <c r="O250">
        <v>12160.855048773299</v>
      </c>
      <c r="P250" s="3" t="s">
        <v>50</v>
      </c>
      <c r="Q250">
        <v>50</v>
      </c>
      <c r="R250">
        <v>0.999</v>
      </c>
      <c r="S250">
        <v>0</v>
      </c>
    </row>
    <row r="251" spans="1:19" x14ac:dyDescent="0.2">
      <c r="A251" s="3" t="s">
        <v>54</v>
      </c>
      <c r="B251" s="3" t="s">
        <v>55</v>
      </c>
      <c r="C251">
        <v>45</v>
      </c>
      <c r="D251">
        <v>18000</v>
      </c>
      <c r="E251">
        <v>499</v>
      </c>
      <c r="F251">
        <v>1</v>
      </c>
      <c r="G251">
        <v>75479.649376234796</v>
      </c>
      <c r="H251">
        <v>0.42160419199999999</v>
      </c>
      <c r="I251">
        <v>14905</v>
      </c>
      <c r="J251">
        <v>4641</v>
      </c>
      <c r="K251">
        <v>10264</v>
      </c>
      <c r="L251">
        <v>500</v>
      </c>
      <c r="M251">
        <v>499</v>
      </c>
      <c r="N251">
        <v>1</v>
      </c>
      <c r="O251">
        <v>12195.6149956851</v>
      </c>
      <c r="P251" s="3" t="s">
        <v>52</v>
      </c>
      <c r="Q251">
        <v>50</v>
      </c>
      <c r="R251">
        <v>0.999</v>
      </c>
      <c r="S251">
        <v>0</v>
      </c>
    </row>
    <row r="252" spans="1:19" x14ac:dyDescent="0.2">
      <c r="A252" s="3" t="s">
        <v>54</v>
      </c>
      <c r="B252" s="3" t="s">
        <v>55</v>
      </c>
      <c r="C252">
        <v>3</v>
      </c>
      <c r="D252">
        <v>18000</v>
      </c>
      <c r="E252">
        <v>499</v>
      </c>
      <c r="F252">
        <v>1</v>
      </c>
      <c r="G252">
        <v>75479.649376234796</v>
      </c>
      <c r="H252">
        <v>0.42065692999999998</v>
      </c>
      <c r="I252">
        <v>14934</v>
      </c>
      <c r="J252">
        <v>4637</v>
      </c>
      <c r="K252">
        <v>10297</v>
      </c>
      <c r="L252">
        <v>500</v>
      </c>
      <c r="M252">
        <v>499</v>
      </c>
      <c r="N252">
        <v>1</v>
      </c>
      <c r="O252">
        <v>11978.923200228301</v>
      </c>
      <c r="P252" s="3" t="s">
        <v>52</v>
      </c>
      <c r="Q252">
        <v>50</v>
      </c>
      <c r="R252">
        <v>0.999</v>
      </c>
      <c r="S252">
        <v>0</v>
      </c>
    </row>
    <row r="253" spans="1:19" x14ac:dyDescent="0.2">
      <c r="A253" s="3" t="s">
        <v>54</v>
      </c>
      <c r="B253" s="3" t="s">
        <v>55</v>
      </c>
      <c r="C253">
        <v>44</v>
      </c>
      <c r="D253">
        <v>18000</v>
      </c>
      <c r="E253">
        <v>499</v>
      </c>
      <c r="F253">
        <v>1</v>
      </c>
      <c r="G253">
        <v>75479.649376234796</v>
      </c>
      <c r="H253">
        <v>0.420621509</v>
      </c>
      <c r="I253">
        <v>14931</v>
      </c>
      <c r="J253">
        <v>4675</v>
      </c>
      <c r="K253">
        <v>10256</v>
      </c>
      <c r="L253">
        <v>500</v>
      </c>
      <c r="M253">
        <v>499</v>
      </c>
      <c r="N253">
        <v>1</v>
      </c>
      <c r="O253">
        <v>11959.7045983795</v>
      </c>
      <c r="P253" s="3" t="s">
        <v>50</v>
      </c>
      <c r="Q253">
        <v>50</v>
      </c>
      <c r="R253">
        <v>0.999</v>
      </c>
      <c r="S253">
        <v>0</v>
      </c>
    </row>
    <row r="254" spans="1:19" x14ac:dyDescent="0.2">
      <c r="A254" s="3" t="s">
        <v>54</v>
      </c>
      <c r="B254" s="3" t="s">
        <v>55</v>
      </c>
      <c r="C254">
        <v>23</v>
      </c>
      <c r="D254">
        <v>18000</v>
      </c>
      <c r="E254">
        <v>499</v>
      </c>
      <c r="F254">
        <v>1</v>
      </c>
      <c r="G254">
        <v>75479.649376234796</v>
      </c>
      <c r="H254">
        <v>0.420604486</v>
      </c>
      <c r="I254">
        <v>14956</v>
      </c>
      <c r="J254">
        <v>4636</v>
      </c>
      <c r="K254">
        <v>10320</v>
      </c>
      <c r="L254">
        <v>500</v>
      </c>
      <c r="M254">
        <v>499</v>
      </c>
      <c r="N254">
        <v>1</v>
      </c>
      <c r="O254">
        <v>11946.194838953799</v>
      </c>
      <c r="P254" s="3" t="s">
        <v>52</v>
      </c>
      <c r="Q254">
        <v>50</v>
      </c>
      <c r="R254">
        <v>0.999</v>
      </c>
      <c r="S254">
        <v>0</v>
      </c>
    </row>
    <row r="255" spans="1:19" x14ac:dyDescent="0.2">
      <c r="A255" s="3" t="s">
        <v>54</v>
      </c>
      <c r="B255" s="3" t="s">
        <v>55</v>
      </c>
      <c r="C255">
        <v>16</v>
      </c>
      <c r="D255">
        <v>18000</v>
      </c>
      <c r="E255">
        <v>499</v>
      </c>
      <c r="F255">
        <v>1</v>
      </c>
      <c r="G255">
        <v>75479.649376234796</v>
      </c>
      <c r="H255">
        <v>0.42054059500000002</v>
      </c>
      <c r="I255">
        <v>14954</v>
      </c>
      <c r="J255">
        <v>4625</v>
      </c>
      <c r="K255">
        <v>10329</v>
      </c>
      <c r="L255">
        <v>500</v>
      </c>
      <c r="M255">
        <v>499</v>
      </c>
      <c r="N255">
        <v>1</v>
      </c>
      <c r="O255">
        <v>11934.598736211999</v>
      </c>
      <c r="P255" s="3" t="s">
        <v>52</v>
      </c>
      <c r="Q255">
        <v>50</v>
      </c>
      <c r="R255">
        <v>0.999</v>
      </c>
      <c r="S255">
        <v>0</v>
      </c>
    </row>
    <row r="256" spans="1:19" x14ac:dyDescent="0.2">
      <c r="A256" s="3" t="s">
        <v>54</v>
      </c>
      <c r="B256" s="3" t="s">
        <v>55</v>
      </c>
      <c r="C256">
        <v>30</v>
      </c>
      <c r="D256">
        <v>18000</v>
      </c>
      <c r="E256">
        <v>499</v>
      </c>
      <c r="F256">
        <v>1</v>
      </c>
      <c r="G256">
        <v>75479.649376234796</v>
      </c>
      <c r="H256">
        <v>0.42030173300000001</v>
      </c>
      <c r="I256">
        <v>14898</v>
      </c>
      <c r="J256">
        <v>4580</v>
      </c>
      <c r="K256">
        <v>10318</v>
      </c>
      <c r="L256">
        <v>500</v>
      </c>
      <c r="M256">
        <v>499</v>
      </c>
      <c r="N256">
        <v>1</v>
      </c>
      <c r="O256">
        <v>12115.0991090521</v>
      </c>
      <c r="P256" s="3" t="s">
        <v>52</v>
      </c>
      <c r="Q256">
        <v>50</v>
      </c>
      <c r="R256">
        <v>0.999</v>
      </c>
      <c r="S256">
        <v>0</v>
      </c>
    </row>
    <row r="257" spans="1:19" x14ac:dyDescent="0.2">
      <c r="A257" s="3" t="s">
        <v>54</v>
      </c>
      <c r="B257" s="3" t="s">
        <v>55</v>
      </c>
      <c r="C257">
        <v>22</v>
      </c>
      <c r="D257">
        <v>18000</v>
      </c>
      <c r="E257">
        <v>499</v>
      </c>
      <c r="F257">
        <v>1</v>
      </c>
      <c r="G257">
        <v>75479.649376234796</v>
      </c>
      <c r="H257">
        <v>0.42011962000000003</v>
      </c>
      <c r="I257">
        <v>14936</v>
      </c>
      <c r="J257">
        <v>4625</v>
      </c>
      <c r="K257">
        <v>10311</v>
      </c>
      <c r="L257">
        <v>500</v>
      </c>
      <c r="M257">
        <v>499</v>
      </c>
      <c r="N257">
        <v>1</v>
      </c>
      <c r="O257">
        <v>12093.3516080234</v>
      </c>
      <c r="P257" s="3" t="s">
        <v>50</v>
      </c>
      <c r="Q257">
        <v>50</v>
      </c>
      <c r="R257">
        <v>0.999</v>
      </c>
      <c r="S257">
        <v>0</v>
      </c>
    </row>
    <row r="258" spans="1:19" x14ac:dyDescent="0.2">
      <c r="A258" s="3" t="s">
        <v>54</v>
      </c>
      <c r="B258" s="3" t="s">
        <v>55</v>
      </c>
      <c r="C258">
        <v>21</v>
      </c>
      <c r="D258">
        <v>18000</v>
      </c>
      <c r="E258">
        <v>499</v>
      </c>
      <c r="F258">
        <v>1</v>
      </c>
      <c r="G258">
        <v>75479.649376234796</v>
      </c>
      <c r="H258">
        <v>0.41984904499999998</v>
      </c>
      <c r="I258">
        <v>14923</v>
      </c>
      <c r="J258">
        <v>4601</v>
      </c>
      <c r="K258">
        <v>10322</v>
      </c>
      <c r="L258">
        <v>500</v>
      </c>
      <c r="M258">
        <v>499</v>
      </c>
      <c r="N258">
        <v>1</v>
      </c>
      <c r="O258">
        <v>12070.641915750701</v>
      </c>
      <c r="P258" s="3" t="s">
        <v>50</v>
      </c>
      <c r="Q258">
        <v>50</v>
      </c>
      <c r="R258">
        <v>0.999</v>
      </c>
      <c r="S258">
        <v>0</v>
      </c>
    </row>
    <row r="259" spans="1:19" x14ac:dyDescent="0.2">
      <c r="A259" s="3" t="s">
        <v>54</v>
      </c>
      <c r="B259" s="3" t="s">
        <v>55</v>
      </c>
      <c r="C259">
        <v>32</v>
      </c>
      <c r="D259">
        <v>18000</v>
      </c>
      <c r="E259">
        <v>499</v>
      </c>
      <c r="F259">
        <v>1</v>
      </c>
      <c r="G259">
        <v>75479.649376234796</v>
      </c>
      <c r="H259">
        <v>0.41973394000000003</v>
      </c>
      <c r="I259">
        <v>14917</v>
      </c>
      <c r="J259">
        <v>4624</v>
      </c>
      <c r="K259">
        <v>10293</v>
      </c>
      <c r="L259">
        <v>500</v>
      </c>
      <c r="M259">
        <v>499</v>
      </c>
      <c r="N259">
        <v>1</v>
      </c>
      <c r="O259">
        <v>12192.105001895099</v>
      </c>
      <c r="P259" s="3" t="s">
        <v>50</v>
      </c>
      <c r="Q259">
        <v>50</v>
      </c>
      <c r="R259">
        <v>0.999</v>
      </c>
      <c r="S259">
        <v>0</v>
      </c>
    </row>
    <row r="260" spans="1:19" x14ac:dyDescent="0.2">
      <c r="A260" s="3" t="s">
        <v>54</v>
      </c>
      <c r="B260" s="3" t="s">
        <v>55</v>
      </c>
      <c r="C260">
        <v>28</v>
      </c>
      <c r="D260">
        <v>18000</v>
      </c>
      <c r="E260">
        <v>499</v>
      </c>
      <c r="F260">
        <v>1</v>
      </c>
      <c r="G260">
        <v>75479.649376234796</v>
      </c>
      <c r="H260">
        <v>0.419621511</v>
      </c>
      <c r="I260">
        <v>14941</v>
      </c>
      <c r="J260">
        <v>4721</v>
      </c>
      <c r="K260">
        <v>10220</v>
      </c>
      <c r="L260">
        <v>500</v>
      </c>
      <c r="M260">
        <v>499</v>
      </c>
      <c r="N260">
        <v>1</v>
      </c>
      <c r="O260">
        <v>11925.856027108501</v>
      </c>
      <c r="P260" s="3" t="s">
        <v>52</v>
      </c>
      <c r="Q260">
        <v>50</v>
      </c>
      <c r="R260">
        <v>0.999</v>
      </c>
      <c r="S260">
        <v>0</v>
      </c>
    </row>
    <row r="261" spans="1:19" x14ac:dyDescent="0.2">
      <c r="A261" s="3" t="s">
        <v>54</v>
      </c>
      <c r="B261" s="3" t="s">
        <v>55</v>
      </c>
      <c r="C261">
        <v>2</v>
      </c>
      <c r="D261">
        <v>18000</v>
      </c>
      <c r="E261">
        <v>499</v>
      </c>
      <c r="F261">
        <v>1</v>
      </c>
      <c r="G261">
        <v>75479.649376234796</v>
      </c>
      <c r="H261">
        <v>0.41872754400000001</v>
      </c>
      <c r="I261">
        <v>14917</v>
      </c>
      <c r="J261">
        <v>4606</v>
      </c>
      <c r="K261">
        <v>10311</v>
      </c>
      <c r="L261">
        <v>500</v>
      </c>
      <c r="M261">
        <v>499</v>
      </c>
      <c r="N261">
        <v>1</v>
      </c>
      <c r="O261">
        <v>12066.886541199099</v>
      </c>
      <c r="P261" s="3" t="s">
        <v>52</v>
      </c>
      <c r="Q261">
        <v>50</v>
      </c>
      <c r="R261">
        <v>0.999</v>
      </c>
      <c r="S261">
        <v>0</v>
      </c>
    </row>
    <row r="262" spans="1:19" x14ac:dyDescent="0.2">
      <c r="A262" s="3" t="s">
        <v>54</v>
      </c>
      <c r="B262" s="3" t="s">
        <v>55</v>
      </c>
      <c r="C262">
        <v>48</v>
      </c>
      <c r="D262">
        <v>18000</v>
      </c>
      <c r="E262">
        <v>499</v>
      </c>
      <c r="F262">
        <v>1</v>
      </c>
      <c r="G262">
        <v>75479.649376234796</v>
      </c>
      <c r="H262">
        <v>0.41852489900000001</v>
      </c>
      <c r="I262">
        <v>14884</v>
      </c>
      <c r="J262">
        <v>4613</v>
      </c>
      <c r="K262">
        <v>10271</v>
      </c>
      <c r="L262">
        <v>500</v>
      </c>
      <c r="M262">
        <v>499</v>
      </c>
      <c r="N262">
        <v>1</v>
      </c>
      <c r="O262">
        <v>12136.161576492001</v>
      </c>
      <c r="P262" s="3" t="s">
        <v>52</v>
      </c>
      <c r="Q262">
        <v>50</v>
      </c>
      <c r="R262">
        <v>0.999</v>
      </c>
      <c r="S262">
        <v>0</v>
      </c>
    </row>
    <row r="263" spans="1:19" x14ac:dyDescent="0.2">
      <c r="A263" s="3" t="s">
        <v>54</v>
      </c>
      <c r="B263" s="3" t="s">
        <v>55</v>
      </c>
      <c r="C263">
        <v>8</v>
      </c>
      <c r="D263">
        <v>18000</v>
      </c>
      <c r="E263">
        <v>499</v>
      </c>
      <c r="F263">
        <v>1</v>
      </c>
      <c r="G263">
        <v>75479.649376234796</v>
      </c>
      <c r="H263">
        <v>0.418042201</v>
      </c>
      <c r="I263">
        <v>14921</v>
      </c>
      <c r="J263">
        <v>4636</v>
      </c>
      <c r="K263">
        <v>10285</v>
      </c>
      <c r="L263">
        <v>500</v>
      </c>
      <c r="M263">
        <v>499</v>
      </c>
      <c r="N263">
        <v>1</v>
      </c>
      <c r="O263">
        <v>12101.768413264301</v>
      </c>
      <c r="P263" s="3" t="s">
        <v>50</v>
      </c>
      <c r="Q263">
        <v>50</v>
      </c>
      <c r="R263">
        <v>0.999</v>
      </c>
      <c r="S263">
        <v>0</v>
      </c>
    </row>
    <row r="264" spans="1:19" x14ac:dyDescent="0.2">
      <c r="A264" s="3" t="s">
        <v>54</v>
      </c>
      <c r="B264" s="3" t="s">
        <v>55</v>
      </c>
      <c r="C264">
        <v>47</v>
      </c>
      <c r="D264">
        <v>18000</v>
      </c>
      <c r="E264">
        <v>499</v>
      </c>
      <c r="F264">
        <v>1</v>
      </c>
      <c r="G264">
        <v>75479.649376234796</v>
      </c>
      <c r="H264">
        <v>0.41792362199999999</v>
      </c>
      <c r="I264">
        <v>14945</v>
      </c>
      <c r="J264">
        <v>4707</v>
      </c>
      <c r="K264">
        <v>10238</v>
      </c>
      <c r="L264">
        <v>500</v>
      </c>
      <c r="M264">
        <v>499</v>
      </c>
      <c r="N264">
        <v>1</v>
      </c>
      <c r="O264">
        <v>11993.950904252</v>
      </c>
      <c r="P264" s="3" t="s">
        <v>52</v>
      </c>
      <c r="Q264">
        <v>50</v>
      </c>
      <c r="R264">
        <v>0.999</v>
      </c>
      <c r="S264">
        <v>0</v>
      </c>
    </row>
    <row r="265" spans="1:19" x14ac:dyDescent="0.2">
      <c r="A265" s="3" t="s">
        <v>54</v>
      </c>
      <c r="B265" s="3" t="s">
        <v>55</v>
      </c>
      <c r="C265">
        <v>20</v>
      </c>
      <c r="D265">
        <v>18000</v>
      </c>
      <c r="E265">
        <v>499</v>
      </c>
      <c r="F265">
        <v>1</v>
      </c>
      <c r="G265">
        <v>75479.649376234796</v>
      </c>
      <c r="H265">
        <v>0.41762856599999998</v>
      </c>
      <c r="I265">
        <v>14911</v>
      </c>
      <c r="J265">
        <v>4634</v>
      </c>
      <c r="K265">
        <v>10277</v>
      </c>
      <c r="L265">
        <v>500</v>
      </c>
      <c r="M265">
        <v>499</v>
      </c>
      <c r="N265">
        <v>1</v>
      </c>
      <c r="O265">
        <v>12098.4833837026</v>
      </c>
      <c r="P265" s="3" t="s">
        <v>52</v>
      </c>
      <c r="Q265">
        <v>50</v>
      </c>
      <c r="R265">
        <v>0.999</v>
      </c>
      <c r="S265">
        <v>0</v>
      </c>
    </row>
    <row r="266" spans="1:19" x14ac:dyDescent="0.2">
      <c r="A266" s="3" t="s">
        <v>54</v>
      </c>
      <c r="B266" s="3" t="s">
        <v>55</v>
      </c>
      <c r="C266">
        <v>23</v>
      </c>
      <c r="D266">
        <v>18000</v>
      </c>
      <c r="E266">
        <v>499</v>
      </c>
      <c r="F266">
        <v>1</v>
      </c>
      <c r="G266">
        <v>75479.649376234796</v>
      </c>
      <c r="H266">
        <v>0.41746789299999998</v>
      </c>
      <c r="I266">
        <v>14916</v>
      </c>
      <c r="J266">
        <v>4646</v>
      </c>
      <c r="K266">
        <v>10270</v>
      </c>
      <c r="L266">
        <v>500</v>
      </c>
      <c r="M266">
        <v>499</v>
      </c>
      <c r="N266">
        <v>1</v>
      </c>
      <c r="O266">
        <v>12164.411891371899</v>
      </c>
      <c r="P266" s="3" t="s">
        <v>50</v>
      </c>
      <c r="Q266">
        <v>50</v>
      </c>
      <c r="R266">
        <v>0.999</v>
      </c>
      <c r="S266">
        <v>0</v>
      </c>
    </row>
    <row r="267" spans="1:19" x14ac:dyDescent="0.2">
      <c r="A267" s="3" t="s">
        <v>54</v>
      </c>
      <c r="B267" s="3" t="s">
        <v>55</v>
      </c>
      <c r="C267">
        <v>14</v>
      </c>
      <c r="D267">
        <v>18000</v>
      </c>
      <c r="E267">
        <v>499</v>
      </c>
      <c r="F267">
        <v>1</v>
      </c>
      <c r="G267">
        <v>75479.649376234796</v>
      </c>
      <c r="H267">
        <v>0.417240891</v>
      </c>
      <c r="I267">
        <v>14922</v>
      </c>
      <c r="J267">
        <v>4677</v>
      </c>
      <c r="K267">
        <v>10245</v>
      </c>
      <c r="L267">
        <v>500</v>
      </c>
      <c r="M267">
        <v>499</v>
      </c>
      <c r="N267">
        <v>1</v>
      </c>
      <c r="O267">
        <v>12092.156325117399</v>
      </c>
      <c r="P267" s="3" t="s">
        <v>52</v>
      </c>
      <c r="Q267">
        <v>50</v>
      </c>
      <c r="R267">
        <v>0.999</v>
      </c>
      <c r="S267">
        <v>0</v>
      </c>
    </row>
    <row r="268" spans="1:19" x14ac:dyDescent="0.2">
      <c r="A268" s="3" t="s">
        <v>54</v>
      </c>
      <c r="B268" s="3" t="s">
        <v>55</v>
      </c>
      <c r="C268">
        <v>10</v>
      </c>
      <c r="D268">
        <v>18000</v>
      </c>
      <c r="E268">
        <v>499</v>
      </c>
      <c r="F268">
        <v>1</v>
      </c>
      <c r="G268">
        <v>75479.649376234796</v>
      </c>
      <c r="H268">
        <v>0.41710947799999998</v>
      </c>
      <c r="I268">
        <v>14906</v>
      </c>
      <c r="J268">
        <v>4662</v>
      </c>
      <c r="K268">
        <v>10244</v>
      </c>
      <c r="L268">
        <v>500</v>
      </c>
      <c r="M268">
        <v>499</v>
      </c>
      <c r="N268">
        <v>1</v>
      </c>
      <c r="O268">
        <v>12104.4396703685</v>
      </c>
      <c r="P268" s="3" t="s">
        <v>50</v>
      </c>
      <c r="Q268">
        <v>50</v>
      </c>
      <c r="R268">
        <v>0.999</v>
      </c>
      <c r="S268">
        <v>0</v>
      </c>
    </row>
    <row r="269" spans="1:19" x14ac:dyDescent="0.2">
      <c r="A269" s="3" t="s">
        <v>54</v>
      </c>
      <c r="B269" s="3" t="s">
        <v>55</v>
      </c>
      <c r="C269">
        <v>19</v>
      </c>
      <c r="D269">
        <v>18000</v>
      </c>
      <c r="E269">
        <v>499</v>
      </c>
      <c r="F269">
        <v>1</v>
      </c>
      <c r="G269">
        <v>75479.649376234796</v>
      </c>
      <c r="H269">
        <v>0.41670323999999997</v>
      </c>
      <c r="I269">
        <v>14910</v>
      </c>
      <c r="J269">
        <v>4595</v>
      </c>
      <c r="K269">
        <v>10315</v>
      </c>
      <c r="L269">
        <v>500</v>
      </c>
      <c r="M269">
        <v>499</v>
      </c>
      <c r="N269">
        <v>1</v>
      </c>
      <c r="O269">
        <v>12085.0168760462</v>
      </c>
      <c r="P269" s="3" t="s">
        <v>52</v>
      </c>
      <c r="Q269">
        <v>50</v>
      </c>
      <c r="R269">
        <v>0.999</v>
      </c>
      <c r="S269">
        <v>0</v>
      </c>
    </row>
    <row r="270" spans="1:19" x14ac:dyDescent="0.2">
      <c r="A270" s="3" t="s">
        <v>54</v>
      </c>
      <c r="B270" s="3" t="s">
        <v>55</v>
      </c>
      <c r="C270">
        <v>43</v>
      </c>
      <c r="D270">
        <v>18000</v>
      </c>
      <c r="E270">
        <v>499</v>
      </c>
      <c r="F270">
        <v>1</v>
      </c>
      <c r="G270">
        <v>75479.649376234796</v>
      </c>
      <c r="H270">
        <v>0.41662200500000002</v>
      </c>
      <c r="I270">
        <v>14957</v>
      </c>
      <c r="J270">
        <v>4685</v>
      </c>
      <c r="K270">
        <v>10272</v>
      </c>
      <c r="L270">
        <v>500</v>
      </c>
      <c r="M270">
        <v>499</v>
      </c>
      <c r="N270">
        <v>1</v>
      </c>
      <c r="O270">
        <v>12040.1325328188</v>
      </c>
      <c r="P270" s="3" t="s">
        <v>50</v>
      </c>
      <c r="Q270">
        <v>50</v>
      </c>
      <c r="R270">
        <v>0.999</v>
      </c>
      <c r="S270">
        <v>0</v>
      </c>
    </row>
    <row r="271" spans="1:19" x14ac:dyDescent="0.2">
      <c r="A271" s="3" t="s">
        <v>54</v>
      </c>
      <c r="B271" s="3" t="s">
        <v>55</v>
      </c>
      <c r="C271">
        <v>6</v>
      </c>
      <c r="D271">
        <v>18000</v>
      </c>
      <c r="E271">
        <v>499</v>
      </c>
      <c r="F271">
        <v>1</v>
      </c>
      <c r="G271">
        <v>75479.649376234796</v>
      </c>
      <c r="H271">
        <v>0.41640504099999998</v>
      </c>
      <c r="I271">
        <v>14905</v>
      </c>
      <c r="J271">
        <v>4668</v>
      </c>
      <c r="K271">
        <v>10237</v>
      </c>
      <c r="L271">
        <v>500</v>
      </c>
      <c r="M271">
        <v>499</v>
      </c>
      <c r="N271">
        <v>1</v>
      </c>
      <c r="O271">
        <v>12029.900734159</v>
      </c>
      <c r="P271" s="3" t="s">
        <v>50</v>
      </c>
      <c r="Q271">
        <v>50</v>
      </c>
      <c r="R271">
        <v>0.999</v>
      </c>
      <c r="S271">
        <v>0</v>
      </c>
    </row>
    <row r="272" spans="1:19" x14ac:dyDescent="0.2">
      <c r="A272" s="3" t="s">
        <v>54</v>
      </c>
      <c r="B272" s="3" t="s">
        <v>55</v>
      </c>
      <c r="C272">
        <v>26</v>
      </c>
      <c r="D272">
        <v>18000</v>
      </c>
      <c r="E272">
        <v>499</v>
      </c>
      <c r="F272">
        <v>1</v>
      </c>
      <c r="G272">
        <v>75479.649376234796</v>
      </c>
      <c r="H272">
        <v>0.41616746900000001</v>
      </c>
      <c r="I272">
        <v>14920</v>
      </c>
      <c r="J272">
        <v>4622</v>
      </c>
      <c r="K272">
        <v>10298</v>
      </c>
      <c r="L272">
        <v>500</v>
      </c>
      <c r="M272">
        <v>499</v>
      </c>
      <c r="N272">
        <v>1</v>
      </c>
      <c r="O272">
        <v>12186.071642532101</v>
      </c>
      <c r="P272" s="3" t="s">
        <v>52</v>
      </c>
      <c r="Q272">
        <v>50</v>
      </c>
      <c r="R272">
        <v>0.999</v>
      </c>
      <c r="S272">
        <v>0</v>
      </c>
    </row>
    <row r="273" spans="1:19" x14ac:dyDescent="0.2">
      <c r="A273" s="3" t="s">
        <v>54</v>
      </c>
      <c r="B273" s="3" t="s">
        <v>55</v>
      </c>
      <c r="C273">
        <v>49</v>
      </c>
      <c r="D273">
        <v>18000</v>
      </c>
      <c r="E273">
        <v>499</v>
      </c>
      <c r="F273">
        <v>1</v>
      </c>
      <c r="G273">
        <v>75479.649376234796</v>
      </c>
      <c r="H273">
        <v>0.41572714999999999</v>
      </c>
      <c r="I273">
        <v>14940</v>
      </c>
      <c r="J273">
        <v>4691</v>
      </c>
      <c r="K273">
        <v>10249</v>
      </c>
      <c r="L273">
        <v>500</v>
      </c>
      <c r="M273">
        <v>499</v>
      </c>
      <c r="N273">
        <v>1</v>
      </c>
      <c r="O273">
        <v>12054.552914083601</v>
      </c>
      <c r="P273" s="3" t="s">
        <v>50</v>
      </c>
      <c r="Q273">
        <v>50</v>
      </c>
      <c r="R273">
        <v>0.999</v>
      </c>
      <c r="S273">
        <v>0</v>
      </c>
    </row>
    <row r="274" spans="1:19" x14ac:dyDescent="0.2">
      <c r="A274" s="3" t="s">
        <v>54</v>
      </c>
      <c r="B274" s="3" t="s">
        <v>55</v>
      </c>
      <c r="C274">
        <v>37</v>
      </c>
      <c r="D274">
        <v>18000</v>
      </c>
      <c r="E274">
        <v>499</v>
      </c>
      <c r="F274">
        <v>1</v>
      </c>
      <c r="G274">
        <v>75479.649376234796</v>
      </c>
      <c r="H274">
        <v>0.415642715</v>
      </c>
      <c r="I274">
        <v>14938</v>
      </c>
      <c r="J274">
        <v>4697</v>
      </c>
      <c r="K274">
        <v>10241</v>
      </c>
      <c r="L274">
        <v>500</v>
      </c>
      <c r="M274">
        <v>499</v>
      </c>
      <c r="N274">
        <v>1</v>
      </c>
      <c r="O274">
        <v>12053.767728385399</v>
      </c>
      <c r="P274" s="3" t="s">
        <v>52</v>
      </c>
      <c r="Q274">
        <v>50</v>
      </c>
      <c r="R274">
        <v>0.999</v>
      </c>
      <c r="S274">
        <v>0</v>
      </c>
    </row>
    <row r="275" spans="1:19" x14ac:dyDescent="0.2">
      <c r="A275" s="3" t="s">
        <v>54</v>
      </c>
      <c r="B275" s="3" t="s">
        <v>55</v>
      </c>
      <c r="C275">
        <v>36</v>
      </c>
      <c r="D275">
        <v>18000</v>
      </c>
      <c r="E275">
        <v>499</v>
      </c>
      <c r="F275">
        <v>1</v>
      </c>
      <c r="G275">
        <v>75479.649376234796</v>
      </c>
      <c r="H275">
        <v>0.41530689399999998</v>
      </c>
      <c r="I275">
        <v>14910</v>
      </c>
      <c r="J275">
        <v>4612</v>
      </c>
      <c r="K275">
        <v>10298</v>
      </c>
      <c r="L275">
        <v>500</v>
      </c>
      <c r="M275">
        <v>499</v>
      </c>
      <c r="N275">
        <v>1</v>
      </c>
      <c r="O275">
        <v>12129.5364376286</v>
      </c>
      <c r="P275" s="3" t="s">
        <v>52</v>
      </c>
      <c r="Q275">
        <v>50</v>
      </c>
      <c r="R275">
        <v>0.999</v>
      </c>
      <c r="S275">
        <v>0</v>
      </c>
    </row>
    <row r="276" spans="1:19" x14ac:dyDescent="0.2">
      <c r="A276" s="3" t="s">
        <v>54</v>
      </c>
      <c r="B276" s="3" t="s">
        <v>55</v>
      </c>
      <c r="C276">
        <v>4</v>
      </c>
      <c r="D276">
        <v>18000</v>
      </c>
      <c r="E276">
        <v>499</v>
      </c>
      <c r="F276">
        <v>1</v>
      </c>
      <c r="G276">
        <v>75479.649376234796</v>
      </c>
      <c r="H276">
        <v>0.415270788</v>
      </c>
      <c r="I276">
        <v>14937</v>
      </c>
      <c r="J276">
        <v>4627</v>
      </c>
      <c r="K276">
        <v>10310</v>
      </c>
      <c r="L276">
        <v>500</v>
      </c>
      <c r="M276">
        <v>499</v>
      </c>
      <c r="N276">
        <v>1</v>
      </c>
      <c r="O276">
        <v>12006.254720511401</v>
      </c>
      <c r="P276" s="3" t="s">
        <v>52</v>
      </c>
      <c r="Q276">
        <v>50</v>
      </c>
      <c r="R276">
        <v>0.999</v>
      </c>
      <c r="S276">
        <v>0</v>
      </c>
    </row>
    <row r="277" spans="1:19" x14ac:dyDescent="0.2">
      <c r="A277" s="3" t="s">
        <v>54</v>
      </c>
      <c r="B277" s="3" t="s">
        <v>55</v>
      </c>
      <c r="C277">
        <v>38</v>
      </c>
      <c r="D277">
        <v>18000</v>
      </c>
      <c r="E277">
        <v>499</v>
      </c>
      <c r="F277">
        <v>1</v>
      </c>
      <c r="G277">
        <v>75479.649376234796</v>
      </c>
      <c r="H277">
        <v>0.41517753499999999</v>
      </c>
      <c r="I277">
        <v>14902</v>
      </c>
      <c r="J277">
        <v>4624</v>
      </c>
      <c r="K277">
        <v>10278</v>
      </c>
      <c r="L277">
        <v>500</v>
      </c>
      <c r="M277">
        <v>499</v>
      </c>
      <c r="N277">
        <v>1</v>
      </c>
      <c r="O277">
        <v>12090.1935784776</v>
      </c>
      <c r="P277" s="3" t="s">
        <v>52</v>
      </c>
      <c r="Q277">
        <v>50</v>
      </c>
      <c r="R277">
        <v>0.999</v>
      </c>
      <c r="S277">
        <v>0</v>
      </c>
    </row>
    <row r="278" spans="1:19" x14ac:dyDescent="0.2">
      <c r="A278" s="3" t="s">
        <v>54</v>
      </c>
      <c r="B278" s="3" t="s">
        <v>55</v>
      </c>
      <c r="C278">
        <v>41</v>
      </c>
      <c r="D278">
        <v>18000</v>
      </c>
      <c r="E278">
        <v>499</v>
      </c>
      <c r="F278">
        <v>1</v>
      </c>
      <c r="G278">
        <v>75479.649376234796</v>
      </c>
      <c r="H278">
        <v>0.41514223300000003</v>
      </c>
      <c r="I278">
        <v>14913</v>
      </c>
      <c r="J278">
        <v>4617</v>
      </c>
      <c r="K278">
        <v>10296</v>
      </c>
      <c r="L278">
        <v>500</v>
      </c>
      <c r="M278">
        <v>499</v>
      </c>
      <c r="N278">
        <v>1</v>
      </c>
      <c r="O278">
        <v>12083.7755709632</v>
      </c>
      <c r="P278" s="3" t="s">
        <v>50</v>
      </c>
      <c r="Q278">
        <v>50</v>
      </c>
      <c r="R278">
        <v>0.999</v>
      </c>
      <c r="S278">
        <v>0</v>
      </c>
    </row>
    <row r="279" spans="1:19" x14ac:dyDescent="0.2">
      <c r="A279" s="3" t="s">
        <v>54</v>
      </c>
      <c r="B279" s="3" t="s">
        <v>55</v>
      </c>
      <c r="C279">
        <v>27</v>
      </c>
      <c r="D279">
        <v>18000</v>
      </c>
      <c r="E279">
        <v>499</v>
      </c>
      <c r="F279">
        <v>1</v>
      </c>
      <c r="G279">
        <v>75479.649376234796</v>
      </c>
      <c r="H279">
        <v>0.41485796800000002</v>
      </c>
      <c r="I279">
        <v>14886</v>
      </c>
      <c r="J279">
        <v>4650</v>
      </c>
      <c r="K279">
        <v>10236</v>
      </c>
      <c r="L279">
        <v>500</v>
      </c>
      <c r="M279">
        <v>499</v>
      </c>
      <c r="N279">
        <v>1</v>
      </c>
      <c r="O279">
        <v>12222.861949885901</v>
      </c>
      <c r="P279" s="3" t="s">
        <v>52</v>
      </c>
      <c r="Q279">
        <v>50</v>
      </c>
      <c r="R279">
        <v>0.999</v>
      </c>
      <c r="S279">
        <v>0</v>
      </c>
    </row>
    <row r="280" spans="1:19" x14ac:dyDescent="0.2">
      <c r="A280" s="3" t="s">
        <v>54</v>
      </c>
      <c r="B280" s="3" t="s">
        <v>55</v>
      </c>
      <c r="C280">
        <v>15</v>
      </c>
      <c r="D280">
        <v>18000</v>
      </c>
      <c r="E280">
        <v>499</v>
      </c>
      <c r="F280">
        <v>1</v>
      </c>
      <c r="G280">
        <v>75479.649376234796</v>
      </c>
      <c r="H280">
        <v>0.414517464</v>
      </c>
      <c r="I280">
        <v>14907</v>
      </c>
      <c r="J280">
        <v>4681</v>
      </c>
      <c r="K280">
        <v>10226</v>
      </c>
      <c r="L280">
        <v>500</v>
      </c>
      <c r="M280">
        <v>499</v>
      </c>
      <c r="N280">
        <v>1</v>
      </c>
      <c r="O280">
        <v>12067.6109062061</v>
      </c>
      <c r="P280" s="3" t="s">
        <v>50</v>
      </c>
      <c r="Q280">
        <v>50</v>
      </c>
      <c r="R280">
        <v>0.999</v>
      </c>
      <c r="S280">
        <v>0</v>
      </c>
    </row>
    <row r="281" spans="1:19" x14ac:dyDescent="0.2">
      <c r="A281" s="3" t="s">
        <v>54</v>
      </c>
      <c r="B281" s="3" t="s">
        <v>55</v>
      </c>
      <c r="C281">
        <v>29</v>
      </c>
      <c r="D281">
        <v>18000</v>
      </c>
      <c r="E281">
        <v>499</v>
      </c>
      <c r="F281">
        <v>1</v>
      </c>
      <c r="G281">
        <v>75479.649376234796</v>
      </c>
      <c r="H281">
        <v>0.414320454</v>
      </c>
      <c r="I281">
        <v>14951</v>
      </c>
      <c r="J281">
        <v>4690</v>
      </c>
      <c r="K281">
        <v>10261</v>
      </c>
      <c r="L281">
        <v>500</v>
      </c>
      <c r="M281">
        <v>499</v>
      </c>
      <c r="N281">
        <v>1</v>
      </c>
      <c r="O281">
        <v>11934.735665099301</v>
      </c>
      <c r="P281" s="3" t="s">
        <v>52</v>
      </c>
      <c r="Q281">
        <v>50</v>
      </c>
      <c r="R281">
        <v>0.999</v>
      </c>
      <c r="S281">
        <v>0</v>
      </c>
    </row>
    <row r="282" spans="1:19" x14ac:dyDescent="0.2">
      <c r="A282" s="3" t="s">
        <v>54</v>
      </c>
      <c r="B282" s="3" t="s">
        <v>55</v>
      </c>
      <c r="C282">
        <v>1</v>
      </c>
      <c r="D282">
        <v>18000</v>
      </c>
      <c r="E282">
        <v>499</v>
      </c>
      <c r="F282">
        <v>1</v>
      </c>
      <c r="G282">
        <v>75479.649376234796</v>
      </c>
      <c r="H282">
        <v>0.41389046600000001</v>
      </c>
      <c r="I282">
        <v>14981</v>
      </c>
      <c r="J282">
        <v>4651</v>
      </c>
      <c r="K282">
        <v>10330</v>
      </c>
      <c r="L282">
        <v>500</v>
      </c>
      <c r="M282">
        <v>499</v>
      </c>
      <c r="N282">
        <v>1</v>
      </c>
      <c r="O282">
        <v>11888.736808502001</v>
      </c>
      <c r="P282" s="3" t="s">
        <v>52</v>
      </c>
      <c r="Q282">
        <v>50</v>
      </c>
      <c r="R282">
        <v>0.999</v>
      </c>
      <c r="S282">
        <v>0</v>
      </c>
    </row>
    <row r="283" spans="1:19" x14ac:dyDescent="0.2">
      <c r="A283" s="3" t="s">
        <v>54</v>
      </c>
      <c r="B283" s="3" t="s">
        <v>55</v>
      </c>
      <c r="C283">
        <v>2</v>
      </c>
      <c r="D283">
        <v>18000</v>
      </c>
      <c r="E283">
        <v>499</v>
      </c>
      <c r="F283">
        <v>1</v>
      </c>
      <c r="G283">
        <v>75479.649376234796</v>
      </c>
      <c r="H283">
        <v>0.41376891700000001</v>
      </c>
      <c r="I283">
        <v>14902</v>
      </c>
      <c r="J283">
        <v>4642</v>
      </c>
      <c r="K283">
        <v>10260</v>
      </c>
      <c r="L283">
        <v>500</v>
      </c>
      <c r="M283">
        <v>499</v>
      </c>
      <c r="N283">
        <v>1</v>
      </c>
      <c r="O283">
        <v>12096.087915673999</v>
      </c>
      <c r="P283" s="3" t="s">
        <v>50</v>
      </c>
      <c r="Q283">
        <v>50</v>
      </c>
      <c r="R283">
        <v>0.999</v>
      </c>
      <c r="S283">
        <v>0</v>
      </c>
    </row>
    <row r="284" spans="1:19" x14ac:dyDescent="0.2">
      <c r="A284" s="3" t="s">
        <v>54</v>
      </c>
      <c r="B284" s="3" t="s">
        <v>55</v>
      </c>
      <c r="C284">
        <v>7</v>
      </c>
      <c r="D284">
        <v>18000</v>
      </c>
      <c r="E284">
        <v>499</v>
      </c>
      <c r="F284">
        <v>1</v>
      </c>
      <c r="G284">
        <v>75479.649376234796</v>
      </c>
      <c r="H284">
        <v>0.413571193</v>
      </c>
      <c r="I284">
        <v>14932</v>
      </c>
      <c r="J284">
        <v>4691</v>
      </c>
      <c r="K284">
        <v>10241</v>
      </c>
      <c r="L284">
        <v>500</v>
      </c>
      <c r="M284">
        <v>499</v>
      </c>
      <c r="N284">
        <v>1</v>
      </c>
      <c r="O284">
        <v>11974.697764201301</v>
      </c>
      <c r="P284" s="3" t="s">
        <v>52</v>
      </c>
      <c r="Q284">
        <v>50</v>
      </c>
      <c r="R284">
        <v>0.999</v>
      </c>
      <c r="S284">
        <v>0</v>
      </c>
    </row>
    <row r="285" spans="1:19" x14ac:dyDescent="0.2">
      <c r="A285" s="3" t="s">
        <v>54</v>
      </c>
      <c r="B285" s="3" t="s">
        <v>55</v>
      </c>
      <c r="C285">
        <v>15</v>
      </c>
      <c r="D285">
        <v>18000</v>
      </c>
      <c r="E285">
        <v>499</v>
      </c>
      <c r="F285">
        <v>1</v>
      </c>
      <c r="G285">
        <v>75479.649376234796</v>
      </c>
      <c r="H285">
        <v>0.413543728</v>
      </c>
      <c r="I285">
        <v>14930</v>
      </c>
      <c r="J285">
        <v>4637</v>
      </c>
      <c r="K285">
        <v>10293</v>
      </c>
      <c r="L285">
        <v>500</v>
      </c>
      <c r="M285">
        <v>499</v>
      </c>
      <c r="N285">
        <v>1</v>
      </c>
      <c r="O285">
        <v>12090.6320933643</v>
      </c>
      <c r="P285" s="3" t="s">
        <v>52</v>
      </c>
      <c r="Q285">
        <v>50</v>
      </c>
      <c r="R285">
        <v>0.999</v>
      </c>
      <c r="S285">
        <v>0</v>
      </c>
    </row>
    <row r="286" spans="1:19" x14ac:dyDescent="0.2">
      <c r="A286" s="3" t="s">
        <v>54</v>
      </c>
      <c r="B286" s="3" t="s">
        <v>55</v>
      </c>
      <c r="C286">
        <v>19</v>
      </c>
      <c r="D286">
        <v>18000</v>
      </c>
      <c r="E286">
        <v>499</v>
      </c>
      <c r="F286">
        <v>1</v>
      </c>
      <c r="G286">
        <v>75479.649376234796</v>
      </c>
      <c r="H286">
        <v>0.41289867299999999</v>
      </c>
      <c r="I286">
        <v>14935</v>
      </c>
      <c r="J286">
        <v>4653</v>
      </c>
      <c r="K286">
        <v>10282</v>
      </c>
      <c r="L286">
        <v>500</v>
      </c>
      <c r="M286">
        <v>499</v>
      </c>
      <c r="N286">
        <v>1</v>
      </c>
      <c r="O286">
        <v>12057.8641829481</v>
      </c>
      <c r="P286" s="3" t="s">
        <v>50</v>
      </c>
      <c r="Q286">
        <v>50</v>
      </c>
      <c r="R286">
        <v>0.999</v>
      </c>
      <c r="S286">
        <v>0</v>
      </c>
    </row>
    <row r="287" spans="1:19" x14ac:dyDescent="0.2">
      <c r="A287" s="3" t="s">
        <v>54</v>
      </c>
      <c r="B287" s="3" t="s">
        <v>55</v>
      </c>
      <c r="C287">
        <v>6</v>
      </c>
      <c r="D287">
        <v>18000</v>
      </c>
      <c r="E287">
        <v>499</v>
      </c>
      <c r="F287">
        <v>1</v>
      </c>
      <c r="G287">
        <v>75479.649376234796</v>
      </c>
      <c r="H287">
        <v>0.41238673399999998</v>
      </c>
      <c r="I287">
        <v>14920</v>
      </c>
      <c r="J287">
        <v>4613</v>
      </c>
      <c r="K287">
        <v>10307</v>
      </c>
      <c r="L287">
        <v>500</v>
      </c>
      <c r="M287">
        <v>499</v>
      </c>
      <c r="N287">
        <v>1</v>
      </c>
      <c r="O287">
        <v>12065.7641927492</v>
      </c>
      <c r="P287" s="3" t="s">
        <v>52</v>
      </c>
      <c r="Q287">
        <v>50</v>
      </c>
      <c r="R287">
        <v>0.999</v>
      </c>
      <c r="S287">
        <v>0</v>
      </c>
    </row>
    <row r="288" spans="1:19" x14ac:dyDescent="0.2">
      <c r="A288" s="3" t="s">
        <v>54</v>
      </c>
      <c r="B288" s="3" t="s">
        <v>55</v>
      </c>
      <c r="C288">
        <v>31</v>
      </c>
      <c r="D288">
        <v>18000</v>
      </c>
      <c r="E288">
        <v>499</v>
      </c>
      <c r="F288">
        <v>1</v>
      </c>
      <c r="G288">
        <v>75479.649376234796</v>
      </c>
      <c r="H288">
        <v>0.41219794700000001</v>
      </c>
      <c r="I288">
        <v>14960</v>
      </c>
      <c r="J288">
        <v>4655</v>
      </c>
      <c r="K288">
        <v>10305</v>
      </c>
      <c r="L288">
        <v>500</v>
      </c>
      <c r="M288">
        <v>499</v>
      </c>
      <c r="N288">
        <v>1</v>
      </c>
      <c r="O288">
        <v>11942.806710876401</v>
      </c>
      <c r="P288" s="3" t="s">
        <v>52</v>
      </c>
      <c r="Q288">
        <v>50</v>
      </c>
      <c r="R288">
        <v>0.999</v>
      </c>
      <c r="S288">
        <v>0</v>
      </c>
    </row>
    <row r="289" spans="1:19" x14ac:dyDescent="0.2">
      <c r="A289" s="3" t="s">
        <v>54</v>
      </c>
      <c r="B289" s="3" t="s">
        <v>55</v>
      </c>
      <c r="C289">
        <v>34</v>
      </c>
      <c r="D289">
        <v>18000</v>
      </c>
      <c r="E289">
        <v>499</v>
      </c>
      <c r="F289">
        <v>1</v>
      </c>
      <c r="G289">
        <v>75479.649376234796</v>
      </c>
      <c r="H289">
        <v>0.41217627899999998</v>
      </c>
      <c r="I289">
        <v>14942</v>
      </c>
      <c r="J289">
        <v>4643</v>
      </c>
      <c r="K289">
        <v>10299</v>
      </c>
      <c r="L289">
        <v>500</v>
      </c>
      <c r="M289">
        <v>499</v>
      </c>
      <c r="N289">
        <v>1</v>
      </c>
      <c r="O289">
        <v>11939.073500172401</v>
      </c>
      <c r="P289" s="3" t="s">
        <v>52</v>
      </c>
      <c r="Q289">
        <v>50</v>
      </c>
      <c r="R289">
        <v>0.999</v>
      </c>
      <c r="S289">
        <v>0</v>
      </c>
    </row>
    <row r="290" spans="1:19" x14ac:dyDescent="0.2">
      <c r="A290" s="3" t="s">
        <v>54</v>
      </c>
      <c r="B290" s="3" t="s">
        <v>55</v>
      </c>
      <c r="C290">
        <v>46</v>
      </c>
      <c r="D290">
        <v>18000</v>
      </c>
      <c r="E290">
        <v>499</v>
      </c>
      <c r="F290">
        <v>1</v>
      </c>
      <c r="G290">
        <v>75479.649376234796</v>
      </c>
      <c r="H290">
        <v>0.41213544899999999</v>
      </c>
      <c r="I290">
        <v>14922</v>
      </c>
      <c r="J290">
        <v>4606</v>
      </c>
      <c r="K290">
        <v>10316</v>
      </c>
      <c r="L290">
        <v>500</v>
      </c>
      <c r="M290">
        <v>499</v>
      </c>
      <c r="N290">
        <v>1</v>
      </c>
      <c r="O290">
        <v>12005.831762489501</v>
      </c>
      <c r="P290" s="3" t="s">
        <v>52</v>
      </c>
      <c r="Q290">
        <v>50</v>
      </c>
      <c r="R290">
        <v>0.999</v>
      </c>
      <c r="S290">
        <v>0</v>
      </c>
    </row>
    <row r="291" spans="1:19" x14ac:dyDescent="0.2">
      <c r="A291" s="3" t="s">
        <v>54</v>
      </c>
      <c r="B291" s="3" t="s">
        <v>55</v>
      </c>
      <c r="C291">
        <v>9</v>
      </c>
      <c r="D291">
        <v>18000</v>
      </c>
      <c r="E291">
        <v>499</v>
      </c>
      <c r="F291">
        <v>1</v>
      </c>
      <c r="G291">
        <v>75479.649376234796</v>
      </c>
      <c r="H291">
        <v>0.41201152600000002</v>
      </c>
      <c r="I291">
        <v>14907</v>
      </c>
      <c r="J291">
        <v>4624</v>
      </c>
      <c r="K291">
        <v>10283</v>
      </c>
      <c r="L291">
        <v>500</v>
      </c>
      <c r="M291">
        <v>499</v>
      </c>
      <c r="N291">
        <v>1</v>
      </c>
      <c r="O291">
        <v>12061.1942881905</v>
      </c>
      <c r="P291" s="3" t="s">
        <v>52</v>
      </c>
      <c r="Q291">
        <v>50</v>
      </c>
      <c r="R291">
        <v>0.999</v>
      </c>
      <c r="S291">
        <v>0</v>
      </c>
    </row>
    <row r="292" spans="1:19" x14ac:dyDescent="0.2">
      <c r="A292" s="3" t="s">
        <v>54</v>
      </c>
      <c r="B292" s="3" t="s">
        <v>55</v>
      </c>
      <c r="C292">
        <v>41</v>
      </c>
      <c r="D292">
        <v>18000</v>
      </c>
      <c r="E292">
        <v>499</v>
      </c>
      <c r="F292">
        <v>1</v>
      </c>
      <c r="G292">
        <v>75479.649376234796</v>
      </c>
      <c r="H292">
        <v>0.41038138499999999</v>
      </c>
      <c r="I292">
        <v>14900</v>
      </c>
      <c r="J292">
        <v>4622</v>
      </c>
      <c r="K292">
        <v>10278</v>
      </c>
      <c r="L292">
        <v>500</v>
      </c>
      <c r="M292">
        <v>499</v>
      </c>
      <c r="N292">
        <v>1</v>
      </c>
      <c r="O292">
        <v>12115.3852427854</v>
      </c>
      <c r="P292" s="3" t="s">
        <v>52</v>
      </c>
      <c r="Q292">
        <v>50</v>
      </c>
      <c r="R292">
        <v>0.999</v>
      </c>
      <c r="S292">
        <v>0</v>
      </c>
    </row>
    <row r="293" spans="1:19" x14ac:dyDescent="0.2">
      <c r="A293" s="3" t="s">
        <v>54</v>
      </c>
      <c r="B293" s="3" t="s">
        <v>55</v>
      </c>
      <c r="C293">
        <v>25</v>
      </c>
      <c r="D293">
        <v>18000</v>
      </c>
      <c r="E293">
        <v>499</v>
      </c>
      <c r="F293">
        <v>1</v>
      </c>
      <c r="G293">
        <v>75479.649376234796</v>
      </c>
      <c r="H293">
        <v>0.41005773099999998</v>
      </c>
      <c r="I293">
        <v>14901</v>
      </c>
      <c r="J293">
        <v>4617</v>
      </c>
      <c r="K293">
        <v>10284</v>
      </c>
      <c r="L293">
        <v>500</v>
      </c>
      <c r="M293">
        <v>499</v>
      </c>
      <c r="N293">
        <v>1</v>
      </c>
      <c r="O293">
        <v>12229.134098476799</v>
      </c>
      <c r="P293" s="3" t="s">
        <v>52</v>
      </c>
      <c r="Q293">
        <v>50</v>
      </c>
      <c r="R293">
        <v>0.999</v>
      </c>
      <c r="S293">
        <v>0</v>
      </c>
    </row>
    <row r="294" spans="1:19" x14ac:dyDescent="0.2">
      <c r="A294" s="3" t="s">
        <v>54</v>
      </c>
      <c r="B294" s="3" t="s">
        <v>55</v>
      </c>
      <c r="C294">
        <v>43</v>
      </c>
      <c r="D294">
        <v>18000</v>
      </c>
      <c r="E294">
        <v>499</v>
      </c>
      <c r="F294">
        <v>1</v>
      </c>
      <c r="G294">
        <v>75479.649376234796</v>
      </c>
      <c r="H294">
        <v>0.40992110199999998</v>
      </c>
      <c r="I294">
        <v>14912</v>
      </c>
      <c r="J294">
        <v>4626</v>
      </c>
      <c r="K294">
        <v>10286</v>
      </c>
      <c r="L294">
        <v>500</v>
      </c>
      <c r="M294">
        <v>499</v>
      </c>
      <c r="N294">
        <v>1</v>
      </c>
      <c r="O294">
        <v>12059.5769980983</v>
      </c>
      <c r="P294" s="3" t="s">
        <v>52</v>
      </c>
      <c r="Q294">
        <v>50</v>
      </c>
      <c r="R294">
        <v>0.999</v>
      </c>
      <c r="S294">
        <v>0</v>
      </c>
    </row>
    <row r="295" spans="1:19" x14ac:dyDescent="0.2">
      <c r="A295" s="3" t="s">
        <v>54</v>
      </c>
      <c r="B295" s="3" t="s">
        <v>55</v>
      </c>
      <c r="C295">
        <v>13</v>
      </c>
      <c r="D295">
        <v>18000</v>
      </c>
      <c r="E295">
        <v>499</v>
      </c>
      <c r="F295">
        <v>1</v>
      </c>
      <c r="G295">
        <v>75479.649376234796</v>
      </c>
      <c r="H295">
        <v>0.40925405500000001</v>
      </c>
      <c r="I295">
        <v>14913</v>
      </c>
      <c r="J295">
        <v>4643</v>
      </c>
      <c r="K295">
        <v>10270</v>
      </c>
      <c r="L295">
        <v>500</v>
      </c>
      <c r="M295">
        <v>499</v>
      </c>
      <c r="N295">
        <v>1</v>
      </c>
      <c r="O295">
        <v>12112.707885789199</v>
      </c>
      <c r="P295" s="3" t="s">
        <v>52</v>
      </c>
      <c r="Q295">
        <v>50</v>
      </c>
      <c r="R295">
        <v>0.999</v>
      </c>
      <c r="S295">
        <v>0</v>
      </c>
    </row>
    <row r="296" spans="1:19" x14ac:dyDescent="0.2">
      <c r="A296" s="3" t="s">
        <v>54</v>
      </c>
      <c r="B296" s="3" t="s">
        <v>55</v>
      </c>
      <c r="C296">
        <v>33</v>
      </c>
      <c r="D296">
        <v>18000</v>
      </c>
      <c r="E296">
        <v>499</v>
      </c>
      <c r="F296">
        <v>1</v>
      </c>
      <c r="G296">
        <v>75479.649376234796</v>
      </c>
      <c r="H296">
        <v>0.40915589800000002</v>
      </c>
      <c r="I296">
        <v>14937</v>
      </c>
      <c r="J296">
        <v>4688</v>
      </c>
      <c r="K296">
        <v>10249</v>
      </c>
      <c r="L296">
        <v>500</v>
      </c>
      <c r="M296">
        <v>499</v>
      </c>
      <c r="N296">
        <v>1</v>
      </c>
      <c r="O296">
        <v>11986.951623437801</v>
      </c>
      <c r="P296" s="3" t="s">
        <v>50</v>
      </c>
      <c r="Q296">
        <v>50</v>
      </c>
      <c r="R296">
        <v>0.999</v>
      </c>
      <c r="S296">
        <v>0</v>
      </c>
    </row>
    <row r="297" spans="1:19" x14ac:dyDescent="0.2">
      <c r="A297" s="3" t="s">
        <v>54</v>
      </c>
      <c r="B297" s="3" t="s">
        <v>55</v>
      </c>
      <c r="C297">
        <v>7</v>
      </c>
      <c r="D297">
        <v>18000</v>
      </c>
      <c r="E297">
        <v>499</v>
      </c>
      <c r="F297">
        <v>1</v>
      </c>
      <c r="G297">
        <v>75479.649376234796</v>
      </c>
      <c r="H297">
        <v>0.40911112700000002</v>
      </c>
      <c r="I297">
        <v>14908</v>
      </c>
      <c r="J297">
        <v>4627</v>
      </c>
      <c r="K297">
        <v>10281</v>
      </c>
      <c r="L297">
        <v>500</v>
      </c>
      <c r="M297">
        <v>499</v>
      </c>
      <c r="N297">
        <v>1</v>
      </c>
      <c r="O297">
        <v>12099.2397132525</v>
      </c>
      <c r="P297" s="3" t="s">
        <v>50</v>
      </c>
      <c r="Q297">
        <v>50</v>
      </c>
      <c r="R297">
        <v>0.999</v>
      </c>
      <c r="S297">
        <v>0</v>
      </c>
    </row>
    <row r="298" spans="1:19" x14ac:dyDescent="0.2">
      <c r="A298" s="3" t="s">
        <v>54</v>
      </c>
      <c r="B298" s="3" t="s">
        <v>55</v>
      </c>
      <c r="C298">
        <v>11</v>
      </c>
      <c r="D298">
        <v>18000</v>
      </c>
      <c r="E298">
        <v>499</v>
      </c>
      <c r="F298">
        <v>1</v>
      </c>
      <c r="G298">
        <v>75479.649376234796</v>
      </c>
      <c r="H298">
        <v>0.40742228699999999</v>
      </c>
      <c r="I298">
        <v>14903</v>
      </c>
      <c r="J298">
        <v>4672</v>
      </c>
      <c r="K298">
        <v>10231</v>
      </c>
      <c r="L298">
        <v>500</v>
      </c>
      <c r="M298">
        <v>499</v>
      </c>
      <c r="N298">
        <v>1</v>
      </c>
      <c r="O298">
        <v>12183.561591592799</v>
      </c>
      <c r="P298" s="3" t="s">
        <v>50</v>
      </c>
      <c r="Q298">
        <v>50</v>
      </c>
      <c r="R298">
        <v>0.999</v>
      </c>
      <c r="S298">
        <v>0</v>
      </c>
    </row>
    <row r="299" spans="1:19" x14ac:dyDescent="0.2">
      <c r="A299" s="3" t="s">
        <v>54</v>
      </c>
      <c r="B299" s="3" t="s">
        <v>55</v>
      </c>
      <c r="C299">
        <v>8</v>
      </c>
      <c r="D299">
        <v>18000</v>
      </c>
      <c r="E299">
        <v>499</v>
      </c>
      <c r="F299">
        <v>1</v>
      </c>
      <c r="G299">
        <v>75479.649376234796</v>
      </c>
      <c r="H299">
        <v>0.406791503</v>
      </c>
      <c r="I299">
        <v>14941</v>
      </c>
      <c r="J299">
        <v>4661</v>
      </c>
      <c r="K299">
        <v>10280</v>
      </c>
      <c r="L299">
        <v>500</v>
      </c>
      <c r="M299">
        <v>499</v>
      </c>
      <c r="N299">
        <v>1</v>
      </c>
      <c r="O299">
        <v>11961.6927192453</v>
      </c>
      <c r="P299" s="3" t="s">
        <v>52</v>
      </c>
      <c r="Q299">
        <v>50</v>
      </c>
      <c r="R299">
        <v>0.999</v>
      </c>
      <c r="S299">
        <v>0</v>
      </c>
    </row>
    <row r="300" spans="1:19" x14ac:dyDescent="0.2">
      <c r="A300" s="3" t="s">
        <v>54</v>
      </c>
      <c r="B300" s="3" t="s">
        <v>55</v>
      </c>
      <c r="C300">
        <v>50</v>
      </c>
      <c r="D300">
        <v>18000</v>
      </c>
      <c r="E300">
        <v>499</v>
      </c>
      <c r="F300">
        <v>1</v>
      </c>
      <c r="G300">
        <v>75479.649376234796</v>
      </c>
      <c r="H300">
        <v>0.40574158300000002</v>
      </c>
      <c r="I300">
        <v>14920</v>
      </c>
      <c r="J300">
        <v>4664</v>
      </c>
      <c r="K300">
        <v>10256</v>
      </c>
      <c r="L300">
        <v>500</v>
      </c>
      <c r="M300">
        <v>499</v>
      </c>
      <c r="N300">
        <v>1</v>
      </c>
      <c r="O300">
        <v>12040.592460133201</v>
      </c>
      <c r="P300" s="3" t="s">
        <v>52</v>
      </c>
      <c r="Q300">
        <v>50</v>
      </c>
      <c r="R300">
        <v>0.999</v>
      </c>
      <c r="S300">
        <v>0</v>
      </c>
    </row>
    <row r="301" spans="1:19" x14ac:dyDescent="0.2">
      <c r="A301" s="3" t="s">
        <v>54</v>
      </c>
      <c r="B301" s="3" t="s">
        <v>55</v>
      </c>
      <c r="C301">
        <v>24</v>
      </c>
      <c r="D301">
        <v>18000</v>
      </c>
      <c r="E301">
        <v>499</v>
      </c>
      <c r="F301">
        <v>1</v>
      </c>
      <c r="G301">
        <v>75479.649376234796</v>
      </c>
      <c r="H301">
        <v>0.40531957099999999</v>
      </c>
      <c r="I301">
        <v>14954</v>
      </c>
      <c r="J301">
        <v>4661</v>
      </c>
      <c r="K301">
        <v>10293</v>
      </c>
      <c r="L301">
        <v>500</v>
      </c>
      <c r="M301">
        <v>499</v>
      </c>
      <c r="N301">
        <v>1</v>
      </c>
      <c r="O301">
        <v>11988.766010075</v>
      </c>
      <c r="P301" s="3" t="s">
        <v>52</v>
      </c>
      <c r="Q301">
        <v>50</v>
      </c>
      <c r="R301">
        <v>0.999</v>
      </c>
      <c r="S301">
        <v>0</v>
      </c>
    </row>
    <row r="302" spans="1:19" x14ac:dyDescent="0.2">
      <c r="A302" s="3" t="s">
        <v>54</v>
      </c>
      <c r="B302" s="3" t="s">
        <v>55</v>
      </c>
      <c r="C302">
        <v>10</v>
      </c>
      <c r="D302">
        <v>18000</v>
      </c>
      <c r="E302">
        <v>499</v>
      </c>
      <c r="F302">
        <v>1</v>
      </c>
      <c r="G302">
        <v>75479.649376234796</v>
      </c>
      <c r="H302">
        <v>0.40521472200000003</v>
      </c>
      <c r="I302">
        <v>14914</v>
      </c>
      <c r="J302">
        <v>4587</v>
      </c>
      <c r="K302">
        <v>10327</v>
      </c>
      <c r="L302">
        <v>500</v>
      </c>
      <c r="M302">
        <v>499</v>
      </c>
      <c r="N302">
        <v>1</v>
      </c>
      <c r="O302">
        <v>12166.8004703184</v>
      </c>
      <c r="P302" s="3" t="s">
        <v>52</v>
      </c>
      <c r="Q302">
        <v>50</v>
      </c>
      <c r="R302">
        <v>0.999</v>
      </c>
      <c r="S302">
        <v>0</v>
      </c>
    </row>
    <row r="303" spans="1:19" x14ac:dyDescent="0.2">
      <c r="A303" s="3" t="s">
        <v>54</v>
      </c>
      <c r="B303" s="3" t="s">
        <v>55</v>
      </c>
      <c r="C303">
        <v>30</v>
      </c>
      <c r="D303">
        <v>18000</v>
      </c>
      <c r="E303">
        <v>499</v>
      </c>
      <c r="F303">
        <v>1</v>
      </c>
      <c r="G303">
        <v>75479.649376234796</v>
      </c>
      <c r="H303">
        <v>0.403868379</v>
      </c>
      <c r="I303">
        <v>14936</v>
      </c>
      <c r="J303">
        <v>4659</v>
      </c>
      <c r="K303">
        <v>10277</v>
      </c>
      <c r="L303">
        <v>500</v>
      </c>
      <c r="M303">
        <v>499</v>
      </c>
      <c r="N303">
        <v>1</v>
      </c>
      <c r="O303">
        <v>12045.8281905354</v>
      </c>
      <c r="P303" s="3" t="s">
        <v>50</v>
      </c>
      <c r="Q303">
        <v>50</v>
      </c>
      <c r="R303">
        <v>0.999</v>
      </c>
      <c r="S303">
        <v>0</v>
      </c>
    </row>
    <row r="304" spans="1:19" x14ac:dyDescent="0.2">
      <c r="A304" s="3" t="s">
        <v>54</v>
      </c>
      <c r="B304" s="3" t="s">
        <v>55</v>
      </c>
      <c r="C304">
        <v>21</v>
      </c>
      <c r="D304">
        <v>18000</v>
      </c>
      <c r="E304">
        <v>499</v>
      </c>
      <c r="F304">
        <v>1</v>
      </c>
      <c r="G304">
        <v>75479.649376234796</v>
      </c>
      <c r="H304">
        <v>0.40299109799999999</v>
      </c>
      <c r="I304">
        <v>14906</v>
      </c>
      <c r="J304">
        <v>4652</v>
      </c>
      <c r="K304">
        <v>10254</v>
      </c>
      <c r="L304">
        <v>500</v>
      </c>
      <c r="M304">
        <v>499</v>
      </c>
      <c r="N304">
        <v>1</v>
      </c>
      <c r="O304">
        <v>12082.772561092101</v>
      </c>
      <c r="P304" s="3" t="s">
        <v>52</v>
      </c>
      <c r="Q304">
        <v>50</v>
      </c>
      <c r="R304">
        <v>0.999</v>
      </c>
      <c r="S304">
        <v>0</v>
      </c>
    </row>
    <row r="305" spans="1:19" x14ac:dyDescent="0.2">
      <c r="A305" s="3" t="s">
        <v>54</v>
      </c>
      <c r="B305" s="3" t="s">
        <v>55</v>
      </c>
      <c r="C305">
        <v>22</v>
      </c>
      <c r="D305">
        <v>18000</v>
      </c>
      <c r="E305">
        <v>499</v>
      </c>
      <c r="F305">
        <v>1</v>
      </c>
      <c r="G305">
        <v>75479.649376234796</v>
      </c>
      <c r="H305">
        <v>0.40111013200000001</v>
      </c>
      <c r="I305">
        <v>14912</v>
      </c>
      <c r="J305">
        <v>4676</v>
      </c>
      <c r="K305">
        <v>10236</v>
      </c>
      <c r="L305">
        <v>500</v>
      </c>
      <c r="M305">
        <v>499</v>
      </c>
      <c r="N305">
        <v>1</v>
      </c>
      <c r="O305">
        <v>12047.3047480573</v>
      </c>
      <c r="P305" s="3" t="s">
        <v>52</v>
      </c>
      <c r="Q305">
        <v>50</v>
      </c>
      <c r="R305">
        <v>0.999</v>
      </c>
      <c r="S305">
        <v>0</v>
      </c>
    </row>
    <row r="306" spans="1:19" x14ac:dyDescent="0.2">
      <c r="A306" s="3" t="s">
        <v>54</v>
      </c>
      <c r="B306" s="3" t="s">
        <v>55</v>
      </c>
      <c r="C306">
        <v>44</v>
      </c>
      <c r="D306">
        <v>18000</v>
      </c>
      <c r="E306">
        <v>499</v>
      </c>
      <c r="F306">
        <v>1</v>
      </c>
      <c r="G306">
        <v>75479.649376234796</v>
      </c>
      <c r="H306">
        <v>0.39837544800000002</v>
      </c>
      <c r="I306">
        <v>14903</v>
      </c>
      <c r="J306">
        <v>4668</v>
      </c>
      <c r="K306">
        <v>10235</v>
      </c>
      <c r="L306">
        <v>500</v>
      </c>
      <c r="M306">
        <v>499</v>
      </c>
      <c r="N306">
        <v>1</v>
      </c>
      <c r="O306">
        <v>12098.285916942201</v>
      </c>
      <c r="P306" s="3" t="s">
        <v>52</v>
      </c>
      <c r="Q306">
        <v>50</v>
      </c>
      <c r="R306">
        <v>0.999</v>
      </c>
      <c r="S306">
        <v>0</v>
      </c>
    </row>
    <row r="307" spans="1:19" x14ac:dyDescent="0.2">
      <c r="A307" s="3" t="s">
        <v>54</v>
      </c>
      <c r="B307" s="3" t="s">
        <v>55</v>
      </c>
      <c r="C307">
        <v>17</v>
      </c>
      <c r="D307">
        <v>18000</v>
      </c>
      <c r="E307">
        <v>499</v>
      </c>
      <c r="F307">
        <v>1</v>
      </c>
      <c r="G307">
        <v>75479.649376234796</v>
      </c>
      <c r="H307">
        <v>0.39474308499999999</v>
      </c>
      <c r="I307">
        <v>14937</v>
      </c>
      <c r="J307">
        <v>4641</v>
      </c>
      <c r="K307">
        <v>10296</v>
      </c>
      <c r="L307">
        <v>500</v>
      </c>
      <c r="M307">
        <v>499</v>
      </c>
      <c r="N307">
        <v>1</v>
      </c>
      <c r="O307">
        <v>12054.996356953699</v>
      </c>
      <c r="P307" s="3" t="s">
        <v>52</v>
      </c>
      <c r="Q307">
        <v>50</v>
      </c>
      <c r="R307">
        <v>0.999</v>
      </c>
      <c r="S307">
        <v>0</v>
      </c>
    </row>
    <row r="308" spans="1:19" x14ac:dyDescent="0.2">
      <c r="A308" s="3" t="s">
        <v>54</v>
      </c>
      <c r="B308" s="3" t="s">
        <v>55</v>
      </c>
      <c r="C308">
        <v>44</v>
      </c>
      <c r="D308">
        <v>17000</v>
      </c>
      <c r="E308">
        <v>499</v>
      </c>
      <c r="F308">
        <v>1</v>
      </c>
      <c r="G308">
        <v>65872.258119671897</v>
      </c>
      <c r="H308">
        <v>0.351820515</v>
      </c>
      <c r="I308">
        <v>14509</v>
      </c>
      <c r="J308">
        <v>4509</v>
      </c>
      <c r="K308">
        <v>10000</v>
      </c>
      <c r="L308">
        <v>500</v>
      </c>
      <c r="M308">
        <v>499</v>
      </c>
      <c r="N308">
        <v>1</v>
      </c>
      <c r="O308">
        <v>9007.9265680661993</v>
      </c>
      <c r="P308" s="3" t="s">
        <v>50</v>
      </c>
      <c r="Q308">
        <v>50</v>
      </c>
      <c r="R308">
        <v>0.999</v>
      </c>
      <c r="S308">
        <v>0</v>
      </c>
    </row>
    <row r="309" spans="1:19" x14ac:dyDescent="0.2">
      <c r="A309" s="3" t="s">
        <v>54</v>
      </c>
      <c r="B309" s="3" t="s">
        <v>55</v>
      </c>
      <c r="C309">
        <v>13</v>
      </c>
      <c r="D309">
        <v>17000</v>
      </c>
      <c r="E309">
        <v>499</v>
      </c>
      <c r="F309">
        <v>1</v>
      </c>
      <c r="G309">
        <v>65872.258119671897</v>
      </c>
      <c r="H309">
        <v>0.35060079199999999</v>
      </c>
      <c r="I309">
        <v>14508</v>
      </c>
      <c r="J309">
        <v>4496</v>
      </c>
      <c r="K309">
        <v>10012</v>
      </c>
      <c r="L309">
        <v>500</v>
      </c>
      <c r="M309">
        <v>499</v>
      </c>
      <c r="N309">
        <v>1</v>
      </c>
      <c r="O309">
        <v>9018.6463752874006</v>
      </c>
      <c r="P309" s="3" t="s">
        <v>50</v>
      </c>
      <c r="Q309">
        <v>50</v>
      </c>
      <c r="R309">
        <v>0.999</v>
      </c>
      <c r="S309">
        <v>0</v>
      </c>
    </row>
    <row r="310" spans="1:19" x14ac:dyDescent="0.2">
      <c r="A310" s="3" t="s">
        <v>54</v>
      </c>
      <c r="B310" s="3" t="s">
        <v>55</v>
      </c>
      <c r="C310">
        <v>12</v>
      </c>
      <c r="D310">
        <v>17000</v>
      </c>
      <c r="E310">
        <v>499</v>
      </c>
      <c r="F310">
        <v>1</v>
      </c>
      <c r="G310">
        <v>65872.258119671897</v>
      </c>
      <c r="H310">
        <v>0.35040263799999999</v>
      </c>
      <c r="I310">
        <v>14502</v>
      </c>
      <c r="J310">
        <v>4510</v>
      </c>
      <c r="K310">
        <v>9992</v>
      </c>
      <c r="L310">
        <v>500</v>
      </c>
      <c r="M310">
        <v>499</v>
      </c>
      <c r="N310">
        <v>1</v>
      </c>
      <c r="O310">
        <v>9030.6839000236996</v>
      </c>
      <c r="P310" s="3" t="s">
        <v>50</v>
      </c>
      <c r="Q310">
        <v>50</v>
      </c>
      <c r="R310">
        <v>0.999</v>
      </c>
      <c r="S310">
        <v>0</v>
      </c>
    </row>
    <row r="311" spans="1:19" x14ac:dyDescent="0.2">
      <c r="A311" s="3" t="s">
        <v>54</v>
      </c>
      <c r="B311" s="3" t="s">
        <v>55</v>
      </c>
      <c r="C311">
        <v>35</v>
      </c>
      <c r="D311">
        <v>17000</v>
      </c>
      <c r="E311">
        <v>499</v>
      </c>
      <c r="F311">
        <v>1</v>
      </c>
      <c r="G311">
        <v>65872.258119671897</v>
      </c>
      <c r="H311">
        <v>0.34986621400000001</v>
      </c>
      <c r="I311">
        <v>14520</v>
      </c>
      <c r="J311">
        <v>4552</v>
      </c>
      <c r="K311">
        <v>9968</v>
      </c>
      <c r="L311">
        <v>500</v>
      </c>
      <c r="M311">
        <v>499</v>
      </c>
      <c r="N311">
        <v>1</v>
      </c>
      <c r="O311">
        <v>9012.3606268249005</v>
      </c>
      <c r="P311" s="3" t="s">
        <v>50</v>
      </c>
      <c r="Q311">
        <v>50</v>
      </c>
      <c r="R311">
        <v>0.999</v>
      </c>
      <c r="S311">
        <v>0</v>
      </c>
    </row>
    <row r="312" spans="1:19" x14ac:dyDescent="0.2">
      <c r="A312" s="3" t="s">
        <v>54</v>
      </c>
      <c r="B312" s="3" t="s">
        <v>55</v>
      </c>
      <c r="C312">
        <v>28</v>
      </c>
      <c r="D312">
        <v>17000</v>
      </c>
      <c r="E312">
        <v>499</v>
      </c>
      <c r="F312">
        <v>1</v>
      </c>
      <c r="G312">
        <v>65872.258119671897</v>
      </c>
      <c r="H312">
        <v>0.349252426</v>
      </c>
      <c r="I312">
        <v>14504</v>
      </c>
      <c r="J312">
        <v>4507</v>
      </c>
      <c r="K312">
        <v>9997</v>
      </c>
      <c r="L312">
        <v>500</v>
      </c>
      <c r="M312">
        <v>499</v>
      </c>
      <c r="N312">
        <v>1</v>
      </c>
      <c r="O312">
        <v>8990.8129825157994</v>
      </c>
      <c r="P312" s="3" t="s">
        <v>50</v>
      </c>
      <c r="Q312">
        <v>50</v>
      </c>
      <c r="R312">
        <v>0.999</v>
      </c>
      <c r="S312">
        <v>0</v>
      </c>
    </row>
    <row r="313" spans="1:19" x14ac:dyDescent="0.2">
      <c r="A313" s="3" t="s">
        <v>54</v>
      </c>
      <c r="B313" s="3" t="s">
        <v>55</v>
      </c>
      <c r="C313">
        <v>5</v>
      </c>
      <c r="D313">
        <v>17000</v>
      </c>
      <c r="E313">
        <v>499</v>
      </c>
      <c r="F313">
        <v>1</v>
      </c>
      <c r="G313">
        <v>65872.258119671897</v>
      </c>
      <c r="H313">
        <v>0.348434837</v>
      </c>
      <c r="I313">
        <v>14536</v>
      </c>
      <c r="J313">
        <v>4512</v>
      </c>
      <c r="K313">
        <v>10024</v>
      </c>
      <c r="L313">
        <v>500</v>
      </c>
      <c r="M313">
        <v>499</v>
      </c>
      <c r="N313">
        <v>1</v>
      </c>
      <c r="O313">
        <v>8921.7993669537991</v>
      </c>
      <c r="P313" s="3" t="s">
        <v>50</v>
      </c>
      <c r="Q313">
        <v>50</v>
      </c>
      <c r="R313">
        <v>0.999</v>
      </c>
      <c r="S313">
        <v>0</v>
      </c>
    </row>
    <row r="314" spans="1:19" x14ac:dyDescent="0.2">
      <c r="A314" s="3" t="s">
        <v>54</v>
      </c>
      <c r="B314" s="3" t="s">
        <v>55</v>
      </c>
      <c r="C314">
        <v>2</v>
      </c>
      <c r="D314">
        <v>17000</v>
      </c>
      <c r="E314">
        <v>499</v>
      </c>
      <c r="F314">
        <v>1</v>
      </c>
      <c r="G314">
        <v>65872.258119671897</v>
      </c>
      <c r="H314">
        <v>0.34765559000000001</v>
      </c>
      <c r="I314">
        <v>14484</v>
      </c>
      <c r="J314">
        <v>4494</v>
      </c>
      <c r="K314">
        <v>9990</v>
      </c>
      <c r="L314">
        <v>500</v>
      </c>
      <c r="M314">
        <v>499</v>
      </c>
      <c r="N314">
        <v>1</v>
      </c>
      <c r="O314">
        <v>9064.9028930689001</v>
      </c>
      <c r="P314" s="3" t="s">
        <v>50</v>
      </c>
      <c r="Q314">
        <v>50</v>
      </c>
      <c r="R314">
        <v>0.999</v>
      </c>
      <c r="S314">
        <v>0</v>
      </c>
    </row>
    <row r="315" spans="1:19" x14ac:dyDescent="0.2">
      <c r="A315" s="3" t="s">
        <v>54</v>
      </c>
      <c r="B315" s="3" t="s">
        <v>55</v>
      </c>
      <c r="C315">
        <v>48</v>
      </c>
      <c r="D315">
        <v>17000</v>
      </c>
      <c r="E315">
        <v>499</v>
      </c>
      <c r="F315">
        <v>1</v>
      </c>
      <c r="G315">
        <v>65872.258119671897</v>
      </c>
      <c r="H315">
        <v>0.34753118700000002</v>
      </c>
      <c r="I315">
        <v>14523</v>
      </c>
      <c r="J315">
        <v>4523</v>
      </c>
      <c r="K315">
        <v>10000</v>
      </c>
      <c r="L315">
        <v>500</v>
      </c>
      <c r="M315">
        <v>499</v>
      </c>
      <c r="N315">
        <v>1</v>
      </c>
      <c r="O315">
        <v>8908.4601838324998</v>
      </c>
      <c r="P315" s="3" t="s">
        <v>52</v>
      </c>
      <c r="Q315">
        <v>50</v>
      </c>
      <c r="R315">
        <v>0.999</v>
      </c>
      <c r="S315">
        <v>0</v>
      </c>
    </row>
    <row r="316" spans="1:19" x14ac:dyDescent="0.2">
      <c r="A316" s="3" t="s">
        <v>54</v>
      </c>
      <c r="B316" s="3" t="s">
        <v>55</v>
      </c>
      <c r="C316">
        <v>31</v>
      </c>
      <c r="D316">
        <v>17000</v>
      </c>
      <c r="E316">
        <v>499</v>
      </c>
      <c r="F316">
        <v>1</v>
      </c>
      <c r="G316">
        <v>65872.258119671897</v>
      </c>
      <c r="H316">
        <v>0.34703546800000001</v>
      </c>
      <c r="I316">
        <v>14490</v>
      </c>
      <c r="J316">
        <v>4486</v>
      </c>
      <c r="K316">
        <v>10004</v>
      </c>
      <c r="L316">
        <v>500</v>
      </c>
      <c r="M316">
        <v>499</v>
      </c>
      <c r="N316">
        <v>1</v>
      </c>
      <c r="O316">
        <v>9048.0819053878004</v>
      </c>
      <c r="P316" s="3" t="s">
        <v>50</v>
      </c>
      <c r="Q316">
        <v>50</v>
      </c>
      <c r="R316">
        <v>0.999</v>
      </c>
      <c r="S316">
        <v>0</v>
      </c>
    </row>
    <row r="317" spans="1:19" x14ac:dyDescent="0.2">
      <c r="A317" s="3" t="s">
        <v>54</v>
      </c>
      <c r="B317" s="3" t="s">
        <v>55</v>
      </c>
      <c r="C317">
        <v>8</v>
      </c>
      <c r="D317">
        <v>17000</v>
      </c>
      <c r="E317">
        <v>499</v>
      </c>
      <c r="F317">
        <v>1</v>
      </c>
      <c r="G317">
        <v>65872.258119671897</v>
      </c>
      <c r="H317">
        <v>0.34632167699999999</v>
      </c>
      <c r="I317">
        <v>14485</v>
      </c>
      <c r="J317">
        <v>4511</v>
      </c>
      <c r="K317">
        <v>9974</v>
      </c>
      <c r="L317">
        <v>500</v>
      </c>
      <c r="M317">
        <v>499</v>
      </c>
      <c r="N317">
        <v>1</v>
      </c>
      <c r="O317">
        <v>9001.0762596819004</v>
      </c>
      <c r="P317" s="3" t="s">
        <v>50</v>
      </c>
      <c r="Q317">
        <v>50</v>
      </c>
      <c r="R317">
        <v>0.999</v>
      </c>
      <c r="S317">
        <v>0</v>
      </c>
    </row>
    <row r="318" spans="1:19" x14ac:dyDescent="0.2">
      <c r="A318" s="3" t="s">
        <v>54</v>
      </c>
      <c r="B318" s="3" t="s">
        <v>55</v>
      </c>
      <c r="C318">
        <v>47</v>
      </c>
      <c r="D318">
        <v>17000</v>
      </c>
      <c r="E318">
        <v>499</v>
      </c>
      <c r="F318">
        <v>1</v>
      </c>
      <c r="G318">
        <v>65872.258119671897</v>
      </c>
      <c r="H318">
        <v>0.345318244</v>
      </c>
      <c r="I318">
        <v>14511</v>
      </c>
      <c r="J318">
        <v>4498</v>
      </c>
      <c r="K318">
        <v>10013</v>
      </c>
      <c r="L318">
        <v>500</v>
      </c>
      <c r="M318">
        <v>499</v>
      </c>
      <c r="N318">
        <v>1</v>
      </c>
      <c r="O318">
        <v>8963.2491116286001</v>
      </c>
      <c r="P318" s="3" t="s">
        <v>52</v>
      </c>
      <c r="Q318">
        <v>50</v>
      </c>
      <c r="R318">
        <v>0.999</v>
      </c>
      <c r="S318">
        <v>0</v>
      </c>
    </row>
    <row r="319" spans="1:19" x14ac:dyDescent="0.2">
      <c r="A319" s="3" t="s">
        <v>54</v>
      </c>
      <c r="B319" s="3" t="s">
        <v>55</v>
      </c>
      <c r="C319">
        <v>24</v>
      </c>
      <c r="D319">
        <v>17000</v>
      </c>
      <c r="E319">
        <v>499</v>
      </c>
      <c r="F319">
        <v>1</v>
      </c>
      <c r="G319">
        <v>65872.258119671897</v>
      </c>
      <c r="H319">
        <v>0.345052099</v>
      </c>
      <c r="I319">
        <v>14486</v>
      </c>
      <c r="J319">
        <v>4495</v>
      </c>
      <c r="K319">
        <v>9991</v>
      </c>
      <c r="L319">
        <v>500</v>
      </c>
      <c r="M319">
        <v>499</v>
      </c>
      <c r="N319">
        <v>1</v>
      </c>
      <c r="O319">
        <v>9075.0388751411992</v>
      </c>
      <c r="P319" s="3" t="s">
        <v>50</v>
      </c>
      <c r="Q319">
        <v>50</v>
      </c>
      <c r="R319">
        <v>0.999</v>
      </c>
      <c r="S319">
        <v>0</v>
      </c>
    </row>
    <row r="320" spans="1:19" x14ac:dyDescent="0.2">
      <c r="A320" s="3" t="s">
        <v>54</v>
      </c>
      <c r="B320" s="3" t="s">
        <v>55</v>
      </c>
      <c r="C320">
        <v>33</v>
      </c>
      <c r="D320">
        <v>17000</v>
      </c>
      <c r="E320">
        <v>499</v>
      </c>
      <c r="F320">
        <v>1</v>
      </c>
      <c r="G320">
        <v>65872.258119671897</v>
      </c>
      <c r="H320">
        <v>0.34448378600000001</v>
      </c>
      <c r="I320">
        <v>14502</v>
      </c>
      <c r="J320">
        <v>4480</v>
      </c>
      <c r="K320">
        <v>10022</v>
      </c>
      <c r="L320">
        <v>500</v>
      </c>
      <c r="M320">
        <v>499</v>
      </c>
      <c r="N320">
        <v>1</v>
      </c>
      <c r="O320">
        <v>8960.7961269392999</v>
      </c>
      <c r="P320" s="3" t="s">
        <v>52</v>
      </c>
      <c r="Q320">
        <v>50</v>
      </c>
      <c r="R320">
        <v>0.999</v>
      </c>
      <c r="S320">
        <v>0</v>
      </c>
    </row>
    <row r="321" spans="1:19" x14ac:dyDescent="0.2">
      <c r="A321" s="3" t="s">
        <v>54</v>
      </c>
      <c r="B321" s="3" t="s">
        <v>55</v>
      </c>
      <c r="C321">
        <v>34</v>
      </c>
      <c r="D321">
        <v>17000</v>
      </c>
      <c r="E321">
        <v>499</v>
      </c>
      <c r="F321">
        <v>1</v>
      </c>
      <c r="G321">
        <v>65872.258119671897</v>
      </c>
      <c r="H321">
        <v>0.34440265199999998</v>
      </c>
      <c r="I321">
        <v>14509</v>
      </c>
      <c r="J321">
        <v>4504</v>
      </c>
      <c r="K321">
        <v>10005</v>
      </c>
      <c r="L321">
        <v>500</v>
      </c>
      <c r="M321">
        <v>499</v>
      </c>
      <c r="N321">
        <v>1</v>
      </c>
      <c r="O321">
        <v>8994.7545254414999</v>
      </c>
      <c r="P321" s="3" t="s">
        <v>50</v>
      </c>
      <c r="Q321">
        <v>50</v>
      </c>
      <c r="R321">
        <v>0.999</v>
      </c>
      <c r="S321">
        <v>0</v>
      </c>
    </row>
    <row r="322" spans="1:19" x14ac:dyDescent="0.2">
      <c r="A322" s="3" t="s">
        <v>54</v>
      </c>
      <c r="B322" s="3" t="s">
        <v>55</v>
      </c>
      <c r="C322">
        <v>39</v>
      </c>
      <c r="D322">
        <v>17000</v>
      </c>
      <c r="E322">
        <v>499</v>
      </c>
      <c r="F322">
        <v>1</v>
      </c>
      <c r="G322">
        <v>65872.258119671897</v>
      </c>
      <c r="H322">
        <v>0.34438264099999999</v>
      </c>
      <c r="I322">
        <v>14492</v>
      </c>
      <c r="J322">
        <v>4493</v>
      </c>
      <c r="K322">
        <v>9999</v>
      </c>
      <c r="L322">
        <v>500</v>
      </c>
      <c r="M322">
        <v>499</v>
      </c>
      <c r="N322">
        <v>1</v>
      </c>
      <c r="O322">
        <v>9093.4880308037009</v>
      </c>
      <c r="P322" s="3" t="s">
        <v>50</v>
      </c>
      <c r="Q322">
        <v>50</v>
      </c>
      <c r="R322">
        <v>0.999</v>
      </c>
      <c r="S322">
        <v>0</v>
      </c>
    </row>
    <row r="323" spans="1:19" x14ac:dyDescent="0.2">
      <c r="A323" s="3" t="s">
        <v>54</v>
      </c>
      <c r="B323" s="3" t="s">
        <v>55</v>
      </c>
      <c r="C323">
        <v>37</v>
      </c>
      <c r="D323">
        <v>17000</v>
      </c>
      <c r="E323">
        <v>499</v>
      </c>
      <c r="F323">
        <v>1</v>
      </c>
      <c r="G323">
        <v>65872.258119671897</v>
      </c>
      <c r="H323">
        <v>0.34433823800000002</v>
      </c>
      <c r="I323">
        <v>14510</v>
      </c>
      <c r="J323">
        <v>4528</v>
      </c>
      <c r="K323">
        <v>9982</v>
      </c>
      <c r="L323">
        <v>500</v>
      </c>
      <c r="M323">
        <v>499</v>
      </c>
      <c r="N323">
        <v>1</v>
      </c>
      <c r="O323">
        <v>9062.7193011607997</v>
      </c>
      <c r="P323" s="3" t="s">
        <v>50</v>
      </c>
      <c r="Q323">
        <v>50</v>
      </c>
      <c r="R323">
        <v>0.999</v>
      </c>
      <c r="S323">
        <v>0</v>
      </c>
    </row>
    <row r="324" spans="1:19" x14ac:dyDescent="0.2">
      <c r="A324" s="3" t="s">
        <v>54</v>
      </c>
      <c r="B324" s="3" t="s">
        <v>55</v>
      </c>
      <c r="C324">
        <v>10</v>
      </c>
      <c r="D324">
        <v>17000</v>
      </c>
      <c r="E324">
        <v>499</v>
      </c>
      <c r="F324">
        <v>1</v>
      </c>
      <c r="G324">
        <v>65872.258119671897</v>
      </c>
      <c r="H324">
        <v>0.34367819300000002</v>
      </c>
      <c r="I324">
        <v>14505</v>
      </c>
      <c r="J324">
        <v>4503</v>
      </c>
      <c r="K324">
        <v>10002</v>
      </c>
      <c r="L324">
        <v>500</v>
      </c>
      <c r="M324">
        <v>499</v>
      </c>
      <c r="N324">
        <v>1</v>
      </c>
      <c r="O324">
        <v>8984.7999087174994</v>
      </c>
      <c r="P324" s="3" t="s">
        <v>50</v>
      </c>
      <c r="Q324">
        <v>50</v>
      </c>
      <c r="R324">
        <v>0.999</v>
      </c>
      <c r="S324">
        <v>0</v>
      </c>
    </row>
    <row r="325" spans="1:19" x14ac:dyDescent="0.2">
      <c r="A325" s="3" t="s">
        <v>54</v>
      </c>
      <c r="B325" s="3" t="s">
        <v>55</v>
      </c>
      <c r="C325">
        <v>17</v>
      </c>
      <c r="D325">
        <v>17000</v>
      </c>
      <c r="E325">
        <v>499</v>
      </c>
      <c r="F325">
        <v>1</v>
      </c>
      <c r="G325">
        <v>65872.258119671897</v>
      </c>
      <c r="H325">
        <v>0.34218921000000002</v>
      </c>
      <c r="I325">
        <v>14480</v>
      </c>
      <c r="J325">
        <v>4437</v>
      </c>
      <c r="K325">
        <v>10043</v>
      </c>
      <c r="L325">
        <v>500</v>
      </c>
      <c r="M325">
        <v>499</v>
      </c>
      <c r="N325">
        <v>1</v>
      </c>
      <c r="O325">
        <v>9081.9561405638997</v>
      </c>
      <c r="P325" s="3" t="s">
        <v>52</v>
      </c>
      <c r="Q325">
        <v>50</v>
      </c>
      <c r="R325">
        <v>0.999</v>
      </c>
      <c r="S325">
        <v>0</v>
      </c>
    </row>
    <row r="326" spans="1:19" x14ac:dyDescent="0.2">
      <c r="A326" s="3" t="s">
        <v>54</v>
      </c>
      <c r="B326" s="3" t="s">
        <v>55</v>
      </c>
      <c r="C326">
        <v>31</v>
      </c>
      <c r="D326">
        <v>17000</v>
      </c>
      <c r="E326">
        <v>499</v>
      </c>
      <c r="F326">
        <v>1</v>
      </c>
      <c r="G326">
        <v>65872.258119671897</v>
      </c>
      <c r="H326">
        <v>0.34134397300000002</v>
      </c>
      <c r="I326">
        <v>14541</v>
      </c>
      <c r="J326">
        <v>4504</v>
      </c>
      <c r="K326">
        <v>10037</v>
      </c>
      <c r="L326">
        <v>500</v>
      </c>
      <c r="M326">
        <v>499</v>
      </c>
      <c r="N326">
        <v>1</v>
      </c>
      <c r="O326">
        <v>8900.8262254598994</v>
      </c>
      <c r="P326" s="3" t="s">
        <v>52</v>
      </c>
      <c r="Q326">
        <v>50</v>
      </c>
      <c r="R326">
        <v>0.999</v>
      </c>
      <c r="S326">
        <v>0</v>
      </c>
    </row>
    <row r="327" spans="1:19" x14ac:dyDescent="0.2">
      <c r="A327" s="3" t="s">
        <v>54</v>
      </c>
      <c r="B327" s="3" t="s">
        <v>55</v>
      </c>
      <c r="C327">
        <v>26</v>
      </c>
      <c r="D327">
        <v>17000</v>
      </c>
      <c r="E327">
        <v>499</v>
      </c>
      <c r="F327">
        <v>1</v>
      </c>
      <c r="G327">
        <v>65872.258119671897</v>
      </c>
      <c r="H327">
        <v>0.34073013099999999</v>
      </c>
      <c r="I327">
        <v>14514</v>
      </c>
      <c r="J327">
        <v>4496</v>
      </c>
      <c r="K327">
        <v>10018</v>
      </c>
      <c r="L327">
        <v>500</v>
      </c>
      <c r="M327">
        <v>499</v>
      </c>
      <c r="N327">
        <v>1</v>
      </c>
      <c r="O327">
        <v>8935.2044190462002</v>
      </c>
      <c r="P327" s="3" t="s">
        <v>50</v>
      </c>
      <c r="Q327">
        <v>50</v>
      </c>
      <c r="R327">
        <v>0.999</v>
      </c>
      <c r="S327">
        <v>0</v>
      </c>
    </row>
    <row r="328" spans="1:19" x14ac:dyDescent="0.2">
      <c r="A328" s="3" t="s">
        <v>54</v>
      </c>
      <c r="B328" s="3" t="s">
        <v>55</v>
      </c>
      <c r="C328">
        <v>21</v>
      </c>
      <c r="D328">
        <v>17000</v>
      </c>
      <c r="E328">
        <v>499</v>
      </c>
      <c r="F328">
        <v>1</v>
      </c>
      <c r="G328">
        <v>65872.258119671897</v>
      </c>
      <c r="H328">
        <v>0.340725528</v>
      </c>
      <c r="I328">
        <v>14492</v>
      </c>
      <c r="J328">
        <v>4489</v>
      </c>
      <c r="K328">
        <v>10003</v>
      </c>
      <c r="L328">
        <v>500</v>
      </c>
      <c r="M328">
        <v>499</v>
      </c>
      <c r="N328">
        <v>1</v>
      </c>
      <c r="O328">
        <v>9023.3460893109004</v>
      </c>
      <c r="P328" s="3" t="s">
        <v>50</v>
      </c>
      <c r="Q328">
        <v>50</v>
      </c>
      <c r="R328">
        <v>0.999</v>
      </c>
      <c r="S328">
        <v>0</v>
      </c>
    </row>
    <row r="329" spans="1:19" x14ac:dyDescent="0.2">
      <c r="A329" s="3" t="s">
        <v>54</v>
      </c>
      <c r="B329" s="3" t="s">
        <v>55</v>
      </c>
      <c r="C329">
        <v>6</v>
      </c>
      <c r="D329">
        <v>17000</v>
      </c>
      <c r="E329">
        <v>499</v>
      </c>
      <c r="F329">
        <v>1</v>
      </c>
      <c r="G329">
        <v>65872.258119671897</v>
      </c>
      <c r="H329">
        <v>0.34057881000000001</v>
      </c>
      <c r="I329">
        <v>14493</v>
      </c>
      <c r="J329">
        <v>4523</v>
      </c>
      <c r="K329">
        <v>9970</v>
      </c>
      <c r="L329">
        <v>500</v>
      </c>
      <c r="M329">
        <v>499</v>
      </c>
      <c r="N329">
        <v>1</v>
      </c>
      <c r="O329">
        <v>9021.2973148976998</v>
      </c>
      <c r="P329" s="3" t="s">
        <v>50</v>
      </c>
      <c r="Q329">
        <v>50</v>
      </c>
      <c r="R329">
        <v>0.999</v>
      </c>
      <c r="S329">
        <v>0</v>
      </c>
    </row>
    <row r="330" spans="1:19" x14ac:dyDescent="0.2">
      <c r="A330" s="3" t="s">
        <v>54</v>
      </c>
      <c r="B330" s="3" t="s">
        <v>55</v>
      </c>
      <c r="C330">
        <v>43</v>
      </c>
      <c r="D330">
        <v>17000</v>
      </c>
      <c r="E330">
        <v>499</v>
      </c>
      <c r="F330">
        <v>1</v>
      </c>
      <c r="G330">
        <v>65872.258119671897</v>
      </c>
      <c r="H330">
        <v>0.34047829600000001</v>
      </c>
      <c r="I330">
        <v>14512</v>
      </c>
      <c r="J330">
        <v>4530</v>
      </c>
      <c r="K330">
        <v>9982</v>
      </c>
      <c r="L330">
        <v>500</v>
      </c>
      <c r="M330">
        <v>499</v>
      </c>
      <c r="N330">
        <v>1</v>
      </c>
      <c r="O330">
        <v>9040.4730514546009</v>
      </c>
      <c r="P330" s="3" t="s">
        <v>50</v>
      </c>
      <c r="Q330">
        <v>50</v>
      </c>
      <c r="R330">
        <v>0.999</v>
      </c>
      <c r="S330">
        <v>0</v>
      </c>
    </row>
    <row r="331" spans="1:19" x14ac:dyDescent="0.2">
      <c r="A331" s="3" t="s">
        <v>54</v>
      </c>
      <c r="B331" s="3" t="s">
        <v>55</v>
      </c>
      <c r="C331">
        <v>38</v>
      </c>
      <c r="D331">
        <v>17000</v>
      </c>
      <c r="E331">
        <v>499</v>
      </c>
      <c r="F331">
        <v>1</v>
      </c>
      <c r="G331">
        <v>65872.258119671897</v>
      </c>
      <c r="H331">
        <v>0.34021079500000001</v>
      </c>
      <c r="I331">
        <v>14501</v>
      </c>
      <c r="J331">
        <v>4464</v>
      </c>
      <c r="K331">
        <v>10037</v>
      </c>
      <c r="L331">
        <v>500</v>
      </c>
      <c r="M331">
        <v>499</v>
      </c>
      <c r="N331">
        <v>1</v>
      </c>
      <c r="O331">
        <v>9006.6267724257996</v>
      </c>
      <c r="P331" s="3" t="s">
        <v>50</v>
      </c>
      <c r="Q331">
        <v>50</v>
      </c>
      <c r="R331">
        <v>0.999</v>
      </c>
      <c r="S331">
        <v>0</v>
      </c>
    </row>
    <row r="332" spans="1:19" x14ac:dyDescent="0.2">
      <c r="A332" s="3" t="s">
        <v>54</v>
      </c>
      <c r="B332" s="3" t="s">
        <v>55</v>
      </c>
      <c r="C332">
        <v>50</v>
      </c>
      <c r="D332">
        <v>17000</v>
      </c>
      <c r="E332">
        <v>499</v>
      </c>
      <c r="F332">
        <v>1</v>
      </c>
      <c r="G332">
        <v>65872.258119671897</v>
      </c>
      <c r="H332">
        <v>0.33993925200000003</v>
      </c>
      <c r="I332">
        <v>14507</v>
      </c>
      <c r="J332">
        <v>4499</v>
      </c>
      <c r="K332">
        <v>10008</v>
      </c>
      <c r="L332">
        <v>500</v>
      </c>
      <c r="M332">
        <v>499</v>
      </c>
      <c r="N332">
        <v>1</v>
      </c>
      <c r="O332">
        <v>8983.1083223459991</v>
      </c>
      <c r="P332" s="3" t="s">
        <v>52</v>
      </c>
      <c r="Q332">
        <v>50</v>
      </c>
      <c r="R332">
        <v>0.999</v>
      </c>
      <c r="S332">
        <v>0</v>
      </c>
    </row>
    <row r="333" spans="1:19" x14ac:dyDescent="0.2">
      <c r="A333" s="3" t="s">
        <v>54</v>
      </c>
      <c r="B333" s="3" t="s">
        <v>55</v>
      </c>
      <c r="C333">
        <v>42</v>
      </c>
      <c r="D333">
        <v>17000</v>
      </c>
      <c r="E333">
        <v>499</v>
      </c>
      <c r="F333">
        <v>1</v>
      </c>
      <c r="G333">
        <v>65872.258119671897</v>
      </c>
      <c r="H333">
        <v>0.33974964899999999</v>
      </c>
      <c r="I333">
        <v>14555</v>
      </c>
      <c r="J333">
        <v>4541</v>
      </c>
      <c r="K333">
        <v>10014</v>
      </c>
      <c r="L333">
        <v>500</v>
      </c>
      <c r="M333">
        <v>499</v>
      </c>
      <c r="N333">
        <v>1</v>
      </c>
      <c r="O333">
        <v>8873.7207273279</v>
      </c>
      <c r="P333" s="3" t="s">
        <v>50</v>
      </c>
      <c r="Q333">
        <v>50</v>
      </c>
      <c r="R333">
        <v>0.999</v>
      </c>
      <c r="S333">
        <v>0</v>
      </c>
    </row>
    <row r="334" spans="1:19" x14ac:dyDescent="0.2">
      <c r="A334" s="3" t="s">
        <v>54</v>
      </c>
      <c r="B334" s="3" t="s">
        <v>55</v>
      </c>
      <c r="C334">
        <v>48</v>
      </c>
      <c r="D334">
        <v>17000</v>
      </c>
      <c r="E334">
        <v>499</v>
      </c>
      <c r="F334">
        <v>1</v>
      </c>
      <c r="G334">
        <v>65872.258119671897</v>
      </c>
      <c r="H334">
        <v>0.33904303000000002</v>
      </c>
      <c r="I334">
        <v>14479</v>
      </c>
      <c r="J334">
        <v>4508</v>
      </c>
      <c r="K334">
        <v>9971</v>
      </c>
      <c r="L334">
        <v>500</v>
      </c>
      <c r="M334">
        <v>499</v>
      </c>
      <c r="N334">
        <v>1</v>
      </c>
      <c r="O334">
        <v>9095.1646835935007</v>
      </c>
      <c r="P334" s="3" t="s">
        <v>50</v>
      </c>
      <c r="Q334">
        <v>50</v>
      </c>
      <c r="R334">
        <v>0.999</v>
      </c>
      <c r="S334">
        <v>0</v>
      </c>
    </row>
    <row r="335" spans="1:19" x14ac:dyDescent="0.2">
      <c r="A335" s="3" t="s">
        <v>54</v>
      </c>
      <c r="B335" s="3" t="s">
        <v>55</v>
      </c>
      <c r="C335">
        <v>45</v>
      </c>
      <c r="D335">
        <v>17000</v>
      </c>
      <c r="E335">
        <v>499</v>
      </c>
      <c r="F335">
        <v>1</v>
      </c>
      <c r="G335">
        <v>65872.258119671897</v>
      </c>
      <c r="H335">
        <v>0.33876415399999998</v>
      </c>
      <c r="I335">
        <v>14527</v>
      </c>
      <c r="J335">
        <v>4494</v>
      </c>
      <c r="K335">
        <v>10033</v>
      </c>
      <c r="L335">
        <v>500</v>
      </c>
      <c r="M335">
        <v>499</v>
      </c>
      <c r="N335">
        <v>1</v>
      </c>
      <c r="O335">
        <v>8993.1754943348005</v>
      </c>
      <c r="P335" s="3" t="s">
        <v>52</v>
      </c>
      <c r="Q335">
        <v>50</v>
      </c>
      <c r="R335">
        <v>0.999</v>
      </c>
      <c r="S335">
        <v>0</v>
      </c>
    </row>
    <row r="336" spans="1:19" x14ac:dyDescent="0.2">
      <c r="A336" s="3" t="s">
        <v>54</v>
      </c>
      <c r="B336" s="3" t="s">
        <v>55</v>
      </c>
      <c r="C336">
        <v>14</v>
      </c>
      <c r="D336">
        <v>17000</v>
      </c>
      <c r="E336">
        <v>499</v>
      </c>
      <c r="F336">
        <v>1</v>
      </c>
      <c r="G336">
        <v>65872.258119671897</v>
      </c>
      <c r="H336">
        <v>0.33868601700000001</v>
      </c>
      <c r="I336">
        <v>14483</v>
      </c>
      <c r="J336">
        <v>4498</v>
      </c>
      <c r="K336">
        <v>9985</v>
      </c>
      <c r="L336">
        <v>500</v>
      </c>
      <c r="M336">
        <v>499</v>
      </c>
      <c r="N336">
        <v>1</v>
      </c>
      <c r="O336">
        <v>9053.1525994873009</v>
      </c>
      <c r="P336" s="3" t="s">
        <v>50</v>
      </c>
      <c r="Q336">
        <v>50</v>
      </c>
      <c r="R336">
        <v>0.999</v>
      </c>
      <c r="S336">
        <v>0</v>
      </c>
    </row>
    <row r="337" spans="1:19" x14ac:dyDescent="0.2">
      <c r="A337" s="3" t="s">
        <v>54</v>
      </c>
      <c r="B337" s="3" t="s">
        <v>55</v>
      </c>
      <c r="C337">
        <v>22</v>
      </c>
      <c r="D337">
        <v>17000</v>
      </c>
      <c r="E337">
        <v>499</v>
      </c>
      <c r="F337">
        <v>1</v>
      </c>
      <c r="G337">
        <v>65872.258119671897</v>
      </c>
      <c r="H337">
        <v>0.338461911</v>
      </c>
      <c r="I337">
        <v>14517</v>
      </c>
      <c r="J337">
        <v>4528</v>
      </c>
      <c r="K337">
        <v>9989</v>
      </c>
      <c r="L337">
        <v>500</v>
      </c>
      <c r="M337">
        <v>499</v>
      </c>
      <c r="N337">
        <v>1</v>
      </c>
      <c r="O337">
        <v>9016.8879056943006</v>
      </c>
      <c r="P337" s="3" t="s">
        <v>50</v>
      </c>
      <c r="Q337">
        <v>50</v>
      </c>
      <c r="R337">
        <v>0.999</v>
      </c>
      <c r="S337">
        <v>0</v>
      </c>
    </row>
    <row r="338" spans="1:19" x14ac:dyDescent="0.2">
      <c r="A338" s="3" t="s">
        <v>54</v>
      </c>
      <c r="B338" s="3" t="s">
        <v>55</v>
      </c>
      <c r="C338">
        <v>29</v>
      </c>
      <c r="D338">
        <v>17000</v>
      </c>
      <c r="E338">
        <v>499</v>
      </c>
      <c r="F338">
        <v>1</v>
      </c>
      <c r="G338">
        <v>65872.258119671897</v>
      </c>
      <c r="H338">
        <v>0.33826580099999998</v>
      </c>
      <c r="I338">
        <v>14520</v>
      </c>
      <c r="J338">
        <v>4477</v>
      </c>
      <c r="K338">
        <v>10043</v>
      </c>
      <c r="L338">
        <v>500</v>
      </c>
      <c r="M338">
        <v>499</v>
      </c>
      <c r="N338">
        <v>1</v>
      </c>
      <c r="O338">
        <v>9023.0927600858995</v>
      </c>
      <c r="P338" s="3" t="s">
        <v>50</v>
      </c>
      <c r="Q338">
        <v>50</v>
      </c>
      <c r="R338">
        <v>0.999</v>
      </c>
      <c r="S338">
        <v>0</v>
      </c>
    </row>
    <row r="339" spans="1:19" x14ac:dyDescent="0.2">
      <c r="A339" s="3" t="s">
        <v>54</v>
      </c>
      <c r="B339" s="3" t="s">
        <v>55</v>
      </c>
      <c r="C339">
        <v>15</v>
      </c>
      <c r="D339">
        <v>17000</v>
      </c>
      <c r="E339">
        <v>499</v>
      </c>
      <c r="F339">
        <v>1</v>
      </c>
      <c r="G339">
        <v>65872.258119671897</v>
      </c>
      <c r="H339">
        <v>0.33802878600000003</v>
      </c>
      <c r="I339">
        <v>14518</v>
      </c>
      <c r="J339">
        <v>4523</v>
      </c>
      <c r="K339">
        <v>9995</v>
      </c>
      <c r="L339">
        <v>500</v>
      </c>
      <c r="M339">
        <v>499</v>
      </c>
      <c r="N339">
        <v>1</v>
      </c>
      <c r="O339">
        <v>8956.2506160032008</v>
      </c>
      <c r="P339" s="3" t="s">
        <v>52</v>
      </c>
      <c r="Q339">
        <v>50</v>
      </c>
      <c r="R339">
        <v>0.999</v>
      </c>
      <c r="S339">
        <v>0</v>
      </c>
    </row>
    <row r="340" spans="1:19" x14ac:dyDescent="0.2">
      <c r="A340" s="3" t="s">
        <v>54</v>
      </c>
      <c r="B340" s="3" t="s">
        <v>55</v>
      </c>
      <c r="C340">
        <v>50</v>
      </c>
      <c r="D340">
        <v>17000</v>
      </c>
      <c r="E340">
        <v>499</v>
      </c>
      <c r="F340">
        <v>1</v>
      </c>
      <c r="G340">
        <v>65872.258119671897</v>
      </c>
      <c r="H340">
        <v>0.33772122599999999</v>
      </c>
      <c r="I340">
        <v>14511</v>
      </c>
      <c r="J340">
        <v>4503</v>
      </c>
      <c r="K340">
        <v>10008</v>
      </c>
      <c r="L340">
        <v>500</v>
      </c>
      <c r="M340">
        <v>499</v>
      </c>
      <c r="N340">
        <v>1</v>
      </c>
      <c r="O340">
        <v>8973.3938105646994</v>
      </c>
      <c r="P340" s="3" t="s">
        <v>50</v>
      </c>
      <c r="Q340">
        <v>50</v>
      </c>
      <c r="R340">
        <v>0.999</v>
      </c>
      <c r="S340">
        <v>0</v>
      </c>
    </row>
    <row r="341" spans="1:19" x14ac:dyDescent="0.2">
      <c r="A341" s="3" t="s">
        <v>54</v>
      </c>
      <c r="B341" s="3" t="s">
        <v>55</v>
      </c>
      <c r="C341">
        <v>46</v>
      </c>
      <c r="D341">
        <v>17000</v>
      </c>
      <c r="E341">
        <v>499</v>
      </c>
      <c r="F341">
        <v>1</v>
      </c>
      <c r="G341">
        <v>65872.258119671897</v>
      </c>
      <c r="H341">
        <v>0.33745986</v>
      </c>
      <c r="I341">
        <v>14497</v>
      </c>
      <c r="J341">
        <v>4583</v>
      </c>
      <c r="K341">
        <v>9914</v>
      </c>
      <c r="L341">
        <v>500</v>
      </c>
      <c r="M341">
        <v>499</v>
      </c>
      <c r="N341">
        <v>1</v>
      </c>
      <c r="O341">
        <v>9012.9071991704004</v>
      </c>
      <c r="P341" s="3" t="s">
        <v>50</v>
      </c>
      <c r="Q341">
        <v>50</v>
      </c>
      <c r="R341">
        <v>0.999</v>
      </c>
      <c r="S341">
        <v>0</v>
      </c>
    </row>
    <row r="342" spans="1:19" x14ac:dyDescent="0.2">
      <c r="A342" s="3" t="s">
        <v>54</v>
      </c>
      <c r="B342" s="3" t="s">
        <v>55</v>
      </c>
      <c r="C342">
        <v>41</v>
      </c>
      <c r="D342">
        <v>17000</v>
      </c>
      <c r="E342">
        <v>499</v>
      </c>
      <c r="F342">
        <v>1</v>
      </c>
      <c r="G342">
        <v>65872.258119671897</v>
      </c>
      <c r="H342">
        <v>0.33737917499999998</v>
      </c>
      <c r="I342">
        <v>14502</v>
      </c>
      <c r="J342">
        <v>4481</v>
      </c>
      <c r="K342">
        <v>10021</v>
      </c>
      <c r="L342">
        <v>500</v>
      </c>
      <c r="M342">
        <v>499</v>
      </c>
      <c r="N342">
        <v>1</v>
      </c>
      <c r="O342">
        <v>8914.7112273398998</v>
      </c>
      <c r="P342" s="3" t="s">
        <v>50</v>
      </c>
      <c r="Q342">
        <v>50</v>
      </c>
      <c r="R342">
        <v>0.999</v>
      </c>
      <c r="S342">
        <v>0</v>
      </c>
    </row>
    <row r="343" spans="1:19" x14ac:dyDescent="0.2">
      <c r="A343" s="3" t="s">
        <v>54</v>
      </c>
      <c r="B343" s="3" t="s">
        <v>55</v>
      </c>
      <c r="C343">
        <v>8</v>
      </c>
      <c r="D343">
        <v>17000</v>
      </c>
      <c r="E343">
        <v>499</v>
      </c>
      <c r="F343">
        <v>1</v>
      </c>
      <c r="G343">
        <v>65872.258119671897</v>
      </c>
      <c r="H343">
        <v>0.337150385</v>
      </c>
      <c r="I343">
        <v>14497</v>
      </c>
      <c r="J343">
        <v>4486</v>
      </c>
      <c r="K343">
        <v>10011</v>
      </c>
      <c r="L343">
        <v>500</v>
      </c>
      <c r="M343">
        <v>499</v>
      </c>
      <c r="N343">
        <v>1</v>
      </c>
      <c r="O343">
        <v>8988.5448125790008</v>
      </c>
      <c r="P343" s="3" t="s">
        <v>52</v>
      </c>
      <c r="Q343">
        <v>50</v>
      </c>
      <c r="R343">
        <v>0.999</v>
      </c>
      <c r="S343">
        <v>0</v>
      </c>
    </row>
    <row r="344" spans="1:19" x14ac:dyDescent="0.2">
      <c r="A344" s="3" t="s">
        <v>54</v>
      </c>
      <c r="B344" s="3" t="s">
        <v>55</v>
      </c>
      <c r="C344">
        <v>28</v>
      </c>
      <c r="D344">
        <v>17000</v>
      </c>
      <c r="E344">
        <v>499</v>
      </c>
      <c r="F344">
        <v>1</v>
      </c>
      <c r="G344">
        <v>65872.258119671897</v>
      </c>
      <c r="H344">
        <v>0.33698304000000001</v>
      </c>
      <c r="I344">
        <v>14503</v>
      </c>
      <c r="J344">
        <v>4514</v>
      </c>
      <c r="K344">
        <v>9989</v>
      </c>
      <c r="L344">
        <v>500</v>
      </c>
      <c r="M344">
        <v>499</v>
      </c>
      <c r="N344">
        <v>1</v>
      </c>
      <c r="O344">
        <v>8984.0975221346998</v>
      </c>
      <c r="P344" s="3" t="s">
        <v>52</v>
      </c>
      <c r="Q344">
        <v>50</v>
      </c>
      <c r="R344">
        <v>0.999</v>
      </c>
      <c r="S344">
        <v>0</v>
      </c>
    </row>
    <row r="345" spans="1:19" x14ac:dyDescent="0.2">
      <c r="A345" s="3" t="s">
        <v>54</v>
      </c>
      <c r="B345" s="3" t="s">
        <v>55</v>
      </c>
      <c r="C345">
        <v>9</v>
      </c>
      <c r="D345">
        <v>17000</v>
      </c>
      <c r="E345">
        <v>499</v>
      </c>
      <c r="F345">
        <v>1</v>
      </c>
      <c r="G345">
        <v>65872.258119671897</v>
      </c>
      <c r="H345">
        <v>0.33658162400000002</v>
      </c>
      <c r="I345">
        <v>14494</v>
      </c>
      <c r="J345">
        <v>4500</v>
      </c>
      <c r="K345">
        <v>9994</v>
      </c>
      <c r="L345">
        <v>500</v>
      </c>
      <c r="M345">
        <v>499</v>
      </c>
      <c r="N345">
        <v>1</v>
      </c>
      <c r="O345">
        <v>9117.0378421939004</v>
      </c>
      <c r="P345" s="3" t="s">
        <v>50</v>
      </c>
      <c r="Q345">
        <v>50</v>
      </c>
      <c r="R345">
        <v>0.999</v>
      </c>
      <c r="S345">
        <v>0</v>
      </c>
    </row>
    <row r="346" spans="1:19" x14ac:dyDescent="0.2">
      <c r="A346" s="3" t="s">
        <v>54</v>
      </c>
      <c r="B346" s="3" t="s">
        <v>55</v>
      </c>
      <c r="C346">
        <v>19</v>
      </c>
      <c r="D346">
        <v>17000</v>
      </c>
      <c r="E346">
        <v>499</v>
      </c>
      <c r="F346">
        <v>1</v>
      </c>
      <c r="G346">
        <v>65872.258119671897</v>
      </c>
      <c r="H346">
        <v>0.33626927000000001</v>
      </c>
      <c r="I346">
        <v>14524</v>
      </c>
      <c r="J346">
        <v>4558</v>
      </c>
      <c r="K346">
        <v>9966</v>
      </c>
      <c r="L346">
        <v>500</v>
      </c>
      <c r="M346">
        <v>499</v>
      </c>
      <c r="N346">
        <v>1</v>
      </c>
      <c r="O346">
        <v>8897.4609020440002</v>
      </c>
      <c r="P346" s="3" t="s">
        <v>50</v>
      </c>
      <c r="Q346">
        <v>50</v>
      </c>
      <c r="R346">
        <v>0.999</v>
      </c>
      <c r="S346">
        <v>0</v>
      </c>
    </row>
    <row r="347" spans="1:19" x14ac:dyDescent="0.2">
      <c r="A347" s="3" t="s">
        <v>54</v>
      </c>
      <c r="B347" s="3" t="s">
        <v>55</v>
      </c>
      <c r="C347">
        <v>7</v>
      </c>
      <c r="D347">
        <v>17000</v>
      </c>
      <c r="E347">
        <v>499</v>
      </c>
      <c r="F347">
        <v>1</v>
      </c>
      <c r="G347">
        <v>65872.258119671897</v>
      </c>
      <c r="H347">
        <v>0.33623674799999997</v>
      </c>
      <c r="I347">
        <v>14494</v>
      </c>
      <c r="J347">
        <v>4484</v>
      </c>
      <c r="K347">
        <v>10010</v>
      </c>
      <c r="L347">
        <v>500</v>
      </c>
      <c r="M347">
        <v>499</v>
      </c>
      <c r="N347">
        <v>1</v>
      </c>
      <c r="O347">
        <v>9052.3731704994007</v>
      </c>
      <c r="P347" s="3" t="s">
        <v>52</v>
      </c>
      <c r="Q347">
        <v>50</v>
      </c>
      <c r="R347">
        <v>0.999</v>
      </c>
      <c r="S347">
        <v>0</v>
      </c>
    </row>
    <row r="348" spans="1:19" x14ac:dyDescent="0.2">
      <c r="A348" s="3" t="s">
        <v>54</v>
      </c>
      <c r="B348" s="3" t="s">
        <v>55</v>
      </c>
      <c r="C348">
        <v>12</v>
      </c>
      <c r="D348">
        <v>17000</v>
      </c>
      <c r="E348">
        <v>499</v>
      </c>
      <c r="F348">
        <v>1</v>
      </c>
      <c r="G348">
        <v>65872.258119671897</v>
      </c>
      <c r="H348">
        <v>0.33550767799999998</v>
      </c>
      <c r="I348">
        <v>14490</v>
      </c>
      <c r="J348">
        <v>4467</v>
      </c>
      <c r="K348">
        <v>10023</v>
      </c>
      <c r="L348">
        <v>500</v>
      </c>
      <c r="M348">
        <v>499</v>
      </c>
      <c r="N348">
        <v>1</v>
      </c>
      <c r="O348">
        <v>9070.1079636142003</v>
      </c>
      <c r="P348" s="3" t="s">
        <v>52</v>
      </c>
      <c r="Q348">
        <v>50</v>
      </c>
      <c r="R348">
        <v>0.999</v>
      </c>
      <c r="S348">
        <v>0</v>
      </c>
    </row>
    <row r="349" spans="1:19" x14ac:dyDescent="0.2">
      <c r="A349" s="3" t="s">
        <v>54</v>
      </c>
      <c r="B349" s="3" t="s">
        <v>55</v>
      </c>
      <c r="C349">
        <v>25</v>
      </c>
      <c r="D349">
        <v>17000</v>
      </c>
      <c r="E349">
        <v>499</v>
      </c>
      <c r="F349">
        <v>1</v>
      </c>
      <c r="G349">
        <v>65872.258119671897</v>
      </c>
      <c r="H349">
        <v>0.33523036000000001</v>
      </c>
      <c r="I349">
        <v>14484</v>
      </c>
      <c r="J349">
        <v>4511</v>
      </c>
      <c r="K349">
        <v>9973</v>
      </c>
      <c r="L349">
        <v>500</v>
      </c>
      <c r="M349">
        <v>499</v>
      </c>
      <c r="N349">
        <v>1</v>
      </c>
      <c r="O349">
        <v>9052.7344951065006</v>
      </c>
      <c r="P349" s="3" t="s">
        <v>50</v>
      </c>
      <c r="Q349">
        <v>50</v>
      </c>
      <c r="R349">
        <v>0.999</v>
      </c>
      <c r="S349">
        <v>0</v>
      </c>
    </row>
    <row r="350" spans="1:19" x14ac:dyDescent="0.2">
      <c r="A350" s="3" t="s">
        <v>54</v>
      </c>
      <c r="B350" s="3" t="s">
        <v>55</v>
      </c>
      <c r="C350">
        <v>49</v>
      </c>
      <c r="D350">
        <v>17000</v>
      </c>
      <c r="E350">
        <v>499</v>
      </c>
      <c r="F350">
        <v>1</v>
      </c>
      <c r="G350">
        <v>65872.258119671897</v>
      </c>
      <c r="H350">
        <v>0.33510567600000002</v>
      </c>
      <c r="I350">
        <v>14497</v>
      </c>
      <c r="J350">
        <v>4460</v>
      </c>
      <c r="K350">
        <v>10037</v>
      </c>
      <c r="L350">
        <v>500</v>
      </c>
      <c r="M350">
        <v>499</v>
      </c>
      <c r="N350">
        <v>1</v>
      </c>
      <c r="O350">
        <v>9003.6153539470997</v>
      </c>
      <c r="P350" s="3" t="s">
        <v>50</v>
      </c>
      <c r="Q350">
        <v>50</v>
      </c>
      <c r="R350">
        <v>0.999</v>
      </c>
      <c r="S350">
        <v>0</v>
      </c>
    </row>
    <row r="351" spans="1:19" x14ac:dyDescent="0.2">
      <c r="A351" s="3" t="s">
        <v>54</v>
      </c>
      <c r="B351" s="3" t="s">
        <v>55</v>
      </c>
      <c r="C351">
        <v>27</v>
      </c>
      <c r="D351">
        <v>17000</v>
      </c>
      <c r="E351">
        <v>499</v>
      </c>
      <c r="F351">
        <v>1</v>
      </c>
      <c r="G351">
        <v>65872.258119671897</v>
      </c>
      <c r="H351">
        <v>0.33496132899999997</v>
      </c>
      <c r="I351">
        <v>14512</v>
      </c>
      <c r="J351">
        <v>4480</v>
      </c>
      <c r="K351">
        <v>10032</v>
      </c>
      <c r="L351">
        <v>500</v>
      </c>
      <c r="M351">
        <v>499</v>
      </c>
      <c r="N351">
        <v>1</v>
      </c>
      <c r="O351">
        <v>9003.1138887722009</v>
      </c>
      <c r="P351" s="3" t="s">
        <v>50</v>
      </c>
      <c r="Q351">
        <v>50</v>
      </c>
      <c r="R351">
        <v>0.999</v>
      </c>
      <c r="S351">
        <v>0</v>
      </c>
    </row>
    <row r="352" spans="1:19" x14ac:dyDescent="0.2">
      <c r="A352" s="3" t="s">
        <v>54</v>
      </c>
      <c r="B352" s="3" t="s">
        <v>55</v>
      </c>
      <c r="C352">
        <v>39</v>
      </c>
      <c r="D352">
        <v>17000</v>
      </c>
      <c r="E352">
        <v>499</v>
      </c>
      <c r="F352">
        <v>1</v>
      </c>
      <c r="G352">
        <v>65872.258119671897</v>
      </c>
      <c r="H352">
        <v>0.33495660700000002</v>
      </c>
      <c r="I352">
        <v>14514</v>
      </c>
      <c r="J352">
        <v>4472</v>
      </c>
      <c r="K352">
        <v>10042</v>
      </c>
      <c r="L352">
        <v>500</v>
      </c>
      <c r="M352">
        <v>499</v>
      </c>
      <c r="N352">
        <v>1</v>
      </c>
      <c r="O352">
        <v>8956.7643980078992</v>
      </c>
      <c r="P352" s="3" t="s">
        <v>52</v>
      </c>
      <c r="Q352">
        <v>50</v>
      </c>
      <c r="R352">
        <v>0.999</v>
      </c>
      <c r="S352">
        <v>0</v>
      </c>
    </row>
    <row r="353" spans="1:19" x14ac:dyDescent="0.2">
      <c r="A353" s="3" t="s">
        <v>54</v>
      </c>
      <c r="B353" s="3" t="s">
        <v>55</v>
      </c>
      <c r="C353">
        <v>32</v>
      </c>
      <c r="D353">
        <v>17000</v>
      </c>
      <c r="E353">
        <v>499</v>
      </c>
      <c r="F353">
        <v>1</v>
      </c>
      <c r="G353">
        <v>65872.258119671897</v>
      </c>
      <c r="H353">
        <v>0.33471760699999997</v>
      </c>
      <c r="I353">
        <v>14525</v>
      </c>
      <c r="J353">
        <v>4538</v>
      </c>
      <c r="K353">
        <v>9987</v>
      </c>
      <c r="L353">
        <v>500</v>
      </c>
      <c r="M353">
        <v>499</v>
      </c>
      <c r="N353">
        <v>1</v>
      </c>
      <c r="O353">
        <v>9071.5462866656999</v>
      </c>
      <c r="P353" s="3" t="s">
        <v>50</v>
      </c>
      <c r="Q353">
        <v>50</v>
      </c>
      <c r="R353">
        <v>0.999</v>
      </c>
      <c r="S353">
        <v>0</v>
      </c>
    </row>
    <row r="354" spans="1:19" x14ac:dyDescent="0.2">
      <c r="A354" s="3" t="s">
        <v>54</v>
      </c>
      <c r="B354" s="3" t="s">
        <v>55</v>
      </c>
      <c r="C354">
        <v>16</v>
      </c>
      <c r="D354">
        <v>17000</v>
      </c>
      <c r="E354">
        <v>499</v>
      </c>
      <c r="F354">
        <v>1</v>
      </c>
      <c r="G354">
        <v>65872.258119671897</v>
      </c>
      <c r="H354">
        <v>0.33471722799999998</v>
      </c>
      <c r="I354">
        <v>14502</v>
      </c>
      <c r="J354">
        <v>4538</v>
      </c>
      <c r="K354">
        <v>9964</v>
      </c>
      <c r="L354">
        <v>500</v>
      </c>
      <c r="M354">
        <v>499</v>
      </c>
      <c r="N354">
        <v>1</v>
      </c>
      <c r="O354">
        <v>8997.8527156184009</v>
      </c>
      <c r="P354" s="3" t="s">
        <v>50</v>
      </c>
      <c r="Q354">
        <v>50</v>
      </c>
      <c r="R354">
        <v>0.999</v>
      </c>
      <c r="S354">
        <v>0</v>
      </c>
    </row>
    <row r="355" spans="1:19" x14ac:dyDescent="0.2">
      <c r="A355" s="3" t="s">
        <v>54</v>
      </c>
      <c r="B355" s="3" t="s">
        <v>55</v>
      </c>
      <c r="C355">
        <v>14</v>
      </c>
      <c r="D355">
        <v>17000</v>
      </c>
      <c r="E355">
        <v>499</v>
      </c>
      <c r="F355">
        <v>1</v>
      </c>
      <c r="G355">
        <v>65872.258119671897</v>
      </c>
      <c r="H355">
        <v>0.33464603900000001</v>
      </c>
      <c r="I355">
        <v>14493</v>
      </c>
      <c r="J355">
        <v>4490</v>
      </c>
      <c r="K355">
        <v>10003</v>
      </c>
      <c r="L355">
        <v>500</v>
      </c>
      <c r="M355">
        <v>499</v>
      </c>
      <c r="N355">
        <v>1</v>
      </c>
      <c r="O355">
        <v>9094.5505914999994</v>
      </c>
      <c r="P355" s="3" t="s">
        <v>52</v>
      </c>
      <c r="Q355">
        <v>50</v>
      </c>
      <c r="R355">
        <v>0.999</v>
      </c>
      <c r="S355">
        <v>0</v>
      </c>
    </row>
    <row r="356" spans="1:19" x14ac:dyDescent="0.2">
      <c r="A356" s="3" t="s">
        <v>54</v>
      </c>
      <c r="B356" s="3" t="s">
        <v>55</v>
      </c>
      <c r="C356">
        <v>10</v>
      </c>
      <c r="D356">
        <v>17000</v>
      </c>
      <c r="E356">
        <v>499</v>
      </c>
      <c r="F356">
        <v>1</v>
      </c>
      <c r="G356">
        <v>65872.258119671897</v>
      </c>
      <c r="H356">
        <v>0.33460684499999999</v>
      </c>
      <c r="I356">
        <v>14508</v>
      </c>
      <c r="J356">
        <v>4520</v>
      </c>
      <c r="K356">
        <v>9988</v>
      </c>
      <c r="L356">
        <v>500</v>
      </c>
      <c r="M356">
        <v>499</v>
      </c>
      <c r="N356">
        <v>1</v>
      </c>
      <c r="O356">
        <v>8974.2904980696003</v>
      </c>
      <c r="P356" s="3" t="s">
        <v>52</v>
      </c>
      <c r="Q356">
        <v>50</v>
      </c>
      <c r="R356">
        <v>0.999</v>
      </c>
      <c r="S356">
        <v>0</v>
      </c>
    </row>
    <row r="357" spans="1:19" x14ac:dyDescent="0.2">
      <c r="A357" s="3" t="s">
        <v>54</v>
      </c>
      <c r="B357" s="3" t="s">
        <v>55</v>
      </c>
      <c r="C357">
        <v>33</v>
      </c>
      <c r="D357">
        <v>17000</v>
      </c>
      <c r="E357">
        <v>499</v>
      </c>
      <c r="F357">
        <v>1</v>
      </c>
      <c r="G357">
        <v>65872.258119671897</v>
      </c>
      <c r="H357">
        <v>0.33446625600000002</v>
      </c>
      <c r="I357">
        <v>14483</v>
      </c>
      <c r="J357">
        <v>4508</v>
      </c>
      <c r="K357">
        <v>9975</v>
      </c>
      <c r="L357">
        <v>500</v>
      </c>
      <c r="M357">
        <v>499</v>
      </c>
      <c r="N357">
        <v>1</v>
      </c>
      <c r="O357">
        <v>9062.1679173682005</v>
      </c>
      <c r="P357" s="3" t="s">
        <v>50</v>
      </c>
      <c r="Q357">
        <v>50</v>
      </c>
      <c r="R357">
        <v>0.999</v>
      </c>
      <c r="S357">
        <v>0</v>
      </c>
    </row>
    <row r="358" spans="1:19" x14ac:dyDescent="0.2">
      <c r="A358" s="3" t="s">
        <v>54</v>
      </c>
      <c r="B358" s="3" t="s">
        <v>55</v>
      </c>
      <c r="C358">
        <v>3</v>
      </c>
      <c r="D358">
        <v>17000</v>
      </c>
      <c r="E358">
        <v>499</v>
      </c>
      <c r="F358">
        <v>1</v>
      </c>
      <c r="G358">
        <v>65872.258119671897</v>
      </c>
      <c r="H358">
        <v>0.33417619599999998</v>
      </c>
      <c r="I358">
        <v>14507</v>
      </c>
      <c r="J358">
        <v>4475</v>
      </c>
      <c r="K358">
        <v>10032</v>
      </c>
      <c r="L358">
        <v>500</v>
      </c>
      <c r="M358">
        <v>499</v>
      </c>
      <c r="N358">
        <v>1</v>
      </c>
      <c r="O358">
        <v>9082.9701019736003</v>
      </c>
      <c r="P358" s="3" t="s">
        <v>50</v>
      </c>
      <c r="Q358">
        <v>50</v>
      </c>
      <c r="R358">
        <v>0.999</v>
      </c>
      <c r="S358">
        <v>0</v>
      </c>
    </row>
    <row r="359" spans="1:19" x14ac:dyDescent="0.2">
      <c r="A359" s="3" t="s">
        <v>54</v>
      </c>
      <c r="B359" s="3" t="s">
        <v>55</v>
      </c>
      <c r="C359">
        <v>20</v>
      </c>
      <c r="D359">
        <v>17000</v>
      </c>
      <c r="E359">
        <v>499</v>
      </c>
      <c r="F359">
        <v>1</v>
      </c>
      <c r="G359">
        <v>65872.258119671897</v>
      </c>
      <c r="H359">
        <v>0.33410657399999999</v>
      </c>
      <c r="I359">
        <v>14488</v>
      </c>
      <c r="J359">
        <v>4524</v>
      </c>
      <c r="K359">
        <v>9964</v>
      </c>
      <c r="L359">
        <v>500</v>
      </c>
      <c r="M359">
        <v>499</v>
      </c>
      <c r="N359">
        <v>1</v>
      </c>
      <c r="O359">
        <v>9071.6157062411003</v>
      </c>
      <c r="P359" s="3" t="s">
        <v>50</v>
      </c>
      <c r="Q359">
        <v>50</v>
      </c>
      <c r="R359">
        <v>0.999</v>
      </c>
      <c r="S359">
        <v>0</v>
      </c>
    </row>
    <row r="360" spans="1:19" x14ac:dyDescent="0.2">
      <c r="A360" s="3" t="s">
        <v>54</v>
      </c>
      <c r="B360" s="3" t="s">
        <v>55</v>
      </c>
      <c r="C360">
        <v>30</v>
      </c>
      <c r="D360">
        <v>17000</v>
      </c>
      <c r="E360">
        <v>499</v>
      </c>
      <c r="F360">
        <v>1</v>
      </c>
      <c r="G360">
        <v>65872.258119671897</v>
      </c>
      <c r="H360">
        <v>0.33408528199999998</v>
      </c>
      <c r="I360">
        <v>14501</v>
      </c>
      <c r="J360">
        <v>4477</v>
      </c>
      <c r="K360">
        <v>10024</v>
      </c>
      <c r="L360">
        <v>500</v>
      </c>
      <c r="M360">
        <v>499</v>
      </c>
      <c r="N360">
        <v>1</v>
      </c>
      <c r="O360">
        <v>8979.1064620261004</v>
      </c>
      <c r="P360" s="3" t="s">
        <v>52</v>
      </c>
      <c r="Q360">
        <v>50</v>
      </c>
      <c r="R360">
        <v>0.999</v>
      </c>
      <c r="S360">
        <v>0</v>
      </c>
    </row>
    <row r="361" spans="1:19" x14ac:dyDescent="0.2">
      <c r="A361" s="3" t="s">
        <v>54</v>
      </c>
      <c r="B361" s="3" t="s">
        <v>55</v>
      </c>
      <c r="C361">
        <v>25</v>
      </c>
      <c r="D361">
        <v>17000</v>
      </c>
      <c r="E361">
        <v>499</v>
      </c>
      <c r="F361">
        <v>1</v>
      </c>
      <c r="G361">
        <v>65872.258119671897</v>
      </c>
      <c r="H361">
        <v>0.33393941300000002</v>
      </c>
      <c r="I361">
        <v>14506</v>
      </c>
      <c r="J361">
        <v>4469</v>
      </c>
      <c r="K361">
        <v>10037</v>
      </c>
      <c r="L361">
        <v>500</v>
      </c>
      <c r="M361">
        <v>499</v>
      </c>
      <c r="N361">
        <v>1</v>
      </c>
      <c r="O361">
        <v>8990.9155691965007</v>
      </c>
      <c r="P361" s="3" t="s">
        <v>52</v>
      </c>
      <c r="Q361">
        <v>50</v>
      </c>
      <c r="R361">
        <v>0.999</v>
      </c>
      <c r="S361">
        <v>0</v>
      </c>
    </row>
    <row r="362" spans="1:19" x14ac:dyDescent="0.2">
      <c r="A362" s="3" t="s">
        <v>54</v>
      </c>
      <c r="B362" s="3" t="s">
        <v>55</v>
      </c>
      <c r="C362">
        <v>9</v>
      </c>
      <c r="D362">
        <v>17000</v>
      </c>
      <c r="E362">
        <v>499</v>
      </c>
      <c r="F362">
        <v>1</v>
      </c>
      <c r="G362">
        <v>65872.258119671897</v>
      </c>
      <c r="H362">
        <v>0.33372130300000002</v>
      </c>
      <c r="I362">
        <v>14502</v>
      </c>
      <c r="J362">
        <v>4505</v>
      </c>
      <c r="K362">
        <v>9997</v>
      </c>
      <c r="L362">
        <v>500</v>
      </c>
      <c r="M362">
        <v>499</v>
      </c>
      <c r="N362">
        <v>1</v>
      </c>
      <c r="O362">
        <v>9027.5128347341997</v>
      </c>
      <c r="P362" s="3" t="s">
        <v>52</v>
      </c>
      <c r="Q362">
        <v>50</v>
      </c>
      <c r="R362">
        <v>0.999</v>
      </c>
      <c r="S362">
        <v>0</v>
      </c>
    </row>
    <row r="363" spans="1:19" x14ac:dyDescent="0.2">
      <c r="A363" s="3" t="s">
        <v>54</v>
      </c>
      <c r="B363" s="3" t="s">
        <v>55</v>
      </c>
      <c r="C363">
        <v>42</v>
      </c>
      <c r="D363">
        <v>17000</v>
      </c>
      <c r="E363">
        <v>499</v>
      </c>
      <c r="F363">
        <v>1</v>
      </c>
      <c r="G363">
        <v>65872.258119671897</v>
      </c>
      <c r="H363">
        <v>0.333670841</v>
      </c>
      <c r="I363">
        <v>14517</v>
      </c>
      <c r="J363">
        <v>4506</v>
      </c>
      <c r="K363">
        <v>10011</v>
      </c>
      <c r="L363">
        <v>500</v>
      </c>
      <c r="M363">
        <v>499</v>
      </c>
      <c r="N363">
        <v>1</v>
      </c>
      <c r="O363">
        <v>8914.5426658595006</v>
      </c>
      <c r="P363" s="3" t="s">
        <v>52</v>
      </c>
      <c r="Q363">
        <v>50</v>
      </c>
      <c r="R363">
        <v>0.999</v>
      </c>
      <c r="S363">
        <v>0</v>
      </c>
    </row>
    <row r="364" spans="1:19" x14ac:dyDescent="0.2">
      <c r="A364" s="3" t="s">
        <v>54</v>
      </c>
      <c r="B364" s="3" t="s">
        <v>55</v>
      </c>
      <c r="C364">
        <v>13</v>
      </c>
      <c r="D364">
        <v>17000</v>
      </c>
      <c r="E364">
        <v>499</v>
      </c>
      <c r="F364">
        <v>1</v>
      </c>
      <c r="G364">
        <v>65872.258119671897</v>
      </c>
      <c r="H364">
        <v>0.333508317</v>
      </c>
      <c r="I364">
        <v>14495</v>
      </c>
      <c r="J364">
        <v>4466</v>
      </c>
      <c r="K364">
        <v>10029</v>
      </c>
      <c r="L364">
        <v>500</v>
      </c>
      <c r="M364">
        <v>499</v>
      </c>
      <c r="N364">
        <v>1</v>
      </c>
      <c r="O364">
        <v>9087.5738168407006</v>
      </c>
      <c r="P364" s="3" t="s">
        <v>52</v>
      </c>
      <c r="Q364">
        <v>50</v>
      </c>
      <c r="R364">
        <v>0.999</v>
      </c>
      <c r="S364">
        <v>0</v>
      </c>
    </row>
    <row r="365" spans="1:19" x14ac:dyDescent="0.2">
      <c r="A365" s="3" t="s">
        <v>54</v>
      </c>
      <c r="B365" s="3" t="s">
        <v>55</v>
      </c>
      <c r="C365">
        <v>26</v>
      </c>
      <c r="D365">
        <v>17000</v>
      </c>
      <c r="E365">
        <v>499</v>
      </c>
      <c r="F365">
        <v>1</v>
      </c>
      <c r="G365">
        <v>65872.258119671897</v>
      </c>
      <c r="H365">
        <v>0.33320759599999999</v>
      </c>
      <c r="I365">
        <v>14513</v>
      </c>
      <c r="J365">
        <v>4502</v>
      </c>
      <c r="K365">
        <v>10011</v>
      </c>
      <c r="L365">
        <v>500</v>
      </c>
      <c r="M365">
        <v>499</v>
      </c>
      <c r="N365">
        <v>1</v>
      </c>
      <c r="O365">
        <v>8949.3801170741008</v>
      </c>
      <c r="P365" s="3" t="s">
        <v>52</v>
      </c>
      <c r="Q365">
        <v>50</v>
      </c>
      <c r="R365">
        <v>0.999</v>
      </c>
      <c r="S365">
        <v>0</v>
      </c>
    </row>
    <row r="366" spans="1:19" x14ac:dyDescent="0.2">
      <c r="A366" s="3" t="s">
        <v>54</v>
      </c>
      <c r="B366" s="3" t="s">
        <v>55</v>
      </c>
      <c r="C366">
        <v>23</v>
      </c>
      <c r="D366">
        <v>17000</v>
      </c>
      <c r="E366">
        <v>499</v>
      </c>
      <c r="F366">
        <v>1</v>
      </c>
      <c r="G366">
        <v>65872.258119671897</v>
      </c>
      <c r="H366">
        <v>0.33307959199999998</v>
      </c>
      <c r="I366">
        <v>14494</v>
      </c>
      <c r="J366">
        <v>4496</v>
      </c>
      <c r="K366">
        <v>9998</v>
      </c>
      <c r="L366">
        <v>500</v>
      </c>
      <c r="M366">
        <v>499</v>
      </c>
      <c r="N366">
        <v>1</v>
      </c>
      <c r="O366">
        <v>9079.1371940835998</v>
      </c>
      <c r="P366" s="3" t="s">
        <v>52</v>
      </c>
      <c r="Q366">
        <v>50</v>
      </c>
      <c r="R366">
        <v>0.999</v>
      </c>
      <c r="S366">
        <v>0</v>
      </c>
    </row>
    <row r="367" spans="1:19" x14ac:dyDescent="0.2">
      <c r="A367" s="3" t="s">
        <v>54</v>
      </c>
      <c r="B367" s="3" t="s">
        <v>55</v>
      </c>
      <c r="C367">
        <v>21</v>
      </c>
      <c r="D367">
        <v>17000</v>
      </c>
      <c r="E367">
        <v>499</v>
      </c>
      <c r="F367">
        <v>1</v>
      </c>
      <c r="G367">
        <v>65872.258119671897</v>
      </c>
      <c r="H367">
        <v>0.33291802999999998</v>
      </c>
      <c r="I367">
        <v>14506</v>
      </c>
      <c r="J367">
        <v>4486</v>
      </c>
      <c r="K367">
        <v>10020</v>
      </c>
      <c r="L367">
        <v>500</v>
      </c>
      <c r="M367">
        <v>499</v>
      </c>
      <c r="N367">
        <v>1</v>
      </c>
      <c r="O367">
        <v>8953.2142461169005</v>
      </c>
      <c r="P367" s="3" t="s">
        <v>52</v>
      </c>
      <c r="Q367">
        <v>50</v>
      </c>
      <c r="R367">
        <v>0.999</v>
      </c>
      <c r="S367">
        <v>0</v>
      </c>
    </row>
    <row r="368" spans="1:19" x14ac:dyDescent="0.2">
      <c r="A368" s="3" t="s">
        <v>54</v>
      </c>
      <c r="B368" s="3" t="s">
        <v>55</v>
      </c>
      <c r="C368">
        <v>11</v>
      </c>
      <c r="D368">
        <v>17000</v>
      </c>
      <c r="E368">
        <v>499</v>
      </c>
      <c r="F368">
        <v>1</v>
      </c>
      <c r="G368">
        <v>65872.258119671897</v>
      </c>
      <c r="H368">
        <v>0.33277736800000002</v>
      </c>
      <c r="I368">
        <v>14528</v>
      </c>
      <c r="J368">
        <v>4522</v>
      </c>
      <c r="K368">
        <v>10006</v>
      </c>
      <c r="L368">
        <v>500</v>
      </c>
      <c r="M368">
        <v>499</v>
      </c>
      <c r="N368">
        <v>1</v>
      </c>
      <c r="O368">
        <v>9041.0758610803005</v>
      </c>
      <c r="P368" s="3" t="s">
        <v>50</v>
      </c>
      <c r="Q368">
        <v>50</v>
      </c>
      <c r="R368">
        <v>0.999</v>
      </c>
      <c r="S368">
        <v>0</v>
      </c>
    </row>
    <row r="369" spans="1:19" x14ac:dyDescent="0.2">
      <c r="A369" s="3" t="s">
        <v>54</v>
      </c>
      <c r="B369" s="3" t="s">
        <v>55</v>
      </c>
      <c r="C369">
        <v>17</v>
      </c>
      <c r="D369">
        <v>17000</v>
      </c>
      <c r="E369">
        <v>499</v>
      </c>
      <c r="F369">
        <v>1</v>
      </c>
      <c r="G369">
        <v>65872.258119671897</v>
      </c>
      <c r="H369">
        <v>0.33253534200000001</v>
      </c>
      <c r="I369">
        <v>14487</v>
      </c>
      <c r="J369">
        <v>4463</v>
      </c>
      <c r="K369">
        <v>10024</v>
      </c>
      <c r="L369">
        <v>500</v>
      </c>
      <c r="M369">
        <v>499</v>
      </c>
      <c r="N369">
        <v>1</v>
      </c>
      <c r="O369">
        <v>9069.1797635152998</v>
      </c>
      <c r="P369" s="3" t="s">
        <v>50</v>
      </c>
      <c r="Q369">
        <v>50</v>
      </c>
      <c r="R369">
        <v>0.999</v>
      </c>
      <c r="S369">
        <v>0</v>
      </c>
    </row>
    <row r="370" spans="1:19" x14ac:dyDescent="0.2">
      <c r="A370" s="3" t="s">
        <v>54</v>
      </c>
      <c r="B370" s="3" t="s">
        <v>55</v>
      </c>
      <c r="C370">
        <v>41</v>
      </c>
      <c r="D370">
        <v>17000</v>
      </c>
      <c r="E370">
        <v>499</v>
      </c>
      <c r="F370">
        <v>1</v>
      </c>
      <c r="G370">
        <v>65872.258119671897</v>
      </c>
      <c r="H370">
        <v>0.33227173599999998</v>
      </c>
      <c r="I370">
        <v>14516</v>
      </c>
      <c r="J370">
        <v>4493</v>
      </c>
      <c r="K370">
        <v>10023</v>
      </c>
      <c r="L370">
        <v>500</v>
      </c>
      <c r="M370">
        <v>499</v>
      </c>
      <c r="N370">
        <v>1</v>
      </c>
      <c r="O370">
        <v>9036.1679317832004</v>
      </c>
      <c r="P370" s="3" t="s">
        <v>52</v>
      </c>
      <c r="Q370">
        <v>50</v>
      </c>
      <c r="R370">
        <v>0.999</v>
      </c>
      <c r="S370">
        <v>0</v>
      </c>
    </row>
    <row r="371" spans="1:19" x14ac:dyDescent="0.2">
      <c r="A371" s="3" t="s">
        <v>54</v>
      </c>
      <c r="B371" s="3" t="s">
        <v>55</v>
      </c>
      <c r="C371">
        <v>23</v>
      </c>
      <c r="D371">
        <v>17000</v>
      </c>
      <c r="E371">
        <v>499</v>
      </c>
      <c r="F371">
        <v>1</v>
      </c>
      <c r="G371">
        <v>65872.258119671897</v>
      </c>
      <c r="H371">
        <v>0.33217958400000003</v>
      </c>
      <c r="I371">
        <v>14488</v>
      </c>
      <c r="J371">
        <v>4521</v>
      </c>
      <c r="K371">
        <v>9967</v>
      </c>
      <c r="L371">
        <v>500</v>
      </c>
      <c r="M371">
        <v>499</v>
      </c>
      <c r="N371">
        <v>1</v>
      </c>
      <c r="O371">
        <v>8979.7911251635996</v>
      </c>
      <c r="P371" s="3" t="s">
        <v>50</v>
      </c>
      <c r="Q371">
        <v>50</v>
      </c>
      <c r="R371">
        <v>0.999</v>
      </c>
      <c r="S371">
        <v>0</v>
      </c>
    </row>
    <row r="372" spans="1:19" x14ac:dyDescent="0.2">
      <c r="A372" s="3" t="s">
        <v>54</v>
      </c>
      <c r="B372" s="3" t="s">
        <v>55</v>
      </c>
      <c r="C372">
        <v>4</v>
      </c>
      <c r="D372">
        <v>17000</v>
      </c>
      <c r="E372">
        <v>499</v>
      </c>
      <c r="F372">
        <v>1</v>
      </c>
      <c r="G372">
        <v>65872.258119671897</v>
      </c>
      <c r="H372">
        <v>0.33201541000000001</v>
      </c>
      <c r="I372">
        <v>14535</v>
      </c>
      <c r="J372">
        <v>4474</v>
      </c>
      <c r="K372">
        <v>10061</v>
      </c>
      <c r="L372">
        <v>500</v>
      </c>
      <c r="M372">
        <v>499</v>
      </c>
      <c r="N372">
        <v>1</v>
      </c>
      <c r="O372">
        <v>8939.2451360821997</v>
      </c>
      <c r="P372" s="3" t="s">
        <v>52</v>
      </c>
      <c r="Q372">
        <v>50</v>
      </c>
      <c r="R372">
        <v>0.999</v>
      </c>
      <c r="S372">
        <v>0</v>
      </c>
    </row>
    <row r="373" spans="1:19" x14ac:dyDescent="0.2">
      <c r="A373" s="3" t="s">
        <v>54</v>
      </c>
      <c r="B373" s="3" t="s">
        <v>55</v>
      </c>
      <c r="C373">
        <v>6</v>
      </c>
      <c r="D373">
        <v>17000</v>
      </c>
      <c r="E373">
        <v>499</v>
      </c>
      <c r="F373">
        <v>1</v>
      </c>
      <c r="G373">
        <v>65872.258119671897</v>
      </c>
      <c r="H373">
        <v>0.331550185</v>
      </c>
      <c r="I373">
        <v>14479</v>
      </c>
      <c r="J373">
        <v>4539</v>
      </c>
      <c r="K373">
        <v>9940</v>
      </c>
      <c r="L373">
        <v>500</v>
      </c>
      <c r="M373">
        <v>499</v>
      </c>
      <c r="N373">
        <v>1</v>
      </c>
      <c r="O373">
        <v>9066.3146653802996</v>
      </c>
      <c r="P373" s="3" t="s">
        <v>52</v>
      </c>
      <c r="Q373">
        <v>50</v>
      </c>
      <c r="R373">
        <v>0.999</v>
      </c>
      <c r="S373">
        <v>0</v>
      </c>
    </row>
    <row r="374" spans="1:19" x14ac:dyDescent="0.2">
      <c r="A374" s="3" t="s">
        <v>54</v>
      </c>
      <c r="B374" s="3" t="s">
        <v>55</v>
      </c>
      <c r="C374">
        <v>22</v>
      </c>
      <c r="D374">
        <v>17000</v>
      </c>
      <c r="E374">
        <v>499</v>
      </c>
      <c r="F374">
        <v>1</v>
      </c>
      <c r="G374">
        <v>65872.258119671897</v>
      </c>
      <c r="H374">
        <v>0.33151965</v>
      </c>
      <c r="I374">
        <v>14481</v>
      </c>
      <c r="J374">
        <v>4474</v>
      </c>
      <c r="K374">
        <v>10007</v>
      </c>
      <c r="L374">
        <v>500</v>
      </c>
      <c r="M374">
        <v>499</v>
      </c>
      <c r="N374">
        <v>1</v>
      </c>
      <c r="O374">
        <v>9045.5974189193003</v>
      </c>
      <c r="P374" s="3" t="s">
        <v>52</v>
      </c>
      <c r="Q374">
        <v>50</v>
      </c>
      <c r="R374">
        <v>0.999</v>
      </c>
      <c r="S374">
        <v>0</v>
      </c>
    </row>
    <row r="375" spans="1:19" x14ac:dyDescent="0.2">
      <c r="A375" s="3" t="s">
        <v>54</v>
      </c>
      <c r="B375" s="3" t="s">
        <v>55</v>
      </c>
      <c r="C375">
        <v>18</v>
      </c>
      <c r="D375">
        <v>17000</v>
      </c>
      <c r="E375">
        <v>499</v>
      </c>
      <c r="F375">
        <v>1</v>
      </c>
      <c r="G375">
        <v>65872.258119671897</v>
      </c>
      <c r="H375">
        <v>0.33143135800000001</v>
      </c>
      <c r="I375">
        <v>14504</v>
      </c>
      <c r="J375">
        <v>4516</v>
      </c>
      <c r="K375">
        <v>9988</v>
      </c>
      <c r="L375">
        <v>500</v>
      </c>
      <c r="M375">
        <v>499</v>
      </c>
      <c r="N375">
        <v>1</v>
      </c>
      <c r="O375">
        <v>9021.8756196252998</v>
      </c>
      <c r="P375" s="3" t="s">
        <v>50</v>
      </c>
      <c r="Q375">
        <v>50</v>
      </c>
      <c r="R375">
        <v>0.999</v>
      </c>
      <c r="S375">
        <v>0</v>
      </c>
    </row>
    <row r="376" spans="1:19" x14ac:dyDescent="0.2">
      <c r="A376" s="3" t="s">
        <v>54</v>
      </c>
      <c r="B376" s="3" t="s">
        <v>55</v>
      </c>
      <c r="C376">
        <v>34</v>
      </c>
      <c r="D376">
        <v>17000</v>
      </c>
      <c r="E376">
        <v>499</v>
      </c>
      <c r="F376">
        <v>1</v>
      </c>
      <c r="G376">
        <v>65872.258119671897</v>
      </c>
      <c r="H376">
        <v>0.33124184600000001</v>
      </c>
      <c r="I376">
        <v>14517</v>
      </c>
      <c r="J376">
        <v>4499</v>
      </c>
      <c r="K376">
        <v>10018</v>
      </c>
      <c r="L376">
        <v>500</v>
      </c>
      <c r="M376">
        <v>499</v>
      </c>
      <c r="N376">
        <v>1</v>
      </c>
      <c r="O376">
        <v>8969.9517653010007</v>
      </c>
      <c r="P376" s="3" t="s">
        <v>52</v>
      </c>
      <c r="Q376">
        <v>50</v>
      </c>
      <c r="R376">
        <v>0.999</v>
      </c>
      <c r="S376">
        <v>0</v>
      </c>
    </row>
    <row r="377" spans="1:19" x14ac:dyDescent="0.2">
      <c r="A377" s="3" t="s">
        <v>54</v>
      </c>
      <c r="B377" s="3" t="s">
        <v>55</v>
      </c>
      <c r="C377">
        <v>27</v>
      </c>
      <c r="D377">
        <v>17000</v>
      </c>
      <c r="E377">
        <v>499</v>
      </c>
      <c r="F377">
        <v>1</v>
      </c>
      <c r="G377">
        <v>65872.258119671897</v>
      </c>
      <c r="H377">
        <v>0.33036370100000001</v>
      </c>
      <c r="I377">
        <v>14494</v>
      </c>
      <c r="J377">
        <v>4473</v>
      </c>
      <c r="K377">
        <v>10021</v>
      </c>
      <c r="L377">
        <v>500</v>
      </c>
      <c r="M377">
        <v>499</v>
      </c>
      <c r="N377">
        <v>1</v>
      </c>
      <c r="O377">
        <v>8977.8644143652</v>
      </c>
      <c r="P377" s="3" t="s">
        <v>52</v>
      </c>
      <c r="Q377">
        <v>50</v>
      </c>
      <c r="R377">
        <v>0.999</v>
      </c>
      <c r="S377">
        <v>0</v>
      </c>
    </row>
    <row r="378" spans="1:19" x14ac:dyDescent="0.2">
      <c r="A378" s="3" t="s">
        <v>54</v>
      </c>
      <c r="B378" s="3" t="s">
        <v>55</v>
      </c>
      <c r="C378">
        <v>40</v>
      </c>
      <c r="D378">
        <v>17000</v>
      </c>
      <c r="E378">
        <v>499</v>
      </c>
      <c r="F378">
        <v>1</v>
      </c>
      <c r="G378">
        <v>65872.258119671897</v>
      </c>
      <c r="H378">
        <v>0.33011923599999998</v>
      </c>
      <c r="I378">
        <v>14503</v>
      </c>
      <c r="J378">
        <v>4496</v>
      </c>
      <c r="K378">
        <v>10007</v>
      </c>
      <c r="L378">
        <v>500</v>
      </c>
      <c r="M378">
        <v>499</v>
      </c>
      <c r="N378">
        <v>1</v>
      </c>
      <c r="O378">
        <v>9003.2943507539003</v>
      </c>
      <c r="P378" s="3" t="s">
        <v>50</v>
      </c>
      <c r="Q378">
        <v>50</v>
      </c>
      <c r="R378">
        <v>0.999</v>
      </c>
      <c r="S378">
        <v>0</v>
      </c>
    </row>
    <row r="379" spans="1:19" x14ac:dyDescent="0.2">
      <c r="A379" s="3" t="s">
        <v>54</v>
      </c>
      <c r="B379" s="3" t="s">
        <v>55</v>
      </c>
      <c r="C379">
        <v>1</v>
      </c>
      <c r="D379">
        <v>17000</v>
      </c>
      <c r="E379">
        <v>499</v>
      </c>
      <c r="F379">
        <v>1</v>
      </c>
      <c r="G379">
        <v>65872.258119671897</v>
      </c>
      <c r="H379">
        <v>0.32959490200000002</v>
      </c>
      <c r="I379">
        <v>14525</v>
      </c>
      <c r="J379">
        <v>4505</v>
      </c>
      <c r="K379">
        <v>10020</v>
      </c>
      <c r="L379">
        <v>500</v>
      </c>
      <c r="M379">
        <v>499</v>
      </c>
      <c r="N379">
        <v>1</v>
      </c>
      <c r="O379">
        <v>9034.3715986439001</v>
      </c>
      <c r="P379" s="3" t="s">
        <v>52</v>
      </c>
      <c r="Q379">
        <v>50</v>
      </c>
      <c r="R379">
        <v>0.999</v>
      </c>
      <c r="S379">
        <v>0</v>
      </c>
    </row>
    <row r="380" spans="1:19" x14ac:dyDescent="0.2">
      <c r="A380" s="3" t="s">
        <v>54</v>
      </c>
      <c r="B380" s="3" t="s">
        <v>55</v>
      </c>
      <c r="C380">
        <v>5</v>
      </c>
      <c r="D380">
        <v>17000</v>
      </c>
      <c r="E380">
        <v>499</v>
      </c>
      <c r="F380">
        <v>1</v>
      </c>
      <c r="G380">
        <v>65872.258119671897</v>
      </c>
      <c r="H380">
        <v>0.32897122400000001</v>
      </c>
      <c r="I380">
        <v>14511</v>
      </c>
      <c r="J380">
        <v>4473</v>
      </c>
      <c r="K380">
        <v>10038</v>
      </c>
      <c r="L380">
        <v>500</v>
      </c>
      <c r="M380">
        <v>499</v>
      </c>
      <c r="N380">
        <v>1</v>
      </c>
      <c r="O380">
        <v>8995.4599739657006</v>
      </c>
      <c r="P380" s="3" t="s">
        <v>52</v>
      </c>
      <c r="Q380">
        <v>50</v>
      </c>
      <c r="R380">
        <v>0.999</v>
      </c>
      <c r="S380">
        <v>0</v>
      </c>
    </row>
    <row r="381" spans="1:19" x14ac:dyDescent="0.2">
      <c r="A381" s="3" t="s">
        <v>54</v>
      </c>
      <c r="B381" s="3" t="s">
        <v>55</v>
      </c>
      <c r="C381">
        <v>36</v>
      </c>
      <c r="D381">
        <v>17000</v>
      </c>
      <c r="E381">
        <v>499</v>
      </c>
      <c r="F381">
        <v>1</v>
      </c>
      <c r="G381">
        <v>65872.258119671897</v>
      </c>
      <c r="H381">
        <v>0.32795533199999999</v>
      </c>
      <c r="I381">
        <v>14529</v>
      </c>
      <c r="J381">
        <v>4466</v>
      </c>
      <c r="K381">
        <v>10063</v>
      </c>
      <c r="L381">
        <v>500</v>
      </c>
      <c r="M381">
        <v>499</v>
      </c>
      <c r="N381">
        <v>1</v>
      </c>
      <c r="O381">
        <v>8986.6912280870001</v>
      </c>
      <c r="P381" s="3" t="s">
        <v>52</v>
      </c>
      <c r="Q381">
        <v>50</v>
      </c>
      <c r="R381">
        <v>0.999</v>
      </c>
      <c r="S381">
        <v>0</v>
      </c>
    </row>
    <row r="382" spans="1:19" x14ac:dyDescent="0.2">
      <c r="A382" s="3" t="s">
        <v>54</v>
      </c>
      <c r="B382" s="3" t="s">
        <v>55</v>
      </c>
      <c r="C382">
        <v>30</v>
      </c>
      <c r="D382">
        <v>17000</v>
      </c>
      <c r="E382">
        <v>499</v>
      </c>
      <c r="F382">
        <v>1</v>
      </c>
      <c r="G382">
        <v>65872.258119671897</v>
      </c>
      <c r="H382">
        <v>0.32783372599999999</v>
      </c>
      <c r="I382">
        <v>14495</v>
      </c>
      <c r="J382">
        <v>4488</v>
      </c>
      <c r="K382">
        <v>10007</v>
      </c>
      <c r="L382">
        <v>500</v>
      </c>
      <c r="M382">
        <v>499</v>
      </c>
      <c r="N382">
        <v>1</v>
      </c>
      <c r="O382">
        <v>9121.5057580651992</v>
      </c>
      <c r="P382" s="3" t="s">
        <v>50</v>
      </c>
      <c r="Q382">
        <v>50</v>
      </c>
      <c r="R382">
        <v>0.999</v>
      </c>
      <c r="S382">
        <v>0</v>
      </c>
    </row>
    <row r="383" spans="1:19" x14ac:dyDescent="0.2">
      <c r="A383" s="3" t="s">
        <v>54</v>
      </c>
      <c r="B383" s="3" t="s">
        <v>55</v>
      </c>
      <c r="C383">
        <v>2</v>
      </c>
      <c r="D383">
        <v>17000</v>
      </c>
      <c r="E383">
        <v>499</v>
      </c>
      <c r="F383">
        <v>1</v>
      </c>
      <c r="G383">
        <v>65872.258119671897</v>
      </c>
      <c r="H383">
        <v>0.32773819199999998</v>
      </c>
      <c r="I383">
        <v>14507</v>
      </c>
      <c r="J383">
        <v>4478</v>
      </c>
      <c r="K383">
        <v>10029</v>
      </c>
      <c r="L383">
        <v>500</v>
      </c>
      <c r="M383">
        <v>499</v>
      </c>
      <c r="N383">
        <v>1</v>
      </c>
      <c r="O383">
        <v>9013.2844600731005</v>
      </c>
      <c r="P383" s="3" t="s">
        <v>52</v>
      </c>
      <c r="Q383">
        <v>50</v>
      </c>
      <c r="R383">
        <v>0.999</v>
      </c>
      <c r="S383">
        <v>0</v>
      </c>
    </row>
    <row r="384" spans="1:19" x14ac:dyDescent="0.2">
      <c r="A384" s="3" t="s">
        <v>54</v>
      </c>
      <c r="B384" s="3" t="s">
        <v>55</v>
      </c>
      <c r="C384">
        <v>11</v>
      </c>
      <c r="D384">
        <v>17000</v>
      </c>
      <c r="E384">
        <v>499</v>
      </c>
      <c r="F384">
        <v>1</v>
      </c>
      <c r="G384">
        <v>65872.258119671897</v>
      </c>
      <c r="H384">
        <v>0.327672668</v>
      </c>
      <c r="I384">
        <v>14469</v>
      </c>
      <c r="J384">
        <v>4460</v>
      </c>
      <c r="K384">
        <v>10009</v>
      </c>
      <c r="L384">
        <v>500</v>
      </c>
      <c r="M384">
        <v>499</v>
      </c>
      <c r="N384">
        <v>1</v>
      </c>
      <c r="O384">
        <v>9089.5592986495994</v>
      </c>
      <c r="P384" s="3" t="s">
        <v>52</v>
      </c>
      <c r="Q384">
        <v>50</v>
      </c>
      <c r="R384">
        <v>0.999</v>
      </c>
      <c r="S384">
        <v>0</v>
      </c>
    </row>
    <row r="385" spans="1:19" x14ac:dyDescent="0.2">
      <c r="A385" s="3" t="s">
        <v>54</v>
      </c>
      <c r="B385" s="3" t="s">
        <v>55</v>
      </c>
      <c r="C385">
        <v>7</v>
      </c>
      <c r="D385">
        <v>17000</v>
      </c>
      <c r="E385">
        <v>499</v>
      </c>
      <c r="F385">
        <v>1</v>
      </c>
      <c r="G385">
        <v>65872.258119671897</v>
      </c>
      <c r="H385">
        <v>0.32702610900000001</v>
      </c>
      <c r="I385">
        <v>14463</v>
      </c>
      <c r="J385">
        <v>4516</v>
      </c>
      <c r="K385">
        <v>9947</v>
      </c>
      <c r="L385">
        <v>500</v>
      </c>
      <c r="M385">
        <v>499</v>
      </c>
      <c r="N385">
        <v>1</v>
      </c>
      <c r="O385">
        <v>9067.9336480060992</v>
      </c>
      <c r="P385" s="3" t="s">
        <v>50</v>
      </c>
      <c r="Q385">
        <v>50</v>
      </c>
      <c r="R385">
        <v>0.999</v>
      </c>
      <c r="S385">
        <v>0</v>
      </c>
    </row>
    <row r="386" spans="1:19" x14ac:dyDescent="0.2">
      <c r="A386" s="3" t="s">
        <v>54</v>
      </c>
      <c r="B386" s="3" t="s">
        <v>55</v>
      </c>
      <c r="C386">
        <v>20</v>
      </c>
      <c r="D386">
        <v>17000</v>
      </c>
      <c r="E386">
        <v>499</v>
      </c>
      <c r="F386">
        <v>1</v>
      </c>
      <c r="G386">
        <v>65872.258119671897</v>
      </c>
      <c r="H386">
        <v>0.32681737700000002</v>
      </c>
      <c r="I386">
        <v>14519</v>
      </c>
      <c r="J386">
        <v>4472</v>
      </c>
      <c r="K386">
        <v>10047</v>
      </c>
      <c r="L386">
        <v>500</v>
      </c>
      <c r="M386">
        <v>499</v>
      </c>
      <c r="N386">
        <v>1</v>
      </c>
      <c r="O386">
        <v>8978.9877493074</v>
      </c>
      <c r="P386" s="3" t="s">
        <v>52</v>
      </c>
      <c r="Q386">
        <v>50</v>
      </c>
      <c r="R386">
        <v>0.999</v>
      </c>
      <c r="S386">
        <v>0</v>
      </c>
    </row>
    <row r="387" spans="1:19" x14ac:dyDescent="0.2">
      <c r="A387" s="3" t="s">
        <v>54</v>
      </c>
      <c r="B387" s="3" t="s">
        <v>55</v>
      </c>
      <c r="C387">
        <v>45</v>
      </c>
      <c r="D387">
        <v>17000</v>
      </c>
      <c r="E387">
        <v>499</v>
      </c>
      <c r="F387">
        <v>1</v>
      </c>
      <c r="G387">
        <v>65872.258119671897</v>
      </c>
      <c r="H387">
        <v>0.32666173599999998</v>
      </c>
      <c r="I387">
        <v>14510</v>
      </c>
      <c r="J387">
        <v>4471</v>
      </c>
      <c r="K387">
        <v>10039</v>
      </c>
      <c r="L387">
        <v>500</v>
      </c>
      <c r="M387">
        <v>499</v>
      </c>
      <c r="N387">
        <v>1</v>
      </c>
      <c r="O387">
        <v>8999.7597631470999</v>
      </c>
      <c r="P387" s="3" t="s">
        <v>50</v>
      </c>
      <c r="Q387">
        <v>50</v>
      </c>
      <c r="R387">
        <v>0.999</v>
      </c>
      <c r="S387">
        <v>0</v>
      </c>
    </row>
    <row r="388" spans="1:19" x14ac:dyDescent="0.2">
      <c r="A388" s="3" t="s">
        <v>54</v>
      </c>
      <c r="B388" s="3" t="s">
        <v>55</v>
      </c>
      <c r="C388">
        <v>15</v>
      </c>
      <c r="D388">
        <v>17000</v>
      </c>
      <c r="E388">
        <v>499</v>
      </c>
      <c r="F388">
        <v>1</v>
      </c>
      <c r="G388">
        <v>65872.258119671897</v>
      </c>
      <c r="H388">
        <v>0.32557199799999997</v>
      </c>
      <c r="I388">
        <v>14482</v>
      </c>
      <c r="J388">
        <v>4520</v>
      </c>
      <c r="K388">
        <v>9962</v>
      </c>
      <c r="L388">
        <v>500</v>
      </c>
      <c r="M388">
        <v>499</v>
      </c>
      <c r="N388">
        <v>1</v>
      </c>
      <c r="O388">
        <v>9061.4519453707999</v>
      </c>
      <c r="P388" s="3" t="s">
        <v>50</v>
      </c>
      <c r="Q388">
        <v>50</v>
      </c>
      <c r="R388">
        <v>0.999</v>
      </c>
      <c r="S388">
        <v>0</v>
      </c>
    </row>
    <row r="389" spans="1:19" x14ac:dyDescent="0.2">
      <c r="A389" s="3" t="s">
        <v>54</v>
      </c>
      <c r="B389" s="3" t="s">
        <v>55</v>
      </c>
      <c r="C389">
        <v>49</v>
      </c>
      <c r="D389">
        <v>17000</v>
      </c>
      <c r="E389">
        <v>499</v>
      </c>
      <c r="F389">
        <v>1</v>
      </c>
      <c r="G389">
        <v>65872.258119671897</v>
      </c>
      <c r="H389">
        <v>0.324586612</v>
      </c>
      <c r="I389">
        <v>14475</v>
      </c>
      <c r="J389">
        <v>4496</v>
      </c>
      <c r="K389">
        <v>9979</v>
      </c>
      <c r="L389">
        <v>500</v>
      </c>
      <c r="M389">
        <v>499</v>
      </c>
      <c r="N389">
        <v>1</v>
      </c>
      <c r="O389">
        <v>9111.5937991101</v>
      </c>
      <c r="P389" s="3" t="s">
        <v>52</v>
      </c>
      <c r="Q389">
        <v>50</v>
      </c>
      <c r="R389">
        <v>0.999</v>
      </c>
      <c r="S389">
        <v>0</v>
      </c>
    </row>
    <row r="390" spans="1:19" x14ac:dyDescent="0.2">
      <c r="A390" s="3" t="s">
        <v>54</v>
      </c>
      <c r="B390" s="3" t="s">
        <v>55</v>
      </c>
      <c r="C390">
        <v>1</v>
      </c>
      <c r="D390">
        <v>17000</v>
      </c>
      <c r="E390">
        <v>499</v>
      </c>
      <c r="F390">
        <v>1</v>
      </c>
      <c r="G390">
        <v>65872.258119671897</v>
      </c>
      <c r="H390">
        <v>0.32430368399999998</v>
      </c>
      <c r="I390">
        <v>14514</v>
      </c>
      <c r="J390">
        <v>4475</v>
      </c>
      <c r="K390">
        <v>10039</v>
      </c>
      <c r="L390">
        <v>500</v>
      </c>
      <c r="M390">
        <v>499</v>
      </c>
      <c r="N390">
        <v>1</v>
      </c>
      <c r="O390">
        <v>8969.2507402178999</v>
      </c>
      <c r="P390" s="3" t="s">
        <v>50</v>
      </c>
      <c r="Q390">
        <v>50</v>
      </c>
      <c r="R390">
        <v>0.999</v>
      </c>
      <c r="S390">
        <v>0</v>
      </c>
    </row>
    <row r="391" spans="1:19" x14ac:dyDescent="0.2">
      <c r="A391" s="3" t="s">
        <v>54</v>
      </c>
      <c r="B391" s="3" t="s">
        <v>55</v>
      </c>
      <c r="C391">
        <v>35</v>
      </c>
      <c r="D391">
        <v>17000</v>
      </c>
      <c r="E391">
        <v>499</v>
      </c>
      <c r="F391">
        <v>1</v>
      </c>
      <c r="G391">
        <v>65872.258119671897</v>
      </c>
      <c r="H391">
        <v>0.323906584</v>
      </c>
      <c r="I391">
        <v>14480</v>
      </c>
      <c r="J391">
        <v>4469</v>
      </c>
      <c r="K391">
        <v>10011</v>
      </c>
      <c r="L391">
        <v>500</v>
      </c>
      <c r="M391">
        <v>499</v>
      </c>
      <c r="N391">
        <v>1</v>
      </c>
      <c r="O391">
        <v>9057.6720515042998</v>
      </c>
      <c r="P391" s="3" t="s">
        <v>52</v>
      </c>
      <c r="Q391">
        <v>50</v>
      </c>
      <c r="R391">
        <v>0.999</v>
      </c>
      <c r="S391">
        <v>0</v>
      </c>
    </row>
    <row r="392" spans="1:19" x14ac:dyDescent="0.2">
      <c r="A392" s="3" t="s">
        <v>54</v>
      </c>
      <c r="B392" s="3" t="s">
        <v>55</v>
      </c>
      <c r="C392">
        <v>44</v>
      </c>
      <c r="D392">
        <v>17000</v>
      </c>
      <c r="E392">
        <v>499</v>
      </c>
      <c r="F392">
        <v>1</v>
      </c>
      <c r="G392">
        <v>65872.258119671897</v>
      </c>
      <c r="H392">
        <v>0.32376925000000001</v>
      </c>
      <c r="I392">
        <v>14521</v>
      </c>
      <c r="J392">
        <v>4531</v>
      </c>
      <c r="K392">
        <v>9990</v>
      </c>
      <c r="L392">
        <v>500</v>
      </c>
      <c r="M392">
        <v>499</v>
      </c>
      <c r="N392">
        <v>1</v>
      </c>
      <c r="O392">
        <v>8940.3211261068009</v>
      </c>
      <c r="P392" s="3" t="s">
        <v>52</v>
      </c>
      <c r="Q392">
        <v>50</v>
      </c>
      <c r="R392">
        <v>0.999</v>
      </c>
      <c r="S392">
        <v>0</v>
      </c>
    </row>
    <row r="393" spans="1:19" x14ac:dyDescent="0.2">
      <c r="A393" s="3" t="s">
        <v>54</v>
      </c>
      <c r="B393" s="3" t="s">
        <v>55</v>
      </c>
      <c r="C393">
        <v>19</v>
      </c>
      <c r="D393">
        <v>17000</v>
      </c>
      <c r="E393">
        <v>499</v>
      </c>
      <c r="F393">
        <v>1</v>
      </c>
      <c r="G393">
        <v>65872.258119671897</v>
      </c>
      <c r="H393">
        <v>0.323549792</v>
      </c>
      <c r="I393">
        <v>14495</v>
      </c>
      <c r="J393">
        <v>4520</v>
      </c>
      <c r="K393">
        <v>9975</v>
      </c>
      <c r="L393">
        <v>500</v>
      </c>
      <c r="M393">
        <v>499</v>
      </c>
      <c r="N393">
        <v>1</v>
      </c>
      <c r="O393">
        <v>8933.6095898470994</v>
      </c>
      <c r="P393" s="3" t="s">
        <v>52</v>
      </c>
      <c r="Q393">
        <v>50</v>
      </c>
      <c r="R393">
        <v>0.999</v>
      </c>
      <c r="S393">
        <v>0</v>
      </c>
    </row>
    <row r="394" spans="1:19" x14ac:dyDescent="0.2">
      <c r="A394" s="3" t="s">
        <v>54</v>
      </c>
      <c r="B394" s="3" t="s">
        <v>55</v>
      </c>
      <c r="C394">
        <v>29</v>
      </c>
      <c r="D394">
        <v>17000</v>
      </c>
      <c r="E394">
        <v>499</v>
      </c>
      <c r="F394">
        <v>1</v>
      </c>
      <c r="G394">
        <v>65872.258119671897</v>
      </c>
      <c r="H394">
        <v>0.32351628799999999</v>
      </c>
      <c r="I394">
        <v>14489</v>
      </c>
      <c r="J394">
        <v>4510</v>
      </c>
      <c r="K394">
        <v>9979</v>
      </c>
      <c r="L394">
        <v>500</v>
      </c>
      <c r="M394">
        <v>499</v>
      </c>
      <c r="N394">
        <v>1</v>
      </c>
      <c r="O394">
        <v>9056.0048862463991</v>
      </c>
      <c r="P394" s="3" t="s">
        <v>52</v>
      </c>
      <c r="Q394">
        <v>50</v>
      </c>
      <c r="R394">
        <v>0.999</v>
      </c>
      <c r="S394">
        <v>0</v>
      </c>
    </row>
    <row r="395" spans="1:19" x14ac:dyDescent="0.2">
      <c r="A395" s="3" t="s">
        <v>54</v>
      </c>
      <c r="B395" s="3" t="s">
        <v>55</v>
      </c>
      <c r="C395">
        <v>32</v>
      </c>
      <c r="D395">
        <v>17000</v>
      </c>
      <c r="E395">
        <v>499</v>
      </c>
      <c r="F395">
        <v>1</v>
      </c>
      <c r="G395">
        <v>65872.258119671897</v>
      </c>
      <c r="H395">
        <v>0.32307287899999998</v>
      </c>
      <c r="I395">
        <v>14534</v>
      </c>
      <c r="J395">
        <v>4541</v>
      </c>
      <c r="K395">
        <v>9993</v>
      </c>
      <c r="L395">
        <v>500</v>
      </c>
      <c r="M395">
        <v>499</v>
      </c>
      <c r="N395">
        <v>1</v>
      </c>
      <c r="O395">
        <v>8903.1575486945003</v>
      </c>
      <c r="P395" s="3" t="s">
        <v>52</v>
      </c>
      <c r="Q395">
        <v>50</v>
      </c>
      <c r="R395">
        <v>0.999</v>
      </c>
      <c r="S395">
        <v>0</v>
      </c>
    </row>
    <row r="396" spans="1:19" x14ac:dyDescent="0.2">
      <c r="A396" s="3" t="s">
        <v>54</v>
      </c>
      <c r="B396" s="3" t="s">
        <v>55</v>
      </c>
      <c r="C396">
        <v>46</v>
      </c>
      <c r="D396">
        <v>17000</v>
      </c>
      <c r="E396">
        <v>499</v>
      </c>
      <c r="F396">
        <v>1</v>
      </c>
      <c r="G396">
        <v>65872.258119671897</v>
      </c>
      <c r="H396">
        <v>0.32207907800000002</v>
      </c>
      <c r="I396">
        <v>14512</v>
      </c>
      <c r="J396">
        <v>4506</v>
      </c>
      <c r="K396">
        <v>10006</v>
      </c>
      <c r="L396">
        <v>500</v>
      </c>
      <c r="M396">
        <v>499</v>
      </c>
      <c r="N396">
        <v>1</v>
      </c>
      <c r="O396">
        <v>9015.6561431944992</v>
      </c>
      <c r="P396" s="3" t="s">
        <v>52</v>
      </c>
      <c r="Q396">
        <v>50</v>
      </c>
      <c r="R396">
        <v>0.999</v>
      </c>
      <c r="S396">
        <v>0</v>
      </c>
    </row>
    <row r="397" spans="1:19" x14ac:dyDescent="0.2">
      <c r="A397" s="3" t="s">
        <v>54</v>
      </c>
      <c r="B397" s="3" t="s">
        <v>55</v>
      </c>
      <c r="C397">
        <v>36</v>
      </c>
      <c r="D397">
        <v>17000</v>
      </c>
      <c r="E397">
        <v>499</v>
      </c>
      <c r="F397">
        <v>1</v>
      </c>
      <c r="G397">
        <v>65872.258119671897</v>
      </c>
      <c r="H397">
        <v>0.32194061499999999</v>
      </c>
      <c r="I397">
        <v>14505</v>
      </c>
      <c r="J397">
        <v>4534</v>
      </c>
      <c r="K397">
        <v>9971</v>
      </c>
      <c r="L397">
        <v>500</v>
      </c>
      <c r="M397">
        <v>499</v>
      </c>
      <c r="N397">
        <v>1</v>
      </c>
      <c r="O397">
        <v>8964.7607118675005</v>
      </c>
      <c r="P397" s="3" t="s">
        <v>50</v>
      </c>
      <c r="Q397">
        <v>50</v>
      </c>
      <c r="R397">
        <v>0.999</v>
      </c>
      <c r="S397">
        <v>0</v>
      </c>
    </row>
    <row r="398" spans="1:19" x14ac:dyDescent="0.2">
      <c r="A398" s="3" t="s">
        <v>54</v>
      </c>
      <c r="B398" s="3" t="s">
        <v>55</v>
      </c>
      <c r="C398">
        <v>43</v>
      </c>
      <c r="D398">
        <v>17000</v>
      </c>
      <c r="E398">
        <v>499</v>
      </c>
      <c r="F398">
        <v>1</v>
      </c>
      <c r="G398">
        <v>65872.258119671897</v>
      </c>
      <c r="H398">
        <v>0.320903942</v>
      </c>
      <c r="I398">
        <v>14524</v>
      </c>
      <c r="J398">
        <v>4520</v>
      </c>
      <c r="K398">
        <v>10004</v>
      </c>
      <c r="L398">
        <v>500</v>
      </c>
      <c r="M398">
        <v>499</v>
      </c>
      <c r="N398">
        <v>1</v>
      </c>
      <c r="O398">
        <v>8989.0618116025998</v>
      </c>
      <c r="P398" s="3" t="s">
        <v>52</v>
      </c>
      <c r="Q398">
        <v>50</v>
      </c>
      <c r="R398">
        <v>0.999</v>
      </c>
      <c r="S398">
        <v>0</v>
      </c>
    </row>
    <row r="399" spans="1:19" x14ac:dyDescent="0.2">
      <c r="A399" s="3" t="s">
        <v>54</v>
      </c>
      <c r="B399" s="3" t="s">
        <v>55</v>
      </c>
      <c r="C399">
        <v>40</v>
      </c>
      <c r="D399">
        <v>17000</v>
      </c>
      <c r="E399">
        <v>499</v>
      </c>
      <c r="F399">
        <v>1</v>
      </c>
      <c r="G399">
        <v>65872.258119671897</v>
      </c>
      <c r="H399">
        <v>0.32086330600000001</v>
      </c>
      <c r="I399">
        <v>14510</v>
      </c>
      <c r="J399">
        <v>4497</v>
      </c>
      <c r="K399">
        <v>10013</v>
      </c>
      <c r="L399">
        <v>500</v>
      </c>
      <c r="M399">
        <v>499</v>
      </c>
      <c r="N399">
        <v>1</v>
      </c>
      <c r="O399">
        <v>9069.3197849692006</v>
      </c>
      <c r="P399" s="3" t="s">
        <v>52</v>
      </c>
      <c r="Q399">
        <v>50</v>
      </c>
      <c r="R399">
        <v>0.999</v>
      </c>
      <c r="S399">
        <v>0</v>
      </c>
    </row>
    <row r="400" spans="1:19" x14ac:dyDescent="0.2">
      <c r="A400" s="3" t="s">
        <v>54</v>
      </c>
      <c r="B400" s="3" t="s">
        <v>55</v>
      </c>
      <c r="C400">
        <v>3</v>
      </c>
      <c r="D400">
        <v>17000</v>
      </c>
      <c r="E400">
        <v>499</v>
      </c>
      <c r="F400">
        <v>1</v>
      </c>
      <c r="G400">
        <v>65872.258119671897</v>
      </c>
      <c r="H400">
        <v>0.32036022400000003</v>
      </c>
      <c r="I400">
        <v>14527</v>
      </c>
      <c r="J400">
        <v>4500</v>
      </c>
      <c r="K400">
        <v>10027</v>
      </c>
      <c r="L400">
        <v>500</v>
      </c>
      <c r="M400">
        <v>499</v>
      </c>
      <c r="N400">
        <v>1</v>
      </c>
      <c r="O400">
        <v>8981.6972572383002</v>
      </c>
      <c r="P400" s="3" t="s">
        <v>52</v>
      </c>
      <c r="Q400">
        <v>50</v>
      </c>
      <c r="R400">
        <v>0.999</v>
      </c>
      <c r="S400">
        <v>0</v>
      </c>
    </row>
    <row r="401" spans="1:19" x14ac:dyDescent="0.2">
      <c r="A401" s="3" t="s">
        <v>54</v>
      </c>
      <c r="B401" s="3" t="s">
        <v>55</v>
      </c>
      <c r="C401">
        <v>37</v>
      </c>
      <c r="D401">
        <v>17000</v>
      </c>
      <c r="E401">
        <v>499</v>
      </c>
      <c r="F401">
        <v>1</v>
      </c>
      <c r="G401">
        <v>65872.258119671897</v>
      </c>
      <c r="H401">
        <v>0.320335447</v>
      </c>
      <c r="I401">
        <v>14523</v>
      </c>
      <c r="J401">
        <v>4442</v>
      </c>
      <c r="K401">
        <v>10081</v>
      </c>
      <c r="L401">
        <v>500</v>
      </c>
      <c r="M401">
        <v>499</v>
      </c>
      <c r="N401">
        <v>1</v>
      </c>
      <c r="O401">
        <v>8950.9797772157999</v>
      </c>
      <c r="P401" s="3" t="s">
        <v>52</v>
      </c>
      <c r="Q401">
        <v>50</v>
      </c>
      <c r="R401">
        <v>0.999</v>
      </c>
      <c r="S401">
        <v>0</v>
      </c>
    </row>
    <row r="402" spans="1:19" x14ac:dyDescent="0.2">
      <c r="A402" s="3" t="s">
        <v>54</v>
      </c>
      <c r="B402" s="3" t="s">
        <v>55</v>
      </c>
      <c r="C402">
        <v>24</v>
      </c>
      <c r="D402">
        <v>17000</v>
      </c>
      <c r="E402">
        <v>499</v>
      </c>
      <c r="F402">
        <v>1</v>
      </c>
      <c r="G402">
        <v>65872.258119671897</v>
      </c>
      <c r="H402">
        <v>0.31951089900000001</v>
      </c>
      <c r="I402">
        <v>14503</v>
      </c>
      <c r="J402">
        <v>4457</v>
      </c>
      <c r="K402">
        <v>10046</v>
      </c>
      <c r="L402">
        <v>500</v>
      </c>
      <c r="M402">
        <v>499</v>
      </c>
      <c r="N402">
        <v>1</v>
      </c>
      <c r="O402">
        <v>9034.6579967248999</v>
      </c>
      <c r="P402" s="3" t="s">
        <v>52</v>
      </c>
      <c r="Q402">
        <v>50</v>
      </c>
      <c r="R402">
        <v>0.999</v>
      </c>
      <c r="S402">
        <v>0</v>
      </c>
    </row>
    <row r="403" spans="1:19" x14ac:dyDescent="0.2">
      <c r="A403" s="3" t="s">
        <v>54</v>
      </c>
      <c r="B403" s="3" t="s">
        <v>55</v>
      </c>
      <c r="C403">
        <v>16</v>
      </c>
      <c r="D403">
        <v>17000</v>
      </c>
      <c r="E403">
        <v>499</v>
      </c>
      <c r="F403">
        <v>1</v>
      </c>
      <c r="G403">
        <v>65872.258119671897</v>
      </c>
      <c r="H403">
        <v>0.31925139299999999</v>
      </c>
      <c r="I403">
        <v>14523</v>
      </c>
      <c r="J403">
        <v>4497</v>
      </c>
      <c r="K403">
        <v>10026</v>
      </c>
      <c r="L403">
        <v>500</v>
      </c>
      <c r="M403">
        <v>499</v>
      </c>
      <c r="N403">
        <v>1</v>
      </c>
      <c r="O403">
        <v>8977.0166477246003</v>
      </c>
      <c r="P403" s="3" t="s">
        <v>52</v>
      </c>
      <c r="Q403">
        <v>50</v>
      </c>
      <c r="R403">
        <v>0.999</v>
      </c>
      <c r="S403">
        <v>0</v>
      </c>
    </row>
    <row r="404" spans="1:19" x14ac:dyDescent="0.2">
      <c r="A404" s="3" t="s">
        <v>54</v>
      </c>
      <c r="B404" s="3" t="s">
        <v>55</v>
      </c>
      <c r="C404">
        <v>18</v>
      </c>
      <c r="D404">
        <v>17000</v>
      </c>
      <c r="E404">
        <v>499</v>
      </c>
      <c r="F404">
        <v>1</v>
      </c>
      <c r="G404">
        <v>65872.258119671897</v>
      </c>
      <c r="H404">
        <v>0.31887275500000001</v>
      </c>
      <c r="I404">
        <v>14476</v>
      </c>
      <c r="J404">
        <v>4479</v>
      </c>
      <c r="K404">
        <v>9997</v>
      </c>
      <c r="L404">
        <v>500</v>
      </c>
      <c r="M404">
        <v>499</v>
      </c>
      <c r="N404">
        <v>1</v>
      </c>
      <c r="O404">
        <v>9022.3917546703997</v>
      </c>
      <c r="P404" s="3" t="s">
        <v>52</v>
      </c>
      <c r="Q404">
        <v>50</v>
      </c>
      <c r="R404">
        <v>0.999</v>
      </c>
      <c r="S404">
        <v>0</v>
      </c>
    </row>
    <row r="405" spans="1:19" x14ac:dyDescent="0.2">
      <c r="A405" s="3" t="s">
        <v>54</v>
      </c>
      <c r="B405" s="3" t="s">
        <v>55</v>
      </c>
      <c r="C405">
        <v>38</v>
      </c>
      <c r="D405">
        <v>17000</v>
      </c>
      <c r="E405">
        <v>499</v>
      </c>
      <c r="F405">
        <v>1</v>
      </c>
      <c r="G405">
        <v>65872.258119671897</v>
      </c>
      <c r="H405">
        <v>0.31507702500000001</v>
      </c>
      <c r="I405">
        <v>14499</v>
      </c>
      <c r="J405">
        <v>4468</v>
      </c>
      <c r="K405">
        <v>10031</v>
      </c>
      <c r="L405">
        <v>500</v>
      </c>
      <c r="M405">
        <v>499</v>
      </c>
      <c r="N405">
        <v>1</v>
      </c>
      <c r="O405">
        <v>9062.2659813975006</v>
      </c>
      <c r="P405" s="3" t="s">
        <v>52</v>
      </c>
      <c r="Q405">
        <v>50</v>
      </c>
      <c r="R405">
        <v>0.999</v>
      </c>
      <c r="S405">
        <v>0</v>
      </c>
    </row>
    <row r="406" spans="1:19" x14ac:dyDescent="0.2">
      <c r="A406" s="3" t="s">
        <v>54</v>
      </c>
      <c r="B406" s="3" t="s">
        <v>55</v>
      </c>
      <c r="C406">
        <v>6</v>
      </c>
      <c r="D406">
        <v>16000</v>
      </c>
      <c r="E406">
        <v>499</v>
      </c>
      <c r="F406">
        <v>1</v>
      </c>
      <c r="G406">
        <v>64781.839036288002</v>
      </c>
      <c r="H406">
        <v>0.27724552600000002</v>
      </c>
      <c r="I406">
        <v>14068</v>
      </c>
      <c r="J406">
        <v>4393</v>
      </c>
      <c r="K406">
        <v>9675</v>
      </c>
      <c r="L406">
        <v>500</v>
      </c>
      <c r="M406">
        <v>499</v>
      </c>
      <c r="N406">
        <v>1</v>
      </c>
      <c r="O406">
        <v>7427.0421348138998</v>
      </c>
      <c r="P406" s="3" t="s">
        <v>50</v>
      </c>
      <c r="Q406">
        <v>50</v>
      </c>
      <c r="R406">
        <v>0.999</v>
      </c>
      <c r="S406">
        <v>0</v>
      </c>
    </row>
    <row r="407" spans="1:19" x14ac:dyDescent="0.2">
      <c r="A407" s="3" t="s">
        <v>54</v>
      </c>
      <c r="B407" s="3" t="s">
        <v>55</v>
      </c>
      <c r="C407">
        <v>3</v>
      </c>
      <c r="D407">
        <v>16000</v>
      </c>
      <c r="E407">
        <v>499</v>
      </c>
      <c r="F407">
        <v>1</v>
      </c>
      <c r="G407">
        <v>64781.839036288002</v>
      </c>
      <c r="H407">
        <v>0.27663719199999998</v>
      </c>
      <c r="I407">
        <v>14078</v>
      </c>
      <c r="J407">
        <v>4365</v>
      </c>
      <c r="K407">
        <v>9713</v>
      </c>
      <c r="L407">
        <v>500</v>
      </c>
      <c r="M407">
        <v>499</v>
      </c>
      <c r="N407">
        <v>1</v>
      </c>
      <c r="O407">
        <v>7476.7745574460996</v>
      </c>
      <c r="P407" s="3" t="s">
        <v>50</v>
      </c>
      <c r="Q407">
        <v>50</v>
      </c>
      <c r="R407">
        <v>0.999</v>
      </c>
      <c r="S407">
        <v>0</v>
      </c>
    </row>
    <row r="408" spans="1:19" x14ac:dyDescent="0.2">
      <c r="A408" s="3" t="s">
        <v>54</v>
      </c>
      <c r="B408" s="3" t="s">
        <v>55</v>
      </c>
      <c r="C408">
        <v>36</v>
      </c>
      <c r="D408">
        <v>16000</v>
      </c>
      <c r="E408">
        <v>499</v>
      </c>
      <c r="F408">
        <v>1</v>
      </c>
      <c r="G408">
        <v>64781.839036288002</v>
      </c>
      <c r="H408">
        <v>0.27648787699999999</v>
      </c>
      <c r="I408">
        <v>14081</v>
      </c>
      <c r="J408">
        <v>4379</v>
      </c>
      <c r="K408">
        <v>9702</v>
      </c>
      <c r="L408">
        <v>500</v>
      </c>
      <c r="M408">
        <v>499</v>
      </c>
      <c r="N408">
        <v>1</v>
      </c>
      <c r="O408">
        <v>7362.4705367477</v>
      </c>
      <c r="P408" s="3" t="s">
        <v>52</v>
      </c>
      <c r="Q408">
        <v>50</v>
      </c>
      <c r="R408">
        <v>0.999</v>
      </c>
      <c r="S408">
        <v>0</v>
      </c>
    </row>
    <row r="409" spans="1:19" x14ac:dyDescent="0.2">
      <c r="A409" s="3" t="s">
        <v>54</v>
      </c>
      <c r="B409" s="3" t="s">
        <v>55</v>
      </c>
      <c r="C409">
        <v>37</v>
      </c>
      <c r="D409">
        <v>16000</v>
      </c>
      <c r="E409">
        <v>499</v>
      </c>
      <c r="F409">
        <v>1</v>
      </c>
      <c r="G409">
        <v>64781.839036288002</v>
      </c>
      <c r="H409">
        <v>0.275194667</v>
      </c>
      <c r="I409">
        <v>14064</v>
      </c>
      <c r="J409">
        <v>4355</v>
      </c>
      <c r="K409">
        <v>9709</v>
      </c>
      <c r="L409">
        <v>500</v>
      </c>
      <c r="M409">
        <v>499</v>
      </c>
      <c r="N409">
        <v>1</v>
      </c>
      <c r="O409">
        <v>7382.1093429903003</v>
      </c>
      <c r="P409" s="3" t="s">
        <v>52</v>
      </c>
      <c r="Q409">
        <v>50</v>
      </c>
      <c r="R409">
        <v>0.999</v>
      </c>
      <c r="S409">
        <v>0</v>
      </c>
    </row>
    <row r="410" spans="1:19" x14ac:dyDescent="0.2">
      <c r="A410" s="3" t="s">
        <v>54</v>
      </c>
      <c r="B410" s="3" t="s">
        <v>55</v>
      </c>
      <c r="C410">
        <v>47</v>
      </c>
      <c r="D410">
        <v>16000</v>
      </c>
      <c r="E410">
        <v>499</v>
      </c>
      <c r="F410">
        <v>1</v>
      </c>
      <c r="G410">
        <v>64781.839036288002</v>
      </c>
      <c r="H410">
        <v>0.27450693300000001</v>
      </c>
      <c r="I410">
        <v>14097</v>
      </c>
      <c r="J410">
        <v>4379</v>
      </c>
      <c r="K410">
        <v>9718</v>
      </c>
      <c r="L410">
        <v>500</v>
      </c>
      <c r="M410">
        <v>499</v>
      </c>
      <c r="N410">
        <v>1</v>
      </c>
      <c r="O410">
        <v>7534.9656264989999</v>
      </c>
      <c r="P410" s="3" t="s">
        <v>52</v>
      </c>
      <c r="Q410">
        <v>50</v>
      </c>
      <c r="R410">
        <v>0.999</v>
      </c>
      <c r="S410">
        <v>0</v>
      </c>
    </row>
    <row r="411" spans="1:19" x14ac:dyDescent="0.2">
      <c r="A411" s="3" t="s">
        <v>54</v>
      </c>
      <c r="B411" s="3" t="s">
        <v>55</v>
      </c>
      <c r="C411">
        <v>47</v>
      </c>
      <c r="D411">
        <v>16000</v>
      </c>
      <c r="E411">
        <v>499</v>
      </c>
      <c r="F411">
        <v>1</v>
      </c>
      <c r="G411">
        <v>64781.839036288002</v>
      </c>
      <c r="H411">
        <v>0.27391827800000002</v>
      </c>
      <c r="I411">
        <v>14056</v>
      </c>
      <c r="J411">
        <v>4367</v>
      </c>
      <c r="K411">
        <v>9689</v>
      </c>
      <c r="L411">
        <v>500</v>
      </c>
      <c r="M411">
        <v>499</v>
      </c>
      <c r="N411">
        <v>1</v>
      </c>
      <c r="O411">
        <v>7473.1222436331</v>
      </c>
      <c r="P411" s="3" t="s">
        <v>50</v>
      </c>
      <c r="Q411">
        <v>50</v>
      </c>
      <c r="R411">
        <v>0.999</v>
      </c>
      <c r="S411">
        <v>0</v>
      </c>
    </row>
    <row r="412" spans="1:19" x14ac:dyDescent="0.2">
      <c r="A412" s="3" t="s">
        <v>54</v>
      </c>
      <c r="B412" s="3" t="s">
        <v>55</v>
      </c>
      <c r="C412">
        <v>44</v>
      </c>
      <c r="D412">
        <v>16000</v>
      </c>
      <c r="E412">
        <v>499</v>
      </c>
      <c r="F412">
        <v>1</v>
      </c>
      <c r="G412">
        <v>64781.839036288002</v>
      </c>
      <c r="H412">
        <v>0.27315309500000001</v>
      </c>
      <c r="I412">
        <v>14077</v>
      </c>
      <c r="J412">
        <v>4373</v>
      </c>
      <c r="K412">
        <v>9704</v>
      </c>
      <c r="L412">
        <v>500</v>
      </c>
      <c r="M412">
        <v>499</v>
      </c>
      <c r="N412">
        <v>1</v>
      </c>
      <c r="O412">
        <v>7479.1318191401997</v>
      </c>
      <c r="P412" s="3" t="s">
        <v>50</v>
      </c>
      <c r="Q412">
        <v>50</v>
      </c>
      <c r="R412">
        <v>0.999</v>
      </c>
      <c r="S412">
        <v>0</v>
      </c>
    </row>
    <row r="413" spans="1:19" x14ac:dyDescent="0.2">
      <c r="A413" s="3" t="s">
        <v>54</v>
      </c>
      <c r="B413" s="3" t="s">
        <v>55</v>
      </c>
      <c r="C413">
        <v>5</v>
      </c>
      <c r="D413">
        <v>16000</v>
      </c>
      <c r="E413">
        <v>499</v>
      </c>
      <c r="F413">
        <v>1</v>
      </c>
      <c r="G413">
        <v>64781.839036288002</v>
      </c>
      <c r="H413">
        <v>0.27257079200000001</v>
      </c>
      <c r="I413">
        <v>14103</v>
      </c>
      <c r="J413">
        <v>4427</v>
      </c>
      <c r="K413">
        <v>9676</v>
      </c>
      <c r="L413">
        <v>500</v>
      </c>
      <c r="M413">
        <v>499</v>
      </c>
      <c r="N413">
        <v>1</v>
      </c>
      <c r="O413">
        <v>7424.9934527973001</v>
      </c>
      <c r="P413" s="3" t="s">
        <v>52</v>
      </c>
      <c r="Q413">
        <v>50</v>
      </c>
      <c r="R413">
        <v>0.999</v>
      </c>
      <c r="S413">
        <v>0</v>
      </c>
    </row>
    <row r="414" spans="1:19" x14ac:dyDescent="0.2">
      <c r="A414" s="3" t="s">
        <v>54</v>
      </c>
      <c r="B414" s="3" t="s">
        <v>55</v>
      </c>
      <c r="C414">
        <v>6</v>
      </c>
      <c r="D414">
        <v>16000</v>
      </c>
      <c r="E414">
        <v>499</v>
      </c>
      <c r="F414">
        <v>1</v>
      </c>
      <c r="G414">
        <v>64781.839036288002</v>
      </c>
      <c r="H414">
        <v>0.27230465599999998</v>
      </c>
      <c r="I414">
        <v>14082</v>
      </c>
      <c r="J414">
        <v>4366</v>
      </c>
      <c r="K414">
        <v>9716</v>
      </c>
      <c r="L414">
        <v>500</v>
      </c>
      <c r="M414">
        <v>499</v>
      </c>
      <c r="N414">
        <v>1</v>
      </c>
      <c r="O414">
        <v>7526.7502685586996</v>
      </c>
      <c r="P414" s="3" t="s">
        <v>52</v>
      </c>
      <c r="Q414">
        <v>50</v>
      </c>
      <c r="R414">
        <v>0.999</v>
      </c>
      <c r="S414">
        <v>0</v>
      </c>
    </row>
    <row r="415" spans="1:19" x14ac:dyDescent="0.2">
      <c r="A415" s="3" t="s">
        <v>54</v>
      </c>
      <c r="B415" s="3" t="s">
        <v>55</v>
      </c>
      <c r="C415">
        <v>22</v>
      </c>
      <c r="D415">
        <v>16000</v>
      </c>
      <c r="E415">
        <v>499</v>
      </c>
      <c r="F415">
        <v>1</v>
      </c>
      <c r="G415">
        <v>64781.839036288002</v>
      </c>
      <c r="H415">
        <v>0.272258428</v>
      </c>
      <c r="I415">
        <v>14084</v>
      </c>
      <c r="J415">
        <v>4401</v>
      </c>
      <c r="K415">
        <v>9683</v>
      </c>
      <c r="L415">
        <v>500</v>
      </c>
      <c r="M415">
        <v>499</v>
      </c>
      <c r="N415">
        <v>1</v>
      </c>
      <c r="O415">
        <v>7417.6209649099001</v>
      </c>
      <c r="P415" s="3" t="s">
        <v>52</v>
      </c>
      <c r="Q415">
        <v>50</v>
      </c>
      <c r="R415">
        <v>0.999</v>
      </c>
      <c r="S415">
        <v>0</v>
      </c>
    </row>
    <row r="416" spans="1:19" x14ac:dyDescent="0.2">
      <c r="A416" s="3" t="s">
        <v>54</v>
      </c>
      <c r="B416" s="3" t="s">
        <v>55</v>
      </c>
      <c r="C416">
        <v>4</v>
      </c>
      <c r="D416">
        <v>16000</v>
      </c>
      <c r="E416">
        <v>499</v>
      </c>
      <c r="F416">
        <v>1</v>
      </c>
      <c r="G416">
        <v>64781.839036288002</v>
      </c>
      <c r="H416">
        <v>0.27189155300000001</v>
      </c>
      <c r="I416">
        <v>14043</v>
      </c>
      <c r="J416">
        <v>4355</v>
      </c>
      <c r="K416">
        <v>9688</v>
      </c>
      <c r="L416">
        <v>500</v>
      </c>
      <c r="M416">
        <v>499</v>
      </c>
      <c r="N416">
        <v>1</v>
      </c>
      <c r="O416">
        <v>7529.9982573191</v>
      </c>
      <c r="P416" s="3" t="s">
        <v>50</v>
      </c>
      <c r="Q416">
        <v>50</v>
      </c>
      <c r="R416">
        <v>0.999</v>
      </c>
      <c r="S416">
        <v>0</v>
      </c>
    </row>
    <row r="417" spans="1:19" x14ac:dyDescent="0.2">
      <c r="A417" s="3" t="s">
        <v>54</v>
      </c>
      <c r="B417" s="3" t="s">
        <v>55</v>
      </c>
      <c r="C417">
        <v>8</v>
      </c>
      <c r="D417">
        <v>16000</v>
      </c>
      <c r="E417">
        <v>499</v>
      </c>
      <c r="F417">
        <v>1</v>
      </c>
      <c r="G417">
        <v>64781.839036288002</v>
      </c>
      <c r="H417">
        <v>0.27177862699999999</v>
      </c>
      <c r="I417">
        <v>14053</v>
      </c>
      <c r="J417">
        <v>4379</v>
      </c>
      <c r="K417">
        <v>9674</v>
      </c>
      <c r="L417">
        <v>500</v>
      </c>
      <c r="M417">
        <v>499</v>
      </c>
      <c r="N417">
        <v>1</v>
      </c>
      <c r="O417">
        <v>7464.0604160106004</v>
      </c>
      <c r="P417" s="3" t="s">
        <v>50</v>
      </c>
      <c r="Q417">
        <v>50</v>
      </c>
      <c r="R417">
        <v>0.999</v>
      </c>
      <c r="S417">
        <v>0</v>
      </c>
    </row>
    <row r="418" spans="1:19" x14ac:dyDescent="0.2">
      <c r="A418" s="3" t="s">
        <v>54</v>
      </c>
      <c r="B418" s="3" t="s">
        <v>55</v>
      </c>
      <c r="C418">
        <v>3</v>
      </c>
      <c r="D418">
        <v>16000</v>
      </c>
      <c r="E418">
        <v>499</v>
      </c>
      <c r="F418">
        <v>1</v>
      </c>
      <c r="G418">
        <v>64781.839036288002</v>
      </c>
      <c r="H418">
        <v>0.27116648100000001</v>
      </c>
      <c r="I418">
        <v>14055</v>
      </c>
      <c r="J418">
        <v>4339</v>
      </c>
      <c r="K418">
        <v>9716</v>
      </c>
      <c r="L418">
        <v>500</v>
      </c>
      <c r="M418">
        <v>499</v>
      </c>
      <c r="N418">
        <v>1</v>
      </c>
      <c r="O418">
        <v>7534.8159753491</v>
      </c>
      <c r="P418" s="3" t="s">
        <v>52</v>
      </c>
      <c r="Q418">
        <v>50</v>
      </c>
      <c r="R418">
        <v>0.999</v>
      </c>
      <c r="S418">
        <v>0</v>
      </c>
    </row>
    <row r="419" spans="1:19" x14ac:dyDescent="0.2">
      <c r="A419" s="3" t="s">
        <v>54</v>
      </c>
      <c r="B419" s="3" t="s">
        <v>55</v>
      </c>
      <c r="C419">
        <v>1</v>
      </c>
      <c r="D419">
        <v>16000</v>
      </c>
      <c r="E419">
        <v>499</v>
      </c>
      <c r="F419">
        <v>1</v>
      </c>
      <c r="G419">
        <v>64781.839036288002</v>
      </c>
      <c r="H419">
        <v>0.27033357400000002</v>
      </c>
      <c r="I419">
        <v>14095</v>
      </c>
      <c r="J419">
        <v>4354</v>
      </c>
      <c r="K419">
        <v>9741</v>
      </c>
      <c r="L419">
        <v>500</v>
      </c>
      <c r="M419">
        <v>499</v>
      </c>
      <c r="N419">
        <v>1</v>
      </c>
      <c r="O419">
        <v>7497.6682842238997</v>
      </c>
      <c r="P419" s="3" t="s">
        <v>50</v>
      </c>
      <c r="Q419">
        <v>50</v>
      </c>
      <c r="R419">
        <v>0.999</v>
      </c>
      <c r="S419">
        <v>0</v>
      </c>
    </row>
    <row r="420" spans="1:19" x14ac:dyDescent="0.2">
      <c r="A420" s="3" t="s">
        <v>54</v>
      </c>
      <c r="B420" s="3" t="s">
        <v>55</v>
      </c>
      <c r="C420">
        <v>36</v>
      </c>
      <c r="D420">
        <v>16000</v>
      </c>
      <c r="E420">
        <v>499</v>
      </c>
      <c r="F420">
        <v>1</v>
      </c>
      <c r="G420">
        <v>64781.839036288002</v>
      </c>
      <c r="H420">
        <v>0.27026377000000001</v>
      </c>
      <c r="I420">
        <v>14101</v>
      </c>
      <c r="J420">
        <v>4367</v>
      </c>
      <c r="K420">
        <v>9734</v>
      </c>
      <c r="L420">
        <v>500</v>
      </c>
      <c r="M420">
        <v>499</v>
      </c>
      <c r="N420">
        <v>1</v>
      </c>
      <c r="O420">
        <v>7455.0069910404</v>
      </c>
      <c r="P420" s="3" t="s">
        <v>50</v>
      </c>
      <c r="Q420">
        <v>50</v>
      </c>
      <c r="R420">
        <v>0.999</v>
      </c>
      <c r="S420">
        <v>0</v>
      </c>
    </row>
    <row r="421" spans="1:19" x14ac:dyDescent="0.2">
      <c r="A421" s="3" t="s">
        <v>54</v>
      </c>
      <c r="B421" s="3" t="s">
        <v>55</v>
      </c>
      <c r="C421">
        <v>46</v>
      </c>
      <c r="D421">
        <v>16000</v>
      </c>
      <c r="E421">
        <v>499</v>
      </c>
      <c r="F421">
        <v>1</v>
      </c>
      <c r="G421">
        <v>64781.839036288002</v>
      </c>
      <c r="H421">
        <v>0.27011133799999998</v>
      </c>
      <c r="I421">
        <v>14068</v>
      </c>
      <c r="J421">
        <v>4360</v>
      </c>
      <c r="K421">
        <v>9708</v>
      </c>
      <c r="L421">
        <v>500</v>
      </c>
      <c r="M421">
        <v>499</v>
      </c>
      <c r="N421">
        <v>1</v>
      </c>
      <c r="O421">
        <v>7559.1659438360002</v>
      </c>
      <c r="P421" s="3" t="s">
        <v>50</v>
      </c>
      <c r="Q421">
        <v>50</v>
      </c>
      <c r="R421">
        <v>0.999</v>
      </c>
      <c r="S421">
        <v>0</v>
      </c>
    </row>
    <row r="422" spans="1:19" x14ac:dyDescent="0.2">
      <c r="A422" s="3" t="s">
        <v>54</v>
      </c>
      <c r="B422" s="3" t="s">
        <v>55</v>
      </c>
      <c r="C422">
        <v>27</v>
      </c>
      <c r="D422">
        <v>16000</v>
      </c>
      <c r="E422">
        <v>499</v>
      </c>
      <c r="F422">
        <v>1</v>
      </c>
      <c r="G422">
        <v>64781.839036288002</v>
      </c>
      <c r="H422">
        <v>0.27007524799999999</v>
      </c>
      <c r="I422">
        <v>14059</v>
      </c>
      <c r="J422">
        <v>4381</v>
      </c>
      <c r="K422">
        <v>9678</v>
      </c>
      <c r="L422">
        <v>500</v>
      </c>
      <c r="M422">
        <v>499</v>
      </c>
      <c r="N422">
        <v>1</v>
      </c>
      <c r="O422">
        <v>7537.3535091416998</v>
      </c>
      <c r="P422" s="3" t="s">
        <v>52</v>
      </c>
      <c r="Q422">
        <v>50</v>
      </c>
      <c r="R422">
        <v>0.999</v>
      </c>
      <c r="S422">
        <v>0</v>
      </c>
    </row>
    <row r="423" spans="1:19" x14ac:dyDescent="0.2">
      <c r="A423" s="3" t="s">
        <v>54</v>
      </c>
      <c r="B423" s="3" t="s">
        <v>55</v>
      </c>
      <c r="C423">
        <v>18</v>
      </c>
      <c r="D423">
        <v>16000</v>
      </c>
      <c r="E423">
        <v>499</v>
      </c>
      <c r="F423">
        <v>1</v>
      </c>
      <c r="G423">
        <v>64781.839036288002</v>
      </c>
      <c r="H423">
        <v>0.27001565599999999</v>
      </c>
      <c r="I423">
        <v>14070</v>
      </c>
      <c r="J423">
        <v>4322</v>
      </c>
      <c r="K423">
        <v>9748</v>
      </c>
      <c r="L423">
        <v>500</v>
      </c>
      <c r="M423">
        <v>499</v>
      </c>
      <c r="N423">
        <v>1</v>
      </c>
      <c r="O423">
        <v>7542.7518690856004</v>
      </c>
      <c r="P423" s="3" t="s">
        <v>52</v>
      </c>
      <c r="Q423">
        <v>50</v>
      </c>
      <c r="R423">
        <v>0.999</v>
      </c>
      <c r="S423">
        <v>0</v>
      </c>
    </row>
    <row r="424" spans="1:19" x14ac:dyDescent="0.2">
      <c r="A424" s="3" t="s">
        <v>54</v>
      </c>
      <c r="B424" s="3" t="s">
        <v>55</v>
      </c>
      <c r="C424">
        <v>38</v>
      </c>
      <c r="D424">
        <v>16000</v>
      </c>
      <c r="E424">
        <v>499</v>
      </c>
      <c r="F424">
        <v>1</v>
      </c>
      <c r="G424">
        <v>64781.839036288002</v>
      </c>
      <c r="H424">
        <v>0.26975536900000002</v>
      </c>
      <c r="I424">
        <v>14067</v>
      </c>
      <c r="J424">
        <v>4376</v>
      </c>
      <c r="K424">
        <v>9691</v>
      </c>
      <c r="L424">
        <v>500</v>
      </c>
      <c r="M424">
        <v>499</v>
      </c>
      <c r="N424">
        <v>1</v>
      </c>
      <c r="O424">
        <v>7471.6377703876997</v>
      </c>
      <c r="P424" s="3" t="s">
        <v>50</v>
      </c>
      <c r="Q424">
        <v>50</v>
      </c>
      <c r="R424">
        <v>0.999</v>
      </c>
      <c r="S424">
        <v>0</v>
      </c>
    </row>
    <row r="425" spans="1:19" x14ac:dyDescent="0.2">
      <c r="A425" s="3" t="s">
        <v>54</v>
      </c>
      <c r="B425" s="3" t="s">
        <v>55</v>
      </c>
      <c r="C425">
        <v>35</v>
      </c>
      <c r="D425">
        <v>16000</v>
      </c>
      <c r="E425">
        <v>499</v>
      </c>
      <c r="F425">
        <v>1</v>
      </c>
      <c r="G425">
        <v>64781.839036288002</v>
      </c>
      <c r="H425">
        <v>0.26966074899999998</v>
      </c>
      <c r="I425">
        <v>14094</v>
      </c>
      <c r="J425">
        <v>4396</v>
      </c>
      <c r="K425">
        <v>9698</v>
      </c>
      <c r="L425">
        <v>500</v>
      </c>
      <c r="M425">
        <v>499</v>
      </c>
      <c r="N425">
        <v>1</v>
      </c>
      <c r="O425">
        <v>7335.3794728935</v>
      </c>
      <c r="P425" s="3" t="s">
        <v>50</v>
      </c>
      <c r="Q425">
        <v>50</v>
      </c>
      <c r="R425">
        <v>0.999</v>
      </c>
      <c r="S425">
        <v>0</v>
      </c>
    </row>
    <row r="426" spans="1:19" x14ac:dyDescent="0.2">
      <c r="A426" s="3" t="s">
        <v>54</v>
      </c>
      <c r="B426" s="3" t="s">
        <v>55</v>
      </c>
      <c r="C426">
        <v>44</v>
      </c>
      <c r="D426">
        <v>16000</v>
      </c>
      <c r="E426">
        <v>499</v>
      </c>
      <c r="F426">
        <v>1</v>
      </c>
      <c r="G426">
        <v>64781.839036288002</v>
      </c>
      <c r="H426">
        <v>0.26947307100000001</v>
      </c>
      <c r="I426">
        <v>14103</v>
      </c>
      <c r="J426">
        <v>4406</v>
      </c>
      <c r="K426">
        <v>9697</v>
      </c>
      <c r="L426">
        <v>500</v>
      </c>
      <c r="M426">
        <v>499</v>
      </c>
      <c r="N426">
        <v>1</v>
      </c>
      <c r="O426">
        <v>7412.7103144590001</v>
      </c>
      <c r="P426" s="3" t="s">
        <v>52</v>
      </c>
      <c r="Q426">
        <v>50</v>
      </c>
      <c r="R426">
        <v>0.999</v>
      </c>
      <c r="S426">
        <v>0</v>
      </c>
    </row>
    <row r="427" spans="1:19" x14ac:dyDescent="0.2">
      <c r="A427" s="3" t="s">
        <v>54</v>
      </c>
      <c r="B427" s="3" t="s">
        <v>55</v>
      </c>
      <c r="C427">
        <v>13</v>
      </c>
      <c r="D427">
        <v>16000</v>
      </c>
      <c r="E427">
        <v>499</v>
      </c>
      <c r="F427">
        <v>1</v>
      </c>
      <c r="G427">
        <v>64781.839036288002</v>
      </c>
      <c r="H427">
        <v>0.26943911999999998</v>
      </c>
      <c r="I427">
        <v>14079</v>
      </c>
      <c r="J427">
        <v>4396</v>
      </c>
      <c r="K427">
        <v>9683</v>
      </c>
      <c r="L427">
        <v>500</v>
      </c>
      <c r="M427">
        <v>499</v>
      </c>
      <c r="N427">
        <v>1</v>
      </c>
      <c r="O427">
        <v>7479.4582575895001</v>
      </c>
      <c r="P427" s="3" t="s">
        <v>52</v>
      </c>
      <c r="Q427">
        <v>50</v>
      </c>
      <c r="R427">
        <v>0.999</v>
      </c>
      <c r="S427">
        <v>0</v>
      </c>
    </row>
    <row r="428" spans="1:19" x14ac:dyDescent="0.2">
      <c r="A428" s="3" t="s">
        <v>54</v>
      </c>
      <c r="B428" s="3" t="s">
        <v>55</v>
      </c>
      <c r="C428">
        <v>45</v>
      </c>
      <c r="D428">
        <v>16000</v>
      </c>
      <c r="E428">
        <v>499</v>
      </c>
      <c r="F428">
        <v>1</v>
      </c>
      <c r="G428">
        <v>64781.839036288002</v>
      </c>
      <c r="H428">
        <v>0.26915138</v>
      </c>
      <c r="I428">
        <v>14066</v>
      </c>
      <c r="J428">
        <v>4407</v>
      </c>
      <c r="K428">
        <v>9659</v>
      </c>
      <c r="L428">
        <v>500</v>
      </c>
      <c r="M428">
        <v>499</v>
      </c>
      <c r="N428">
        <v>1</v>
      </c>
      <c r="O428">
        <v>7590.9956843312002</v>
      </c>
      <c r="P428" s="3" t="s">
        <v>50</v>
      </c>
      <c r="Q428">
        <v>50</v>
      </c>
      <c r="R428">
        <v>0.999</v>
      </c>
      <c r="S428">
        <v>0</v>
      </c>
    </row>
    <row r="429" spans="1:19" x14ac:dyDescent="0.2">
      <c r="A429" s="3" t="s">
        <v>54</v>
      </c>
      <c r="B429" s="3" t="s">
        <v>55</v>
      </c>
      <c r="C429">
        <v>23</v>
      </c>
      <c r="D429">
        <v>16000</v>
      </c>
      <c r="E429">
        <v>499</v>
      </c>
      <c r="F429">
        <v>1</v>
      </c>
      <c r="G429">
        <v>64781.839036288002</v>
      </c>
      <c r="H429">
        <v>0.26914581500000001</v>
      </c>
      <c r="I429">
        <v>14076</v>
      </c>
      <c r="J429">
        <v>4382</v>
      </c>
      <c r="K429">
        <v>9694</v>
      </c>
      <c r="L429">
        <v>500</v>
      </c>
      <c r="M429">
        <v>499</v>
      </c>
      <c r="N429">
        <v>1</v>
      </c>
      <c r="O429">
        <v>7536.0493456866998</v>
      </c>
      <c r="P429" s="3" t="s">
        <v>50</v>
      </c>
      <c r="Q429">
        <v>50</v>
      </c>
      <c r="R429">
        <v>0.999</v>
      </c>
      <c r="S429">
        <v>0</v>
      </c>
    </row>
    <row r="430" spans="1:19" x14ac:dyDescent="0.2">
      <c r="A430" s="3" t="s">
        <v>54</v>
      </c>
      <c r="B430" s="3" t="s">
        <v>55</v>
      </c>
      <c r="C430">
        <v>12</v>
      </c>
      <c r="D430">
        <v>16000</v>
      </c>
      <c r="E430">
        <v>499</v>
      </c>
      <c r="F430">
        <v>1</v>
      </c>
      <c r="G430">
        <v>64781.839036288002</v>
      </c>
      <c r="H430">
        <v>0.26895000600000002</v>
      </c>
      <c r="I430">
        <v>14066</v>
      </c>
      <c r="J430">
        <v>4409</v>
      </c>
      <c r="K430">
        <v>9657</v>
      </c>
      <c r="L430">
        <v>500</v>
      </c>
      <c r="M430">
        <v>499</v>
      </c>
      <c r="N430">
        <v>1</v>
      </c>
      <c r="O430">
        <v>7585.4066503225004</v>
      </c>
      <c r="P430" s="3" t="s">
        <v>50</v>
      </c>
      <c r="Q430">
        <v>50</v>
      </c>
      <c r="R430">
        <v>0.999</v>
      </c>
      <c r="S430">
        <v>0</v>
      </c>
    </row>
    <row r="431" spans="1:19" x14ac:dyDescent="0.2">
      <c r="A431" s="3" t="s">
        <v>54</v>
      </c>
      <c r="B431" s="3" t="s">
        <v>55</v>
      </c>
      <c r="C431">
        <v>42</v>
      </c>
      <c r="D431">
        <v>16000</v>
      </c>
      <c r="E431">
        <v>499</v>
      </c>
      <c r="F431">
        <v>1</v>
      </c>
      <c r="G431">
        <v>64781.839036288002</v>
      </c>
      <c r="H431">
        <v>0.26894671799999997</v>
      </c>
      <c r="I431">
        <v>14085</v>
      </c>
      <c r="J431">
        <v>4390</v>
      </c>
      <c r="K431">
        <v>9695</v>
      </c>
      <c r="L431">
        <v>500</v>
      </c>
      <c r="M431">
        <v>499</v>
      </c>
      <c r="N431">
        <v>1</v>
      </c>
      <c r="O431">
        <v>7513.0974270810002</v>
      </c>
      <c r="P431" s="3" t="s">
        <v>50</v>
      </c>
      <c r="Q431">
        <v>50</v>
      </c>
      <c r="R431">
        <v>0.999</v>
      </c>
      <c r="S431">
        <v>0</v>
      </c>
    </row>
    <row r="432" spans="1:19" x14ac:dyDescent="0.2">
      <c r="A432" s="3" t="s">
        <v>54</v>
      </c>
      <c r="B432" s="3" t="s">
        <v>55</v>
      </c>
      <c r="C432">
        <v>41</v>
      </c>
      <c r="D432">
        <v>16000</v>
      </c>
      <c r="E432">
        <v>499</v>
      </c>
      <c r="F432">
        <v>1</v>
      </c>
      <c r="G432">
        <v>64781.839036288002</v>
      </c>
      <c r="H432">
        <v>0.268791167</v>
      </c>
      <c r="I432">
        <v>14063</v>
      </c>
      <c r="J432">
        <v>4369</v>
      </c>
      <c r="K432">
        <v>9694</v>
      </c>
      <c r="L432">
        <v>500</v>
      </c>
      <c r="M432">
        <v>499</v>
      </c>
      <c r="N432">
        <v>1</v>
      </c>
      <c r="O432">
        <v>7500.0350197115004</v>
      </c>
      <c r="P432" s="3" t="s">
        <v>52</v>
      </c>
      <c r="Q432">
        <v>50</v>
      </c>
      <c r="R432">
        <v>0.999</v>
      </c>
      <c r="S432">
        <v>0</v>
      </c>
    </row>
    <row r="433" spans="1:19" x14ac:dyDescent="0.2">
      <c r="A433" s="3" t="s">
        <v>54</v>
      </c>
      <c r="B433" s="3" t="s">
        <v>55</v>
      </c>
      <c r="C433">
        <v>34</v>
      </c>
      <c r="D433">
        <v>16000</v>
      </c>
      <c r="E433">
        <v>499</v>
      </c>
      <c r="F433">
        <v>1</v>
      </c>
      <c r="G433">
        <v>64781.839036288002</v>
      </c>
      <c r="H433">
        <v>0.26877322799999998</v>
      </c>
      <c r="I433">
        <v>14063</v>
      </c>
      <c r="J433">
        <v>4357</v>
      </c>
      <c r="K433">
        <v>9706</v>
      </c>
      <c r="L433">
        <v>500</v>
      </c>
      <c r="M433">
        <v>499</v>
      </c>
      <c r="N433">
        <v>1</v>
      </c>
      <c r="O433">
        <v>7569.9975929491002</v>
      </c>
      <c r="P433" s="3" t="s">
        <v>52</v>
      </c>
      <c r="Q433">
        <v>50</v>
      </c>
      <c r="R433">
        <v>0.999</v>
      </c>
      <c r="S433">
        <v>0</v>
      </c>
    </row>
    <row r="434" spans="1:19" x14ac:dyDescent="0.2">
      <c r="A434" s="3" t="s">
        <v>54</v>
      </c>
      <c r="B434" s="3" t="s">
        <v>55</v>
      </c>
      <c r="C434">
        <v>41</v>
      </c>
      <c r="D434">
        <v>16000</v>
      </c>
      <c r="E434">
        <v>499</v>
      </c>
      <c r="F434">
        <v>1</v>
      </c>
      <c r="G434">
        <v>64781.839036288002</v>
      </c>
      <c r="H434">
        <v>0.268569426</v>
      </c>
      <c r="I434">
        <v>14107</v>
      </c>
      <c r="J434">
        <v>4415</v>
      </c>
      <c r="K434">
        <v>9692</v>
      </c>
      <c r="L434">
        <v>500</v>
      </c>
      <c r="M434">
        <v>499</v>
      </c>
      <c r="N434">
        <v>1</v>
      </c>
      <c r="O434">
        <v>7332.8753459441004</v>
      </c>
      <c r="P434" s="3" t="s">
        <v>50</v>
      </c>
      <c r="Q434">
        <v>50</v>
      </c>
      <c r="R434">
        <v>0.999</v>
      </c>
      <c r="S434">
        <v>0</v>
      </c>
    </row>
    <row r="435" spans="1:19" x14ac:dyDescent="0.2">
      <c r="A435" s="3" t="s">
        <v>54</v>
      </c>
      <c r="B435" s="3" t="s">
        <v>55</v>
      </c>
      <c r="C435">
        <v>17</v>
      </c>
      <c r="D435">
        <v>16000</v>
      </c>
      <c r="E435">
        <v>499</v>
      </c>
      <c r="F435">
        <v>1</v>
      </c>
      <c r="G435">
        <v>64781.839036288002</v>
      </c>
      <c r="H435">
        <v>0.268517799</v>
      </c>
      <c r="I435">
        <v>14070</v>
      </c>
      <c r="J435">
        <v>4358</v>
      </c>
      <c r="K435">
        <v>9712</v>
      </c>
      <c r="L435">
        <v>500</v>
      </c>
      <c r="M435">
        <v>499</v>
      </c>
      <c r="N435">
        <v>1</v>
      </c>
      <c r="O435">
        <v>7481.2482451076003</v>
      </c>
      <c r="P435" s="3" t="s">
        <v>50</v>
      </c>
      <c r="Q435">
        <v>50</v>
      </c>
      <c r="R435">
        <v>0.999</v>
      </c>
      <c r="S435">
        <v>0</v>
      </c>
    </row>
    <row r="436" spans="1:19" x14ac:dyDescent="0.2">
      <c r="A436" s="3" t="s">
        <v>54</v>
      </c>
      <c r="B436" s="3" t="s">
        <v>55</v>
      </c>
      <c r="C436">
        <v>19</v>
      </c>
      <c r="D436">
        <v>16000</v>
      </c>
      <c r="E436">
        <v>499</v>
      </c>
      <c r="F436">
        <v>1</v>
      </c>
      <c r="G436">
        <v>64781.839036288002</v>
      </c>
      <c r="H436">
        <v>0.268515581</v>
      </c>
      <c r="I436">
        <v>14072</v>
      </c>
      <c r="J436">
        <v>4415</v>
      </c>
      <c r="K436">
        <v>9657</v>
      </c>
      <c r="L436">
        <v>500</v>
      </c>
      <c r="M436">
        <v>499</v>
      </c>
      <c r="N436">
        <v>1</v>
      </c>
      <c r="O436">
        <v>7522.0416294406996</v>
      </c>
      <c r="P436" s="3" t="s">
        <v>50</v>
      </c>
      <c r="Q436">
        <v>50</v>
      </c>
      <c r="R436">
        <v>0.999</v>
      </c>
      <c r="S436">
        <v>0</v>
      </c>
    </row>
    <row r="437" spans="1:19" x14ac:dyDescent="0.2">
      <c r="A437" s="3" t="s">
        <v>54</v>
      </c>
      <c r="B437" s="3" t="s">
        <v>55</v>
      </c>
      <c r="C437">
        <v>2</v>
      </c>
      <c r="D437">
        <v>16000</v>
      </c>
      <c r="E437">
        <v>499</v>
      </c>
      <c r="F437">
        <v>1</v>
      </c>
      <c r="G437">
        <v>64781.839036288002</v>
      </c>
      <c r="H437">
        <v>0.26810129500000002</v>
      </c>
      <c r="I437">
        <v>14102</v>
      </c>
      <c r="J437">
        <v>4400</v>
      </c>
      <c r="K437">
        <v>9702</v>
      </c>
      <c r="L437">
        <v>500</v>
      </c>
      <c r="M437">
        <v>499</v>
      </c>
      <c r="N437">
        <v>1</v>
      </c>
      <c r="O437">
        <v>7544.0815178291004</v>
      </c>
      <c r="P437" s="3" t="s">
        <v>50</v>
      </c>
      <c r="Q437">
        <v>50</v>
      </c>
      <c r="R437">
        <v>0.999</v>
      </c>
      <c r="S437">
        <v>0</v>
      </c>
    </row>
    <row r="438" spans="1:19" x14ac:dyDescent="0.2">
      <c r="A438" s="3" t="s">
        <v>54</v>
      </c>
      <c r="B438" s="3" t="s">
        <v>55</v>
      </c>
      <c r="C438">
        <v>20</v>
      </c>
      <c r="D438">
        <v>16000</v>
      </c>
      <c r="E438">
        <v>499</v>
      </c>
      <c r="F438">
        <v>1</v>
      </c>
      <c r="G438">
        <v>64781.839036288002</v>
      </c>
      <c r="H438">
        <v>0.26800551500000003</v>
      </c>
      <c r="I438">
        <v>14093</v>
      </c>
      <c r="J438">
        <v>4388</v>
      </c>
      <c r="K438">
        <v>9705</v>
      </c>
      <c r="L438">
        <v>500</v>
      </c>
      <c r="M438">
        <v>499</v>
      </c>
      <c r="N438">
        <v>1</v>
      </c>
      <c r="O438">
        <v>7364.3271340379997</v>
      </c>
      <c r="P438" s="3" t="s">
        <v>50</v>
      </c>
      <c r="Q438">
        <v>50</v>
      </c>
      <c r="R438">
        <v>0.999</v>
      </c>
      <c r="S438">
        <v>0</v>
      </c>
    </row>
    <row r="439" spans="1:19" x14ac:dyDescent="0.2">
      <c r="A439" s="3" t="s">
        <v>54</v>
      </c>
      <c r="B439" s="3" t="s">
        <v>55</v>
      </c>
      <c r="C439">
        <v>13</v>
      </c>
      <c r="D439">
        <v>16000</v>
      </c>
      <c r="E439">
        <v>499</v>
      </c>
      <c r="F439">
        <v>1</v>
      </c>
      <c r="G439">
        <v>64781.839036288002</v>
      </c>
      <c r="H439">
        <v>0.26797344899999997</v>
      </c>
      <c r="I439">
        <v>14099</v>
      </c>
      <c r="J439">
        <v>4358</v>
      </c>
      <c r="K439">
        <v>9741</v>
      </c>
      <c r="L439">
        <v>500</v>
      </c>
      <c r="M439">
        <v>499</v>
      </c>
      <c r="N439">
        <v>1</v>
      </c>
      <c r="O439">
        <v>7480.7448137397996</v>
      </c>
      <c r="P439" s="3" t="s">
        <v>50</v>
      </c>
      <c r="Q439">
        <v>50</v>
      </c>
      <c r="R439">
        <v>0.999</v>
      </c>
      <c r="S439">
        <v>0</v>
      </c>
    </row>
    <row r="440" spans="1:19" x14ac:dyDescent="0.2">
      <c r="A440" s="3" t="s">
        <v>54</v>
      </c>
      <c r="B440" s="3" t="s">
        <v>55</v>
      </c>
      <c r="C440">
        <v>32</v>
      </c>
      <c r="D440">
        <v>16000</v>
      </c>
      <c r="E440">
        <v>499</v>
      </c>
      <c r="F440">
        <v>1</v>
      </c>
      <c r="G440">
        <v>64781.839036288002</v>
      </c>
      <c r="H440">
        <v>0.26776255900000001</v>
      </c>
      <c r="I440">
        <v>14097</v>
      </c>
      <c r="J440">
        <v>4393</v>
      </c>
      <c r="K440">
        <v>9704</v>
      </c>
      <c r="L440">
        <v>500</v>
      </c>
      <c r="M440">
        <v>499</v>
      </c>
      <c r="N440">
        <v>1</v>
      </c>
      <c r="O440">
        <v>7435.6783352700004</v>
      </c>
      <c r="P440" s="3" t="s">
        <v>50</v>
      </c>
      <c r="Q440">
        <v>50</v>
      </c>
      <c r="R440">
        <v>0.999</v>
      </c>
      <c r="S440">
        <v>0</v>
      </c>
    </row>
    <row r="441" spans="1:19" x14ac:dyDescent="0.2">
      <c r="A441" s="3" t="s">
        <v>54</v>
      </c>
      <c r="B441" s="3" t="s">
        <v>55</v>
      </c>
      <c r="C441">
        <v>23</v>
      </c>
      <c r="D441">
        <v>16000</v>
      </c>
      <c r="E441">
        <v>499</v>
      </c>
      <c r="F441">
        <v>1</v>
      </c>
      <c r="G441">
        <v>64781.839036288002</v>
      </c>
      <c r="H441">
        <v>0.26757853999999998</v>
      </c>
      <c r="I441">
        <v>14082</v>
      </c>
      <c r="J441">
        <v>4393</v>
      </c>
      <c r="K441">
        <v>9689</v>
      </c>
      <c r="L441">
        <v>500</v>
      </c>
      <c r="M441">
        <v>499</v>
      </c>
      <c r="N441">
        <v>1</v>
      </c>
      <c r="O441">
        <v>7464.9710121569997</v>
      </c>
      <c r="P441" s="3" t="s">
        <v>52</v>
      </c>
      <c r="Q441">
        <v>50</v>
      </c>
      <c r="R441">
        <v>0.999</v>
      </c>
      <c r="S441">
        <v>0</v>
      </c>
    </row>
    <row r="442" spans="1:19" x14ac:dyDescent="0.2">
      <c r="A442" s="3" t="s">
        <v>54</v>
      </c>
      <c r="B442" s="3" t="s">
        <v>55</v>
      </c>
      <c r="C442">
        <v>26</v>
      </c>
      <c r="D442">
        <v>16000</v>
      </c>
      <c r="E442">
        <v>499</v>
      </c>
      <c r="F442">
        <v>1</v>
      </c>
      <c r="G442">
        <v>64781.839036288002</v>
      </c>
      <c r="H442">
        <v>0.26703302400000001</v>
      </c>
      <c r="I442">
        <v>14087</v>
      </c>
      <c r="J442">
        <v>4396</v>
      </c>
      <c r="K442">
        <v>9691</v>
      </c>
      <c r="L442">
        <v>500</v>
      </c>
      <c r="M442">
        <v>499</v>
      </c>
      <c r="N442">
        <v>1</v>
      </c>
      <c r="O442">
        <v>7447.5118889493997</v>
      </c>
      <c r="P442" s="3" t="s">
        <v>50</v>
      </c>
      <c r="Q442">
        <v>50</v>
      </c>
      <c r="R442">
        <v>0.999</v>
      </c>
      <c r="S442">
        <v>0</v>
      </c>
    </row>
    <row r="443" spans="1:19" x14ac:dyDescent="0.2">
      <c r="A443" s="3" t="s">
        <v>54</v>
      </c>
      <c r="B443" s="3" t="s">
        <v>55</v>
      </c>
      <c r="C443">
        <v>11</v>
      </c>
      <c r="D443">
        <v>16000</v>
      </c>
      <c r="E443">
        <v>499</v>
      </c>
      <c r="F443">
        <v>1</v>
      </c>
      <c r="G443">
        <v>64781.839036288002</v>
      </c>
      <c r="H443">
        <v>0.26691008900000002</v>
      </c>
      <c r="I443">
        <v>14078</v>
      </c>
      <c r="J443">
        <v>4406</v>
      </c>
      <c r="K443">
        <v>9672</v>
      </c>
      <c r="L443">
        <v>500</v>
      </c>
      <c r="M443">
        <v>499</v>
      </c>
      <c r="N443">
        <v>1</v>
      </c>
      <c r="O443">
        <v>7482.2847754863997</v>
      </c>
      <c r="P443" s="3" t="s">
        <v>50</v>
      </c>
      <c r="Q443">
        <v>50</v>
      </c>
      <c r="R443">
        <v>0.999</v>
      </c>
      <c r="S443">
        <v>0</v>
      </c>
    </row>
    <row r="444" spans="1:19" x14ac:dyDescent="0.2">
      <c r="A444" s="3" t="s">
        <v>54</v>
      </c>
      <c r="B444" s="3" t="s">
        <v>55</v>
      </c>
      <c r="C444">
        <v>29</v>
      </c>
      <c r="D444">
        <v>16000</v>
      </c>
      <c r="E444">
        <v>499</v>
      </c>
      <c r="F444">
        <v>1</v>
      </c>
      <c r="G444">
        <v>64781.839036288002</v>
      </c>
      <c r="H444">
        <v>0.266825647</v>
      </c>
      <c r="I444">
        <v>14089</v>
      </c>
      <c r="J444">
        <v>4436</v>
      </c>
      <c r="K444">
        <v>9653</v>
      </c>
      <c r="L444">
        <v>500</v>
      </c>
      <c r="M444">
        <v>499</v>
      </c>
      <c r="N444">
        <v>1</v>
      </c>
      <c r="O444">
        <v>7488.8972065616999</v>
      </c>
      <c r="P444" s="3" t="s">
        <v>52</v>
      </c>
      <c r="Q444">
        <v>50</v>
      </c>
      <c r="R444">
        <v>0.999</v>
      </c>
      <c r="S444">
        <v>0</v>
      </c>
    </row>
    <row r="445" spans="1:19" x14ac:dyDescent="0.2">
      <c r="A445" s="3" t="s">
        <v>54</v>
      </c>
      <c r="B445" s="3" t="s">
        <v>55</v>
      </c>
      <c r="C445">
        <v>48</v>
      </c>
      <c r="D445">
        <v>16000</v>
      </c>
      <c r="E445">
        <v>499</v>
      </c>
      <c r="F445">
        <v>1</v>
      </c>
      <c r="G445">
        <v>64781.839036288002</v>
      </c>
      <c r="H445">
        <v>0.26675590799999999</v>
      </c>
      <c r="I445">
        <v>14093</v>
      </c>
      <c r="J445">
        <v>4343</v>
      </c>
      <c r="K445">
        <v>9750</v>
      </c>
      <c r="L445">
        <v>500</v>
      </c>
      <c r="M445">
        <v>499</v>
      </c>
      <c r="N445">
        <v>1</v>
      </c>
      <c r="O445">
        <v>7376.2074951497998</v>
      </c>
      <c r="P445" s="3" t="s">
        <v>50</v>
      </c>
      <c r="Q445">
        <v>50</v>
      </c>
      <c r="R445">
        <v>0.999</v>
      </c>
      <c r="S445">
        <v>0</v>
      </c>
    </row>
    <row r="446" spans="1:19" x14ac:dyDescent="0.2">
      <c r="A446" s="3" t="s">
        <v>54</v>
      </c>
      <c r="B446" s="3" t="s">
        <v>55</v>
      </c>
      <c r="C446">
        <v>50</v>
      </c>
      <c r="D446">
        <v>16000</v>
      </c>
      <c r="E446">
        <v>499</v>
      </c>
      <c r="F446">
        <v>1</v>
      </c>
      <c r="G446">
        <v>64781.839036288002</v>
      </c>
      <c r="H446">
        <v>0.26658760100000001</v>
      </c>
      <c r="I446">
        <v>14051</v>
      </c>
      <c r="J446">
        <v>4364</v>
      </c>
      <c r="K446">
        <v>9687</v>
      </c>
      <c r="L446">
        <v>500</v>
      </c>
      <c r="M446">
        <v>499</v>
      </c>
      <c r="N446">
        <v>1</v>
      </c>
      <c r="O446">
        <v>7531.5883306554997</v>
      </c>
      <c r="P446" s="3" t="s">
        <v>52</v>
      </c>
      <c r="Q446">
        <v>50</v>
      </c>
      <c r="R446">
        <v>0.999</v>
      </c>
      <c r="S446">
        <v>0</v>
      </c>
    </row>
    <row r="447" spans="1:19" x14ac:dyDescent="0.2">
      <c r="A447" s="3" t="s">
        <v>54</v>
      </c>
      <c r="B447" s="3" t="s">
        <v>55</v>
      </c>
      <c r="C447">
        <v>9</v>
      </c>
      <c r="D447">
        <v>16000</v>
      </c>
      <c r="E447">
        <v>499</v>
      </c>
      <c r="F447">
        <v>1</v>
      </c>
      <c r="G447">
        <v>64781.839036288002</v>
      </c>
      <c r="H447">
        <v>0.26656802899999998</v>
      </c>
      <c r="I447">
        <v>14079</v>
      </c>
      <c r="J447">
        <v>4358</v>
      </c>
      <c r="K447">
        <v>9721</v>
      </c>
      <c r="L447">
        <v>500</v>
      </c>
      <c r="M447">
        <v>499</v>
      </c>
      <c r="N447">
        <v>1</v>
      </c>
      <c r="O447">
        <v>7554.7678148479999</v>
      </c>
      <c r="P447" s="3" t="s">
        <v>52</v>
      </c>
      <c r="Q447">
        <v>50</v>
      </c>
      <c r="R447">
        <v>0.999</v>
      </c>
      <c r="S447">
        <v>0</v>
      </c>
    </row>
    <row r="448" spans="1:19" x14ac:dyDescent="0.2">
      <c r="A448" s="3" t="s">
        <v>54</v>
      </c>
      <c r="B448" s="3" t="s">
        <v>55</v>
      </c>
      <c r="C448">
        <v>17</v>
      </c>
      <c r="D448">
        <v>16000</v>
      </c>
      <c r="E448">
        <v>499</v>
      </c>
      <c r="F448">
        <v>1</v>
      </c>
      <c r="G448">
        <v>64781.839036288002</v>
      </c>
      <c r="H448">
        <v>0.26640233400000002</v>
      </c>
      <c r="I448">
        <v>14114</v>
      </c>
      <c r="J448">
        <v>4418</v>
      </c>
      <c r="K448">
        <v>9696</v>
      </c>
      <c r="L448">
        <v>500</v>
      </c>
      <c r="M448">
        <v>499</v>
      </c>
      <c r="N448">
        <v>1</v>
      </c>
      <c r="O448">
        <v>7402.4376497991998</v>
      </c>
      <c r="P448" s="3" t="s">
        <v>52</v>
      </c>
      <c r="Q448">
        <v>50</v>
      </c>
      <c r="R448">
        <v>0.999</v>
      </c>
      <c r="S448">
        <v>0</v>
      </c>
    </row>
    <row r="449" spans="1:19" x14ac:dyDescent="0.2">
      <c r="A449" s="3" t="s">
        <v>54</v>
      </c>
      <c r="B449" s="3" t="s">
        <v>55</v>
      </c>
      <c r="C449">
        <v>37</v>
      </c>
      <c r="D449">
        <v>16000</v>
      </c>
      <c r="E449">
        <v>499</v>
      </c>
      <c r="F449">
        <v>1</v>
      </c>
      <c r="G449">
        <v>64781.839036288002</v>
      </c>
      <c r="H449">
        <v>0.26621709199999999</v>
      </c>
      <c r="I449">
        <v>14082</v>
      </c>
      <c r="J449">
        <v>4398</v>
      </c>
      <c r="K449">
        <v>9684</v>
      </c>
      <c r="L449">
        <v>500</v>
      </c>
      <c r="M449">
        <v>499</v>
      </c>
      <c r="N449">
        <v>1</v>
      </c>
      <c r="O449">
        <v>7464.3388981437001</v>
      </c>
      <c r="P449" s="3" t="s">
        <v>50</v>
      </c>
      <c r="Q449">
        <v>50</v>
      </c>
      <c r="R449">
        <v>0.999</v>
      </c>
      <c r="S449">
        <v>0</v>
      </c>
    </row>
    <row r="450" spans="1:19" x14ac:dyDescent="0.2">
      <c r="A450" s="3" t="s">
        <v>54</v>
      </c>
      <c r="B450" s="3" t="s">
        <v>55</v>
      </c>
      <c r="C450">
        <v>15</v>
      </c>
      <c r="D450">
        <v>16000</v>
      </c>
      <c r="E450">
        <v>499</v>
      </c>
      <c r="F450">
        <v>1</v>
      </c>
      <c r="G450">
        <v>64781.839036288002</v>
      </c>
      <c r="H450">
        <v>0.26567538099999999</v>
      </c>
      <c r="I450">
        <v>14101</v>
      </c>
      <c r="J450">
        <v>4363</v>
      </c>
      <c r="K450">
        <v>9738</v>
      </c>
      <c r="L450">
        <v>500</v>
      </c>
      <c r="M450">
        <v>499</v>
      </c>
      <c r="N450">
        <v>1</v>
      </c>
      <c r="O450">
        <v>7403.8633818225999</v>
      </c>
      <c r="P450" s="3" t="s">
        <v>50</v>
      </c>
      <c r="Q450">
        <v>50</v>
      </c>
      <c r="R450">
        <v>0.999</v>
      </c>
      <c r="S450">
        <v>0</v>
      </c>
    </row>
    <row r="451" spans="1:19" x14ac:dyDescent="0.2">
      <c r="A451" s="3" t="s">
        <v>54</v>
      </c>
      <c r="B451" s="3" t="s">
        <v>55</v>
      </c>
      <c r="C451">
        <v>43</v>
      </c>
      <c r="D451">
        <v>16000</v>
      </c>
      <c r="E451">
        <v>499</v>
      </c>
      <c r="F451">
        <v>1</v>
      </c>
      <c r="G451">
        <v>64781.839036288002</v>
      </c>
      <c r="H451">
        <v>0.26531204400000002</v>
      </c>
      <c r="I451">
        <v>14073</v>
      </c>
      <c r="J451">
        <v>4338</v>
      </c>
      <c r="K451">
        <v>9735</v>
      </c>
      <c r="L451">
        <v>500</v>
      </c>
      <c r="M451">
        <v>499</v>
      </c>
      <c r="N451">
        <v>1</v>
      </c>
      <c r="O451">
        <v>7483.9395432994997</v>
      </c>
      <c r="P451" s="3" t="s">
        <v>52</v>
      </c>
      <c r="Q451">
        <v>50</v>
      </c>
      <c r="R451">
        <v>0.999</v>
      </c>
      <c r="S451">
        <v>0</v>
      </c>
    </row>
    <row r="452" spans="1:19" x14ac:dyDescent="0.2">
      <c r="A452" s="3" t="s">
        <v>54</v>
      </c>
      <c r="B452" s="3" t="s">
        <v>55</v>
      </c>
      <c r="C452">
        <v>21</v>
      </c>
      <c r="D452">
        <v>16000</v>
      </c>
      <c r="E452">
        <v>499</v>
      </c>
      <c r="F452">
        <v>1</v>
      </c>
      <c r="G452">
        <v>64781.839036288002</v>
      </c>
      <c r="H452">
        <v>0.26460471099999999</v>
      </c>
      <c r="I452">
        <v>14080</v>
      </c>
      <c r="J452">
        <v>4401</v>
      </c>
      <c r="K452">
        <v>9679</v>
      </c>
      <c r="L452">
        <v>500</v>
      </c>
      <c r="M452">
        <v>499</v>
      </c>
      <c r="N452">
        <v>1</v>
      </c>
      <c r="O452">
        <v>7483.2303894805</v>
      </c>
      <c r="P452" s="3" t="s">
        <v>52</v>
      </c>
      <c r="Q452">
        <v>50</v>
      </c>
      <c r="R452">
        <v>0.999</v>
      </c>
      <c r="S452">
        <v>0</v>
      </c>
    </row>
    <row r="453" spans="1:19" x14ac:dyDescent="0.2">
      <c r="A453" s="3" t="s">
        <v>54</v>
      </c>
      <c r="B453" s="3" t="s">
        <v>55</v>
      </c>
      <c r="C453">
        <v>39</v>
      </c>
      <c r="D453">
        <v>16000</v>
      </c>
      <c r="E453">
        <v>499</v>
      </c>
      <c r="F453">
        <v>1</v>
      </c>
      <c r="G453">
        <v>64781.839036288002</v>
      </c>
      <c r="H453">
        <v>0.26459597400000001</v>
      </c>
      <c r="I453">
        <v>14086</v>
      </c>
      <c r="J453">
        <v>4369</v>
      </c>
      <c r="K453">
        <v>9717</v>
      </c>
      <c r="L453">
        <v>500</v>
      </c>
      <c r="M453">
        <v>499</v>
      </c>
      <c r="N453">
        <v>1</v>
      </c>
      <c r="O453">
        <v>7562.3832928494003</v>
      </c>
      <c r="P453" s="3" t="s">
        <v>52</v>
      </c>
      <c r="Q453">
        <v>50</v>
      </c>
      <c r="R453">
        <v>0.999</v>
      </c>
      <c r="S453">
        <v>0</v>
      </c>
    </row>
    <row r="454" spans="1:19" x14ac:dyDescent="0.2">
      <c r="A454" s="3" t="s">
        <v>54</v>
      </c>
      <c r="B454" s="3" t="s">
        <v>55</v>
      </c>
      <c r="C454">
        <v>28</v>
      </c>
      <c r="D454">
        <v>16000</v>
      </c>
      <c r="E454">
        <v>499</v>
      </c>
      <c r="F454">
        <v>1</v>
      </c>
      <c r="G454">
        <v>64781.839036288002</v>
      </c>
      <c r="H454">
        <v>0.26428178699999999</v>
      </c>
      <c r="I454">
        <v>14068</v>
      </c>
      <c r="J454">
        <v>4351</v>
      </c>
      <c r="K454">
        <v>9717</v>
      </c>
      <c r="L454">
        <v>500</v>
      </c>
      <c r="M454">
        <v>499</v>
      </c>
      <c r="N454">
        <v>1</v>
      </c>
      <c r="O454">
        <v>7605.5485929168999</v>
      </c>
      <c r="P454" s="3" t="s">
        <v>50</v>
      </c>
      <c r="Q454">
        <v>50</v>
      </c>
      <c r="R454">
        <v>0.999</v>
      </c>
      <c r="S454">
        <v>0</v>
      </c>
    </row>
    <row r="455" spans="1:19" x14ac:dyDescent="0.2">
      <c r="A455" s="3" t="s">
        <v>54</v>
      </c>
      <c r="B455" s="3" t="s">
        <v>55</v>
      </c>
      <c r="C455">
        <v>29</v>
      </c>
      <c r="D455">
        <v>16000</v>
      </c>
      <c r="E455">
        <v>499</v>
      </c>
      <c r="F455">
        <v>1</v>
      </c>
      <c r="G455">
        <v>64781.839036288002</v>
      </c>
      <c r="H455">
        <v>0.26377876700000003</v>
      </c>
      <c r="I455">
        <v>14073</v>
      </c>
      <c r="J455">
        <v>4362</v>
      </c>
      <c r="K455">
        <v>9711</v>
      </c>
      <c r="L455">
        <v>500</v>
      </c>
      <c r="M455">
        <v>499</v>
      </c>
      <c r="N455">
        <v>1</v>
      </c>
      <c r="O455">
        <v>7440.4881138678002</v>
      </c>
      <c r="P455" s="3" t="s">
        <v>50</v>
      </c>
      <c r="Q455">
        <v>50</v>
      </c>
      <c r="R455">
        <v>0.999</v>
      </c>
      <c r="S455">
        <v>0</v>
      </c>
    </row>
    <row r="456" spans="1:19" x14ac:dyDescent="0.2">
      <c r="A456" s="3" t="s">
        <v>54</v>
      </c>
      <c r="B456" s="3" t="s">
        <v>55</v>
      </c>
      <c r="C456">
        <v>31</v>
      </c>
      <c r="D456">
        <v>16000</v>
      </c>
      <c r="E456">
        <v>499</v>
      </c>
      <c r="F456">
        <v>1</v>
      </c>
      <c r="G456">
        <v>64781.839036288002</v>
      </c>
      <c r="H456">
        <v>0.26370525</v>
      </c>
      <c r="I456">
        <v>14086</v>
      </c>
      <c r="J456">
        <v>4419</v>
      </c>
      <c r="K456">
        <v>9667</v>
      </c>
      <c r="L456">
        <v>500</v>
      </c>
      <c r="M456">
        <v>499</v>
      </c>
      <c r="N456">
        <v>1</v>
      </c>
      <c r="O456">
        <v>7493.0206948426003</v>
      </c>
      <c r="P456" s="3" t="s">
        <v>50</v>
      </c>
      <c r="Q456">
        <v>50</v>
      </c>
      <c r="R456">
        <v>0.999</v>
      </c>
      <c r="S456">
        <v>0</v>
      </c>
    </row>
    <row r="457" spans="1:19" x14ac:dyDescent="0.2">
      <c r="A457" s="3" t="s">
        <v>54</v>
      </c>
      <c r="B457" s="3" t="s">
        <v>55</v>
      </c>
      <c r="C457">
        <v>20</v>
      </c>
      <c r="D457">
        <v>16000</v>
      </c>
      <c r="E457">
        <v>499</v>
      </c>
      <c r="F457">
        <v>1</v>
      </c>
      <c r="G457">
        <v>64781.839036288002</v>
      </c>
      <c r="H457">
        <v>0.263221078</v>
      </c>
      <c r="I457">
        <v>14110</v>
      </c>
      <c r="J457">
        <v>4381</v>
      </c>
      <c r="K457">
        <v>9729</v>
      </c>
      <c r="L457">
        <v>500</v>
      </c>
      <c r="M457">
        <v>499</v>
      </c>
      <c r="N457">
        <v>1</v>
      </c>
      <c r="O457">
        <v>7411.6104326166997</v>
      </c>
      <c r="P457" s="3" t="s">
        <v>52</v>
      </c>
      <c r="Q457">
        <v>50</v>
      </c>
      <c r="R457">
        <v>0.999</v>
      </c>
      <c r="S457">
        <v>0</v>
      </c>
    </row>
    <row r="458" spans="1:19" x14ac:dyDescent="0.2">
      <c r="A458" s="3" t="s">
        <v>54</v>
      </c>
      <c r="B458" s="3" t="s">
        <v>55</v>
      </c>
      <c r="C458">
        <v>5</v>
      </c>
      <c r="D458">
        <v>16000</v>
      </c>
      <c r="E458">
        <v>499</v>
      </c>
      <c r="F458">
        <v>1</v>
      </c>
      <c r="G458">
        <v>64781.839036288002</v>
      </c>
      <c r="H458">
        <v>0.26322067399999999</v>
      </c>
      <c r="I458">
        <v>14096</v>
      </c>
      <c r="J458">
        <v>4367</v>
      </c>
      <c r="K458">
        <v>9729</v>
      </c>
      <c r="L458">
        <v>500</v>
      </c>
      <c r="M458">
        <v>499</v>
      </c>
      <c r="N458">
        <v>1</v>
      </c>
      <c r="O458">
        <v>7332.0473421246998</v>
      </c>
      <c r="P458" s="3" t="s">
        <v>50</v>
      </c>
      <c r="Q458">
        <v>50</v>
      </c>
      <c r="R458">
        <v>0.999</v>
      </c>
      <c r="S458">
        <v>0</v>
      </c>
    </row>
    <row r="459" spans="1:19" x14ac:dyDescent="0.2">
      <c r="A459" s="3" t="s">
        <v>54</v>
      </c>
      <c r="B459" s="3" t="s">
        <v>55</v>
      </c>
      <c r="C459">
        <v>7</v>
      </c>
      <c r="D459">
        <v>16000</v>
      </c>
      <c r="E459">
        <v>499</v>
      </c>
      <c r="F459">
        <v>1</v>
      </c>
      <c r="G459">
        <v>64781.839036288002</v>
      </c>
      <c r="H459">
        <v>0.26306174300000001</v>
      </c>
      <c r="I459">
        <v>14070</v>
      </c>
      <c r="J459">
        <v>4396</v>
      </c>
      <c r="K459">
        <v>9674</v>
      </c>
      <c r="L459">
        <v>500</v>
      </c>
      <c r="M459">
        <v>499</v>
      </c>
      <c r="N459">
        <v>1</v>
      </c>
      <c r="O459">
        <v>7537.7743874536</v>
      </c>
      <c r="P459" s="3" t="s">
        <v>50</v>
      </c>
      <c r="Q459">
        <v>50</v>
      </c>
      <c r="R459">
        <v>0.999</v>
      </c>
      <c r="S459">
        <v>0</v>
      </c>
    </row>
    <row r="460" spans="1:19" x14ac:dyDescent="0.2">
      <c r="A460" s="3" t="s">
        <v>54</v>
      </c>
      <c r="B460" s="3" t="s">
        <v>55</v>
      </c>
      <c r="C460">
        <v>31</v>
      </c>
      <c r="D460">
        <v>16000</v>
      </c>
      <c r="E460">
        <v>499</v>
      </c>
      <c r="F460">
        <v>1</v>
      </c>
      <c r="G460">
        <v>64781.839036288002</v>
      </c>
      <c r="H460">
        <v>0.26252587399999999</v>
      </c>
      <c r="I460">
        <v>14075</v>
      </c>
      <c r="J460">
        <v>4362</v>
      </c>
      <c r="K460">
        <v>9713</v>
      </c>
      <c r="L460">
        <v>500</v>
      </c>
      <c r="M460">
        <v>499</v>
      </c>
      <c r="N460">
        <v>1</v>
      </c>
      <c r="O460">
        <v>7515.1554858304999</v>
      </c>
      <c r="P460" s="3" t="s">
        <v>52</v>
      </c>
      <c r="Q460">
        <v>50</v>
      </c>
      <c r="R460">
        <v>0.999</v>
      </c>
      <c r="S460">
        <v>0</v>
      </c>
    </row>
    <row r="461" spans="1:19" x14ac:dyDescent="0.2">
      <c r="A461" s="3" t="s">
        <v>54</v>
      </c>
      <c r="B461" s="3" t="s">
        <v>55</v>
      </c>
      <c r="C461">
        <v>1</v>
      </c>
      <c r="D461">
        <v>16000</v>
      </c>
      <c r="E461">
        <v>499</v>
      </c>
      <c r="F461">
        <v>1</v>
      </c>
      <c r="G461">
        <v>64781.839036288002</v>
      </c>
      <c r="H461">
        <v>0.26238267799999998</v>
      </c>
      <c r="I461">
        <v>14073</v>
      </c>
      <c r="J461">
        <v>4376</v>
      </c>
      <c r="K461">
        <v>9697</v>
      </c>
      <c r="L461">
        <v>500</v>
      </c>
      <c r="M461">
        <v>499</v>
      </c>
      <c r="N461">
        <v>1</v>
      </c>
      <c r="O461">
        <v>7481.4865039526003</v>
      </c>
      <c r="P461" s="3" t="s">
        <v>52</v>
      </c>
      <c r="Q461">
        <v>50</v>
      </c>
      <c r="R461">
        <v>0.999</v>
      </c>
      <c r="S461">
        <v>0</v>
      </c>
    </row>
    <row r="462" spans="1:19" x14ac:dyDescent="0.2">
      <c r="A462" s="3" t="s">
        <v>54</v>
      </c>
      <c r="B462" s="3" t="s">
        <v>55</v>
      </c>
      <c r="C462">
        <v>16</v>
      </c>
      <c r="D462">
        <v>16000</v>
      </c>
      <c r="E462">
        <v>499</v>
      </c>
      <c r="F462">
        <v>1</v>
      </c>
      <c r="G462">
        <v>64781.839036288002</v>
      </c>
      <c r="H462">
        <v>0.26235881</v>
      </c>
      <c r="I462">
        <v>14069</v>
      </c>
      <c r="J462">
        <v>4380</v>
      </c>
      <c r="K462">
        <v>9689</v>
      </c>
      <c r="L462">
        <v>500</v>
      </c>
      <c r="M462">
        <v>499</v>
      </c>
      <c r="N462">
        <v>1</v>
      </c>
      <c r="O462">
        <v>7564.1975058108001</v>
      </c>
      <c r="P462" s="3" t="s">
        <v>50</v>
      </c>
      <c r="Q462">
        <v>50</v>
      </c>
      <c r="R462">
        <v>0.999</v>
      </c>
      <c r="S462">
        <v>0</v>
      </c>
    </row>
    <row r="463" spans="1:19" x14ac:dyDescent="0.2">
      <c r="A463" s="3" t="s">
        <v>54</v>
      </c>
      <c r="B463" s="3" t="s">
        <v>55</v>
      </c>
      <c r="C463">
        <v>30</v>
      </c>
      <c r="D463">
        <v>16000</v>
      </c>
      <c r="E463">
        <v>499</v>
      </c>
      <c r="F463">
        <v>1</v>
      </c>
      <c r="G463">
        <v>64781.839036288002</v>
      </c>
      <c r="H463">
        <v>0.26166942300000001</v>
      </c>
      <c r="I463">
        <v>14066</v>
      </c>
      <c r="J463">
        <v>4376</v>
      </c>
      <c r="K463">
        <v>9690</v>
      </c>
      <c r="L463">
        <v>500</v>
      </c>
      <c r="M463">
        <v>499</v>
      </c>
      <c r="N463">
        <v>1</v>
      </c>
      <c r="O463">
        <v>7535.8532905222</v>
      </c>
      <c r="P463" s="3" t="s">
        <v>50</v>
      </c>
      <c r="Q463">
        <v>50</v>
      </c>
      <c r="R463">
        <v>0.999</v>
      </c>
      <c r="S463">
        <v>0</v>
      </c>
    </row>
    <row r="464" spans="1:19" x14ac:dyDescent="0.2">
      <c r="A464" s="3" t="s">
        <v>54</v>
      </c>
      <c r="B464" s="3" t="s">
        <v>55</v>
      </c>
      <c r="C464">
        <v>30</v>
      </c>
      <c r="D464">
        <v>16000</v>
      </c>
      <c r="E464">
        <v>499</v>
      </c>
      <c r="F464">
        <v>1</v>
      </c>
      <c r="G464">
        <v>64781.839036288002</v>
      </c>
      <c r="H464">
        <v>0.26159489000000002</v>
      </c>
      <c r="I464">
        <v>14070</v>
      </c>
      <c r="J464">
        <v>4368</v>
      </c>
      <c r="K464">
        <v>9702</v>
      </c>
      <c r="L464">
        <v>500</v>
      </c>
      <c r="M464">
        <v>499</v>
      </c>
      <c r="N464">
        <v>1</v>
      </c>
      <c r="O464">
        <v>7548.5798497583</v>
      </c>
      <c r="P464" s="3" t="s">
        <v>52</v>
      </c>
      <c r="Q464">
        <v>50</v>
      </c>
      <c r="R464">
        <v>0.999</v>
      </c>
      <c r="S464">
        <v>0</v>
      </c>
    </row>
    <row r="465" spans="1:19" x14ac:dyDescent="0.2">
      <c r="A465" s="3" t="s">
        <v>54</v>
      </c>
      <c r="B465" s="3" t="s">
        <v>55</v>
      </c>
      <c r="C465">
        <v>8</v>
      </c>
      <c r="D465">
        <v>16000</v>
      </c>
      <c r="E465">
        <v>499</v>
      </c>
      <c r="F465">
        <v>1</v>
      </c>
      <c r="G465">
        <v>64781.839036288002</v>
      </c>
      <c r="H465">
        <v>0.26152956799999999</v>
      </c>
      <c r="I465">
        <v>14054</v>
      </c>
      <c r="J465">
        <v>4344</v>
      </c>
      <c r="K465">
        <v>9710</v>
      </c>
      <c r="L465">
        <v>500</v>
      </c>
      <c r="M465">
        <v>499</v>
      </c>
      <c r="N465">
        <v>1</v>
      </c>
      <c r="O465">
        <v>7547.9390569309999</v>
      </c>
      <c r="P465" s="3" t="s">
        <v>52</v>
      </c>
      <c r="Q465">
        <v>50</v>
      </c>
      <c r="R465">
        <v>0.999</v>
      </c>
      <c r="S465">
        <v>0</v>
      </c>
    </row>
    <row r="466" spans="1:19" x14ac:dyDescent="0.2">
      <c r="A466" s="3" t="s">
        <v>54</v>
      </c>
      <c r="B466" s="3" t="s">
        <v>55</v>
      </c>
      <c r="C466">
        <v>14</v>
      </c>
      <c r="D466">
        <v>16000</v>
      </c>
      <c r="E466">
        <v>499</v>
      </c>
      <c r="F466">
        <v>1</v>
      </c>
      <c r="G466">
        <v>64781.839036288002</v>
      </c>
      <c r="H466">
        <v>0.26151590200000002</v>
      </c>
      <c r="I466">
        <v>14071</v>
      </c>
      <c r="J466">
        <v>4391</v>
      </c>
      <c r="K466">
        <v>9680</v>
      </c>
      <c r="L466">
        <v>500</v>
      </c>
      <c r="M466">
        <v>499</v>
      </c>
      <c r="N466">
        <v>1</v>
      </c>
      <c r="O466">
        <v>7497.4871754996002</v>
      </c>
      <c r="P466" s="3" t="s">
        <v>52</v>
      </c>
      <c r="Q466">
        <v>50</v>
      </c>
      <c r="R466">
        <v>0.999</v>
      </c>
      <c r="S466">
        <v>0</v>
      </c>
    </row>
    <row r="467" spans="1:19" x14ac:dyDescent="0.2">
      <c r="A467" s="3" t="s">
        <v>54</v>
      </c>
      <c r="B467" s="3" t="s">
        <v>55</v>
      </c>
      <c r="C467">
        <v>43</v>
      </c>
      <c r="D467">
        <v>16000</v>
      </c>
      <c r="E467">
        <v>499</v>
      </c>
      <c r="F467">
        <v>1</v>
      </c>
      <c r="G467">
        <v>64781.839036288002</v>
      </c>
      <c r="H467">
        <v>0.261401575</v>
      </c>
      <c r="I467">
        <v>14081</v>
      </c>
      <c r="J467">
        <v>4405</v>
      </c>
      <c r="K467">
        <v>9676</v>
      </c>
      <c r="L467">
        <v>500</v>
      </c>
      <c r="M467">
        <v>499</v>
      </c>
      <c r="N467">
        <v>1</v>
      </c>
      <c r="O467">
        <v>7515.3824914049001</v>
      </c>
      <c r="P467" s="3" t="s">
        <v>50</v>
      </c>
      <c r="Q467">
        <v>50</v>
      </c>
      <c r="R467">
        <v>0.999</v>
      </c>
      <c r="S467">
        <v>0</v>
      </c>
    </row>
    <row r="468" spans="1:19" x14ac:dyDescent="0.2">
      <c r="A468" s="3" t="s">
        <v>54</v>
      </c>
      <c r="B468" s="3" t="s">
        <v>55</v>
      </c>
      <c r="C468">
        <v>24</v>
      </c>
      <c r="D468">
        <v>16000</v>
      </c>
      <c r="E468">
        <v>499</v>
      </c>
      <c r="F468">
        <v>1</v>
      </c>
      <c r="G468">
        <v>64781.839036288002</v>
      </c>
      <c r="H468">
        <v>0.26117396900000001</v>
      </c>
      <c r="I468">
        <v>14068</v>
      </c>
      <c r="J468">
        <v>4394</v>
      </c>
      <c r="K468">
        <v>9674</v>
      </c>
      <c r="L468">
        <v>500</v>
      </c>
      <c r="M468">
        <v>499</v>
      </c>
      <c r="N468">
        <v>1</v>
      </c>
      <c r="O468">
        <v>7508.3816209437</v>
      </c>
      <c r="P468" s="3" t="s">
        <v>50</v>
      </c>
      <c r="Q468">
        <v>50</v>
      </c>
      <c r="R468">
        <v>0.999</v>
      </c>
      <c r="S468">
        <v>0</v>
      </c>
    </row>
    <row r="469" spans="1:19" x14ac:dyDescent="0.2">
      <c r="A469" s="3" t="s">
        <v>54</v>
      </c>
      <c r="B469" s="3" t="s">
        <v>55</v>
      </c>
      <c r="C469">
        <v>25</v>
      </c>
      <c r="D469">
        <v>16000</v>
      </c>
      <c r="E469">
        <v>499</v>
      </c>
      <c r="F469">
        <v>1</v>
      </c>
      <c r="G469">
        <v>64781.839036288002</v>
      </c>
      <c r="H469">
        <v>0.26114542200000002</v>
      </c>
      <c r="I469">
        <v>14063</v>
      </c>
      <c r="J469">
        <v>4371</v>
      </c>
      <c r="K469">
        <v>9692</v>
      </c>
      <c r="L469">
        <v>500</v>
      </c>
      <c r="M469">
        <v>499</v>
      </c>
      <c r="N469">
        <v>1</v>
      </c>
      <c r="O469">
        <v>7592.4348173958997</v>
      </c>
      <c r="P469" s="3" t="s">
        <v>50</v>
      </c>
      <c r="Q469">
        <v>50</v>
      </c>
      <c r="R469">
        <v>0.999</v>
      </c>
      <c r="S469">
        <v>0</v>
      </c>
    </row>
    <row r="470" spans="1:19" x14ac:dyDescent="0.2">
      <c r="A470" s="3" t="s">
        <v>54</v>
      </c>
      <c r="B470" s="3" t="s">
        <v>55</v>
      </c>
      <c r="C470">
        <v>40</v>
      </c>
      <c r="D470">
        <v>16000</v>
      </c>
      <c r="E470">
        <v>499</v>
      </c>
      <c r="F470">
        <v>1</v>
      </c>
      <c r="G470">
        <v>64781.839036288002</v>
      </c>
      <c r="H470">
        <v>0.26096868099999998</v>
      </c>
      <c r="I470">
        <v>14052</v>
      </c>
      <c r="J470">
        <v>4384</v>
      </c>
      <c r="K470">
        <v>9668</v>
      </c>
      <c r="L470">
        <v>500</v>
      </c>
      <c r="M470">
        <v>499</v>
      </c>
      <c r="N470">
        <v>1</v>
      </c>
      <c r="O470">
        <v>7580.8200776508002</v>
      </c>
      <c r="P470" s="3" t="s">
        <v>50</v>
      </c>
      <c r="Q470">
        <v>50</v>
      </c>
      <c r="R470">
        <v>0.999</v>
      </c>
      <c r="S470">
        <v>0</v>
      </c>
    </row>
    <row r="471" spans="1:19" x14ac:dyDescent="0.2">
      <c r="A471" s="3" t="s">
        <v>54</v>
      </c>
      <c r="B471" s="3" t="s">
        <v>55</v>
      </c>
      <c r="C471">
        <v>10</v>
      </c>
      <c r="D471">
        <v>16000</v>
      </c>
      <c r="E471">
        <v>499</v>
      </c>
      <c r="F471">
        <v>1</v>
      </c>
      <c r="G471">
        <v>64781.839036288002</v>
      </c>
      <c r="H471">
        <v>0.26091397300000002</v>
      </c>
      <c r="I471">
        <v>14062</v>
      </c>
      <c r="J471">
        <v>4378</v>
      </c>
      <c r="K471">
        <v>9684</v>
      </c>
      <c r="L471">
        <v>500</v>
      </c>
      <c r="M471">
        <v>499</v>
      </c>
      <c r="N471">
        <v>1</v>
      </c>
      <c r="O471">
        <v>7568.7146248984</v>
      </c>
      <c r="P471" s="3" t="s">
        <v>50</v>
      </c>
      <c r="Q471">
        <v>50</v>
      </c>
      <c r="R471">
        <v>0.999</v>
      </c>
      <c r="S471">
        <v>0</v>
      </c>
    </row>
    <row r="472" spans="1:19" x14ac:dyDescent="0.2">
      <c r="A472" s="3" t="s">
        <v>54</v>
      </c>
      <c r="B472" s="3" t="s">
        <v>55</v>
      </c>
      <c r="C472">
        <v>46</v>
      </c>
      <c r="D472">
        <v>16000</v>
      </c>
      <c r="E472">
        <v>499</v>
      </c>
      <c r="F472">
        <v>1</v>
      </c>
      <c r="G472">
        <v>64781.839036288002</v>
      </c>
      <c r="H472">
        <v>0.26063462199999998</v>
      </c>
      <c r="I472">
        <v>14086</v>
      </c>
      <c r="J472">
        <v>4389</v>
      </c>
      <c r="K472">
        <v>9697</v>
      </c>
      <c r="L472">
        <v>500</v>
      </c>
      <c r="M472">
        <v>499</v>
      </c>
      <c r="N472">
        <v>1</v>
      </c>
      <c r="O472">
        <v>7542.9372593392</v>
      </c>
      <c r="P472" s="3" t="s">
        <v>52</v>
      </c>
      <c r="Q472">
        <v>50</v>
      </c>
      <c r="R472">
        <v>0.999</v>
      </c>
      <c r="S472">
        <v>0</v>
      </c>
    </row>
    <row r="473" spans="1:19" x14ac:dyDescent="0.2">
      <c r="A473" s="3" t="s">
        <v>54</v>
      </c>
      <c r="B473" s="3" t="s">
        <v>55</v>
      </c>
      <c r="C473">
        <v>45</v>
      </c>
      <c r="D473">
        <v>16000</v>
      </c>
      <c r="E473">
        <v>499</v>
      </c>
      <c r="F473">
        <v>1</v>
      </c>
      <c r="G473">
        <v>64781.839036288002</v>
      </c>
      <c r="H473">
        <v>0.26042690400000001</v>
      </c>
      <c r="I473">
        <v>14068</v>
      </c>
      <c r="J473">
        <v>4403</v>
      </c>
      <c r="K473">
        <v>9665</v>
      </c>
      <c r="L473">
        <v>500</v>
      </c>
      <c r="M473">
        <v>499</v>
      </c>
      <c r="N473">
        <v>1</v>
      </c>
      <c r="O473">
        <v>7497.1115667555996</v>
      </c>
      <c r="P473" s="3" t="s">
        <v>52</v>
      </c>
      <c r="Q473">
        <v>50</v>
      </c>
      <c r="R473">
        <v>0.999</v>
      </c>
      <c r="S473">
        <v>0</v>
      </c>
    </row>
    <row r="474" spans="1:19" x14ac:dyDescent="0.2">
      <c r="A474" s="3" t="s">
        <v>54</v>
      </c>
      <c r="B474" s="3" t="s">
        <v>55</v>
      </c>
      <c r="C474">
        <v>27</v>
      </c>
      <c r="D474">
        <v>16000</v>
      </c>
      <c r="E474">
        <v>499</v>
      </c>
      <c r="F474">
        <v>1</v>
      </c>
      <c r="G474">
        <v>64781.839036288002</v>
      </c>
      <c r="H474">
        <v>0.260069049</v>
      </c>
      <c r="I474">
        <v>14063</v>
      </c>
      <c r="J474">
        <v>4407</v>
      </c>
      <c r="K474">
        <v>9656</v>
      </c>
      <c r="L474">
        <v>500</v>
      </c>
      <c r="M474">
        <v>499</v>
      </c>
      <c r="N474">
        <v>1</v>
      </c>
      <c r="O474">
        <v>7528.0506073076003</v>
      </c>
      <c r="P474" s="3" t="s">
        <v>50</v>
      </c>
      <c r="Q474">
        <v>50</v>
      </c>
      <c r="R474">
        <v>0.999</v>
      </c>
      <c r="S474">
        <v>0</v>
      </c>
    </row>
    <row r="475" spans="1:19" x14ac:dyDescent="0.2">
      <c r="A475" s="3" t="s">
        <v>54</v>
      </c>
      <c r="B475" s="3" t="s">
        <v>55</v>
      </c>
      <c r="C475">
        <v>18</v>
      </c>
      <c r="D475">
        <v>16000</v>
      </c>
      <c r="E475">
        <v>499</v>
      </c>
      <c r="F475">
        <v>1</v>
      </c>
      <c r="G475">
        <v>64781.839036288002</v>
      </c>
      <c r="H475">
        <v>0.25979279399999999</v>
      </c>
      <c r="I475">
        <v>14046</v>
      </c>
      <c r="J475">
        <v>4362</v>
      </c>
      <c r="K475">
        <v>9684</v>
      </c>
      <c r="L475">
        <v>500</v>
      </c>
      <c r="M475">
        <v>499</v>
      </c>
      <c r="N475">
        <v>1</v>
      </c>
      <c r="O475">
        <v>7537.3291342772</v>
      </c>
      <c r="P475" s="3" t="s">
        <v>50</v>
      </c>
      <c r="Q475">
        <v>50</v>
      </c>
      <c r="R475">
        <v>0.999</v>
      </c>
      <c r="S475">
        <v>0</v>
      </c>
    </row>
    <row r="476" spans="1:19" x14ac:dyDescent="0.2">
      <c r="A476" s="3" t="s">
        <v>54</v>
      </c>
      <c r="B476" s="3" t="s">
        <v>55</v>
      </c>
      <c r="C476">
        <v>15</v>
      </c>
      <c r="D476">
        <v>16000</v>
      </c>
      <c r="E476">
        <v>499</v>
      </c>
      <c r="F476">
        <v>1</v>
      </c>
      <c r="G476">
        <v>64781.839036288002</v>
      </c>
      <c r="H476">
        <v>0.25971510599999997</v>
      </c>
      <c r="I476">
        <v>14078</v>
      </c>
      <c r="J476">
        <v>4335</v>
      </c>
      <c r="K476">
        <v>9743</v>
      </c>
      <c r="L476">
        <v>500</v>
      </c>
      <c r="M476">
        <v>499</v>
      </c>
      <c r="N476">
        <v>1</v>
      </c>
      <c r="O476">
        <v>7513.5623780388996</v>
      </c>
      <c r="P476" s="3" t="s">
        <v>52</v>
      </c>
      <c r="Q476">
        <v>50</v>
      </c>
      <c r="R476">
        <v>0.999</v>
      </c>
      <c r="S476">
        <v>0</v>
      </c>
    </row>
    <row r="477" spans="1:19" x14ac:dyDescent="0.2">
      <c r="A477" s="3" t="s">
        <v>54</v>
      </c>
      <c r="B477" s="3" t="s">
        <v>55</v>
      </c>
      <c r="C477">
        <v>26</v>
      </c>
      <c r="D477">
        <v>16000</v>
      </c>
      <c r="E477">
        <v>499</v>
      </c>
      <c r="F477">
        <v>1</v>
      </c>
      <c r="G477">
        <v>64781.839036288002</v>
      </c>
      <c r="H477">
        <v>0.25913410599999998</v>
      </c>
      <c r="I477">
        <v>14064</v>
      </c>
      <c r="J477">
        <v>4321</v>
      </c>
      <c r="K477">
        <v>9743</v>
      </c>
      <c r="L477">
        <v>500</v>
      </c>
      <c r="M477">
        <v>499</v>
      </c>
      <c r="N477">
        <v>1</v>
      </c>
      <c r="O477">
        <v>7555.6726606949996</v>
      </c>
      <c r="P477" s="3" t="s">
        <v>52</v>
      </c>
      <c r="Q477">
        <v>50</v>
      </c>
      <c r="R477">
        <v>0.999</v>
      </c>
      <c r="S477">
        <v>0</v>
      </c>
    </row>
    <row r="478" spans="1:19" x14ac:dyDescent="0.2">
      <c r="A478" s="3" t="s">
        <v>54</v>
      </c>
      <c r="B478" s="3" t="s">
        <v>55</v>
      </c>
      <c r="C478">
        <v>40</v>
      </c>
      <c r="D478">
        <v>16000</v>
      </c>
      <c r="E478">
        <v>499</v>
      </c>
      <c r="F478">
        <v>1</v>
      </c>
      <c r="G478">
        <v>64781.839036288002</v>
      </c>
      <c r="H478">
        <v>0.25898600100000002</v>
      </c>
      <c r="I478">
        <v>14053</v>
      </c>
      <c r="J478">
        <v>4390</v>
      </c>
      <c r="K478">
        <v>9663</v>
      </c>
      <c r="L478">
        <v>500</v>
      </c>
      <c r="M478">
        <v>499</v>
      </c>
      <c r="N478">
        <v>1</v>
      </c>
      <c r="O478">
        <v>7473.7869347957003</v>
      </c>
      <c r="P478" s="3" t="s">
        <v>52</v>
      </c>
      <c r="Q478">
        <v>50</v>
      </c>
      <c r="R478">
        <v>0.999</v>
      </c>
      <c r="S478">
        <v>0</v>
      </c>
    </row>
    <row r="479" spans="1:19" x14ac:dyDescent="0.2">
      <c r="A479" s="3" t="s">
        <v>54</v>
      </c>
      <c r="B479" s="3" t="s">
        <v>55</v>
      </c>
      <c r="C479">
        <v>24</v>
      </c>
      <c r="D479">
        <v>16000</v>
      </c>
      <c r="E479">
        <v>499</v>
      </c>
      <c r="F479">
        <v>1</v>
      </c>
      <c r="G479">
        <v>64781.839036288002</v>
      </c>
      <c r="H479">
        <v>0.25854402199999998</v>
      </c>
      <c r="I479">
        <v>14087</v>
      </c>
      <c r="J479">
        <v>4369</v>
      </c>
      <c r="K479">
        <v>9718</v>
      </c>
      <c r="L479">
        <v>500</v>
      </c>
      <c r="M479">
        <v>499</v>
      </c>
      <c r="N479">
        <v>1</v>
      </c>
      <c r="O479">
        <v>7465.8873571752001</v>
      </c>
      <c r="P479" s="3" t="s">
        <v>52</v>
      </c>
      <c r="Q479">
        <v>50</v>
      </c>
      <c r="R479">
        <v>0.999</v>
      </c>
      <c r="S479">
        <v>0</v>
      </c>
    </row>
    <row r="480" spans="1:19" x14ac:dyDescent="0.2">
      <c r="A480" s="3" t="s">
        <v>54</v>
      </c>
      <c r="B480" s="3" t="s">
        <v>55</v>
      </c>
      <c r="C480">
        <v>12</v>
      </c>
      <c r="D480">
        <v>16000</v>
      </c>
      <c r="E480">
        <v>499</v>
      </c>
      <c r="F480">
        <v>1</v>
      </c>
      <c r="G480">
        <v>64781.839036288002</v>
      </c>
      <c r="H480">
        <v>0.25838668399999998</v>
      </c>
      <c r="I480">
        <v>14043</v>
      </c>
      <c r="J480">
        <v>4307</v>
      </c>
      <c r="K480">
        <v>9736</v>
      </c>
      <c r="L480">
        <v>500</v>
      </c>
      <c r="M480">
        <v>499</v>
      </c>
      <c r="N480">
        <v>1</v>
      </c>
      <c r="O480">
        <v>7568.0196899466</v>
      </c>
      <c r="P480" s="3" t="s">
        <v>52</v>
      </c>
      <c r="Q480">
        <v>50</v>
      </c>
      <c r="R480">
        <v>0.999</v>
      </c>
      <c r="S480">
        <v>0</v>
      </c>
    </row>
    <row r="481" spans="1:19" x14ac:dyDescent="0.2">
      <c r="A481" s="3" t="s">
        <v>54</v>
      </c>
      <c r="B481" s="3" t="s">
        <v>55</v>
      </c>
      <c r="C481">
        <v>42</v>
      </c>
      <c r="D481">
        <v>16000</v>
      </c>
      <c r="E481">
        <v>499</v>
      </c>
      <c r="F481">
        <v>1</v>
      </c>
      <c r="G481">
        <v>64781.839036288002</v>
      </c>
      <c r="H481">
        <v>0.25830276299999999</v>
      </c>
      <c r="I481">
        <v>14117</v>
      </c>
      <c r="J481">
        <v>4418</v>
      </c>
      <c r="K481">
        <v>9699</v>
      </c>
      <c r="L481">
        <v>500</v>
      </c>
      <c r="M481">
        <v>499</v>
      </c>
      <c r="N481">
        <v>1</v>
      </c>
      <c r="O481">
        <v>7327.0041592942998</v>
      </c>
      <c r="P481" s="3" t="s">
        <v>52</v>
      </c>
      <c r="Q481">
        <v>50</v>
      </c>
      <c r="R481">
        <v>0.999</v>
      </c>
      <c r="S481">
        <v>0</v>
      </c>
    </row>
    <row r="482" spans="1:19" x14ac:dyDescent="0.2">
      <c r="A482" s="3" t="s">
        <v>54</v>
      </c>
      <c r="B482" s="3" t="s">
        <v>55</v>
      </c>
      <c r="C482">
        <v>33</v>
      </c>
      <c r="D482">
        <v>16000</v>
      </c>
      <c r="E482">
        <v>499</v>
      </c>
      <c r="F482">
        <v>1</v>
      </c>
      <c r="G482">
        <v>64781.839036288002</v>
      </c>
      <c r="H482">
        <v>0.25818011800000001</v>
      </c>
      <c r="I482">
        <v>14106</v>
      </c>
      <c r="J482">
        <v>4446</v>
      </c>
      <c r="K482">
        <v>9660</v>
      </c>
      <c r="L482">
        <v>500</v>
      </c>
      <c r="M482">
        <v>499</v>
      </c>
      <c r="N482">
        <v>1</v>
      </c>
      <c r="O482">
        <v>7421.3011382695004</v>
      </c>
      <c r="P482" s="3" t="s">
        <v>52</v>
      </c>
      <c r="Q482">
        <v>50</v>
      </c>
      <c r="R482">
        <v>0.999</v>
      </c>
      <c r="S482">
        <v>0</v>
      </c>
    </row>
    <row r="483" spans="1:19" x14ac:dyDescent="0.2">
      <c r="A483" s="3" t="s">
        <v>54</v>
      </c>
      <c r="B483" s="3" t="s">
        <v>55</v>
      </c>
      <c r="C483">
        <v>48</v>
      </c>
      <c r="D483">
        <v>16000</v>
      </c>
      <c r="E483">
        <v>499</v>
      </c>
      <c r="F483">
        <v>1</v>
      </c>
      <c r="G483">
        <v>64781.839036288002</v>
      </c>
      <c r="H483">
        <v>0.25815751999999997</v>
      </c>
      <c r="I483">
        <v>14066</v>
      </c>
      <c r="J483">
        <v>4368</v>
      </c>
      <c r="K483">
        <v>9698</v>
      </c>
      <c r="L483">
        <v>500</v>
      </c>
      <c r="M483">
        <v>499</v>
      </c>
      <c r="N483">
        <v>1</v>
      </c>
      <c r="O483">
        <v>7539.1163420242001</v>
      </c>
      <c r="P483" s="3" t="s">
        <v>52</v>
      </c>
      <c r="Q483">
        <v>50</v>
      </c>
      <c r="R483">
        <v>0.999</v>
      </c>
      <c r="S483">
        <v>0</v>
      </c>
    </row>
    <row r="484" spans="1:19" x14ac:dyDescent="0.2">
      <c r="A484" s="3" t="s">
        <v>54</v>
      </c>
      <c r="B484" s="3" t="s">
        <v>55</v>
      </c>
      <c r="C484">
        <v>10</v>
      </c>
      <c r="D484">
        <v>16000</v>
      </c>
      <c r="E484">
        <v>499</v>
      </c>
      <c r="F484">
        <v>1</v>
      </c>
      <c r="G484">
        <v>64781.839036288002</v>
      </c>
      <c r="H484">
        <v>0.25780069100000003</v>
      </c>
      <c r="I484">
        <v>14073</v>
      </c>
      <c r="J484">
        <v>4369</v>
      </c>
      <c r="K484">
        <v>9704</v>
      </c>
      <c r="L484">
        <v>500</v>
      </c>
      <c r="M484">
        <v>499</v>
      </c>
      <c r="N484">
        <v>1</v>
      </c>
      <c r="O484">
        <v>7484.1464320507002</v>
      </c>
      <c r="P484" s="3" t="s">
        <v>52</v>
      </c>
      <c r="Q484">
        <v>50</v>
      </c>
      <c r="R484">
        <v>0.999</v>
      </c>
      <c r="S484">
        <v>0</v>
      </c>
    </row>
    <row r="485" spans="1:19" x14ac:dyDescent="0.2">
      <c r="A485" s="3" t="s">
        <v>54</v>
      </c>
      <c r="B485" s="3" t="s">
        <v>55</v>
      </c>
      <c r="C485">
        <v>11</v>
      </c>
      <c r="D485">
        <v>16000</v>
      </c>
      <c r="E485">
        <v>499</v>
      </c>
      <c r="F485">
        <v>1</v>
      </c>
      <c r="G485">
        <v>64781.839036288002</v>
      </c>
      <c r="H485">
        <v>0.25775877400000002</v>
      </c>
      <c r="I485">
        <v>14095</v>
      </c>
      <c r="J485">
        <v>4368</v>
      </c>
      <c r="K485">
        <v>9727</v>
      </c>
      <c r="L485">
        <v>500</v>
      </c>
      <c r="M485">
        <v>499</v>
      </c>
      <c r="N485">
        <v>1</v>
      </c>
      <c r="O485">
        <v>7364.9008557568995</v>
      </c>
      <c r="P485" s="3" t="s">
        <v>52</v>
      </c>
      <c r="Q485">
        <v>50</v>
      </c>
      <c r="R485">
        <v>0.999</v>
      </c>
      <c r="S485">
        <v>0</v>
      </c>
    </row>
    <row r="486" spans="1:19" x14ac:dyDescent="0.2">
      <c r="A486" s="3" t="s">
        <v>54</v>
      </c>
      <c r="B486" s="3" t="s">
        <v>55</v>
      </c>
      <c r="C486">
        <v>34</v>
      </c>
      <c r="D486">
        <v>16000</v>
      </c>
      <c r="E486">
        <v>499</v>
      </c>
      <c r="F486">
        <v>1</v>
      </c>
      <c r="G486">
        <v>64781.839036288002</v>
      </c>
      <c r="H486">
        <v>0.25717125400000002</v>
      </c>
      <c r="I486">
        <v>14054</v>
      </c>
      <c r="J486">
        <v>4364</v>
      </c>
      <c r="K486">
        <v>9690</v>
      </c>
      <c r="L486">
        <v>500</v>
      </c>
      <c r="M486">
        <v>499</v>
      </c>
      <c r="N486">
        <v>1</v>
      </c>
      <c r="O486">
        <v>7488.6205737390001</v>
      </c>
      <c r="P486" s="3" t="s">
        <v>50</v>
      </c>
      <c r="Q486">
        <v>50</v>
      </c>
      <c r="R486">
        <v>0.999</v>
      </c>
      <c r="S486">
        <v>0</v>
      </c>
    </row>
    <row r="487" spans="1:19" x14ac:dyDescent="0.2">
      <c r="A487" s="3" t="s">
        <v>54</v>
      </c>
      <c r="B487" s="3" t="s">
        <v>55</v>
      </c>
      <c r="C487">
        <v>21</v>
      </c>
      <c r="D487">
        <v>16000</v>
      </c>
      <c r="E487">
        <v>499</v>
      </c>
      <c r="F487">
        <v>1</v>
      </c>
      <c r="G487">
        <v>64781.839036288002</v>
      </c>
      <c r="H487">
        <v>0.25702637499999997</v>
      </c>
      <c r="I487">
        <v>14099</v>
      </c>
      <c r="J487">
        <v>4393</v>
      </c>
      <c r="K487">
        <v>9706</v>
      </c>
      <c r="L487">
        <v>500</v>
      </c>
      <c r="M487">
        <v>499</v>
      </c>
      <c r="N487">
        <v>1</v>
      </c>
      <c r="O487">
        <v>7422.6290389245996</v>
      </c>
      <c r="P487" s="3" t="s">
        <v>50</v>
      </c>
      <c r="Q487">
        <v>50</v>
      </c>
      <c r="R487">
        <v>0.999</v>
      </c>
      <c r="S487">
        <v>0</v>
      </c>
    </row>
    <row r="488" spans="1:19" x14ac:dyDescent="0.2">
      <c r="A488" s="3" t="s">
        <v>54</v>
      </c>
      <c r="B488" s="3" t="s">
        <v>55</v>
      </c>
      <c r="C488">
        <v>49</v>
      </c>
      <c r="D488">
        <v>16000</v>
      </c>
      <c r="E488">
        <v>499</v>
      </c>
      <c r="F488">
        <v>1</v>
      </c>
      <c r="G488">
        <v>64781.839036288002</v>
      </c>
      <c r="H488">
        <v>0.25689176200000002</v>
      </c>
      <c r="I488">
        <v>14029</v>
      </c>
      <c r="J488">
        <v>4322</v>
      </c>
      <c r="K488">
        <v>9707</v>
      </c>
      <c r="L488">
        <v>500</v>
      </c>
      <c r="M488">
        <v>499</v>
      </c>
      <c r="N488">
        <v>1</v>
      </c>
      <c r="O488">
        <v>7657.5703844607997</v>
      </c>
      <c r="P488" s="3" t="s">
        <v>50</v>
      </c>
      <c r="Q488">
        <v>50</v>
      </c>
      <c r="R488">
        <v>0.999</v>
      </c>
      <c r="S488">
        <v>0</v>
      </c>
    </row>
    <row r="489" spans="1:19" x14ac:dyDescent="0.2">
      <c r="A489" s="3" t="s">
        <v>54</v>
      </c>
      <c r="B489" s="3" t="s">
        <v>55</v>
      </c>
      <c r="C489">
        <v>32</v>
      </c>
      <c r="D489">
        <v>16000</v>
      </c>
      <c r="E489">
        <v>499</v>
      </c>
      <c r="F489">
        <v>1</v>
      </c>
      <c r="G489">
        <v>64781.839036288002</v>
      </c>
      <c r="H489">
        <v>0.25676805200000002</v>
      </c>
      <c r="I489">
        <v>14066</v>
      </c>
      <c r="J489">
        <v>4311</v>
      </c>
      <c r="K489">
        <v>9755</v>
      </c>
      <c r="L489">
        <v>500</v>
      </c>
      <c r="M489">
        <v>499</v>
      </c>
      <c r="N489">
        <v>1</v>
      </c>
      <c r="O489">
        <v>7613.9876561310002</v>
      </c>
      <c r="P489" s="3" t="s">
        <v>52</v>
      </c>
      <c r="Q489">
        <v>50</v>
      </c>
      <c r="R489">
        <v>0.999</v>
      </c>
      <c r="S489">
        <v>0</v>
      </c>
    </row>
    <row r="490" spans="1:19" x14ac:dyDescent="0.2">
      <c r="A490" s="3" t="s">
        <v>54</v>
      </c>
      <c r="B490" s="3" t="s">
        <v>55</v>
      </c>
      <c r="C490">
        <v>33</v>
      </c>
      <c r="D490">
        <v>16000</v>
      </c>
      <c r="E490">
        <v>499</v>
      </c>
      <c r="F490">
        <v>1</v>
      </c>
      <c r="G490">
        <v>64781.839036288002</v>
      </c>
      <c r="H490">
        <v>0.25657946399999998</v>
      </c>
      <c r="I490">
        <v>14049</v>
      </c>
      <c r="J490">
        <v>4409</v>
      </c>
      <c r="K490">
        <v>9640</v>
      </c>
      <c r="L490">
        <v>500</v>
      </c>
      <c r="M490">
        <v>499</v>
      </c>
      <c r="N490">
        <v>1</v>
      </c>
      <c r="O490">
        <v>7596.0050223932003</v>
      </c>
      <c r="P490" s="3" t="s">
        <v>50</v>
      </c>
      <c r="Q490">
        <v>50</v>
      </c>
      <c r="R490">
        <v>0.999</v>
      </c>
      <c r="S490">
        <v>0</v>
      </c>
    </row>
    <row r="491" spans="1:19" x14ac:dyDescent="0.2">
      <c r="A491" s="3" t="s">
        <v>54</v>
      </c>
      <c r="B491" s="3" t="s">
        <v>55</v>
      </c>
      <c r="C491">
        <v>19</v>
      </c>
      <c r="D491">
        <v>16000</v>
      </c>
      <c r="E491">
        <v>499</v>
      </c>
      <c r="F491">
        <v>1</v>
      </c>
      <c r="G491">
        <v>64781.839036288002</v>
      </c>
      <c r="H491">
        <v>0.25650174100000001</v>
      </c>
      <c r="I491">
        <v>14072</v>
      </c>
      <c r="J491">
        <v>4354</v>
      </c>
      <c r="K491">
        <v>9718</v>
      </c>
      <c r="L491">
        <v>500</v>
      </c>
      <c r="M491">
        <v>499</v>
      </c>
      <c r="N491">
        <v>1</v>
      </c>
      <c r="O491">
        <v>7511.4317195231997</v>
      </c>
      <c r="P491" s="3" t="s">
        <v>52</v>
      </c>
      <c r="Q491">
        <v>50</v>
      </c>
      <c r="R491">
        <v>0.999</v>
      </c>
      <c r="S491">
        <v>0</v>
      </c>
    </row>
    <row r="492" spans="1:19" x14ac:dyDescent="0.2">
      <c r="A492" s="3" t="s">
        <v>54</v>
      </c>
      <c r="B492" s="3" t="s">
        <v>55</v>
      </c>
      <c r="C492">
        <v>4</v>
      </c>
      <c r="D492">
        <v>16000</v>
      </c>
      <c r="E492">
        <v>499</v>
      </c>
      <c r="F492">
        <v>1</v>
      </c>
      <c r="G492">
        <v>64781.839036288002</v>
      </c>
      <c r="H492">
        <v>0.25644381799999999</v>
      </c>
      <c r="I492">
        <v>14080</v>
      </c>
      <c r="J492">
        <v>4354</v>
      </c>
      <c r="K492">
        <v>9726</v>
      </c>
      <c r="L492">
        <v>500</v>
      </c>
      <c r="M492">
        <v>499</v>
      </c>
      <c r="N492">
        <v>1</v>
      </c>
      <c r="O492">
        <v>7525.3463999118003</v>
      </c>
      <c r="P492" s="3" t="s">
        <v>52</v>
      </c>
      <c r="Q492">
        <v>50</v>
      </c>
      <c r="R492">
        <v>0.999</v>
      </c>
      <c r="S492">
        <v>0</v>
      </c>
    </row>
    <row r="493" spans="1:19" x14ac:dyDescent="0.2">
      <c r="A493" s="3" t="s">
        <v>54</v>
      </c>
      <c r="B493" s="3" t="s">
        <v>55</v>
      </c>
      <c r="C493">
        <v>16</v>
      </c>
      <c r="D493">
        <v>16000</v>
      </c>
      <c r="E493">
        <v>499</v>
      </c>
      <c r="F493">
        <v>1</v>
      </c>
      <c r="G493">
        <v>64781.839036288002</v>
      </c>
      <c r="H493">
        <v>0.256323468</v>
      </c>
      <c r="I493">
        <v>14084</v>
      </c>
      <c r="J493">
        <v>4392</v>
      </c>
      <c r="K493">
        <v>9692</v>
      </c>
      <c r="L493">
        <v>500</v>
      </c>
      <c r="M493">
        <v>499</v>
      </c>
      <c r="N493">
        <v>1</v>
      </c>
      <c r="O493">
        <v>7489.8329162250002</v>
      </c>
      <c r="P493" s="3" t="s">
        <v>52</v>
      </c>
      <c r="Q493">
        <v>50</v>
      </c>
      <c r="R493">
        <v>0.999</v>
      </c>
      <c r="S493">
        <v>0</v>
      </c>
    </row>
    <row r="494" spans="1:19" x14ac:dyDescent="0.2">
      <c r="A494" s="3" t="s">
        <v>54</v>
      </c>
      <c r="B494" s="3" t="s">
        <v>55</v>
      </c>
      <c r="C494">
        <v>35</v>
      </c>
      <c r="D494">
        <v>16000</v>
      </c>
      <c r="E494">
        <v>499</v>
      </c>
      <c r="F494">
        <v>1</v>
      </c>
      <c r="G494">
        <v>64781.839036288002</v>
      </c>
      <c r="H494">
        <v>0.255386163</v>
      </c>
      <c r="I494">
        <v>14048</v>
      </c>
      <c r="J494">
        <v>4318</v>
      </c>
      <c r="K494">
        <v>9730</v>
      </c>
      <c r="L494">
        <v>500</v>
      </c>
      <c r="M494">
        <v>499</v>
      </c>
      <c r="N494">
        <v>1</v>
      </c>
      <c r="O494">
        <v>7598.7380742886999</v>
      </c>
      <c r="P494" s="3" t="s">
        <v>52</v>
      </c>
      <c r="Q494">
        <v>50</v>
      </c>
      <c r="R494">
        <v>0.999</v>
      </c>
      <c r="S494">
        <v>0</v>
      </c>
    </row>
    <row r="495" spans="1:19" x14ac:dyDescent="0.2">
      <c r="A495" s="3" t="s">
        <v>54</v>
      </c>
      <c r="B495" s="3" t="s">
        <v>55</v>
      </c>
      <c r="C495">
        <v>38</v>
      </c>
      <c r="D495">
        <v>16000</v>
      </c>
      <c r="E495">
        <v>499</v>
      </c>
      <c r="F495">
        <v>1</v>
      </c>
      <c r="G495">
        <v>64781.839036288002</v>
      </c>
      <c r="H495">
        <v>0.25524951600000001</v>
      </c>
      <c r="I495">
        <v>14064</v>
      </c>
      <c r="J495">
        <v>4347</v>
      </c>
      <c r="K495">
        <v>9717</v>
      </c>
      <c r="L495">
        <v>500</v>
      </c>
      <c r="M495">
        <v>499</v>
      </c>
      <c r="N495">
        <v>1</v>
      </c>
      <c r="O495">
        <v>7545.7819116255996</v>
      </c>
      <c r="P495" s="3" t="s">
        <v>52</v>
      </c>
      <c r="Q495">
        <v>50</v>
      </c>
      <c r="R495">
        <v>0.999</v>
      </c>
      <c r="S495">
        <v>0</v>
      </c>
    </row>
    <row r="496" spans="1:19" x14ac:dyDescent="0.2">
      <c r="A496" s="3" t="s">
        <v>54</v>
      </c>
      <c r="B496" s="3" t="s">
        <v>55</v>
      </c>
      <c r="C496">
        <v>50</v>
      </c>
      <c r="D496">
        <v>16000</v>
      </c>
      <c r="E496">
        <v>499</v>
      </c>
      <c r="F496">
        <v>1</v>
      </c>
      <c r="G496">
        <v>64781.839036288002</v>
      </c>
      <c r="H496">
        <v>0.25511613</v>
      </c>
      <c r="I496">
        <v>14098</v>
      </c>
      <c r="J496">
        <v>4466</v>
      </c>
      <c r="K496">
        <v>9632</v>
      </c>
      <c r="L496">
        <v>500</v>
      </c>
      <c r="M496">
        <v>499</v>
      </c>
      <c r="N496">
        <v>1</v>
      </c>
      <c r="O496">
        <v>7332.9261168024004</v>
      </c>
      <c r="P496" s="3" t="s">
        <v>50</v>
      </c>
      <c r="Q496">
        <v>50</v>
      </c>
      <c r="R496">
        <v>0.999</v>
      </c>
      <c r="S496">
        <v>0</v>
      </c>
    </row>
    <row r="497" spans="1:19" x14ac:dyDescent="0.2">
      <c r="A497" s="3" t="s">
        <v>54</v>
      </c>
      <c r="B497" s="3" t="s">
        <v>55</v>
      </c>
      <c r="C497">
        <v>2</v>
      </c>
      <c r="D497">
        <v>16000</v>
      </c>
      <c r="E497">
        <v>499</v>
      </c>
      <c r="F497">
        <v>1</v>
      </c>
      <c r="G497">
        <v>64781.839036288002</v>
      </c>
      <c r="H497">
        <v>0.254676179</v>
      </c>
      <c r="I497">
        <v>14068</v>
      </c>
      <c r="J497">
        <v>4339</v>
      </c>
      <c r="K497">
        <v>9729</v>
      </c>
      <c r="L497">
        <v>500</v>
      </c>
      <c r="M497">
        <v>499</v>
      </c>
      <c r="N497">
        <v>1</v>
      </c>
      <c r="O497">
        <v>7605.2136138606002</v>
      </c>
      <c r="P497" s="3" t="s">
        <v>52</v>
      </c>
      <c r="Q497">
        <v>50</v>
      </c>
      <c r="R497">
        <v>0.999</v>
      </c>
      <c r="S497">
        <v>0</v>
      </c>
    </row>
    <row r="498" spans="1:19" x14ac:dyDescent="0.2">
      <c r="A498" s="3" t="s">
        <v>54</v>
      </c>
      <c r="B498" s="3" t="s">
        <v>55</v>
      </c>
      <c r="C498">
        <v>7</v>
      </c>
      <c r="D498">
        <v>16000</v>
      </c>
      <c r="E498">
        <v>499</v>
      </c>
      <c r="F498">
        <v>1</v>
      </c>
      <c r="G498">
        <v>64781.839036288002</v>
      </c>
      <c r="H498">
        <v>0.25411610800000001</v>
      </c>
      <c r="I498">
        <v>14082</v>
      </c>
      <c r="J498">
        <v>4386</v>
      </c>
      <c r="K498">
        <v>9696</v>
      </c>
      <c r="L498">
        <v>500</v>
      </c>
      <c r="M498">
        <v>499</v>
      </c>
      <c r="N498">
        <v>1</v>
      </c>
      <c r="O498">
        <v>7496.0192885553997</v>
      </c>
      <c r="P498" s="3" t="s">
        <v>52</v>
      </c>
      <c r="Q498">
        <v>50</v>
      </c>
      <c r="R498">
        <v>0.999</v>
      </c>
      <c r="S498">
        <v>0</v>
      </c>
    </row>
    <row r="499" spans="1:19" x14ac:dyDescent="0.2">
      <c r="A499" s="3" t="s">
        <v>54</v>
      </c>
      <c r="B499" s="3" t="s">
        <v>55</v>
      </c>
      <c r="C499">
        <v>39</v>
      </c>
      <c r="D499">
        <v>16000</v>
      </c>
      <c r="E499">
        <v>499</v>
      </c>
      <c r="F499">
        <v>1</v>
      </c>
      <c r="G499">
        <v>64781.839036288002</v>
      </c>
      <c r="H499">
        <v>0.25394553399999997</v>
      </c>
      <c r="I499">
        <v>14070</v>
      </c>
      <c r="J499">
        <v>4336</v>
      </c>
      <c r="K499">
        <v>9734</v>
      </c>
      <c r="L499">
        <v>500</v>
      </c>
      <c r="M499">
        <v>499</v>
      </c>
      <c r="N499">
        <v>1</v>
      </c>
      <c r="O499">
        <v>7605.4493880063001</v>
      </c>
      <c r="P499" s="3" t="s">
        <v>50</v>
      </c>
      <c r="Q499">
        <v>50</v>
      </c>
      <c r="R499">
        <v>0.999</v>
      </c>
      <c r="S499">
        <v>0</v>
      </c>
    </row>
    <row r="500" spans="1:19" x14ac:dyDescent="0.2">
      <c r="A500" s="3" t="s">
        <v>54</v>
      </c>
      <c r="B500" s="3" t="s">
        <v>55</v>
      </c>
      <c r="C500">
        <v>22</v>
      </c>
      <c r="D500">
        <v>16000</v>
      </c>
      <c r="E500">
        <v>499</v>
      </c>
      <c r="F500">
        <v>1</v>
      </c>
      <c r="G500">
        <v>64781.839036288002</v>
      </c>
      <c r="H500">
        <v>0.25332472499999997</v>
      </c>
      <c r="I500">
        <v>14037</v>
      </c>
      <c r="J500">
        <v>4368</v>
      </c>
      <c r="K500">
        <v>9669</v>
      </c>
      <c r="L500">
        <v>500</v>
      </c>
      <c r="M500">
        <v>499</v>
      </c>
      <c r="N500">
        <v>1</v>
      </c>
      <c r="O500">
        <v>7619.5495919182003</v>
      </c>
      <c r="P500" s="3" t="s">
        <v>50</v>
      </c>
      <c r="Q500">
        <v>50</v>
      </c>
      <c r="R500">
        <v>0.999</v>
      </c>
      <c r="S500">
        <v>0</v>
      </c>
    </row>
    <row r="501" spans="1:19" x14ac:dyDescent="0.2">
      <c r="A501" s="3" t="s">
        <v>54</v>
      </c>
      <c r="B501" s="3" t="s">
        <v>55</v>
      </c>
      <c r="C501">
        <v>9</v>
      </c>
      <c r="D501">
        <v>16000</v>
      </c>
      <c r="E501">
        <v>499</v>
      </c>
      <c r="F501">
        <v>1</v>
      </c>
      <c r="G501">
        <v>64781.839036288002</v>
      </c>
      <c r="H501">
        <v>0.25246479900000002</v>
      </c>
      <c r="I501">
        <v>14086</v>
      </c>
      <c r="J501">
        <v>4399</v>
      </c>
      <c r="K501">
        <v>9687</v>
      </c>
      <c r="L501">
        <v>500</v>
      </c>
      <c r="M501">
        <v>499</v>
      </c>
      <c r="N501">
        <v>1</v>
      </c>
      <c r="O501">
        <v>7403.7567129687004</v>
      </c>
      <c r="P501" s="3" t="s">
        <v>50</v>
      </c>
      <c r="Q501">
        <v>50</v>
      </c>
      <c r="R501">
        <v>0.999</v>
      </c>
      <c r="S501">
        <v>0</v>
      </c>
    </row>
    <row r="502" spans="1:19" x14ac:dyDescent="0.2">
      <c r="A502" s="3" t="s">
        <v>54</v>
      </c>
      <c r="B502" s="3" t="s">
        <v>55</v>
      </c>
      <c r="C502">
        <v>28</v>
      </c>
      <c r="D502">
        <v>16000</v>
      </c>
      <c r="E502">
        <v>499</v>
      </c>
      <c r="F502">
        <v>1</v>
      </c>
      <c r="G502">
        <v>64781.839036288002</v>
      </c>
      <c r="H502">
        <v>0.25239894699999998</v>
      </c>
      <c r="I502">
        <v>14052</v>
      </c>
      <c r="J502">
        <v>4305</v>
      </c>
      <c r="K502">
        <v>9747</v>
      </c>
      <c r="L502">
        <v>500</v>
      </c>
      <c r="M502">
        <v>499</v>
      </c>
      <c r="N502">
        <v>1</v>
      </c>
      <c r="O502">
        <v>7684.4205869534999</v>
      </c>
      <c r="P502" s="3" t="s">
        <v>52</v>
      </c>
      <c r="Q502">
        <v>50</v>
      </c>
      <c r="R502">
        <v>0.999</v>
      </c>
      <c r="S502">
        <v>0</v>
      </c>
    </row>
    <row r="503" spans="1:19" x14ac:dyDescent="0.2">
      <c r="A503" s="3" t="s">
        <v>54</v>
      </c>
      <c r="B503" s="3" t="s">
        <v>55</v>
      </c>
      <c r="C503">
        <v>14</v>
      </c>
      <c r="D503">
        <v>16000</v>
      </c>
      <c r="E503">
        <v>499</v>
      </c>
      <c r="F503">
        <v>1</v>
      </c>
      <c r="G503">
        <v>64781.839036288002</v>
      </c>
      <c r="H503">
        <v>0.25227512499999999</v>
      </c>
      <c r="I503">
        <v>14101</v>
      </c>
      <c r="J503">
        <v>4404</v>
      </c>
      <c r="K503">
        <v>9697</v>
      </c>
      <c r="L503">
        <v>500</v>
      </c>
      <c r="M503">
        <v>499</v>
      </c>
      <c r="N503">
        <v>1</v>
      </c>
      <c r="O503">
        <v>7442.7549452088997</v>
      </c>
      <c r="P503" s="3" t="s">
        <v>50</v>
      </c>
      <c r="Q503">
        <v>50</v>
      </c>
      <c r="R503">
        <v>0.999</v>
      </c>
      <c r="S503">
        <v>0</v>
      </c>
    </row>
    <row r="504" spans="1:19" x14ac:dyDescent="0.2">
      <c r="A504" s="3" t="s">
        <v>54</v>
      </c>
      <c r="B504" s="3" t="s">
        <v>55</v>
      </c>
      <c r="C504">
        <v>25</v>
      </c>
      <c r="D504">
        <v>16000</v>
      </c>
      <c r="E504">
        <v>499</v>
      </c>
      <c r="F504">
        <v>1</v>
      </c>
      <c r="G504">
        <v>64781.839036288002</v>
      </c>
      <c r="H504">
        <v>0.24727353299999999</v>
      </c>
      <c r="I504">
        <v>14094</v>
      </c>
      <c r="J504">
        <v>4408</v>
      </c>
      <c r="K504">
        <v>9686</v>
      </c>
      <c r="L504">
        <v>500</v>
      </c>
      <c r="M504">
        <v>499</v>
      </c>
      <c r="N504">
        <v>1</v>
      </c>
      <c r="O504">
        <v>7411.0261488361002</v>
      </c>
      <c r="P504" s="3" t="s">
        <v>52</v>
      </c>
      <c r="Q504">
        <v>50</v>
      </c>
      <c r="R504">
        <v>0.999</v>
      </c>
      <c r="S504">
        <v>0</v>
      </c>
    </row>
    <row r="505" spans="1:19" x14ac:dyDescent="0.2">
      <c r="A505" s="3" t="s">
        <v>54</v>
      </c>
      <c r="B505" s="3" t="s">
        <v>55</v>
      </c>
      <c r="C505">
        <v>49</v>
      </c>
      <c r="D505">
        <v>16000</v>
      </c>
      <c r="E505">
        <v>499</v>
      </c>
      <c r="F505">
        <v>1</v>
      </c>
      <c r="G505">
        <v>64781.839036288002</v>
      </c>
      <c r="H505">
        <v>0.24363531399999999</v>
      </c>
      <c r="I505">
        <v>14080</v>
      </c>
      <c r="J505">
        <v>4400</v>
      </c>
      <c r="K505">
        <v>9680</v>
      </c>
      <c r="L505">
        <v>500</v>
      </c>
      <c r="M505">
        <v>499</v>
      </c>
      <c r="N505">
        <v>1</v>
      </c>
      <c r="O505">
        <v>7488.5557926779002</v>
      </c>
      <c r="P505" s="3" t="s">
        <v>52</v>
      </c>
      <c r="Q505">
        <v>50</v>
      </c>
      <c r="R505">
        <v>0.999</v>
      </c>
      <c r="S505">
        <v>0</v>
      </c>
    </row>
    <row r="506" spans="1:19" x14ac:dyDescent="0.2">
      <c r="A506" s="3" t="s">
        <v>54</v>
      </c>
      <c r="B506" s="3" t="s">
        <v>55</v>
      </c>
      <c r="C506">
        <v>45</v>
      </c>
      <c r="D506">
        <v>15000</v>
      </c>
      <c r="E506">
        <v>499</v>
      </c>
      <c r="F506">
        <v>1</v>
      </c>
      <c r="G506">
        <v>60572.237308582698</v>
      </c>
      <c r="H506">
        <v>0.21808925700000001</v>
      </c>
      <c r="I506">
        <v>13635</v>
      </c>
      <c r="J506">
        <v>4195</v>
      </c>
      <c r="K506">
        <v>9440</v>
      </c>
      <c r="L506">
        <v>500</v>
      </c>
      <c r="M506">
        <v>499</v>
      </c>
      <c r="N506">
        <v>1</v>
      </c>
      <c r="O506">
        <v>5005.3937705320996</v>
      </c>
      <c r="P506" s="3" t="s">
        <v>50</v>
      </c>
      <c r="Q506">
        <v>50</v>
      </c>
      <c r="R506">
        <v>0.999</v>
      </c>
      <c r="S506">
        <v>0</v>
      </c>
    </row>
    <row r="507" spans="1:19" x14ac:dyDescent="0.2">
      <c r="A507" s="3" t="s">
        <v>54</v>
      </c>
      <c r="B507" s="3" t="s">
        <v>55</v>
      </c>
      <c r="C507">
        <v>13</v>
      </c>
      <c r="D507">
        <v>15000</v>
      </c>
      <c r="E507">
        <v>499</v>
      </c>
      <c r="F507">
        <v>1</v>
      </c>
      <c r="G507">
        <v>60572.237308582698</v>
      </c>
      <c r="H507">
        <v>0.21760734700000001</v>
      </c>
      <c r="I507">
        <v>13616</v>
      </c>
      <c r="J507">
        <v>4160</v>
      </c>
      <c r="K507">
        <v>9456</v>
      </c>
      <c r="L507">
        <v>500</v>
      </c>
      <c r="M507">
        <v>499</v>
      </c>
      <c r="N507">
        <v>1</v>
      </c>
      <c r="O507">
        <v>4951.0608820097004</v>
      </c>
      <c r="P507" s="3" t="s">
        <v>50</v>
      </c>
      <c r="Q507">
        <v>50</v>
      </c>
      <c r="R507">
        <v>0.999</v>
      </c>
      <c r="S507">
        <v>0</v>
      </c>
    </row>
    <row r="508" spans="1:19" x14ac:dyDescent="0.2">
      <c r="A508" s="3" t="s">
        <v>54</v>
      </c>
      <c r="B508" s="3" t="s">
        <v>55</v>
      </c>
      <c r="C508">
        <v>2</v>
      </c>
      <c r="D508">
        <v>15000</v>
      </c>
      <c r="E508">
        <v>499</v>
      </c>
      <c r="F508">
        <v>1</v>
      </c>
      <c r="G508">
        <v>60572.237308582698</v>
      </c>
      <c r="H508">
        <v>0.217514763</v>
      </c>
      <c r="I508">
        <v>13653</v>
      </c>
      <c r="J508">
        <v>4232</v>
      </c>
      <c r="K508">
        <v>9421</v>
      </c>
      <c r="L508">
        <v>500</v>
      </c>
      <c r="M508">
        <v>499</v>
      </c>
      <c r="N508">
        <v>1</v>
      </c>
      <c r="O508">
        <v>4909.6974067253004</v>
      </c>
      <c r="P508" s="3" t="s">
        <v>50</v>
      </c>
      <c r="Q508">
        <v>50</v>
      </c>
      <c r="R508">
        <v>0.999</v>
      </c>
      <c r="S508">
        <v>0</v>
      </c>
    </row>
    <row r="509" spans="1:19" x14ac:dyDescent="0.2">
      <c r="A509" s="3" t="s">
        <v>54</v>
      </c>
      <c r="B509" s="3" t="s">
        <v>55</v>
      </c>
      <c r="C509">
        <v>19</v>
      </c>
      <c r="D509">
        <v>15000</v>
      </c>
      <c r="E509">
        <v>499</v>
      </c>
      <c r="F509">
        <v>1</v>
      </c>
      <c r="G509">
        <v>60572.237308582698</v>
      </c>
      <c r="H509">
        <v>0.21689235800000001</v>
      </c>
      <c r="I509">
        <v>13619</v>
      </c>
      <c r="J509">
        <v>4162</v>
      </c>
      <c r="K509">
        <v>9457</v>
      </c>
      <c r="L509">
        <v>500</v>
      </c>
      <c r="M509">
        <v>499</v>
      </c>
      <c r="N509">
        <v>1</v>
      </c>
      <c r="O509">
        <v>5041.2453096237005</v>
      </c>
      <c r="P509" s="3" t="s">
        <v>50</v>
      </c>
      <c r="Q509">
        <v>50</v>
      </c>
      <c r="R509">
        <v>0.999</v>
      </c>
      <c r="S509">
        <v>0</v>
      </c>
    </row>
    <row r="510" spans="1:19" x14ac:dyDescent="0.2">
      <c r="A510" s="3" t="s">
        <v>54</v>
      </c>
      <c r="B510" s="3" t="s">
        <v>55</v>
      </c>
      <c r="C510">
        <v>17</v>
      </c>
      <c r="D510">
        <v>15000</v>
      </c>
      <c r="E510">
        <v>499</v>
      </c>
      <c r="F510">
        <v>1</v>
      </c>
      <c r="G510">
        <v>60572.237308582698</v>
      </c>
      <c r="H510">
        <v>0.21563948999999999</v>
      </c>
      <c r="I510">
        <v>13628</v>
      </c>
      <c r="J510">
        <v>4156</v>
      </c>
      <c r="K510">
        <v>9472</v>
      </c>
      <c r="L510">
        <v>500</v>
      </c>
      <c r="M510">
        <v>499</v>
      </c>
      <c r="N510">
        <v>1</v>
      </c>
      <c r="O510">
        <v>4949.0360600368003</v>
      </c>
      <c r="P510" s="3" t="s">
        <v>50</v>
      </c>
      <c r="Q510">
        <v>50</v>
      </c>
      <c r="R510">
        <v>0.999</v>
      </c>
      <c r="S510">
        <v>0</v>
      </c>
    </row>
    <row r="511" spans="1:19" x14ac:dyDescent="0.2">
      <c r="A511" s="3" t="s">
        <v>54</v>
      </c>
      <c r="B511" s="3" t="s">
        <v>55</v>
      </c>
      <c r="C511">
        <v>10</v>
      </c>
      <c r="D511">
        <v>15000</v>
      </c>
      <c r="E511">
        <v>499</v>
      </c>
      <c r="F511">
        <v>1</v>
      </c>
      <c r="G511">
        <v>60572.237308582698</v>
      </c>
      <c r="H511">
        <v>0.21544598200000001</v>
      </c>
      <c r="I511">
        <v>13637</v>
      </c>
      <c r="J511">
        <v>4181</v>
      </c>
      <c r="K511">
        <v>9456</v>
      </c>
      <c r="L511">
        <v>500</v>
      </c>
      <c r="M511">
        <v>499</v>
      </c>
      <c r="N511">
        <v>1</v>
      </c>
      <c r="O511">
        <v>4918.4976238855998</v>
      </c>
      <c r="P511" s="3" t="s">
        <v>50</v>
      </c>
      <c r="Q511">
        <v>50</v>
      </c>
      <c r="R511">
        <v>0.999</v>
      </c>
      <c r="S511">
        <v>0</v>
      </c>
    </row>
    <row r="512" spans="1:19" x14ac:dyDescent="0.2">
      <c r="A512" s="3" t="s">
        <v>54</v>
      </c>
      <c r="B512" s="3" t="s">
        <v>55</v>
      </c>
      <c r="C512">
        <v>41</v>
      </c>
      <c r="D512">
        <v>15000</v>
      </c>
      <c r="E512">
        <v>499</v>
      </c>
      <c r="F512">
        <v>1</v>
      </c>
      <c r="G512">
        <v>60572.237308582698</v>
      </c>
      <c r="H512">
        <v>0.21502168499999999</v>
      </c>
      <c r="I512">
        <v>13597</v>
      </c>
      <c r="J512">
        <v>4139</v>
      </c>
      <c r="K512">
        <v>9458</v>
      </c>
      <c r="L512">
        <v>500</v>
      </c>
      <c r="M512">
        <v>499</v>
      </c>
      <c r="N512">
        <v>1</v>
      </c>
      <c r="O512">
        <v>5044.2625674789997</v>
      </c>
      <c r="P512" s="3" t="s">
        <v>50</v>
      </c>
      <c r="Q512">
        <v>50</v>
      </c>
      <c r="R512">
        <v>0.999</v>
      </c>
      <c r="S512">
        <v>0</v>
      </c>
    </row>
    <row r="513" spans="1:19" x14ac:dyDescent="0.2">
      <c r="A513" s="3" t="s">
        <v>54</v>
      </c>
      <c r="B513" s="3" t="s">
        <v>55</v>
      </c>
      <c r="C513">
        <v>46</v>
      </c>
      <c r="D513">
        <v>15000</v>
      </c>
      <c r="E513">
        <v>499</v>
      </c>
      <c r="F513">
        <v>1</v>
      </c>
      <c r="G513">
        <v>60572.237308582698</v>
      </c>
      <c r="H513">
        <v>0.214993976</v>
      </c>
      <c r="I513">
        <v>13649</v>
      </c>
      <c r="J513">
        <v>4166</v>
      </c>
      <c r="K513">
        <v>9483</v>
      </c>
      <c r="L513">
        <v>500</v>
      </c>
      <c r="M513">
        <v>499</v>
      </c>
      <c r="N513">
        <v>1</v>
      </c>
      <c r="O513">
        <v>4850.7341149243002</v>
      </c>
      <c r="P513" s="3" t="s">
        <v>50</v>
      </c>
      <c r="Q513">
        <v>50</v>
      </c>
      <c r="R513">
        <v>0.999</v>
      </c>
      <c r="S513">
        <v>0</v>
      </c>
    </row>
    <row r="514" spans="1:19" x14ac:dyDescent="0.2">
      <c r="A514" s="3" t="s">
        <v>54</v>
      </c>
      <c r="B514" s="3" t="s">
        <v>55</v>
      </c>
      <c r="C514">
        <v>18</v>
      </c>
      <c r="D514">
        <v>15000</v>
      </c>
      <c r="E514">
        <v>499</v>
      </c>
      <c r="F514">
        <v>1</v>
      </c>
      <c r="G514">
        <v>60572.237308582698</v>
      </c>
      <c r="H514">
        <v>0.214851975</v>
      </c>
      <c r="I514">
        <v>13649</v>
      </c>
      <c r="J514">
        <v>4156</v>
      </c>
      <c r="K514">
        <v>9493</v>
      </c>
      <c r="L514">
        <v>500</v>
      </c>
      <c r="M514">
        <v>499</v>
      </c>
      <c r="N514">
        <v>1</v>
      </c>
      <c r="O514">
        <v>4927.4341992668997</v>
      </c>
      <c r="P514" s="3" t="s">
        <v>52</v>
      </c>
      <c r="Q514">
        <v>50</v>
      </c>
      <c r="R514">
        <v>0.999</v>
      </c>
      <c r="S514">
        <v>0</v>
      </c>
    </row>
    <row r="515" spans="1:19" x14ac:dyDescent="0.2">
      <c r="A515" s="3" t="s">
        <v>54</v>
      </c>
      <c r="B515" s="3" t="s">
        <v>55</v>
      </c>
      <c r="C515">
        <v>25</v>
      </c>
      <c r="D515">
        <v>15000</v>
      </c>
      <c r="E515">
        <v>499</v>
      </c>
      <c r="F515">
        <v>1</v>
      </c>
      <c r="G515">
        <v>60572.237308582698</v>
      </c>
      <c r="H515">
        <v>0.213108782</v>
      </c>
      <c r="I515">
        <v>13603</v>
      </c>
      <c r="J515">
        <v>4138</v>
      </c>
      <c r="K515">
        <v>9465</v>
      </c>
      <c r="L515">
        <v>500</v>
      </c>
      <c r="M515">
        <v>499</v>
      </c>
      <c r="N515">
        <v>1</v>
      </c>
      <c r="O515">
        <v>5017.8629705935</v>
      </c>
      <c r="P515" s="3" t="s">
        <v>50</v>
      </c>
      <c r="Q515">
        <v>50</v>
      </c>
      <c r="R515">
        <v>0.999</v>
      </c>
      <c r="S515">
        <v>0</v>
      </c>
    </row>
    <row r="516" spans="1:19" x14ac:dyDescent="0.2">
      <c r="A516" s="3" t="s">
        <v>54</v>
      </c>
      <c r="B516" s="3" t="s">
        <v>55</v>
      </c>
      <c r="C516">
        <v>3</v>
      </c>
      <c r="D516">
        <v>15000</v>
      </c>
      <c r="E516">
        <v>499</v>
      </c>
      <c r="F516">
        <v>1</v>
      </c>
      <c r="G516">
        <v>60572.237308582698</v>
      </c>
      <c r="H516">
        <v>0.21277033200000001</v>
      </c>
      <c r="I516">
        <v>13632</v>
      </c>
      <c r="J516">
        <v>4173</v>
      </c>
      <c r="K516">
        <v>9459</v>
      </c>
      <c r="L516">
        <v>500</v>
      </c>
      <c r="M516">
        <v>499</v>
      </c>
      <c r="N516">
        <v>1</v>
      </c>
      <c r="O516">
        <v>4949.6313469306997</v>
      </c>
      <c r="P516" s="3" t="s">
        <v>50</v>
      </c>
      <c r="Q516">
        <v>50</v>
      </c>
      <c r="R516">
        <v>0.999</v>
      </c>
      <c r="S516">
        <v>0</v>
      </c>
    </row>
    <row r="517" spans="1:19" x14ac:dyDescent="0.2">
      <c r="A517" s="3" t="s">
        <v>54</v>
      </c>
      <c r="B517" s="3" t="s">
        <v>55</v>
      </c>
      <c r="C517">
        <v>47</v>
      </c>
      <c r="D517">
        <v>15000</v>
      </c>
      <c r="E517">
        <v>499</v>
      </c>
      <c r="F517">
        <v>1</v>
      </c>
      <c r="G517">
        <v>60572.237308582698</v>
      </c>
      <c r="H517">
        <v>0.212386718</v>
      </c>
      <c r="I517">
        <v>13662</v>
      </c>
      <c r="J517">
        <v>4228</v>
      </c>
      <c r="K517">
        <v>9434</v>
      </c>
      <c r="L517">
        <v>500</v>
      </c>
      <c r="M517">
        <v>499</v>
      </c>
      <c r="N517">
        <v>1</v>
      </c>
      <c r="O517">
        <v>4905.3032289531002</v>
      </c>
      <c r="P517" s="3" t="s">
        <v>50</v>
      </c>
      <c r="Q517">
        <v>50</v>
      </c>
      <c r="R517">
        <v>0.999</v>
      </c>
      <c r="S517">
        <v>0</v>
      </c>
    </row>
    <row r="518" spans="1:19" x14ac:dyDescent="0.2">
      <c r="A518" s="3" t="s">
        <v>54</v>
      </c>
      <c r="B518" s="3" t="s">
        <v>55</v>
      </c>
      <c r="C518">
        <v>25</v>
      </c>
      <c r="D518">
        <v>15000</v>
      </c>
      <c r="E518">
        <v>499</v>
      </c>
      <c r="F518">
        <v>1</v>
      </c>
      <c r="G518">
        <v>60572.237308582698</v>
      </c>
      <c r="H518">
        <v>0.212356139</v>
      </c>
      <c r="I518">
        <v>13626</v>
      </c>
      <c r="J518">
        <v>4149</v>
      </c>
      <c r="K518">
        <v>9477</v>
      </c>
      <c r="L518">
        <v>500</v>
      </c>
      <c r="M518">
        <v>499</v>
      </c>
      <c r="N518">
        <v>1</v>
      </c>
      <c r="O518">
        <v>4994.8653447523002</v>
      </c>
      <c r="P518" s="3" t="s">
        <v>52</v>
      </c>
      <c r="Q518">
        <v>50</v>
      </c>
      <c r="R518">
        <v>0.999</v>
      </c>
      <c r="S518">
        <v>0</v>
      </c>
    </row>
    <row r="519" spans="1:19" x14ac:dyDescent="0.2">
      <c r="A519" s="3" t="s">
        <v>54</v>
      </c>
      <c r="B519" s="3" t="s">
        <v>55</v>
      </c>
      <c r="C519">
        <v>21</v>
      </c>
      <c r="D519">
        <v>15000</v>
      </c>
      <c r="E519">
        <v>499</v>
      </c>
      <c r="F519">
        <v>1</v>
      </c>
      <c r="G519">
        <v>60572.237308582698</v>
      </c>
      <c r="H519">
        <v>0.212105827</v>
      </c>
      <c r="I519">
        <v>13619</v>
      </c>
      <c r="J519">
        <v>4142</v>
      </c>
      <c r="K519">
        <v>9477</v>
      </c>
      <c r="L519">
        <v>500</v>
      </c>
      <c r="M519">
        <v>499</v>
      </c>
      <c r="N519">
        <v>1</v>
      </c>
      <c r="O519">
        <v>4974.0867817792996</v>
      </c>
      <c r="P519" s="3" t="s">
        <v>50</v>
      </c>
      <c r="Q519">
        <v>50</v>
      </c>
      <c r="R519">
        <v>0.999</v>
      </c>
      <c r="S519">
        <v>0</v>
      </c>
    </row>
    <row r="520" spans="1:19" x14ac:dyDescent="0.2">
      <c r="A520" s="3" t="s">
        <v>54</v>
      </c>
      <c r="B520" s="3" t="s">
        <v>55</v>
      </c>
      <c r="C520">
        <v>31</v>
      </c>
      <c r="D520">
        <v>15000</v>
      </c>
      <c r="E520">
        <v>499</v>
      </c>
      <c r="F520">
        <v>1</v>
      </c>
      <c r="G520">
        <v>60572.237308582698</v>
      </c>
      <c r="H520">
        <v>0.211481803</v>
      </c>
      <c r="I520">
        <v>13614</v>
      </c>
      <c r="J520">
        <v>4182</v>
      </c>
      <c r="K520">
        <v>9432</v>
      </c>
      <c r="L520">
        <v>500</v>
      </c>
      <c r="M520">
        <v>499</v>
      </c>
      <c r="N520">
        <v>1</v>
      </c>
      <c r="O520">
        <v>4967.2331235981001</v>
      </c>
      <c r="P520" s="3" t="s">
        <v>50</v>
      </c>
      <c r="Q520">
        <v>50</v>
      </c>
      <c r="R520">
        <v>0.999</v>
      </c>
      <c r="S520">
        <v>0</v>
      </c>
    </row>
    <row r="521" spans="1:19" x14ac:dyDescent="0.2">
      <c r="A521" s="3" t="s">
        <v>54</v>
      </c>
      <c r="B521" s="3" t="s">
        <v>55</v>
      </c>
      <c r="C521">
        <v>12</v>
      </c>
      <c r="D521">
        <v>15000</v>
      </c>
      <c r="E521">
        <v>499</v>
      </c>
      <c r="F521">
        <v>1</v>
      </c>
      <c r="G521">
        <v>60572.237308582698</v>
      </c>
      <c r="H521">
        <v>0.209893678</v>
      </c>
      <c r="I521">
        <v>13614</v>
      </c>
      <c r="J521">
        <v>4105</v>
      </c>
      <c r="K521">
        <v>9509</v>
      </c>
      <c r="L521">
        <v>500</v>
      </c>
      <c r="M521">
        <v>499</v>
      </c>
      <c r="N521">
        <v>1</v>
      </c>
      <c r="O521">
        <v>5074.3081402421003</v>
      </c>
      <c r="P521" s="3" t="s">
        <v>50</v>
      </c>
      <c r="Q521">
        <v>50</v>
      </c>
      <c r="R521">
        <v>0.999</v>
      </c>
      <c r="S521">
        <v>0</v>
      </c>
    </row>
    <row r="522" spans="1:19" x14ac:dyDescent="0.2">
      <c r="A522" s="3" t="s">
        <v>54</v>
      </c>
      <c r="B522" s="3" t="s">
        <v>55</v>
      </c>
      <c r="C522">
        <v>7</v>
      </c>
      <c r="D522">
        <v>15000</v>
      </c>
      <c r="E522">
        <v>499</v>
      </c>
      <c r="F522">
        <v>1</v>
      </c>
      <c r="G522">
        <v>60572.237308582698</v>
      </c>
      <c r="H522">
        <v>0.209668087</v>
      </c>
      <c r="I522">
        <v>13641</v>
      </c>
      <c r="J522">
        <v>4202</v>
      </c>
      <c r="K522">
        <v>9439</v>
      </c>
      <c r="L522">
        <v>500</v>
      </c>
      <c r="M522">
        <v>499</v>
      </c>
      <c r="N522">
        <v>1</v>
      </c>
      <c r="O522">
        <v>4923.5539027886998</v>
      </c>
      <c r="P522" s="3" t="s">
        <v>52</v>
      </c>
      <c r="Q522">
        <v>50</v>
      </c>
      <c r="R522">
        <v>0.999</v>
      </c>
      <c r="S522">
        <v>0</v>
      </c>
    </row>
    <row r="523" spans="1:19" x14ac:dyDescent="0.2">
      <c r="A523" s="3" t="s">
        <v>54</v>
      </c>
      <c r="B523" s="3" t="s">
        <v>55</v>
      </c>
      <c r="C523">
        <v>34</v>
      </c>
      <c r="D523">
        <v>15000</v>
      </c>
      <c r="E523">
        <v>499</v>
      </c>
      <c r="F523">
        <v>1</v>
      </c>
      <c r="G523">
        <v>60572.237308582698</v>
      </c>
      <c r="H523">
        <v>0.209369163</v>
      </c>
      <c r="I523">
        <v>13635</v>
      </c>
      <c r="J523">
        <v>4202</v>
      </c>
      <c r="K523">
        <v>9433</v>
      </c>
      <c r="L523">
        <v>500</v>
      </c>
      <c r="M523">
        <v>499</v>
      </c>
      <c r="N523">
        <v>1</v>
      </c>
      <c r="O523">
        <v>4987.3682560842999</v>
      </c>
      <c r="P523" s="3" t="s">
        <v>50</v>
      </c>
      <c r="Q523">
        <v>50</v>
      </c>
      <c r="R523">
        <v>0.999</v>
      </c>
      <c r="S523">
        <v>0</v>
      </c>
    </row>
    <row r="524" spans="1:19" x14ac:dyDescent="0.2">
      <c r="A524" s="3" t="s">
        <v>54</v>
      </c>
      <c r="B524" s="3" t="s">
        <v>55</v>
      </c>
      <c r="C524">
        <v>2</v>
      </c>
      <c r="D524">
        <v>15000</v>
      </c>
      <c r="E524">
        <v>499</v>
      </c>
      <c r="F524">
        <v>1</v>
      </c>
      <c r="G524">
        <v>60572.237308582698</v>
      </c>
      <c r="H524">
        <v>0.209259898</v>
      </c>
      <c r="I524">
        <v>13626</v>
      </c>
      <c r="J524">
        <v>4145</v>
      </c>
      <c r="K524">
        <v>9481</v>
      </c>
      <c r="L524">
        <v>500</v>
      </c>
      <c r="M524">
        <v>499</v>
      </c>
      <c r="N524">
        <v>1</v>
      </c>
      <c r="O524">
        <v>4981.2460162055004</v>
      </c>
      <c r="P524" s="3" t="s">
        <v>52</v>
      </c>
      <c r="Q524">
        <v>50</v>
      </c>
      <c r="R524">
        <v>0.999</v>
      </c>
      <c r="S524">
        <v>0</v>
      </c>
    </row>
    <row r="525" spans="1:19" x14ac:dyDescent="0.2">
      <c r="A525" s="3" t="s">
        <v>54</v>
      </c>
      <c r="B525" s="3" t="s">
        <v>55</v>
      </c>
      <c r="C525">
        <v>18</v>
      </c>
      <c r="D525">
        <v>15000</v>
      </c>
      <c r="E525">
        <v>499</v>
      </c>
      <c r="F525">
        <v>1</v>
      </c>
      <c r="G525">
        <v>60572.237308582698</v>
      </c>
      <c r="H525">
        <v>0.20901165499999999</v>
      </c>
      <c r="I525">
        <v>13620</v>
      </c>
      <c r="J525">
        <v>4163</v>
      </c>
      <c r="K525">
        <v>9457</v>
      </c>
      <c r="L525">
        <v>500</v>
      </c>
      <c r="M525">
        <v>499</v>
      </c>
      <c r="N525">
        <v>1</v>
      </c>
      <c r="O525">
        <v>5020.9667134782003</v>
      </c>
      <c r="P525" s="3" t="s">
        <v>50</v>
      </c>
      <c r="Q525">
        <v>50</v>
      </c>
      <c r="R525">
        <v>0.999</v>
      </c>
      <c r="S525">
        <v>0</v>
      </c>
    </row>
    <row r="526" spans="1:19" x14ac:dyDescent="0.2">
      <c r="A526" s="3" t="s">
        <v>54</v>
      </c>
      <c r="B526" s="3" t="s">
        <v>55</v>
      </c>
      <c r="C526">
        <v>36</v>
      </c>
      <c r="D526">
        <v>15000</v>
      </c>
      <c r="E526">
        <v>499</v>
      </c>
      <c r="F526">
        <v>1</v>
      </c>
      <c r="G526">
        <v>60572.237308582698</v>
      </c>
      <c r="H526">
        <v>0.20834564999999999</v>
      </c>
      <c r="I526">
        <v>13603</v>
      </c>
      <c r="J526">
        <v>4180</v>
      </c>
      <c r="K526">
        <v>9423</v>
      </c>
      <c r="L526">
        <v>500</v>
      </c>
      <c r="M526">
        <v>499</v>
      </c>
      <c r="N526">
        <v>1</v>
      </c>
      <c r="O526">
        <v>4974.2268840044999</v>
      </c>
      <c r="P526" s="3" t="s">
        <v>50</v>
      </c>
      <c r="Q526">
        <v>50</v>
      </c>
      <c r="R526">
        <v>0.999</v>
      </c>
      <c r="S526">
        <v>0</v>
      </c>
    </row>
    <row r="527" spans="1:19" x14ac:dyDescent="0.2">
      <c r="A527" s="3" t="s">
        <v>54</v>
      </c>
      <c r="B527" s="3" t="s">
        <v>55</v>
      </c>
      <c r="C527">
        <v>23</v>
      </c>
      <c r="D527">
        <v>15000</v>
      </c>
      <c r="E527">
        <v>499</v>
      </c>
      <c r="F527">
        <v>1</v>
      </c>
      <c r="G527">
        <v>60572.237308582698</v>
      </c>
      <c r="H527">
        <v>0.208312635</v>
      </c>
      <c r="I527">
        <v>13630</v>
      </c>
      <c r="J527">
        <v>4136</v>
      </c>
      <c r="K527">
        <v>9494</v>
      </c>
      <c r="L527">
        <v>500</v>
      </c>
      <c r="M527">
        <v>499</v>
      </c>
      <c r="N527">
        <v>1</v>
      </c>
      <c r="O527">
        <v>5041.3940265215997</v>
      </c>
      <c r="P527" s="3" t="s">
        <v>50</v>
      </c>
      <c r="Q527">
        <v>50</v>
      </c>
      <c r="R527">
        <v>0.999</v>
      </c>
      <c r="S527">
        <v>0</v>
      </c>
    </row>
    <row r="528" spans="1:19" x14ac:dyDescent="0.2">
      <c r="A528" s="3" t="s">
        <v>54</v>
      </c>
      <c r="B528" s="3" t="s">
        <v>55</v>
      </c>
      <c r="C528">
        <v>35</v>
      </c>
      <c r="D528">
        <v>15000</v>
      </c>
      <c r="E528">
        <v>499</v>
      </c>
      <c r="F528">
        <v>1</v>
      </c>
      <c r="G528">
        <v>60572.237308582698</v>
      </c>
      <c r="H528">
        <v>0.20813631399999999</v>
      </c>
      <c r="I528">
        <v>13638</v>
      </c>
      <c r="J528">
        <v>4126</v>
      </c>
      <c r="K528">
        <v>9512</v>
      </c>
      <c r="L528">
        <v>500</v>
      </c>
      <c r="M528">
        <v>499</v>
      </c>
      <c r="N528">
        <v>1</v>
      </c>
      <c r="O528">
        <v>4994.6656640589999</v>
      </c>
      <c r="P528" s="3" t="s">
        <v>50</v>
      </c>
      <c r="Q528">
        <v>50</v>
      </c>
      <c r="R528">
        <v>0.999</v>
      </c>
      <c r="S528">
        <v>0</v>
      </c>
    </row>
    <row r="529" spans="1:19" x14ac:dyDescent="0.2">
      <c r="A529" s="3" t="s">
        <v>54</v>
      </c>
      <c r="B529" s="3" t="s">
        <v>55</v>
      </c>
      <c r="C529">
        <v>50</v>
      </c>
      <c r="D529">
        <v>15000</v>
      </c>
      <c r="E529">
        <v>499</v>
      </c>
      <c r="F529">
        <v>1</v>
      </c>
      <c r="G529">
        <v>60572.237308582698</v>
      </c>
      <c r="H529">
        <v>0.207909238</v>
      </c>
      <c r="I529">
        <v>13645</v>
      </c>
      <c r="J529">
        <v>4198</v>
      </c>
      <c r="K529">
        <v>9447</v>
      </c>
      <c r="L529">
        <v>500</v>
      </c>
      <c r="M529">
        <v>499</v>
      </c>
      <c r="N529">
        <v>1</v>
      </c>
      <c r="O529">
        <v>4933.4231639440004</v>
      </c>
      <c r="P529" s="3" t="s">
        <v>50</v>
      </c>
      <c r="Q529">
        <v>50</v>
      </c>
      <c r="R529">
        <v>0.999</v>
      </c>
      <c r="S529">
        <v>0</v>
      </c>
    </row>
    <row r="530" spans="1:19" x14ac:dyDescent="0.2">
      <c r="A530" s="3" t="s">
        <v>54</v>
      </c>
      <c r="B530" s="3" t="s">
        <v>55</v>
      </c>
      <c r="C530">
        <v>33</v>
      </c>
      <c r="D530">
        <v>15000</v>
      </c>
      <c r="E530">
        <v>499</v>
      </c>
      <c r="F530">
        <v>1</v>
      </c>
      <c r="G530">
        <v>60572.237308582698</v>
      </c>
      <c r="H530">
        <v>0.20751023299999999</v>
      </c>
      <c r="I530">
        <v>13639</v>
      </c>
      <c r="J530">
        <v>4175</v>
      </c>
      <c r="K530">
        <v>9464</v>
      </c>
      <c r="L530">
        <v>500</v>
      </c>
      <c r="M530">
        <v>499</v>
      </c>
      <c r="N530">
        <v>1</v>
      </c>
      <c r="O530">
        <v>4927.7866274917997</v>
      </c>
      <c r="P530" s="3" t="s">
        <v>50</v>
      </c>
      <c r="Q530">
        <v>50</v>
      </c>
      <c r="R530">
        <v>0.999</v>
      </c>
      <c r="S530">
        <v>0</v>
      </c>
    </row>
    <row r="531" spans="1:19" x14ac:dyDescent="0.2">
      <c r="A531" s="3" t="s">
        <v>54</v>
      </c>
      <c r="B531" s="3" t="s">
        <v>55</v>
      </c>
      <c r="C531">
        <v>22</v>
      </c>
      <c r="D531">
        <v>15000</v>
      </c>
      <c r="E531">
        <v>499</v>
      </c>
      <c r="F531">
        <v>1</v>
      </c>
      <c r="G531">
        <v>60572.237308582698</v>
      </c>
      <c r="H531">
        <v>0.207458174</v>
      </c>
      <c r="I531">
        <v>13626</v>
      </c>
      <c r="J531">
        <v>4130</v>
      </c>
      <c r="K531">
        <v>9496</v>
      </c>
      <c r="L531">
        <v>500</v>
      </c>
      <c r="M531">
        <v>499</v>
      </c>
      <c r="N531">
        <v>1</v>
      </c>
      <c r="O531">
        <v>5050.1192565949004</v>
      </c>
      <c r="P531" s="3" t="s">
        <v>52</v>
      </c>
      <c r="Q531">
        <v>50</v>
      </c>
      <c r="R531">
        <v>0.999</v>
      </c>
      <c r="S531">
        <v>0</v>
      </c>
    </row>
    <row r="532" spans="1:19" x14ac:dyDescent="0.2">
      <c r="A532" s="3" t="s">
        <v>54</v>
      </c>
      <c r="B532" s="3" t="s">
        <v>55</v>
      </c>
      <c r="C532">
        <v>37</v>
      </c>
      <c r="D532">
        <v>15000</v>
      </c>
      <c r="E532">
        <v>499</v>
      </c>
      <c r="F532">
        <v>1</v>
      </c>
      <c r="G532">
        <v>60572.237308582698</v>
      </c>
      <c r="H532">
        <v>0.20710458000000001</v>
      </c>
      <c r="I532">
        <v>13611</v>
      </c>
      <c r="J532">
        <v>4177</v>
      </c>
      <c r="K532">
        <v>9434</v>
      </c>
      <c r="L532">
        <v>500</v>
      </c>
      <c r="M532">
        <v>499</v>
      </c>
      <c r="N532">
        <v>1</v>
      </c>
      <c r="O532">
        <v>5014.8731716043003</v>
      </c>
      <c r="P532" s="3" t="s">
        <v>50</v>
      </c>
      <c r="Q532">
        <v>50</v>
      </c>
      <c r="R532">
        <v>0.999</v>
      </c>
      <c r="S532">
        <v>0</v>
      </c>
    </row>
    <row r="533" spans="1:19" x14ac:dyDescent="0.2">
      <c r="A533" s="3" t="s">
        <v>54</v>
      </c>
      <c r="B533" s="3" t="s">
        <v>55</v>
      </c>
      <c r="C533">
        <v>27</v>
      </c>
      <c r="D533">
        <v>15000</v>
      </c>
      <c r="E533">
        <v>499</v>
      </c>
      <c r="F533">
        <v>1</v>
      </c>
      <c r="G533">
        <v>60572.237308582698</v>
      </c>
      <c r="H533">
        <v>0.20681285299999999</v>
      </c>
      <c r="I533">
        <v>13576</v>
      </c>
      <c r="J533">
        <v>4147</v>
      </c>
      <c r="K533">
        <v>9429</v>
      </c>
      <c r="L533">
        <v>500</v>
      </c>
      <c r="M533">
        <v>499</v>
      </c>
      <c r="N533">
        <v>1</v>
      </c>
      <c r="O533">
        <v>5169.0954798152998</v>
      </c>
      <c r="P533" s="3" t="s">
        <v>50</v>
      </c>
      <c r="Q533">
        <v>50</v>
      </c>
      <c r="R533">
        <v>0.999</v>
      </c>
      <c r="S533">
        <v>0</v>
      </c>
    </row>
    <row r="534" spans="1:19" x14ac:dyDescent="0.2">
      <c r="A534" s="3" t="s">
        <v>54</v>
      </c>
      <c r="B534" s="3" t="s">
        <v>55</v>
      </c>
      <c r="C534">
        <v>7</v>
      </c>
      <c r="D534">
        <v>15000</v>
      </c>
      <c r="E534">
        <v>499</v>
      </c>
      <c r="F534">
        <v>1</v>
      </c>
      <c r="G534">
        <v>60572.237308582698</v>
      </c>
      <c r="H534">
        <v>0.20676984400000001</v>
      </c>
      <c r="I534">
        <v>13616</v>
      </c>
      <c r="J534">
        <v>4171</v>
      </c>
      <c r="K534">
        <v>9445</v>
      </c>
      <c r="L534">
        <v>500</v>
      </c>
      <c r="M534">
        <v>499</v>
      </c>
      <c r="N534">
        <v>1</v>
      </c>
      <c r="O534">
        <v>5019.2695040730996</v>
      </c>
      <c r="P534" s="3" t="s">
        <v>50</v>
      </c>
      <c r="Q534">
        <v>50</v>
      </c>
      <c r="R534">
        <v>0.999</v>
      </c>
      <c r="S534">
        <v>0</v>
      </c>
    </row>
    <row r="535" spans="1:19" x14ac:dyDescent="0.2">
      <c r="A535" s="3" t="s">
        <v>54</v>
      </c>
      <c r="B535" s="3" t="s">
        <v>55</v>
      </c>
      <c r="C535">
        <v>16</v>
      </c>
      <c r="D535">
        <v>15000</v>
      </c>
      <c r="E535">
        <v>499</v>
      </c>
      <c r="F535">
        <v>1</v>
      </c>
      <c r="G535">
        <v>60572.237308582698</v>
      </c>
      <c r="H535">
        <v>0.206644883</v>
      </c>
      <c r="I535">
        <v>13641</v>
      </c>
      <c r="J535">
        <v>4150</v>
      </c>
      <c r="K535">
        <v>9491</v>
      </c>
      <c r="L535">
        <v>500</v>
      </c>
      <c r="M535">
        <v>499</v>
      </c>
      <c r="N535">
        <v>1</v>
      </c>
      <c r="O535">
        <v>4919.5216208020001</v>
      </c>
      <c r="P535" s="3" t="s">
        <v>52</v>
      </c>
      <c r="Q535">
        <v>50</v>
      </c>
      <c r="R535">
        <v>0.999</v>
      </c>
      <c r="S535">
        <v>0</v>
      </c>
    </row>
    <row r="536" spans="1:19" x14ac:dyDescent="0.2">
      <c r="A536" s="3" t="s">
        <v>54</v>
      </c>
      <c r="B536" s="3" t="s">
        <v>55</v>
      </c>
      <c r="C536">
        <v>20</v>
      </c>
      <c r="D536">
        <v>15000</v>
      </c>
      <c r="E536">
        <v>499</v>
      </c>
      <c r="F536">
        <v>1</v>
      </c>
      <c r="G536">
        <v>60572.237308582698</v>
      </c>
      <c r="H536">
        <v>0.206472248</v>
      </c>
      <c r="I536">
        <v>13624</v>
      </c>
      <c r="J536">
        <v>4171</v>
      </c>
      <c r="K536">
        <v>9453</v>
      </c>
      <c r="L536">
        <v>500</v>
      </c>
      <c r="M536">
        <v>499</v>
      </c>
      <c r="N536">
        <v>1</v>
      </c>
      <c r="O536">
        <v>5028.1654540110003</v>
      </c>
      <c r="P536" s="3" t="s">
        <v>52</v>
      </c>
      <c r="Q536">
        <v>50</v>
      </c>
      <c r="R536">
        <v>0.999</v>
      </c>
      <c r="S536">
        <v>0</v>
      </c>
    </row>
    <row r="537" spans="1:19" x14ac:dyDescent="0.2">
      <c r="A537" s="3" t="s">
        <v>54</v>
      </c>
      <c r="B537" s="3" t="s">
        <v>55</v>
      </c>
      <c r="C537">
        <v>48</v>
      </c>
      <c r="D537">
        <v>15000</v>
      </c>
      <c r="E537">
        <v>499</v>
      </c>
      <c r="F537">
        <v>1</v>
      </c>
      <c r="G537">
        <v>60572.237308582698</v>
      </c>
      <c r="H537">
        <v>0.20632735099999999</v>
      </c>
      <c r="I537">
        <v>13631</v>
      </c>
      <c r="J537">
        <v>4175</v>
      </c>
      <c r="K537">
        <v>9456</v>
      </c>
      <c r="L537">
        <v>500</v>
      </c>
      <c r="M537">
        <v>499</v>
      </c>
      <c r="N537">
        <v>1</v>
      </c>
      <c r="O537">
        <v>4961.6615516561997</v>
      </c>
      <c r="P537" s="3" t="s">
        <v>52</v>
      </c>
      <c r="Q537">
        <v>50</v>
      </c>
      <c r="R537">
        <v>0.999</v>
      </c>
      <c r="S537">
        <v>0</v>
      </c>
    </row>
    <row r="538" spans="1:19" x14ac:dyDescent="0.2">
      <c r="A538" s="3" t="s">
        <v>54</v>
      </c>
      <c r="B538" s="3" t="s">
        <v>55</v>
      </c>
      <c r="C538">
        <v>49</v>
      </c>
      <c r="D538">
        <v>15000</v>
      </c>
      <c r="E538">
        <v>499</v>
      </c>
      <c r="F538">
        <v>1</v>
      </c>
      <c r="G538">
        <v>60572.237308582698</v>
      </c>
      <c r="H538">
        <v>0.20627071899999999</v>
      </c>
      <c r="I538">
        <v>13633</v>
      </c>
      <c r="J538">
        <v>4137</v>
      </c>
      <c r="K538">
        <v>9496</v>
      </c>
      <c r="L538">
        <v>500</v>
      </c>
      <c r="M538">
        <v>499</v>
      </c>
      <c r="N538">
        <v>1</v>
      </c>
      <c r="O538">
        <v>5013.9705603225002</v>
      </c>
      <c r="P538" s="3" t="s">
        <v>52</v>
      </c>
      <c r="Q538">
        <v>50</v>
      </c>
      <c r="R538">
        <v>0.999</v>
      </c>
      <c r="S538">
        <v>0</v>
      </c>
    </row>
    <row r="539" spans="1:19" x14ac:dyDescent="0.2">
      <c r="A539" s="3" t="s">
        <v>54</v>
      </c>
      <c r="B539" s="3" t="s">
        <v>55</v>
      </c>
      <c r="C539">
        <v>47</v>
      </c>
      <c r="D539">
        <v>15000</v>
      </c>
      <c r="E539">
        <v>499</v>
      </c>
      <c r="F539">
        <v>1</v>
      </c>
      <c r="G539">
        <v>60572.237308582698</v>
      </c>
      <c r="H539">
        <v>0.205921406</v>
      </c>
      <c r="I539">
        <v>13622</v>
      </c>
      <c r="J539">
        <v>4114</v>
      </c>
      <c r="K539">
        <v>9508</v>
      </c>
      <c r="L539">
        <v>500</v>
      </c>
      <c r="M539">
        <v>499</v>
      </c>
      <c r="N539">
        <v>1</v>
      </c>
      <c r="O539">
        <v>4993.2817787109998</v>
      </c>
      <c r="P539" s="3" t="s">
        <v>52</v>
      </c>
      <c r="Q539">
        <v>50</v>
      </c>
      <c r="R539">
        <v>0.999</v>
      </c>
      <c r="S539">
        <v>0</v>
      </c>
    </row>
    <row r="540" spans="1:19" x14ac:dyDescent="0.2">
      <c r="A540" s="3" t="s">
        <v>54</v>
      </c>
      <c r="B540" s="3" t="s">
        <v>55</v>
      </c>
      <c r="C540">
        <v>32</v>
      </c>
      <c r="D540">
        <v>15000</v>
      </c>
      <c r="E540">
        <v>499</v>
      </c>
      <c r="F540">
        <v>1</v>
      </c>
      <c r="G540">
        <v>60572.237308582698</v>
      </c>
      <c r="H540">
        <v>0.20575489399999999</v>
      </c>
      <c r="I540">
        <v>13626</v>
      </c>
      <c r="J540">
        <v>4197</v>
      </c>
      <c r="K540">
        <v>9429</v>
      </c>
      <c r="L540">
        <v>500</v>
      </c>
      <c r="M540">
        <v>499</v>
      </c>
      <c r="N540">
        <v>1</v>
      </c>
      <c r="O540">
        <v>4946.9854244788003</v>
      </c>
      <c r="P540" s="3" t="s">
        <v>50</v>
      </c>
      <c r="Q540">
        <v>50</v>
      </c>
      <c r="R540">
        <v>0.999</v>
      </c>
      <c r="S540">
        <v>0</v>
      </c>
    </row>
    <row r="541" spans="1:19" x14ac:dyDescent="0.2">
      <c r="A541" s="3" t="s">
        <v>54</v>
      </c>
      <c r="B541" s="3" t="s">
        <v>55</v>
      </c>
      <c r="C541">
        <v>38</v>
      </c>
      <c r="D541">
        <v>15000</v>
      </c>
      <c r="E541">
        <v>499</v>
      </c>
      <c r="F541">
        <v>1</v>
      </c>
      <c r="G541">
        <v>60572.237308582698</v>
      </c>
      <c r="H541">
        <v>0.20572317800000001</v>
      </c>
      <c r="I541">
        <v>13640</v>
      </c>
      <c r="J541">
        <v>4175</v>
      </c>
      <c r="K541">
        <v>9465</v>
      </c>
      <c r="L541">
        <v>500</v>
      </c>
      <c r="M541">
        <v>499</v>
      </c>
      <c r="N541">
        <v>1</v>
      </c>
      <c r="O541">
        <v>4924.7309708126004</v>
      </c>
      <c r="P541" s="3" t="s">
        <v>50</v>
      </c>
      <c r="Q541">
        <v>50</v>
      </c>
      <c r="R541">
        <v>0.999</v>
      </c>
      <c r="S541">
        <v>0</v>
      </c>
    </row>
    <row r="542" spans="1:19" x14ac:dyDescent="0.2">
      <c r="A542" s="3" t="s">
        <v>54</v>
      </c>
      <c r="B542" s="3" t="s">
        <v>55</v>
      </c>
      <c r="C542">
        <v>6</v>
      </c>
      <c r="D542">
        <v>15000</v>
      </c>
      <c r="E542">
        <v>499</v>
      </c>
      <c r="F542">
        <v>1</v>
      </c>
      <c r="G542">
        <v>60572.237308582698</v>
      </c>
      <c r="H542">
        <v>0.20556875799999999</v>
      </c>
      <c r="I542">
        <v>13628</v>
      </c>
      <c r="J542">
        <v>4147</v>
      </c>
      <c r="K542">
        <v>9481</v>
      </c>
      <c r="L542">
        <v>500</v>
      </c>
      <c r="M542">
        <v>499</v>
      </c>
      <c r="N542">
        <v>1</v>
      </c>
      <c r="O542">
        <v>4983.7309528188998</v>
      </c>
      <c r="P542" s="3" t="s">
        <v>50</v>
      </c>
      <c r="Q542">
        <v>50</v>
      </c>
      <c r="R542">
        <v>0.999</v>
      </c>
      <c r="S542">
        <v>0</v>
      </c>
    </row>
    <row r="543" spans="1:19" x14ac:dyDescent="0.2">
      <c r="A543" s="3" t="s">
        <v>54</v>
      </c>
      <c r="B543" s="3" t="s">
        <v>55</v>
      </c>
      <c r="C543">
        <v>44</v>
      </c>
      <c r="D543">
        <v>15000</v>
      </c>
      <c r="E543">
        <v>499</v>
      </c>
      <c r="F543">
        <v>1</v>
      </c>
      <c r="G543">
        <v>60572.237308582698</v>
      </c>
      <c r="H543">
        <v>0.205520862</v>
      </c>
      <c r="I543">
        <v>13591</v>
      </c>
      <c r="J543">
        <v>4197</v>
      </c>
      <c r="K543">
        <v>9394</v>
      </c>
      <c r="L543">
        <v>500</v>
      </c>
      <c r="M543">
        <v>499</v>
      </c>
      <c r="N543">
        <v>1</v>
      </c>
      <c r="O543">
        <v>5103.2810118923999</v>
      </c>
      <c r="P543" s="3" t="s">
        <v>50</v>
      </c>
      <c r="Q543">
        <v>50</v>
      </c>
      <c r="R543">
        <v>0.999</v>
      </c>
      <c r="S543">
        <v>0</v>
      </c>
    </row>
    <row r="544" spans="1:19" x14ac:dyDescent="0.2">
      <c r="A544" s="3" t="s">
        <v>54</v>
      </c>
      <c r="B544" s="3" t="s">
        <v>55</v>
      </c>
      <c r="C544">
        <v>4</v>
      </c>
      <c r="D544">
        <v>15000</v>
      </c>
      <c r="E544">
        <v>499</v>
      </c>
      <c r="F544">
        <v>1</v>
      </c>
      <c r="G544">
        <v>60572.237308582698</v>
      </c>
      <c r="H544">
        <v>0.20517496599999999</v>
      </c>
      <c r="I544">
        <v>13581</v>
      </c>
      <c r="J544">
        <v>4146</v>
      </c>
      <c r="K544">
        <v>9435</v>
      </c>
      <c r="L544">
        <v>500</v>
      </c>
      <c r="M544">
        <v>499</v>
      </c>
      <c r="N544">
        <v>1</v>
      </c>
      <c r="O544">
        <v>5107.8706470720999</v>
      </c>
      <c r="P544" s="3" t="s">
        <v>50</v>
      </c>
      <c r="Q544">
        <v>50</v>
      </c>
      <c r="R544">
        <v>0.999</v>
      </c>
      <c r="S544">
        <v>0</v>
      </c>
    </row>
    <row r="545" spans="1:19" x14ac:dyDescent="0.2">
      <c r="A545" s="3" t="s">
        <v>54</v>
      </c>
      <c r="B545" s="3" t="s">
        <v>55</v>
      </c>
      <c r="C545">
        <v>9</v>
      </c>
      <c r="D545">
        <v>15000</v>
      </c>
      <c r="E545">
        <v>499</v>
      </c>
      <c r="F545">
        <v>1</v>
      </c>
      <c r="G545">
        <v>60572.237308582698</v>
      </c>
      <c r="H545">
        <v>0.20491864000000001</v>
      </c>
      <c r="I545">
        <v>13614</v>
      </c>
      <c r="J545">
        <v>4152</v>
      </c>
      <c r="K545">
        <v>9462</v>
      </c>
      <c r="L545">
        <v>500</v>
      </c>
      <c r="M545">
        <v>499</v>
      </c>
      <c r="N545">
        <v>1</v>
      </c>
      <c r="O545">
        <v>5038.4059083913999</v>
      </c>
      <c r="P545" s="3" t="s">
        <v>50</v>
      </c>
      <c r="Q545">
        <v>50</v>
      </c>
      <c r="R545">
        <v>0.999</v>
      </c>
      <c r="S545">
        <v>0</v>
      </c>
    </row>
    <row r="546" spans="1:19" x14ac:dyDescent="0.2">
      <c r="A546" s="3" t="s">
        <v>54</v>
      </c>
      <c r="B546" s="3" t="s">
        <v>55</v>
      </c>
      <c r="C546">
        <v>24</v>
      </c>
      <c r="D546">
        <v>15000</v>
      </c>
      <c r="E546">
        <v>499</v>
      </c>
      <c r="F546">
        <v>1</v>
      </c>
      <c r="G546">
        <v>60572.237308582698</v>
      </c>
      <c r="H546">
        <v>0.20474761899999999</v>
      </c>
      <c r="I546">
        <v>13603</v>
      </c>
      <c r="J546">
        <v>4168</v>
      </c>
      <c r="K546">
        <v>9435</v>
      </c>
      <c r="L546">
        <v>500</v>
      </c>
      <c r="M546">
        <v>499</v>
      </c>
      <c r="N546">
        <v>1</v>
      </c>
      <c r="O546">
        <v>5026.3039383183004</v>
      </c>
      <c r="P546" s="3" t="s">
        <v>50</v>
      </c>
      <c r="Q546">
        <v>50</v>
      </c>
      <c r="R546">
        <v>0.999</v>
      </c>
      <c r="S546">
        <v>0</v>
      </c>
    </row>
    <row r="547" spans="1:19" x14ac:dyDescent="0.2">
      <c r="A547" s="3" t="s">
        <v>54</v>
      </c>
      <c r="B547" s="3" t="s">
        <v>55</v>
      </c>
      <c r="C547">
        <v>1</v>
      </c>
      <c r="D547">
        <v>15000</v>
      </c>
      <c r="E547">
        <v>499</v>
      </c>
      <c r="F547">
        <v>1</v>
      </c>
      <c r="G547">
        <v>60572.237308582698</v>
      </c>
      <c r="H547">
        <v>0.20472103799999999</v>
      </c>
      <c r="I547">
        <v>13633</v>
      </c>
      <c r="J547">
        <v>4122</v>
      </c>
      <c r="K547">
        <v>9511</v>
      </c>
      <c r="L547">
        <v>500</v>
      </c>
      <c r="M547">
        <v>499</v>
      </c>
      <c r="N547">
        <v>1</v>
      </c>
      <c r="O547">
        <v>4976.2342503809996</v>
      </c>
      <c r="P547" s="3" t="s">
        <v>50</v>
      </c>
      <c r="Q547">
        <v>50</v>
      </c>
      <c r="R547">
        <v>0.999</v>
      </c>
      <c r="S547">
        <v>0</v>
      </c>
    </row>
    <row r="548" spans="1:19" x14ac:dyDescent="0.2">
      <c r="A548" s="3" t="s">
        <v>54</v>
      </c>
      <c r="B548" s="3" t="s">
        <v>55</v>
      </c>
      <c r="C548">
        <v>5</v>
      </c>
      <c r="D548">
        <v>15000</v>
      </c>
      <c r="E548">
        <v>499</v>
      </c>
      <c r="F548">
        <v>1</v>
      </c>
      <c r="G548">
        <v>60572.237308582698</v>
      </c>
      <c r="H548">
        <v>0.204455524</v>
      </c>
      <c r="I548">
        <v>13597</v>
      </c>
      <c r="J548">
        <v>4147</v>
      </c>
      <c r="K548">
        <v>9450</v>
      </c>
      <c r="L548">
        <v>500</v>
      </c>
      <c r="M548">
        <v>499</v>
      </c>
      <c r="N548">
        <v>1</v>
      </c>
      <c r="O548">
        <v>5104.5679836318996</v>
      </c>
      <c r="P548" s="3" t="s">
        <v>50</v>
      </c>
      <c r="Q548">
        <v>50</v>
      </c>
      <c r="R548">
        <v>0.999</v>
      </c>
      <c r="S548">
        <v>0</v>
      </c>
    </row>
    <row r="549" spans="1:19" x14ac:dyDescent="0.2">
      <c r="A549" s="3" t="s">
        <v>54</v>
      </c>
      <c r="B549" s="3" t="s">
        <v>55</v>
      </c>
      <c r="C549">
        <v>8</v>
      </c>
      <c r="D549">
        <v>15000</v>
      </c>
      <c r="E549">
        <v>499</v>
      </c>
      <c r="F549">
        <v>1</v>
      </c>
      <c r="G549">
        <v>60572.237308582698</v>
      </c>
      <c r="H549">
        <v>0.20434253599999999</v>
      </c>
      <c r="I549">
        <v>13625</v>
      </c>
      <c r="J549">
        <v>4207</v>
      </c>
      <c r="K549">
        <v>9418</v>
      </c>
      <c r="L549">
        <v>500</v>
      </c>
      <c r="M549">
        <v>499</v>
      </c>
      <c r="N549">
        <v>1</v>
      </c>
      <c r="O549">
        <v>4985.8699379524996</v>
      </c>
      <c r="P549" s="3" t="s">
        <v>50</v>
      </c>
      <c r="Q549">
        <v>50</v>
      </c>
      <c r="R549">
        <v>0.999</v>
      </c>
      <c r="S549">
        <v>0</v>
      </c>
    </row>
    <row r="550" spans="1:19" x14ac:dyDescent="0.2">
      <c r="A550" s="3" t="s">
        <v>54</v>
      </c>
      <c r="B550" s="3" t="s">
        <v>55</v>
      </c>
      <c r="C550">
        <v>19</v>
      </c>
      <c r="D550">
        <v>15000</v>
      </c>
      <c r="E550">
        <v>499</v>
      </c>
      <c r="F550">
        <v>1</v>
      </c>
      <c r="G550">
        <v>60572.237308582698</v>
      </c>
      <c r="H550">
        <v>0.204231411</v>
      </c>
      <c r="I550">
        <v>13630</v>
      </c>
      <c r="J550">
        <v>4156</v>
      </c>
      <c r="K550">
        <v>9474</v>
      </c>
      <c r="L550">
        <v>500</v>
      </c>
      <c r="M550">
        <v>499</v>
      </c>
      <c r="N550">
        <v>1</v>
      </c>
      <c r="O550">
        <v>5011.9961809406004</v>
      </c>
      <c r="P550" s="3" t="s">
        <v>52</v>
      </c>
      <c r="Q550">
        <v>50</v>
      </c>
      <c r="R550">
        <v>0.999</v>
      </c>
      <c r="S550">
        <v>0</v>
      </c>
    </row>
    <row r="551" spans="1:19" x14ac:dyDescent="0.2">
      <c r="A551" s="3" t="s">
        <v>54</v>
      </c>
      <c r="B551" s="3" t="s">
        <v>55</v>
      </c>
      <c r="C551">
        <v>11</v>
      </c>
      <c r="D551">
        <v>15000</v>
      </c>
      <c r="E551">
        <v>499</v>
      </c>
      <c r="F551">
        <v>1</v>
      </c>
      <c r="G551">
        <v>60572.237308582698</v>
      </c>
      <c r="H551">
        <v>0.20418440299999999</v>
      </c>
      <c r="I551">
        <v>13620</v>
      </c>
      <c r="J551">
        <v>4206</v>
      </c>
      <c r="K551">
        <v>9414</v>
      </c>
      <c r="L551">
        <v>500</v>
      </c>
      <c r="M551">
        <v>499</v>
      </c>
      <c r="N551">
        <v>1</v>
      </c>
      <c r="O551">
        <v>4954.5814984538001</v>
      </c>
      <c r="P551" s="3" t="s">
        <v>50</v>
      </c>
      <c r="Q551">
        <v>50</v>
      </c>
      <c r="R551">
        <v>0.999</v>
      </c>
      <c r="S551">
        <v>0</v>
      </c>
    </row>
    <row r="552" spans="1:19" x14ac:dyDescent="0.2">
      <c r="A552" s="3" t="s">
        <v>54</v>
      </c>
      <c r="B552" s="3" t="s">
        <v>55</v>
      </c>
      <c r="C552">
        <v>11</v>
      </c>
      <c r="D552">
        <v>15000</v>
      </c>
      <c r="E552">
        <v>499</v>
      </c>
      <c r="F552">
        <v>1</v>
      </c>
      <c r="G552">
        <v>60572.237308582698</v>
      </c>
      <c r="H552">
        <v>0.20418308299999999</v>
      </c>
      <c r="I552">
        <v>13641</v>
      </c>
      <c r="J552">
        <v>4114</v>
      </c>
      <c r="K552">
        <v>9527</v>
      </c>
      <c r="L552">
        <v>500</v>
      </c>
      <c r="M552">
        <v>499</v>
      </c>
      <c r="N552">
        <v>1</v>
      </c>
      <c r="O552">
        <v>4942.4623609380997</v>
      </c>
      <c r="P552" s="3" t="s">
        <v>52</v>
      </c>
      <c r="Q552">
        <v>50</v>
      </c>
      <c r="R552">
        <v>0.999</v>
      </c>
      <c r="S552">
        <v>0</v>
      </c>
    </row>
    <row r="553" spans="1:19" x14ac:dyDescent="0.2">
      <c r="A553" s="3" t="s">
        <v>54</v>
      </c>
      <c r="B553" s="3" t="s">
        <v>55</v>
      </c>
      <c r="C553">
        <v>33</v>
      </c>
      <c r="D553">
        <v>15000</v>
      </c>
      <c r="E553">
        <v>499</v>
      </c>
      <c r="F553">
        <v>1</v>
      </c>
      <c r="G553">
        <v>60572.237308582698</v>
      </c>
      <c r="H553">
        <v>0.203989958</v>
      </c>
      <c r="I553">
        <v>13638</v>
      </c>
      <c r="J553">
        <v>4132</v>
      </c>
      <c r="K553">
        <v>9506</v>
      </c>
      <c r="L553">
        <v>500</v>
      </c>
      <c r="M553">
        <v>499</v>
      </c>
      <c r="N553">
        <v>1</v>
      </c>
      <c r="O553">
        <v>4909.9177071736003</v>
      </c>
      <c r="P553" s="3" t="s">
        <v>52</v>
      </c>
      <c r="Q553">
        <v>50</v>
      </c>
      <c r="R553">
        <v>0.999</v>
      </c>
      <c r="S553">
        <v>0</v>
      </c>
    </row>
    <row r="554" spans="1:19" x14ac:dyDescent="0.2">
      <c r="A554" s="3" t="s">
        <v>54</v>
      </c>
      <c r="B554" s="3" t="s">
        <v>55</v>
      </c>
      <c r="C554">
        <v>29</v>
      </c>
      <c r="D554">
        <v>15000</v>
      </c>
      <c r="E554">
        <v>499</v>
      </c>
      <c r="F554">
        <v>1</v>
      </c>
      <c r="G554">
        <v>60572.237308582698</v>
      </c>
      <c r="H554">
        <v>0.203889025</v>
      </c>
      <c r="I554">
        <v>13610</v>
      </c>
      <c r="J554">
        <v>4121</v>
      </c>
      <c r="K554">
        <v>9489</v>
      </c>
      <c r="L554">
        <v>500</v>
      </c>
      <c r="M554">
        <v>499</v>
      </c>
      <c r="N554">
        <v>1</v>
      </c>
      <c r="O554">
        <v>5093.5418343612</v>
      </c>
      <c r="P554" s="3" t="s">
        <v>50</v>
      </c>
      <c r="Q554">
        <v>50</v>
      </c>
      <c r="R554">
        <v>0.999</v>
      </c>
      <c r="S554">
        <v>0</v>
      </c>
    </row>
    <row r="555" spans="1:19" x14ac:dyDescent="0.2">
      <c r="A555" s="3" t="s">
        <v>54</v>
      </c>
      <c r="B555" s="3" t="s">
        <v>55</v>
      </c>
      <c r="C555">
        <v>42</v>
      </c>
      <c r="D555">
        <v>15000</v>
      </c>
      <c r="E555">
        <v>499</v>
      </c>
      <c r="F555">
        <v>1</v>
      </c>
      <c r="G555">
        <v>60572.237308582698</v>
      </c>
      <c r="H555">
        <v>0.20375866000000001</v>
      </c>
      <c r="I555">
        <v>13626</v>
      </c>
      <c r="J555">
        <v>4127</v>
      </c>
      <c r="K555">
        <v>9499</v>
      </c>
      <c r="L555">
        <v>500</v>
      </c>
      <c r="M555">
        <v>499</v>
      </c>
      <c r="N555">
        <v>1</v>
      </c>
      <c r="O555">
        <v>4989.7642721396996</v>
      </c>
      <c r="P555" s="3" t="s">
        <v>50</v>
      </c>
      <c r="Q555">
        <v>50</v>
      </c>
      <c r="R555">
        <v>0.999</v>
      </c>
      <c r="S555">
        <v>0</v>
      </c>
    </row>
    <row r="556" spans="1:19" x14ac:dyDescent="0.2">
      <c r="A556" s="3" t="s">
        <v>54</v>
      </c>
      <c r="B556" s="3" t="s">
        <v>55</v>
      </c>
      <c r="C556">
        <v>12</v>
      </c>
      <c r="D556">
        <v>15000</v>
      </c>
      <c r="E556">
        <v>499</v>
      </c>
      <c r="F556">
        <v>1</v>
      </c>
      <c r="G556">
        <v>60572.237308582698</v>
      </c>
      <c r="H556">
        <v>0.203610772</v>
      </c>
      <c r="I556">
        <v>13624</v>
      </c>
      <c r="J556">
        <v>4148</v>
      </c>
      <c r="K556">
        <v>9476</v>
      </c>
      <c r="L556">
        <v>500</v>
      </c>
      <c r="M556">
        <v>499</v>
      </c>
      <c r="N556">
        <v>1</v>
      </c>
      <c r="O556">
        <v>4954.3870717379996</v>
      </c>
      <c r="P556" s="3" t="s">
        <v>52</v>
      </c>
      <c r="Q556">
        <v>50</v>
      </c>
      <c r="R556">
        <v>0.999</v>
      </c>
      <c r="S556">
        <v>0</v>
      </c>
    </row>
    <row r="557" spans="1:19" x14ac:dyDescent="0.2">
      <c r="A557" s="3" t="s">
        <v>54</v>
      </c>
      <c r="B557" s="3" t="s">
        <v>55</v>
      </c>
      <c r="C557">
        <v>27</v>
      </c>
      <c r="D557">
        <v>15000</v>
      </c>
      <c r="E557">
        <v>499</v>
      </c>
      <c r="F557">
        <v>1</v>
      </c>
      <c r="G557">
        <v>60572.237308582698</v>
      </c>
      <c r="H557">
        <v>0.203511362</v>
      </c>
      <c r="I557">
        <v>13630</v>
      </c>
      <c r="J557">
        <v>4121</v>
      </c>
      <c r="K557">
        <v>9509</v>
      </c>
      <c r="L557">
        <v>500</v>
      </c>
      <c r="M557">
        <v>499</v>
      </c>
      <c r="N557">
        <v>1</v>
      </c>
      <c r="O557">
        <v>4980.3465384464998</v>
      </c>
      <c r="P557" s="3" t="s">
        <v>52</v>
      </c>
      <c r="Q557">
        <v>50</v>
      </c>
      <c r="R557">
        <v>0.999</v>
      </c>
      <c r="S557">
        <v>0</v>
      </c>
    </row>
    <row r="558" spans="1:19" x14ac:dyDescent="0.2">
      <c r="A558" s="3" t="s">
        <v>54</v>
      </c>
      <c r="B558" s="3" t="s">
        <v>55</v>
      </c>
      <c r="C558">
        <v>9</v>
      </c>
      <c r="D558">
        <v>15000</v>
      </c>
      <c r="E558">
        <v>499</v>
      </c>
      <c r="F558">
        <v>1</v>
      </c>
      <c r="G558">
        <v>60572.237308582698</v>
      </c>
      <c r="H558">
        <v>0.20339585299999999</v>
      </c>
      <c r="I558">
        <v>13635</v>
      </c>
      <c r="J558">
        <v>4149</v>
      </c>
      <c r="K558">
        <v>9486</v>
      </c>
      <c r="L558">
        <v>500</v>
      </c>
      <c r="M558">
        <v>499</v>
      </c>
      <c r="N558">
        <v>1</v>
      </c>
      <c r="O558">
        <v>4937.3036951583999</v>
      </c>
      <c r="P558" s="3" t="s">
        <v>52</v>
      </c>
      <c r="Q558">
        <v>50</v>
      </c>
      <c r="R558">
        <v>0.999</v>
      </c>
      <c r="S558">
        <v>0</v>
      </c>
    </row>
    <row r="559" spans="1:19" x14ac:dyDescent="0.2">
      <c r="A559" s="3" t="s">
        <v>54</v>
      </c>
      <c r="B559" s="3" t="s">
        <v>55</v>
      </c>
      <c r="C559">
        <v>26</v>
      </c>
      <c r="D559">
        <v>15000</v>
      </c>
      <c r="E559">
        <v>499</v>
      </c>
      <c r="F559">
        <v>1</v>
      </c>
      <c r="G559">
        <v>60572.237308582698</v>
      </c>
      <c r="H559">
        <v>0.20337577600000001</v>
      </c>
      <c r="I559">
        <v>13631</v>
      </c>
      <c r="J559">
        <v>4174</v>
      </c>
      <c r="K559">
        <v>9457</v>
      </c>
      <c r="L559">
        <v>500</v>
      </c>
      <c r="M559">
        <v>499</v>
      </c>
      <c r="N559">
        <v>1</v>
      </c>
      <c r="O559">
        <v>4956.1679426824003</v>
      </c>
      <c r="P559" s="3" t="s">
        <v>50</v>
      </c>
      <c r="Q559">
        <v>50</v>
      </c>
      <c r="R559">
        <v>0.999</v>
      </c>
      <c r="S559">
        <v>0</v>
      </c>
    </row>
    <row r="560" spans="1:19" x14ac:dyDescent="0.2">
      <c r="A560" s="3" t="s">
        <v>54</v>
      </c>
      <c r="B560" s="3" t="s">
        <v>55</v>
      </c>
      <c r="C560">
        <v>22</v>
      </c>
      <c r="D560">
        <v>15000</v>
      </c>
      <c r="E560">
        <v>499</v>
      </c>
      <c r="F560">
        <v>1</v>
      </c>
      <c r="G560">
        <v>60572.237308582698</v>
      </c>
      <c r="H560">
        <v>0.203277613</v>
      </c>
      <c r="I560">
        <v>13635</v>
      </c>
      <c r="J560">
        <v>4181</v>
      </c>
      <c r="K560">
        <v>9454</v>
      </c>
      <c r="L560">
        <v>500</v>
      </c>
      <c r="M560">
        <v>499</v>
      </c>
      <c r="N560">
        <v>1</v>
      </c>
      <c r="O560">
        <v>4945.2530409519004</v>
      </c>
      <c r="P560" s="3" t="s">
        <v>50</v>
      </c>
      <c r="Q560">
        <v>50</v>
      </c>
      <c r="R560">
        <v>0.999</v>
      </c>
      <c r="S560">
        <v>0</v>
      </c>
    </row>
    <row r="561" spans="1:19" x14ac:dyDescent="0.2">
      <c r="A561" s="3" t="s">
        <v>54</v>
      </c>
      <c r="B561" s="3" t="s">
        <v>55</v>
      </c>
      <c r="C561">
        <v>5</v>
      </c>
      <c r="D561">
        <v>15000</v>
      </c>
      <c r="E561">
        <v>499</v>
      </c>
      <c r="F561">
        <v>1</v>
      </c>
      <c r="G561">
        <v>60572.237308582698</v>
      </c>
      <c r="H561">
        <v>0.20320832</v>
      </c>
      <c r="I561">
        <v>13647</v>
      </c>
      <c r="J561">
        <v>4182</v>
      </c>
      <c r="K561">
        <v>9465</v>
      </c>
      <c r="L561">
        <v>500</v>
      </c>
      <c r="M561">
        <v>499</v>
      </c>
      <c r="N561">
        <v>1</v>
      </c>
      <c r="O561">
        <v>4870.4054714630001</v>
      </c>
      <c r="P561" s="3" t="s">
        <v>52</v>
      </c>
      <c r="Q561">
        <v>50</v>
      </c>
      <c r="R561">
        <v>0.999</v>
      </c>
      <c r="S561">
        <v>0</v>
      </c>
    </row>
    <row r="562" spans="1:19" x14ac:dyDescent="0.2">
      <c r="A562" s="3" t="s">
        <v>54</v>
      </c>
      <c r="B562" s="3" t="s">
        <v>55</v>
      </c>
      <c r="C562">
        <v>30</v>
      </c>
      <c r="D562">
        <v>15000</v>
      </c>
      <c r="E562">
        <v>499</v>
      </c>
      <c r="F562">
        <v>1</v>
      </c>
      <c r="G562">
        <v>60572.237308582698</v>
      </c>
      <c r="H562">
        <v>0.20319604799999999</v>
      </c>
      <c r="I562">
        <v>13631</v>
      </c>
      <c r="J562">
        <v>4160</v>
      </c>
      <c r="K562">
        <v>9471</v>
      </c>
      <c r="L562">
        <v>500</v>
      </c>
      <c r="M562">
        <v>499</v>
      </c>
      <c r="N562">
        <v>1</v>
      </c>
      <c r="O562">
        <v>4957.9152824239</v>
      </c>
      <c r="P562" s="3" t="s">
        <v>52</v>
      </c>
      <c r="Q562">
        <v>50</v>
      </c>
      <c r="R562">
        <v>0.999</v>
      </c>
      <c r="S562">
        <v>0</v>
      </c>
    </row>
    <row r="563" spans="1:19" x14ac:dyDescent="0.2">
      <c r="A563" s="3" t="s">
        <v>54</v>
      </c>
      <c r="B563" s="3" t="s">
        <v>55</v>
      </c>
      <c r="C563">
        <v>4</v>
      </c>
      <c r="D563">
        <v>15000</v>
      </c>
      <c r="E563">
        <v>499</v>
      </c>
      <c r="F563">
        <v>1</v>
      </c>
      <c r="G563">
        <v>60572.237308582698</v>
      </c>
      <c r="H563">
        <v>0.20318034600000001</v>
      </c>
      <c r="I563">
        <v>13619</v>
      </c>
      <c r="J563">
        <v>4189</v>
      </c>
      <c r="K563">
        <v>9430</v>
      </c>
      <c r="L563">
        <v>500</v>
      </c>
      <c r="M563">
        <v>499</v>
      </c>
      <c r="N563">
        <v>1</v>
      </c>
      <c r="O563">
        <v>4957.770519146</v>
      </c>
      <c r="P563" s="3" t="s">
        <v>52</v>
      </c>
      <c r="Q563">
        <v>50</v>
      </c>
      <c r="R563">
        <v>0.999</v>
      </c>
      <c r="S563">
        <v>0</v>
      </c>
    </row>
    <row r="564" spans="1:19" x14ac:dyDescent="0.2">
      <c r="A564" s="3" t="s">
        <v>54</v>
      </c>
      <c r="B564" s="3" t="s">
        <v>55</v>
      </c>
      <c r="C564">
        <v>16</v>
      </c>
      <c r="D564">
        <v>15000</v>
      </c>
      <c r="E564">
        <v>499</v>
      </c>
      <c r="F564">
        <v>1</v>
      </c>
      <c r="G564">
        <v>60572.237308582698</v>
      </c>
      <c r="H564">
        <v>0.20316920899999999</v>
      </c>
      <c r="I564">
        <v>13627</v>
      </c>
      <c r="J564">
        <v>4152</v>
      </c>
      <c r="K564">
        <v>9475</v>
      </c>
      <c r="L564">
        <v>500</v>
      </c>
      <c r="M564">
        <v>499</v>
      </c>
      <c r="N564">
        <v>1</v>
      </c>
      <c r="O564">
        <v>4985.4912353856998</v>
      </c>
      <c r="P564" s="3" t="s">
        <v>50</v>
      </c>
      <c r="Q564">
        <v>50</v>
      </c>
      <c r="R564">
        <v>0.999</v>
      </c>
      <c r="S564">
        <v>0</v>
      </c>
    </row>
    <row r="565" spans="1:19" x14ac:dyDescent="0.2">
      <c r="A565" s="3" t="s">
        <v>54</v>
      </c>
      <c r="B565" s="3" t="s">
        <v>55</v>
      </c>
      <c r="C565">
        <v>39</v>
      </c>
      <c r="D565">
        <v>15000</v>
      </c>
      <c r="E565">
        <v>499</v>
      </c>
      <c r="F565">
        <v>1</v>
      </c>
      <c r="G565">
        <v>60572.237308582698</v>
      </c>
      <c r="H565">
        <v>0.203018214</v>
      </c>
      <c r="I565">
        <v>13616</v>
      </c>
      <c r="J565">
        <v>4174</v>
      </c>
      <c r="K565">
        <v>9442</v>
      </c>
      <c r="L565">
        <v>500</v>
      </c>
      <c r="M565">
        <v>499</v>
      </c>
      <c r="N565">
        <v>1</v>
      </c>
      <c r="O565">
        <v>5021.9060319665004</v>
      </c>
      <c r="P565" s="3" t="s">
        <v>50</v>
      </c>
      <c r="Q565">
        <v>50</v>
      </c>
      <c r="R565">
        <v>0.999</v>
      </c>
      <c r="S565">
        <v>0</v>
      </c>
    </row>
    <row r="566" spans="1:19" x14ac:dyDescent="0.2">
      <c r="A566" s="3" t="s">
        <v>54</v>
      </c>
      <c r="B566" s="3" t="s">
        <v>55</v>
      </c>
      <c r="C566">
        <v>3</v>
      </c>
      <c r="D566">
        <v>15000</v>
      </c>
      <c r="E566">
        <v>499</v>
      </c>
      <c r="F566">
        <v>1</v>
      </c>
      <c r="G566">
        <v>60572.237308582698</v>
      </c>
      <c r="H566">
        <v>0.202779918</v>
      </c>
      <c r="I566">
        <v>13600</v>
      </c>
      <c r="J566">
        <v>4132</v>
      </c>
      <c r="K566">
        <v>9468</v>
      </c>
      <c r="L566">
        <v>500</v>
      </c>
      <c r="M566">
        <v>499</v>
      </c>
      <c r="N566">
        <v>1</v>
      </c>
      <c r="O566">
        <v>5068.4681846010999</v>
      </c>
      <c r="P566" s="3" t="s">
        <v>52</v>
      </c>
      <c r="Q566">
        <v>50</v>
      </c>
      <c r="R566">
        <v>0.999</v>
      </c>
      <c r="S566">
        <v>0</v>
      </c>
    </row>
    <row r="567" spans="1:19" x14ac:dyDescent="0.2">
      <c r="A567" s="3" t="s">
        <v>54</v>
      </c>
      <c r="B567" s="3" t="s">
        <v>55</v>
      </c>
      <c r="C567">
        <v>14</v>
      </c>
      <c r="D567">
        <v>15000</v>
      </c>
      <c r="E567">
        <v>499</v>
      </c>
      <c r="F567">
        <v>1</v>
      </c>
      <c r="G567">
        <v>60572.237308582698</v>
      </c>
      <c r="H567">
        <v>0.20265496899999999</v>
      </c>
      <c r="I567">
        <v>13615</v>
      </c>
      <c r="J567">
        <v>4177</v>
      </c>
      <c r="K567">
        <v>9438</v>
      </c>
      <c r="L567">
        <v>500</v>
      </c>
      <c r="M567">
        <v>499</v>
      </c>
      <c r="N567">
        <v>1</v>
      </c>
      <c r="O567">
        <v>5007.4517460629004</v>
      </c>
      <c r="P567" s="3" t="s">
        <v>50</v>
      </c>
      <c r="Q567">
        <v>50</v>
      </c>
      <c r="R567">
        <v>0.999</v>
      </c>
      <c r="S567">
        <v>0</v>
      </c>
    </row>
    <row r="568" spans="1:19" x14ac:dyDescent="0.2">
      <c r="A568" s="3" t="s">
        <v>54</v>
      </c>
      <c r="B568" s="3" t="s">
        <v>55</v>
      </c>
      <c r="C568">
        <v>43</v>
      </c>
      <c r="D568">
        <v>15000</v>
      </c>
      <c r="E568">
        <v>499</v>
      </c>
      <c r="F568">
        <v>1</v>
      </c>
      <c r="G568">
        <v>60572.237308582698</v>
      </c>
      <c r="H568">
        <v>0.20260001399999999</v>
      </c>
      <c r="I568">
        <v>13621</v>
      </c>
      <c r="J568">
        <v>4164</v>
      </c>
      <c r="K568">
        <v>9457</v>
      </c>
      <c r="L568">
        <v>500</v>
      </c>
      <c r="M568">
        <v>499</v>
      </c>
      <c r="N568">
        <v>1</v>
      </c>
      <c r="O568">
        <v>4987.4170638509004</v>
      </c>
      <c r="P568" s="3" t="s">
        <v>50</v>
      </c>
      <c r="Q568">
        <v>50</v>
      </c>
      <c r="R568">
        <v>0.999</v>
      </c>
      <c r="S568">
        <v>0</v>
      </c>
    </row>
    <row r="569" spans="1:19" x14ac:dyDescent="0.2">
      <c r="A569" s="3" t="s">
        <v>54</v>
      </c>
      <c r="B569" s="3" t="s">
        <v>55</v>
      </c>
      <c r="C569">
        <v>41</v>
      </c>
      <c r="D569">
        <v>15000</v>
      </c>
      <c r="E569">
        <v>499</v>
      </c>
      <c r="F569">
        <v>1</v>
      </c>
      <c r="G569">
        <v>60572.237308582698</v>
      </c>
      <c r="H569">
        <v>0.20255243100000001</v>
      </c>
      <c r="I569">
        <v>13620</v>
      </c>
      <c r="J569">
        <v>4114</v>
      </c>
      <c r="K569">
        <v>9506</v>
      </c>
      <c r="L569">
        <v>500</v>
      </c>
      <c r="M569">
        <v>499</v>
      </c>
      <c r="N569">
        <v>1</v>
      </c>
      <c r="O569">
        <v>5016.9093092931998</v>
      </c>
      <c r="P569" s="3" t="s">
        <v>52</v>
      </c>
      <c r="Q569">
        <v>50</v>
      </c>
      <c r="R569">
        <v>0.999</v>
      </c>
      <c r="S569">
        <v>0</v>
      </c>
    </row>
    <row r="570" spans="1:19" x14ac:dyDescent="0.2">
      <c r="A570" s="3" t="s">
        <v>54</v>
      </c>
      <c r="B570" s="3" t="s">
        <v>55</v>
      </c>
      <c r="C570">
        <v>15</v>
      </c>
      <c r="D570">
        <v>15000</v>
      </c>
      <c r="E570">
        <v>499</v>
      </c>
      <c r="F570">
        <v>1</v>
      </c>
      <c r="G570">
        <v>60572.237308582698</v>
      </c>
      <c r="H570">
        <v>0.20252800000000001</v>
      </c>
      <c r="I570">
        <v>13607</v>
      </c>
      <c r="J570">
        <v>4148</v>
      </c>
      <c r="K570">
        <v>9459</v>
      </c>
      <c r="L570">
        <v>500</v>
      </c>
      <c r="M570">
        <v>499</v>
      </c>
      <c r="N570">
        <v>1</v>
      </c>
      <c r="O570">
        <v>5056.5342278295002</v>
      </c>
      <c r="P570" s="3" t="s">
        <v>50</v>
      </c>
      <c r="Q570">
        <v>50</v>
      </c>
      <c r="R570">
        <v>0.999</v>
      </c>
      <c r="S570">
        <v>0</v>
      </c>
    </row>
    <row r="571" spans="1:19" x14ac:dyDescent="0.2">
      <c r="A571" s="3" t="s">
        <v>54</v>
      </c>
      <c r="B571" s="3" t="s">
        <v>55</v>
      </c>
      <c r="C571">
        <v>30</v>
      </c>
      <c r="D571">
        <v>15000</v>
      </c>
      <c r="E571">
        <v>499</v>
      </c>
      <c r="F571">
        <v>1</v>
      </c>
      <c r="G571">
        <v>60572.237308582698</v>
      </c>
      <c r="H571">
        <v>0.202285936</v>
      </c>
      <c r="I571">
        <v>13652</v>
      </c>
      <c r="J571">
        <v>4232</v>
      </c>
      <c r="K571">
        <v>9420</v>
      </c>
      <c r="L571">
        <v>500</v>
      </c>
      <c r="M571">
        <v>499</v>
      </c>
      <c r="N571">
        <v>1</v>
      </c>
      <c r="O571">
        <v>4863.2806510409</v>
      </c>
      <c r="P571" s="3" t="s">
        <v>50</v>
      </c>
      <c r="Q571">
        <v>50</v>
      </c>
      <c r="R571">
        <v>0.999</v>
      </c>
      <c r="S571">
        <v>0</v>
      </c>
    </row>
    <row r="572" spans="1:19" x14ac:dyDescent="0.2">
      <c r="A572" s="3" t="s">
        <v>54</v>
      </c>
      <c r="B572" s="3" t="s">
        <v>55</v>
      </c>
      <c r="C572">
        <v>49</v>
      </c>
      <c r="D572">
        <v>15000</v>
      </c>
      <c r="E572">
        <v>499</v>
      </c>
      <c r="F572">
        <v>1</v>
      </c>
      <c r="G572">
        <v>60572.237308582698</v>
      </c>
      <c r="H572">
        <v>0.20185425600000001</v>
      </c>
      <c r="I572">
        <v>13613</v>
      </c>
      <c r="J572">
        <v>4138</v>
      </c>
      <c r="K572">
        <v>9475</v>
      </c>
      <c r="L572">
        <v>500</v>
      </c>
      <c r="M572">
        <v>499</v>
      </c>
      <c r="N572">
        <v>1</v>
      </c>
      <c r="O572">
        <v>5003.3756894223998</v>
      </c>
      <c r="P572" s="3" t="s">
        <v>50</v>
      </c>
      <c r="Q572">
        <v>50</v>
      </c>
      <c r="R572">
        <v>0.999</v>
      </c>
      <c r="S572">
        <v>0</v>
      </c>
    </row>
    <row r="573" spans="1:19" x14ac:dyDescent="0.2">
      <c r="A573" s="3" t="s">
        <v>54</v>
      </c>
      <c r="B573" s="3" t="s">
        <v>55</v>
      </c>
      <c r="C573">
        <v>24</v>
      </c>
      <c r="D573">
        <v>15000</v>
      </c>
      <c r="E573">
        <v>499</v>
      </c>
      <c r="F573">
        <v>1</v>
      </c>
      <c r="G573">
        <v>60572.237308582698</v>
      </c>
      <c r="H573">
        <v>0.201679682</v>
      </c>
      <c r="I573">
        <v>13635</v>
      </c>
      <c r="J573">
        <v>4172</v>
      </c>
      <c r="K573">
        <v>9463</v>
      </c>
      <c r="L573">
        <v>500</v>
      </c>
      <c r="M573">
        <v>499</v>
      </c>
      <c r="N573">
        <v>1</v>
      </c>
      <c r="O573">
        <v>4901.1652498583999</v>
      </c>
      <c r="P573" s="3" t="s">
        <v>52</v>
      </c>
      <c r="Q573">
        <v>50</v>
      </c>
      <c r="R573">
        <v>0.999</v>
      </c>
      <c r="S573">
        <v>0</v>
      </c>
    </row>
    <row r="574" spans="1:19" x14ac:dyDescent="0.2">
      <c r="A574" s="3" t="s">
        <v>54</v>
      </c>
      <c r="B574" s="3" t="s">
        <v>55</v>
      </c>
      <c r="C574">
        <v>37</v>
      </c>
      <c r="D574">
        <v>15000</v>
      </c>
      <c r="E574">
        <v>499</v>
      </c>
      <c r="F574">
        <v>1</v>
      </c>
      <c r="G574">
        <v>60572.237308582698</v>
      </c>
      <c r="H574">
        <v>0.20133616400000001</v>
      </c>
      <c r="I574">
        <v>13641</v>
      </c>
      <c r="J574">
        <v>4162</v>
      </c>
      <c r="K574">
        <v>9479</v>
      </c>
      <c r="L574">
        <v>500</v>
      </c>
      <c r="M574">
        <v>499</v>
      </c>
      <c r="N574">
        <v>1</v>
      </c>
      <c r="O574">
        <v>4946.8796541614001</v>
      </c>
      <c r="P574" s="3" t="s">
        <v>52</v>
      </c>
      <c r="Q574">
        <v>50</v>
      </c>
      <c r="R574">
        <v>0.999</v>
      </c>
      <c r="S574">
        <v>0</v>
      </c>
    </row>
    <row r="575" spans="1:19" x14ac:dyDescent="0.2">
      <c r="A575" s="3" t="s">
        <v>54</v>
      </c>
      <c r="B575" s="3" t="s">
        <v>55</v>
      </c>
      <c r="C575">
        <v>8</v>
      </c>
      <c r="D575">
        <v>15000</v>
      </c>
      <c r="E575">
        <v>499</v>
      </c>
      <c r="F575">
        <v>1</v>
      </c>
      <c r="G575">
        <v>60572.237308582698</v>
      </c>
      <c r="H575">
        <v>0.20118312599999999</v>
      </c>
      <c r="I575">
        <v>13644</v>
      </c>
      <c r="J575">
        <v>4133</v>
      </c>
      <c r="K575">
        <v>9511</v>
      </c>
      <c r="L575">
        <v>500</v>
      </c>
      <c r="M575">
        <v>499</v>
      </c>
      <c r="N575">
        <v>1</v>
      </c>
      <c r="O575">
        <v>4951.8033699423004</v>
      </c>
      <c r="P575" s="3" t="s">
        <v>52</v>
      </c>
      <c r="Q575">
        <v>50</v>
      </c>
      <c r="R575">
        <v>0.999</v>
      </c>
      <c r="S575">
        <v>0</v>
      </c>
    </row>
    <row r="576" spans="1:19" x14ac:dyDescent="0.2">
      <c r="A576" s="3" t="s">
        <v>54</v>
      </c>
      <c r="B576" s="3" t="s">
        <v>55</v>
      </c>
      <c r="C576">
        <v>45</v>
      </c>
      <c r="D576">
        <v>15000</v>
      </c>
      <c r="E576">
        <v>499</v>
      </c>
      <c r="F576">
        <v>1</v>
      </c>
      <c r="G576">
        <v>60572.237308582698</v>
      </c>
      <c r="H576">
        <v>0.20088208599999999</v>
      </c>
      <c r="I576">
        <v>13622</v>
      </c>
      <c r="J576">
        <v>4133</v>
      </c>
      <c r="K576">
        <v>9489</v>
      </c>
      <c r="L576">
        <v>500</v>
      </c>
      <c r="M576">
        <v>499</v>
      </c>
      <c r="N576">
        <v>1</v>
      </c>
      <c r="O576">
        <v>4970.4122627349998</v>
      </c>
      <c r="P576" s="3" t="s">
        <v>52</v>
      </c>
      <c r="Q576">
        <v>50</v>
      </c>
      <c r="R576">
        <v>0.999</v>
      </c>
      <c r="S576">
        <v>0</v>
      </c>
    </row>
    <row r="577" spans="1:19" x14ac:dyDescent="0.2">
      <c r="A577" s="3" t="s">
        <v>54</v>
      </c>
      <c r="B577" s="3" t="s">
        <v>55</v>
      </c>
      <c r="C577">
        <v>15</v>
      </c>
      <c r="D577">
        <v>15000</v>
      </c>
      <c r="E577">
        <v>499</v>
      </c>
      <c r="F577">
        <v>1</v>
      </c>
      <c r="G577">
        <v>60572.237308582698</v>
      </c>
      <c r="H577">
        <v>0.20069521400000001</v>
      </c>
      <c r="I577">
        <v>13623</v>
      </c>
      <c r="J577">
        <v>4146</v>
      </c>
      <c r="K577">
        <v>9477</v>
      </c>
      <c r="L577">
        <v>500</v>
      </c>
      <c r="M577">
        <v>499</v>
      </c>
      <c r="N577">
        <v>1</v>
      </c>
      <c r="O577">
        <v>4985.3472693269996</v>
      </c>
      <c r="P577" s="3" t="s">
        <v>52</v>
      </c>
      <c r="Q577">
        <v>50</v>
      </c>
      <c r="R577">
        <v>0.999</v>
      </c>
      <c r="S577">
        <v>0</v>
      </c>
    </row>
    <row r="578" spans="1:19" x14ac:dyDescent="0.2">
      <c r="A578" s="3" t="s">
        <v>54</v>
      </c>
      <c r="B578" s="3" t="s">
        <v>55</v>
      </c>
      <c r="C578">
        <v>40</v>
      </c>
      <c r="D578">
        <v>15000</v>
      </c>
      <c r="E578">
        <v>499</v>
      </c>
      <c r="F578">
        <v>1</v>
      </c>
      <c r="G578">
        <v>60572.237308582698</v>
      </c>
      <c r="H578">
        <v>0.20039455</v>
      </c>
      <c r="I578">
        <v>13600</v>
      </c>
      <c r="J578">
        <v>4197</v>
      </c>
      <c r="K578">
        <v>9403</v>
      </c>
      <c r="L578">
        <v>500</v>
      </c>
      <c r="M578">
        <v>499</v>
      </c>
      <c r="N578">
        <v>1</v>
      </c>
      <c r="O578">
        <v>5026.8624036991996</v>
      </c>
      <c r="P578" s="3" t="s">
        <v>50</v>
      </c>
      <c r="Q578">
        <v>50</v>
      </c>
      <c r="R578">
        <v>0.999</v>
      </c>
      <c r="S578">
        <v>0</v>
      </c>
    </row>
    <row r="579" spans="1:19" x14ac:dyDescent="0.2">
      <c r="A579" s="3" t="s">
        <v>54</v>
      </c>
      <c r="B579" s="3" t="s">
        <v>55</v>
      </c>
      <c r="C579">
        <v>46</v>
      </c>
      <c r="D579">
        <v>15000</v>
      </c>
      <c r="E579">
        <v>499</v>
      </c>
      <c r="F579">
        <v>1</v>
      </c>
      <c r="G579">
        <v>60572.237308582698</v>
      </c>
      <c r="H579">
        <v>0.200394302</v>
      </c>
      <c r="I579">
        <v>13659</v>
      </c>
      <c r="J579">
        <v>4193</v>
      </c>
      <c r="K579">
        <v>9466</v>
      </c>
      <c r="L579">
        <v>500</v>
      </c>
      <c r="M579">
        <v>499</v>
      </c>
      <c r="N579">
        <v>1</v>
      </c>
      <c r="O579">
        <v>4893.5867693161999</v>
      </c>
      <c r="P579" s="3" t="s">
        <v>52</v>
      </c>
      <c r="Q579">
        <v>50</v>
      </c>
      <c r="R579">
        <v>0.999</v>
      </c>
      <c r="S579">
        <v>0</v>
      </c>
    </row>
    <row r="580" spans="1:19" x14ac:dyDescent="0.2">
      <c r="A580" s="3" t="s">
        <v>54</v>
      </c>
      <c r="B580" s="3" t="s">
        <v>55</v>
      </c>
      <c r="C580">
        <v>28</v>
      </c>
      <c r="D580">
        <v>15000</v>
      </c>
      <c r="E580">
        <v>499</v>
      </c>
      <c r="F580">
        <v>1</v>
      </c>
      <c r="G580">
        <v>60572.237308582698</v>
      </c>
      <c r="H580">
        <v>0.20024447200000001</v>
      </c>
      <c r="I580">
        <v>13608</v>
      </c>
      <c r="J580">
        <v>4110</v>
      </c>
      <c r="K580">
        <v>9498</v>
      </c>
      <c r="L580">
        <v>500</v>
      </c>
      <c r="M580">
        <v>499</v>
      </c>
      <c r="N580">
        <v>1</v>
      </c>
      <c r="O580">
        <v>5060.7369724639002</v>
      </c>
      <c r="P580" s="3" t="s">
        <v>52</v>
      </c>
      <c r="Q580">
        <v>50</v>
      </c>
      <c r="R580">
        <v>0.999</v>
      </c>
      <c r="S580">
        <v>0</v>
      </c>
    </row>
    <row r="581" spans="1:19" x14ac:dyDescent="0.2">
      <c r="A581" s="3" t="s">
        <v>54</v>
      </c>
      <c r="B581" s="3" t="s">
        <v>55</v>
      </c>
      <c r="C581">
        <v>48</v>
      </c>
      <c r="D581">
        <v>15000</v>
      </c>
      <c r="E581">
        <v>499</v>
      </c>
      <c r="F581">
        <v>1</v>
      </c>
      <c r="G581">
        <v>60572.237308582698</v>
      </c>
      <c r="H581">
        <v>0.20015024000000001</v>
      </c>
      <c r="I581">
        <v>13607</v>
      </c>
      <c r="J581">
        <v>4217</v>
      </c>
      <c r="K581">
        <v>9390</v>
      </c>
      <c r="L581">
        <v>500</v>
      </c>
      <c r="M581">
        <v>499</v>
      </c>
      <c r="N581">
        <v>1</v>
      </c>
      <c r="O581">
        <v>4987.6040817863004</v>
      </c>
      <c r="P581" s="3" t="s">
        <v>50</v>
      </c>
      <c r="Q581">
        <v>50</v>
      </c>
      <c r="R581">
        <v>0.999</v>
      </c>
      <c r="S581">
        <v>0</v>
      </c>
    </row>
    <row r="582" spans="1:19" x14ac:dyDescent="0.2">
      <c r="A582" s="3" t="s">
        <v>54</v>
      </c>
      <c r="B582" s="3" t="s">
        <v>55</v>
      </c>
      <c r="C582">
        <v>20</v>
      </c>
      <c r="D582">
        <v>15000</v>
      </c>
      <c r="E582">
        <v>499</v>
      </c>
      <c r="F582">
        <v>1</v>
      </c>
      <c r="G582">
        <v>60572.237308582698</v>
      </c>
      <c r="H582">
        <v>0.20011121700000001</v>
      </c>
      <c r="I582">
        <v>13621</v>
      </c>
      <c r="J582">
        <v>4167</v>
      </c>
      <c r="K582">
        <v>9454</v>
      </c>
      <c r="L582">
        <v>500</v>
      </c>
      <c r="M582">
        <v>499</v>
      </c>
      <c r="N582">
        <v>1</v>
      </c>
      <c r="O582">
        <v>5027.7391334617996</v>
      </c>
      <c r="P582" s="3" t="s">
        <v>50</v>
      </c>
      <c r="Q582">
        <v>50</v>
      </c>
      <c r="R582">
        <v>0.999</v>
      </c>
      <c r="S582">
        <v>0</v>
      </c>
    </row>
    <row r="583" spans="1:19" x14ac:dyDescent="0.2">
      <c r="A583" s="3" t="s">
        <v>54</v>
      </c>
      <c r="B583" s="3" t="s">
        <v>55</v>
      </c>
      <c r="C583">
        <v>28</v>
      </c>
      <c r="D583">
        <v>15000</v>
      </c>
      <c r="E583">
        <v>499</v>
      </c>
      <c r="F583">
        <v>1</v>
      </c>
      <c r="G583">
        <v>60572.237308582698</v>
      </c>
      <c r="H583">
        <v>0.19928143600000001</v>
      </c>
      <c r="I583">
        <v>13631</v>
      </c>
      <c r="J583">
        <v>4173</v>
      </c>
      <c r="K583">
        <v>9458</v>
      </c>
      <c r="L583">
        <v>500</v>
      </c>
      <c r="M583">
        <v>499</v>
      </c>
      <c r="N583">
        <v>1</v>
      </c>
      <c r="O583">
        <v>4952.3507580995001</v>
      </c>
      <c r="P583" s="3" t="s">
        <v>50</v>
      </c>
      <c r="Q583">
        <v>50</v>
      </c>
      <c r="R583">
        <v>0.999</v>
      </c>
      <c r="S583">
        <v>0</v>
      </c>
    </row>
    <row r="584" spans="1:19" x14ac:dyDescent="0.2">
      <c r="A584" s="3" t="s">
        <v>54</v>
      </c>
      <c r="B584" s="3" t="s">
        <v>55</v>
      </c>
      <c r="C584">
        <v>14</v>
      </c>
      <c r="D584">
        <v>15000</v>
      </c>
      <c r="E584">
        <v>499</v>
      </c>
      <c r="F584">
        <v>1</v>
      </c>
      <c r="G584">
        <v>60572.237308582698</v>
      </c>
      <c r="H584">
        <v>0.199191812</v>
      </c>
      <c r="I584">
        <v>13569</v>
      </c>
      <c r="J584">
        <v>4099</v>
      </c>
      <c r="K584">
        <v>9470</v>
      </c>
      <c r="L584">
        <v>500</v>
      </c>
      <c r="M584">
        <v>499</v>
      </c>
      <c r="N584">
        <v>1</v>
      </c>
      <c r="O584">
        <v>5233.0551680382996</v>
      </c>
      <c r="P584" s="3" t="s">
        <v>52</v>
      </c>
      <c r="Q584">
        <v>50</v>
      </c>
      <c r="R584">
        <v>0.999</v>
      </c>
      <c r="S584">
        <v>0</v>
      </c>
    </row>
    <row r="585" spans="1:19" x14ac:dyDescent="0.2">
      <c r="A585" s="3" t="s">
        <v>54</v>
      </c>
      <c r="B585" s="3" t="s">
        <v>55</v>
      </c>
      <c r="C585">
        <v>6</v>
      </c>
      <c r="D585">
        <v>15000</v>
      </c>
      <c r="E585">
        <v>499</v>
      </c>
      <c r="F585">
        <v>1</v>
      </c>
      <c r="G585">
        <v>60572.237308582698</v>
      </c>
      <c r="H585">
        <v>0.199138976</v>
      </c>
      <c r="I585">
        <v>13635</v>
      </c>
      <c r="J585">
        <v>4180</v>
      </c>
      <c r="K585">
        <v>9455</v>
      </c>
      <c r="L585">
        <v>500</v>
      </c>
      <c r="M585">
        <v>499</v>
      </c>
      <c r="N585">
        <v>1</v>
      </c>
      <c r="O585">
        <v>4967.0881550114</v>
      </c>
      <c r="P585" s="3" t="s">
        <v>52</v>
      </c>
      <c r="Q585">
        <v>50</v>
      </c>
      <c r="R585">
        <v>0.999</v>
      </c>
      <c r="S585">
        <v>0</v>
      </c>
    </row>
    <row r="586" spans="1:19" x14ac:dyDescent="0.2">
      <c r="A586" s="3" t="s">
        <v>54</v>
      </c>
      <c r="B586" s="3" t="s">
        <v>55</v>
      </c>
      <c r="C586">
        <v>10</v>
      </c>
      <c r="D586">
        <v>15000</v>
      </c>
      <c r="E586">
        <v>499</v>
      </c>
      <c r="F586">
        <v>1</v>
      </c>
      <c r="G586">
        <v>60572.237308582698</v>
      </c>
      <c r="H586">
        <v>0.19899262100000001</v>
      </c>
      <c r="I586">
        <v>13630</v>
      </c>
      <c r="J586">
        <v>4194</v>
      </c>
      <c r="K586">
        <v>9436</v>
      </c>
      <c r="L586">
        <v>500</v>
      </c>
      <c r="M586">
        <v>499</v>
      </c>
      <c r="N586">
        <v>1</v>
      </c>
      <c r="O586">
        <v>4940.1948715975004</v>
      </c>
      <c r="P586" s="3" t="s">
        <v>52</v>
      </c>
      <c r="Q586">
        <v>50</v>
      </c>
      <c r="R586">
        <v>0.999</v>
      </c>
      <c r="S586">
        <v>0</v>
      </c>
    </row>
    <row r="587" spans="1:19" x14ac:dyDescent="0.2">
      <c r="A587" s="3" t="s">
        <v>54</v>
      </c>
      <c r="B587" s="3" t="s">
        <v>55</v>
      </c>
      <c r="C587">
        <v>42</v>
      </c>
      <c r="D587">
        <v>15000</v>
      </c>
      <c r="E587">
        <v>499</v>
      </c>
      <c r="F587">
        <v>1</v>
      </c>
      <c r="G587">
        <v>60572.237308582698</v>
      </c>
      <c r="H587">
        <v>0.19870259900000001</v>
      </c>
      <c r="I587">
        <v>13631</v>
      </c>
      <c r="J587">
        <v>4126</v>
      </c>
      <c r="K587">
        <v>9505</v>
      </c>
      <c r="L587">
        <v>500</v>
      </c>
      <c r="M587">
        <v>499</v>
      </c>
      <c r="N587">
        <v>1</v>
      </c>
      <c r="O587">
        <v>4947.9900153597</v>
      </c>
      <c r="P587" s="3" t="s">
        <v>52</v>
      </c>
      <c r="Q587">
        <v>50</v>
      </c>
      <c r="R587">
        <v>0.999</v>
      </c>
      <c r="S587">
        <v>0</v>
      </c>
    </row>
    <row r="588" spans="1:19" x14ac:dyDescent="0.2">
      <c r="A588" s="3" t="s">
        <v>54</v>
      </c>
      <c r="B588" s="3" t="s">
        <v>55</v>
      </c>
      <c r="C588">
        <v>38</v>
      </c>
      <c r="D588">
        <v>15000</v>
      </c>
      <c r="E588">
        <v>499</v>
      </c>
      <c r="F588">
        <v>1</v>
      </c>
      <c r="G588">
        <v>60572.237308582698</v>
      </c>
      <c r="H588">
        <v>0.198651669</v>
      </c>
      <c r="I588">
        <v>13611</v>
      </c>
      <c r="J588">
        <v>4129</v>
      </c>
      <c r="K588">
        <v>9482</v>
      </c>
      <c r="L588">
        <v>500</v>
      </c>
      <c r="M588">
        <v>499</v>
      </c>
      <c r="N588">
        <v>1</v>
      </c>
      <c r="O588">
        <v>5017.8015281346998</v>
      </c>
      <c r="P588" s="3" t="s">
        <v>52</v>
      </c>
      <c r="Q588">
        <v>50</v>
      </c>
      <c r="R588">
        <v>0.999</v>
      </c>
      <c r="S588">
        <v>0</v>
      </c>
    </row>
    <row r="589" spans="1:19" x14ac:dyDescent="0.2">
      <c r="A589" s="3" t="s">
        <v>54</v>
      </c>
      <c r="B589" s="3" t="s">
        <v>55</v>
      </c>
      <c r="C589">
        <v>34</v>
      </c>
      <c r="D589">
        <v>15000</v>
      </c>
      <c r="E589">
        <v>499</v>
      </c>
      <c r="F589">
        <v>1</v>
      </c>
      <c r="G589">
        <v>60572.237308582698</v>
      </c>
      <c r="H589">
        <v>0.198602692</v>
      </c>
      <c r="I589">
        <v>13611</v>
      </c>
      <c r="J589">
        <v>4147</v>
      </c>
      <c r="K589">
        <v>9464</v>
      </c>
      <c r="L589">
        <v>500</v>
      </c>
      <c r="M589">
        <v>499</v>
      </c>
      <c r="N589">
        <v>1</v>
      </c>
      <c r="O589">
        <v>5036.6328407828996</v>
      </c>
      <c r="P589" s="3" t="s">
        <v>52</v>
      </c>
      <c r="Q589">
        <v>50</v>
      </c>
      <c r="R589">
        <v>0.999</v>
      </c>
      <c r="S589">
        <v>0</v>
      </c>
    </row>
    <row r="590" spans="1:19" x14ac:dyDescent="0.2">
      <c r="A590" s="3" t="s">
        <v>54</v>
      </c>
      <c r="B590" s="3" t="s">
        <v>55</v>
      </c>
      <c r="C590">
        <v>26</v>
      </c>
      <c r="D590">
        <v>15000</v>
      </c>
      <c r="E590">
        <v>499</v>
      </c>
      <c r="F590">
        <v>1</v>
      </c>
      <c r="G590">
        <v>60572.237308582698</v>
      </c>
      <c r="H590">
        <v>0.19854270500000001</v>
      </c>
      <c r="I590">
        <v>13644</v>
      </c>
      <c r="J590">
        <v>4154</v>
      </c>
      <c r="K590">
        <v>9490</v>
      </c>
      <c r="L590">
        <v>500</v>
      </c>
      <c r="M590">
        <v>499</v>
      </c>
      <c r="N590">
        <v>1</v>
      </c>
      <c r="O590">
        <v>4968.1122334539004</v>
      </c>
      <c r="P590" s="3" t="s">
        <v>52</v>
      </c>
      <c r="Q590">
        <v>50</v>
      </c>
      <c r="R590">
        <v>0.999</v>
      </c>
      <c r="S590">
        <v>0</v>
      </c>
    </row>
    <row r="591" spans="1:19" x14ac:dyDescent="0.2">
      <c r="A591" s="3" t="s">
        <v>54</v>
      </c>
      <c r="B591" s="3" t="s">
        <v>55</v>
      </c>
      <c r="C591">
        <v>44</v>
      </c>
      <c r="D591">
        <v>15000</v>
      </c>
      <c r="E591">
        <v>499</v>
      </c>
      <c r="F591">
        <v>1</v>
      </c>
      <c r="G591">
        <v>60572.237308582698</v>
      </c>
      <c r="H591">
        <v>0.19834153400000001</v>
      </c>
      <c r="I591">
        <v>13634</v>
      </c>
      <c r="J591">
        <v>4197</v>
      </c>
      <c r="K591">
        <v>9437</v>
      </c>
      <c r="L591">
        <v>500</v>
      </c>
      <c r="M591">
        <v>499</v>
      </c>
      <c r="N591">
        <v>1</v>
      </c>
      <c r="O591">
        <v>4966.4823852604004</v>
      </c>
      <c r="P591" s="3" t="s">
        <v>52</v>
      </c>
      <c r="Q591">
        <v>50</v>
      </c>
      <c r="R591">
        <v>0.999</v>
      </c>
      <c r="S591">
        <v>0</v>
      </c>
    </row>
    <row r="592" spans="1:19" x14ac:dyDescent="0.2">
      <c r="A592" s="3" t="s">
        <v>54</v>
      </c>
      <c r="B592" s="3" t="s">
        <v>55</v>
      </c>
      <c r="C592">
        <v>36</v>
      </c>
      <c r="D592">
        <v>15000</v>
      </c>
      <c r="E592">
        <v>499</v>
      </c>
      <c r="F592">
        <v>1</v>
      </c>
      <c r="G592">
        <v>60572.237308582698</v>
      </c>
      <c r="H592">
        <v>0.19832607099999999</v>
      </c>
      <c r="I592">
        <v>13657</v>
      </c>
      <c r="J592">
        <v>4198</v>
      </c>
      <c r="K592">
        <v>9459</v>
      </c>
      <c r="L592">
        <v>500</v>
      </c>
      <c r="M592">
        <v>499</v>
      </c>
      <c r="N592">
        <v>1</v>
      </c>
      <c r="O592">
        <v>4856.2504441542997</v>
      </c>
      <c r="P592" s="3" t="s">
        <v>52</v>
      </c>
      <c r="Q592">
        <v>50</v>
      </c>
      <c r="R592">
        <v>0.999</v>
      </c>
      <c r="S592">
        <v>0</v>
      </c>
    </row>
    <row r="593" spans="1:19" x14ac:dyDescent="0.2">
      <c r="A593" s="3" t="s">
        <v>54</v>
      </c>
      <c r="B593" s="3" t="s">
        <v>55</v>
      </c>
      <c r="C593">
        <v>13</v>
      </c>
      <c r="D593">
        <v>15000</v>
      </c>
      <c r="E593">
        <v>499</v>
      </c>
      <c r="F593">
        <v>1</v>
      </c>
      <c r="G593">
        <v>60572.237308582698</v>
      </c>
      <c r="H593">
        <v>0.19820489599999999</v>
      </c>
      <c r="I593">
        <v>13604</v>
      </c>
      <c r="J593">
        <v>4144</v>
      </c>
      <c r="K593">
        <v>9460</v>
      </c>
      <c r="L593">
        <v>500</v>
      </c>
      <c r="M593">
        <v>499</v>
      </c>
      <c r="N593">
        <v>1</v>
      </c>
      <c r="O593">
        <v>5038.0311468814998</v>
      </c>
      <c r="P593" s="3" t="s">
        <v>52</v>
      </c>
      <c r="Q593">
        <v>50</v>
      </c>
      <c r="R593">
        <v>0.999</v>
      </c>
      <c r="S593">
        <v>0</v>
      </c>
    </row>
    <row r="594" spans="1:19" x14ac:dyDescent="0.2">
      <c r="A594" s="3" t="s">
        <v>54</v>
      </c>
      <c r="B594" s="3" t="s">
        <v>55</v>
      </c>
      <c r="C594">
        <v>23</v>
      </c>
      <c r="D594">
        <v>15000</v>
      </c>
      <c r="E594">
        <v>499</v>
      </c>
      <c r="F594">
        <v>1</v>
      </c>
      <c r="G594">
        <v>60572.237308582698</v>
      </c>
      <c r="H594">
        <v>0.19769492799999999</v>
      </c>
      <c r="I594">
        <v>13623</v>
      </c>
      <c r="J594">
        <v>4159</v>
      </c>
      <c r="K594">
        <v>9464</v>
      </c>
      <c r="L594">
        <v>500</v>
      </c>
      <c r="M594">
        <v>499</v>
      </c>
      <c r="N594">
        <v>1</v>
      </c>
      <c r="O594">
        <v>4985.6683951006999</v>
      </c>
      <c r="P594" s="3" t="s">
        <v>52</v>
      </c>
      <c r="Q594">
        <v>50</v>
      </c>
      <c r="R594">
        <v>0.999</v>
      </c>
      <c r="S594">
        <v>0</v>
      </c>
    </row>
    <row r="595" spans="1:19" x14ac:dyDescent="0.2">
      <c r="A595" s="3" t="s">
        <v>54</v>
      </c>
      <c r="B595" s="3" t="s">
        <v>55</v>
      </c>
      <c r="C595">
        <v>29</v>
      </c>
      <c r="D595">
        <v>15000</v>
      </c>
      <c r="E595">
        <v>499</v>
      </c>
      <c r="F595">
        <v>1</v>
      </c>
      <c r="G595">
        <v>60572.237308582698</v>
      </c>
      <c r="H595">
        <v>0.19739088099999999</v>
      </c>
      <c r="I595">
        <v>13639</v>
      </c>
      <c r="J595">
        <v>4169</v>
      </c>
      <c r="K595">
        <v>9470</v>
      </c>
      <c r="L595">
        <v>500</v>
      </c>
      <c r="M595">
        <v>499</v>
      </c>
      <c r="N595">
        <v>1</v>
      </c>
      <c r="O595">
        <v>4924.5035013956003</v>
      </c>
      <c r="P595" s="3" t="s">
        <v>52</v>
      </c>
      <c r="Q595">
        <v>50</v>
      </c>
      <c r="R595">
        <v>0.999</v>
      </c>
      <c r="S595">
        <v>0</v>
      </c>
    </row>
    <row r="596" spans="1:19" x14ac:dyDescent="0.2">
      <c r="A596" s="3" t="s">
        <v>54</v>
      </c>
      <c r="B596" s="3" t="s">
        <v>55</v>
      </c>
      <c r="C596">
        <v>32</v>
      </c>
      <c r="D596">
        <v>15000</v>
      </c>
      <c r="E596">
        <v>499</v>
      </c>
      <c r="F596">
        <v>1</v>
      </c>
      <c r="G596">
        <v>60572.237308582698</v>
      </c>
      <c r="H596">
        <v>0.19722789600000001</v>
      </c>
      <c r="I596">
        <v>13657</v>
      </c>
      <c r="J596">
        <v>4169</v>
      </c>
      <c r="K596">
        <v>9488</v>
      </c>
      <c r="L596">
        <v>500</v>
      </c>
      <c r="M596">
        <v>499</v>
      </c>
      <c r="N596">
        <v>1</v>
      </c>
      <c r="O596">
        <v>4897.0570326593997</v>
      </c>
      <c r="P596" s="3" t="s">
        <v>52</v>
      </c>
      <c r="Q596">
        <v>50</v>
      </c>
      <c r="R596">
        <v>0.999</v>
      </c>
      <c r="S596">
        <v>0</v>
      </c>
    </row>
    <row r="597" spans="1:19" x14ac:dyDescent="0.2">
      <c r="A597" s="3" t="s">
        <v>54</v>
      </c>
      <c r="B597" s="3" t="s">
        <v>55</v>
      </c>
      <c r="C597">
        <v>43</v>
      </c>
      <c r="D597">
        <v>15000</v>
      </c>
      <c r="E597">
        <v>499</v>
      </c>
      <c r="F597">
        <v>1</v>
      </c>
      <c r="G597">
        <v>60572.237308582698</v>
      </c>
      <c r="H597">
        <v>0.19619020700000001</v>
      </c>
      <c r="I597">
        <v>13614</v>
      </c>
      <c r="J597">
        <v>4164</v>
      </c>
      <c r="K597">
        <v>9450</v>
      </c>
      <c r="L597">
        <v>500</v>
      </c>
      <c r="M597">
        <v>499</v>
      </c>
      <c r="N597">
        <v>1</v>
      </c>
      <c r="O597">
        <v>5053.0821791094004</v>
      </c>
      <c r="P597" s="3" t="s">
        <v>52</v>
      </c>
      <c r="Q597">
        <v>50</v>
      </c>
      <c r="R597">
        <v>0.999</v>
      </c>
      <c r="S597">
        <v>0</v>
      </c>
    </row>
    <row r="598" spans="1:19" x14ac:dyDescent="0.2">
      <c r="A598" s="3" t="s">
        <v>54</v>
      </c>
      <c r="B598" s="3" t="s">
        <v>55</v>
      </c>
      <c r="C598">
        <v>21</v>
      </c>
      <c r="D598">
        <v>15000</v>
      </c>
      <c r="E598">
        <v>499</v>
      </c>
      <c r="F598">
        <v>1</v>
      </c>
      <c r="G598">
        <v>60572.237308582698</v>
      </c>
      <c r="H598">
        <v>0.19610620300000001</v>
      </c>
      <c r="I598">
        <v>13615</v>
      </c>
      <c r="J598">
        <v>4193</v>
      </c>
      <c r="K598">
        <v>9422</v>
      </c>
      <c r="L598">
        <v>500</v>
      </c>
      <c r="M598">
        <v>499</v>
      </c>
      <c r="N598">
        <v>1</v>
      </c>
      <c r="O598">
        <v>5056.6692937668004</v>
      </c>
      <c r="P598" s="3" t="s">
        <v>52</v>
      </c>
      <c r="Q598">
        <v>50</v>
      </c>
      <c r="R598">
        <v>0.999</v>
      </c>
      <c r="S598">
        <v>0</v>
      </c>
    </row>
    <row r="599" spans="1:19" x14ac:dyDescent="0.2">
      <c r="A599" s="3" t="s">
        <v>54</v>
      </c>
      <c r="B599" s="3" t="s">
        <v>55</v>
      </c>
      <c r="C599">
        <v>35</v>
      </c>
      <c r="D599">
        <v>15000</v>
      </c>
      <c r="E599">
        <v>499</v>
      </c>
      <c r="F599">
        <v>1</v>
      </c>
      <c r="G599">
        <v>60572.237308582698</v>
      </c>
      <c r="H599">
        <v>0.19609784399999999</v>
      </c>
      <c r="I599">
        <v>13637</v>
      </c>
      <c r="J599">
        <v>4171</v>
      </c>
      <c r="K599">
        <v>9466</v>
      </c>
      <c r="L599">
        <v>500</v>
      </c>
      <c r="M599">
        <v>499</v>
      </c>
      <c r="N599">
        <v>1</v>
      </c>
      <c r="O599">
        <v>4953.9325959627004</v>
      </c>
      <c r="P599" s="3" t="s">
        <v>52</v>
      </c>
      <c r="Q599">
        <v>50</v>
      </c>
      <c r="R599">
        <v>0.999</v>
      </c>
      <c r="S599">
        <v>0</v>
      </c>
    </row>
    <row r="600" spans="1:19" x14ac:dyDescent="0.2">
      <c r="A600" s="3" t="s">
        <v>54</v>
      </c>
      <c r="B600" s="3" t="s">
        <v>55</v>
      </c>
      <c r="C600">
        <v>1</v>
      </c>
      <c r="D600">
        <v>15000</v>
      </c>
      <c r="E600">
        <v>499</v>
      </c>
      <c r="F600">
        <v>1</v>
      </c>
      <c r="G600">
        <v>60572.237308582698</v>
      </c>
      <c r="H600">
        <v>0.196009761</v>
      </c>
      <c r="I600">
        <v>13624</v>
      </c>
      <c r="J600">
        <v>4145</v>
      </c>
      <c r="K600">
        <v>9479</v>
      </c>
      <c r="L600">
        <v>500</v>
      </c>
      <c r="M600">
        <v>499</v>
      </c>
      <c r="N600">
        <v>1</v>
      </c>
      <c r="O600">
        <v>5036.9495435798999</v>
      </c>
      <c r="P600" s="3" t="s">
        <v>52</v>
      </c>
      <c r="Q600">
        <v>50</v>
      </c>
      <c r="R600">
        <v>0.999</v>
      </c>
      <c r="S600">
        <v>0</v>
      </c>
    </row>
    <row r="601" spans="1:19" x14ac:dyDescent="0.2">
      <c r="A601" s="3" t="s">
        <v>54</v>
      </c>
      <c r="B601" s="3" t="s">
        <v>55</v>
      </c>
      <c r="C601">
        <v>40</v>
      </c>
      <c r="D601">
        <v>15000</v>
      </c>
      <c r="E601">
        <v>499</v>
      </c>
      <c r="F601">
        <v>1</v>
      </c>
      <c r="G601">
        <v>60572.237308582698</v>
      </c>
      <c r="H601">
        <v>0.19544694900000001</v>
      </c>
      <c r="I601">
        <v>13614</v>
      </c>
      <c r="J601">
        <v>4136</v>
      </c>
      <c r="K601">
        <v>9478</v>
      </c>
      <c r="L601">
        <v>500</v>
      </c>
      <c r="M601">
        <v>499</v>
      </c>
      <c r="N601">
        <v>1</v>
      </c>
      <c r="O601">
        <v>5026.1384118360002</v>
      </c>
      <c r="P601" s="3" t="s">
        <v>52</v>
      </c>
      <c r="Q601">
        <v>50</v>
      </c>
      <c r="R601">
        <v>0.999</v>
      </c>
      <c r="S601">
        <v>0</v>
      </c>
    </row>
    <row r="602" spans="1:19" x14ac:dyDescent="0.2">
      <c r="A602" s="3" t="s">
        <v>54</v>
      </c>
      <c r="B602" s="3" t="s">
        <v>55</v>
      </c>
      <c r="C602">
        <v>31</v>
      </c>
      <c r="D602">
        <v>15000</v>
      </c>
      <c r="E602">
        <v>499</v>
      </c>
      <c r="F602">
        <v>1</v>
      </c>
      <c r="G602">
        <v>60572.237308582698</v>
      </c>
      <c r="H602">
        <v>0.195361544</v>
      </c>
      <c r="I602">
        <v>13643</v>
      </c>
      <c r="J602">
        <v>4148</v>
      </c>
      <c r="K602">
        <v>9495</v>
      </c>
      <c r="L602">
        <v>500</v>
      </c>
      <c r="M602">
        <v>499</v>
      </c>
      <c r="N602">
        <v>1</v>
      </c>
      <c r="O602">
        <v>4952.7674964083999</v>
      </c>
      <c r="P602" s="3" t="s">
        <v>52</v>
      </c>
      <c r="Q602">
        <v>50</v>
      </c>
      <c r="R602">
        <v>0.999</v>
      </c>
      <c r="S602">
        <v>0</v>
      </c>
    </row>
    <row r="603" spans="1:19" x14ac:dyDescent="0.2">
      <c r="A603" s="3" t="s">
        <v>54</v>
      </c>
      <c r="B603" s="3" t="s">
        <v>55</v>
      </c>
      <c r="C603">
        <v>39</v>
      </c>
      <c r="D603">
        <v>15000</v>
      </c>
      <c r="E603">
        <v>499</v>
      </c>
      <c r="F603">
        <v>1</v>
      </c>
      <c r="G603">
        <v>60572.237308582698</v>
      </c>
      <c r="H603">
        <v>0.19499749799999999</v>
      </c>
      <c r="I603">
        <v>13650</v>
      </c>
      <c r="J603">
        <v>4152</v>
      </c>
      <c r="K603">
        <v>9498</v>
      </c>
      <c r="L603">
        <v>500</v>
      </c>
      <c r="M603">
        <v>499</v>
      </c>
      <c r="N603">
        <v>1</v>
      </c>
      <c r="O603">
        <v>4918.4575406028998</v>
      </c>
      <c r="P603" s="3" t="s">
        <v>52</v>
      </c>
      <c r="Q603">
        <v>50</v>
      </c>
      <c r="R603">
        <v>0.999</v>
      </c>
      <c r="S603">
        <v>0</v>
      </c>
    </row>
    <row r="604" spans="1:19" x14ac:dyDescent="0.2">
      <c r="A604" s="3" t="s">
        <v>54</v>
      </c>
      <c r="B604" s="3" t="s">
        <v>55</v>
      </c>
      <c r="C604">
        <v>17</v>
      </c>
      <c r="D604">
        <v>15000</v>
      </c>
      <c r="E604">
        <v>499</v>
      </c>
      <c r="F604">
        <v>1</v>
      </c>
      <c r="G604">
        <v>60572.237308582698</v>
      </c>
      <c r="H604">
        <v>0.192209768</v>
      </c>
      <c r="I604">
        <v>13605</v>
      </c>
      <c r="J604">
        <v>4150</v>
      </c>
      <c r="K604">
        <v>9455</v>
      </c>
      <c r="L604">
        <v>500</v>
      </c>
      <c r="M604">
        <v>499</v>
      </c>
      <c r="N604">
        <v>1</v>
      </c>
      <c r="O604">
        <v>4997.1285857334997</v>
      </c>
      <c r="P604" s="3" t="s">
        <v>52</v>
      </c>
      <c r="Q604">
        <v>50</v>
      </c>
      <c r="R604">
        <v>0.999</v>
      </c>
      <c r="S604">
        <v>0</v>
      </c>
    </row>
    <row r="605" spans="1:19" x14ac:dyDescent="0.2">
      <c r="A605" s="3" t="s">
        <v>54</v>
      </c>
      <c r="B605" s="3" t="s">
        <v>55</v>
      </c>
      <c r="C605">
        <v>11</v>
      </c>
      <c r="D605">
        <v>14000</v>
      </c>
      <c r="E605">
        <v>499</v>
      </c>
      <c r="F605">
        <v>1</v>
      </c>
      <c r="G605">
        <v>58565.0323707059</v>
      </c>
      <c r="H605">
        <v>0.13935789600000001</v>
      </c>
      <c r="I605">
        <v>13160</v>
      </c>
      <c r="J605">
        <v>3891</v>
      </c>
      <c r="K605">
        <v>9269</v>
      </c>
      <c r="L605">
        <v>500</v>
      </c>
      <c r="M605">
        <v>499</v>
      </c>
      <c r="N605">
        <v>1</v>
      </c>
      <c r="O605">
        <v>3114.0667865836999</v>
      </c>
      <c r="P605" s="3" t="s">
        <v>50</v>
      </c>
      <c r="Q605">
        <v>50</v>
      </c>
      <c r="R605">
        <v>0.999</v>
      </c>
      <c r="S605">
        <v>0</v>
      </c>
    </row>
    <row r="606" spans="1:19" x14ac:dyDescent="0.2">
      <c r="A606" s="3" t="s">
        <v>54</v>
      </c>
      <c r="B606" s="3" t="s">
        <v>55</v>
      </c>
      <c r="C606">
        <v>16</v>
      </c>
      <c r="D606">
        <v>14000</v>
      </c>
      <c r="E606">
        <v>499</v>
      </c>
      <c r="F606">
        <v>1</v>
      </c>
      <c r="G606">
        <v>58565.0323707059</v>
      </c>
      <c r="H606">
        <v>0.13690735300000001</v>
      </c>
      <c r="I606">
        <v>13156</v>
      </c>
      <c r="J606">
        <v>3931</v>
      </c>
      <c r="K606">
        <v>9225</v>
      </c>
      <c r="L606">
        <v>500</v>
      </c>
      <c r="M606">
        <v>499</v>
      </c>
      <c r="N606">
        <v>1</v>
      </c>
      <c r="O606">
        <v>3102.0239800616</v>
      </c>
      <c r="P606" s="3" t="s">
        <v>52</v>
      </c>
      <c r="Q606">
        <v>50</v>
      </c>
      <c r="R606">
        <v>0.999</v>
      </c>
      <c r="S606">
        <v>0</v>
      </c>
    </row>
    <row r="607" spans="1:19" x14ac:dyDescent="0.2">
      <c r="A607" s="3" t="s">
        <v>54</v>
      </c>
      <c r="B607" s="3" t="s">
        <v>55</v>
      </c>
      <c r="C607">
        <v>44</v>
      </c>
      <c r="D607">
        <v>14000</v>
      </c>
      <c r="E607">
        <v>499</v>
      </c>
      <c r="F607">
        <v>1</v>
      </c>
      <c r="G607">
        <v>58565.0323707059</v>
      </c>
      <c r="H607">
        <v>0.135416913</v>
      </c>
      <c r="I607">
        <v>13142</v>
      </c>
      <c r="J607">
        <v>3924</v>
      </c>
      <c r="K607">
        <v>9218</v>
      </c>
      <c r="L607">
        <v>500</v>
      </c>
      <c r="M607">
        <v>499</v>
      </c>
      <c r="N607">
        <v>1</v>
      </c>
      <c r="O607">
        <v>3184.9873616796999</v>
      </c>
      <c r="P607" s="3" t="s">
        <v>50</v>
      </c>
      <c r="Q607">
        <v>50</v>
      </c>
      <c r="R607">
        <v>0.999</v>
      </c>
      <c r="S607">
        <v>0</v>
      </c>
    </row>
    <row r="608" spans="1:19" x14ac:dyDescent="0.2">
      <c r="A608" s="3" t="s">
        <v>54</v>
      </c>
      <c r="B608" s="3" t="s">
        <v>55</v>
      </c>
      <c r="C608">
        <v>37</v>
      </c>
      <c r="D608">
        <v>14000</v>
      </c>
      <c r="E608">
        <v>499</v>
      </c>
      <c r="F608">
        <v>1</v>
      </c>
      <c r="G608">
        <v>58565.0323707059</v>
      </c>
      <c r="H608">
        <v>0.135357741</v>
      </c>
      <c r="I608">
        <v>13162</v>
      </c>
      <c r="J608">
        <v>3938</v>
      </c>
      <c r="K608">
        <v>9224</v>
      </c>
      <c r="L608">
        <v>500</v>
      </c>
      <c r="M608">
        <v>499</v>
      </c>
      <c r="N608">
        <v>1</v>
      </c>
      <c r="O608">
        <v>3123.8723915191999</v>
      </c>
      <c r="P608" s="3" t="s">
        <v>50</v>
      </c>
      <c r="Q608">
        <v>50</v>
      </c>
      <c r="R608">
        <v>0.999</v>
      </c>
      <c r="S608">
        <v>0</v>
      </c>
    </row>
    <row r="609" spans="1:19" x14ac:dyDescent="0.2">
      <c r="A609" s="3" t="s">
        <v>54</v>
      </c>
      <c r="B609" s="3" t="s">
        <v>55</v>
      </c>
      <c r="C609">
        <v>2</v>
      </c>
      <c r="D609">
        <v>14000</v>
      </c>
      <c r="E609">
        <v>499</v>
      </c>
      <c r="F609">
        <v>1</v>
      </c>
      <c r="G609">
        <v>58565.0323707059</v>
      </c>
      <c r="H609">
        <v>0.13449888900000001</v>
      </c>
      <c r="I609">
        <v>13136</v>
      </c>
      <c r="J609">
        <v>3835</v>
      </c>
      <c r="K609">
        <v>9301</v>
      </c>
      <c r="L609">
        <v>500</v>
      </c>
      <c r="M609">
        <v>499</v>
      </c>
      <c r="N609">
        <v>1</v>
      </c>
      <c r="O609">
        <v>3193.0152010487</v>
      </c>
      <c r="P609" s="3" t="s">
        <v>52</v>
      </c>
      <c r="Q609">
        <v>50</v>
      </c>
      <c r="R609">
        <v>0.999</v>
      </c>
      <c r="S609">
        <v>0</v>
      </c>
    </row>
    <row r="610" spans="1:19" x14ac:dyDescent="0.2">
      <c r="A610" s="3" t="s">
        <v>54</v>
      </c>
      <c r="B610" s="3" t="s">
        <v>55</v>
      </c>
      <c r="C610">
        <v>8</v>
      </c>
      <c r="D610">
        <v>14000</v>
      </c>
      <c r="E610">
        <v>499</v>
      </c>
      <c r="F610">
        <v>1</v>
      </c>
      <c r="G610">
        <v>58565.0323707059</v>
      </c>
      <c r="H610">
        <v>0.134257349</v>
      </c>
      <c r="I610">
        <v>13168</v>
      </c>
      <c r="J610">
        <v>3929</v>
      </c>
      <c r="K610">
        <v>9239</v>
      </c>
      <c r="L610">
        <v>500</v>
      </c>
      <c r="M610">
        <v>499</v>
      </c>
      <c r="N610">
        <v>1</v>
      </c>
      <c r="O610">
        <v>3056.5365934357001</v>
      </c>
      <c r="P610" s="3" t="s">
        <v>50</v>
      </c>
      <c r="Q610">
        <v>50</v>
      </c>
      <c r="R610">
        <v>0.999</v>
      </c>
      <c r="S610">
        <v>0</v>
      </c>
    </row>
    <row r="611" spans="1:19" x14ac:dyDescent="0.2">
      <c r="A611" s="3" t="s">
        <v>54</v>
      </c>
      <c r="B611" s="3" t="s">
        <v>55</v>
      </c>
      <c r="C611">
        <v>30</v>
      </c>
      <c r="D611">
        <v>14000</v>
      </c>
      <c r="E611">
        <v>499</v>
      </c>
      <c r="F611">
        <v>1</v>
      </c>
      <c r="G611">
        <v>58565.0323707059</v>
      </c>
      <c r="H611">
        <v>0.13415301600000001</v>
      </c>
      <c r="I611">
        <v>13139</v>
      </c>
      <c r="J611">
        <v>3866</v>
      </c>
      <c r="K611">
        <v>9273</v>
      </c>
      <c r="L611">
        <v>500</v>
      </c>
      <c r="M611">
        <v>499</v>
      </c>
      <c r="N611">
        <v>1</v>
      </c>
      <c r="O611">
        <v>3189.9651534944001</v>
      </c>
      <c r="P611" s="3" t="s">
        <v>50</v>
      </c>
      <c r="Q611">
        <v>50</v>
      </c>
      <c r="R611">
        <v>0.999</v>
      </c>
      <c r="S611">
        <v>0</v>
      </c>
    </row>
    <row r="612" spans="1:19" x14ac:dyDescent="0.2">
      <c r="A612" s="3" t="s">
        <v>54</v>
      </c>
      <c r="B612" s="3" t="s">
        <v>55</v>
      </c>
      <c r="C612">
        <v>21</v>
      </c>
      <c r="D612">
        <v>14000</v>
      </c>
      <c r="E612">
        <v>499</v>
      </c>
      <c r="F612">
        <v>1</v>
      </c>
      <c r="G612">
        <v>58565.0323707059</v>
      </c>
      <c r="H612">
        <v>0.13409697100000001</v>
      </c>
      <c r="I612">
        <v>13135</v>
      </c>
      <c r="J612">
        <v>3925</v>
      </c>
      <c r="K612">
        <v>9210</v>
      </c>
      <c r="L612">
        <v>500</v>
      </c>
      <c r="M612">
        <v>499</v>
      </c>
      <c r="N612">
        <v>1</v>
      </c>
      <c r="O612">
        <v>3205.9623381491001</v>
      </c>
      <c r="P612" s="3" t="s">
        <v>50</v>
      </c>
      <c r="Q612">
        <v>50</v>
      </c>
      <c r="R612">
        <v>0.999</v>
      </c>
      <c r="S612">
        <v>0</v>
      </c>
    </row>
    <row r="613" spans="1:19" x14ac:dyDescent="0.2">
      <c r="A613" s="3" t="s">
        <v>54</v>
      </c>
      <c r="B613" s="3" t="s">
        <v>55</v>
      </c>
      <c r="C613">
        <v>33</v>
      </c>
      <c r="D613">
        <v>14000</v>
      </c>
      <c r="E613">
        <v>499</v>
      </c>
      <c r="F613">
        <v>1</v>
      </c>
      <c r="G613">
        <v>58565.0323707059</v>
      </c>
      <c r="H613">
        <v>0.134024012</v>
      </c>
      <c r="I613">
        <v>13146</v>
      </c>
      <c r="J613">
        <v>3917</v>
      </c>
      <c r="K613">
        <v>9229</v>
      </c>
      <c r="L613">
        <v>500</v>
      </c>
      <c r="M613">
        <v>499</v>
      </c>
      <c r="N613">
        <v>1</v>
      </c>
      <c r="O613">
        <v>3164.8140851075</v>
      </c>
      <c r="P613" s="3" t="s">
        <v>52</v>
      </c>
      <c r="Q613">
        <v>50</v>
      </c>
      <c r="R613">
        <v>0.999</v>
      </c>
      <c r="S613">
        <v>0</v>
      </c>
    </row>
    <row r="614" spans="1:19" x14ac:dyDescent="0.2">
      <c r="A614" s="3" t="s">
        <v>54</v>
      </c>
      <c r="B614" s="3" t="s">
        <v>55</v>
      </c>
      <c r="C614">
        <v>31</v>
      </c>
      <c r="D614">
        <v>14000</v>
      </c>
      <c r="E614">
        <v>499</v>
      </c>
      <c r="F614">
        <v>1</v>
      </c>
      <c r="G614">
        <v>58565.0323707059</v>
      </c>
      <c r="H614">
        <v>0.13315554099999999</v>
      </c>
      <c r="I614">
        <v>13130</v>
      </c>
      <c r="J614">
        <v>3908</v>
      </c>
      <c r="K614">
        <v>9222</v>
      </c>
      <c r="L614">
        <v>500</v>
      </c>
      <c r="M614">
        <v>499</v>
      </c>
      <c r="N614">
        <v>1</v>
      </c>
      <c r="O614">
        <v>3227.7159126782999</v>
      </c>
      <c r="P614" s="3" t="s">
        <v>50</v>
      </c>
      <c r="Q614">
        <v>50</v>
      </c>
      <c r="R614">
        <v>0.999</v>
      </c>
      <c r="S614">
        <v>0</v>
      </c>
    </row>
    <row r="615" spans="1:19" x14ac:dyDescent="0.2">
      <c r="A615" s="3" t="s">
        <v>54</v>
      </c>
      <c r="B615" s="3" t="s">
        <v>55</v>
      </c>
      <c r="C615">
        <v>25</v>
      </c>
      <c r="D615">
        <v>14000</v>
      </c>
      <c r="E615">
        <v>499</v>
      </c>
      <c r="F615">
        <v>1</v>
      </c>
      <c r="G615">
        <v>58565.0323707059</v>
      </c>
      <c r="H615">
        <v>0.13286263000000001</v>
      </c>
      <c r="I615">
        <v>13138</v>
      </c>
      <c r="J615">
        <v>3896</v>
      </c>
      <c r="K615">
        <v>9242</v>
      </c>
      <c r="L615">
        <v>500</v>
      </c>
      <c r="M615">
        <v>499</v>
      </c>
      <c r="N615">
        <v>1</v>
      </c>
      <c r="O615">
        <v>3168.569633218</v>
      </c>
      <c r="P615" s="3" t="s">
        <v>52</v>
      </c>
      <c r="Q615">
        <v>50</v>
      </c>
      <c r="R615">
        <v>0.999</v>
      </c>
      <c r="S615">
        <v>0</v>
      </c>
    </row>
    <row r="616" spans="1:19" x14ac:dyDescent="0.2">
      <c r="A616" s="3" t="s">
        <v>54</v>
      </c>
      <c r="B616" s="3" t="s">
        <v>55</v>
      </c>
      <c r="C616">
        <v>32</v>
      </c>
      <c r="D616">
        <v>14000</v>
      </c>
      <c r="E616">
        <v>499</v>
      </c>
      <c r="F616">
        <v>1</v>
      </c>
      <c r="G616">
        <v>58565.0323707059</v>
      </c>
      <c r="H616">
        <v>0.132785188</v>
      </c>
      <c r="I616">
        <v>13153</v>
      </c>
      <c r="J616">
        <v>3885</v>
      </c>
      <c r="K616">
        <v>9268</v>
      </c>
      <c r="L616">
        <v>500</v>
      </c>
      <c r="M616">
        <v>499</v>
      </c>
      <c r="N616">
        <v>1</v>
      </c>
      <c r="O616">
        <v>3155.9856412866002</v>
      </c>
      <c r="P616" s="3" t="s">
        <v>50</v>
      </c>
      <c r="Q616">
        <v>50</v>
      </c>
      <c r="R616">
        <v>0.999</v>
      </c>
      <c r="S616">
        <v>0</v>
      </c>
    </row>
    <row r="617" spans="1:19" x14ac:dyDescent="0.2">
      <c r="A617" s="3" t="s">
        <v>54</v>
      </c>
      <c r="B617" s="3" t="s">
        <v>55</v>
      </c>
      <c r="C617">
        <v>44</v>
      </c>
      <c r="D617">
        <v>14000</v>
      </c>
      <c r="E617">
        <v>499</v>
      </c>
      <c r="F617">
        <v>1</v>
      </c>
      <c r="G617">
        <v>58565.0323707059</v>
      </c>
      <c r="H617">
        <v>0.13270627300000001</v>
      </c>
      <c r="I617">
        <v>13154</v>
      </c>
      <c r="J617">
        <v>3864</v>
      </c>
      <c r="K617">
        <v>9290</v>
      </c>
      <c r="L617">
        <v>500</v>
      </c>
      <c r="M617">
        <v>499</v>
      </c>
      <c r="N617">
        <v>1</v>
      </c>
      <c r="O617">
        <v>3122.3646113187001</v>
      </c>
      <c r="P617" s="3" t="s">
        <v>52</v>
      </c>
      <c r="Q617">
        <v>50</v>
      </c>
      <c r="R617">
        <v>0.999</v>
      </c>
      <c r="S617">
        <v>0</v>
      </c>
    </row>
    <row r="618" spans="1:19" x14ac:dyDescent="0.2">
      <c r="A618" s="3" t="s">
        <v>54</v>
      </c>
      <c r="B618" s="3" t="s">
        <v>55</v>
      </c>
      <c r="C618">
        <v>29</v>
      </c>
      <c r="D618">
        <v>14000</v>
      </c>
      <c r="E618">
        <v>499</v>
      </c>
      <c r="F618">
        <v>1</v>
      </c>
      <c r="G618">
        <v>58565.0323707059</v>
      </c>
      <c r="H618">
        <v>0.132460416</v>
      </c>
      <c r="I618">
        <v>13132</v>
      </c>
      <c r="J618">
        <v>3899</v>
      </c>
      <c r="K618">
        <v>9233</v>
      </c>
      <c r="L618">
        <v>500</v>
      </c>
      <c r="M618">
        <v>499</v>
      </c>
      <c r="N618">
        <v>1</v>
      </c>
      <c r="O618">
        <v>3202.6575068840998</v>
      </c>
      <c r="P618" s="3" t="s">
        <v>50</v>
      </c>
      <c r="Q618">
        <v>50</v>
      </c>
      <c r="R618">
        <v>0.999</v>
      </c>
      <c r="S618">
        <v>0</v>
      </c>
    </row>
    <row r="619" spans="1:19" x14ac:dyDescent="0.2">
      <c r="A619" s="3" t="s">
        <v>54</v>
      </c>
      <c r="B619" s="3" t="s">
        <v>55</v>
      </c>
      <c r="C619">
        <v>45</v>
      </c>
      <c r="D619">
        <v>14000</v>
      </c>
      <c r="E619">
        <v>499</v>
      </c>
      <c r="F619">
        <v>1</v>
      </c>
      <c r="G619">
        <v>58565.0323707059</v>
      </c>
      <c r="H619">
        <v>0.13222004700000001</v>
      </c>
      <c r="I619">
        <v>13122</v>
      </c>
      <c r="J619">
        <v>3863</v>
      </c>
      <c r="K619">
        <v>9259</v>
      </c>
      <c r="L619">
        <v>500</v>
      </c>
      <c r="M619">
        <v>499</v>
      </c>
      <c r="N619">
        <v>1</v>
      </c>
      <c r="O619">
        <v>3214.2751486410002</v>
      </c>
      <c r="P619" s="3" t="s">
        <v>50</v>
      </c>
      <c r="Q619">
        <v>50</v>
      </c>
      <c r="R619">
        <v>0.999</v>
      </c>
      <c r="S619">
        <v>0</v>
      </c>
    </row>
    <row r="620" spans="1:19" x14ac:dyDescent="0.2">
      <c r="A620" s="3" t="s">
        <v>54</v>
      </c>
      <c r="B620" s="3" t="s">
        <v>55</v>
      </c>
      <c r="C620">
        <v>12</v>
      </c>
      <c r="D620">
        <v>14000</v>
      </c>
      <c r="E620">
        <v>499</v>
      </c>
      <c r="F620">
        <v>1</v>
      </c>
      <c r="G620">
        <v>58565.0323707059</v>
      </c>
      <c r="H620">
        <v>0.131899509</v>
      </c>
      <c r="I620">
        <v>13132</v>
      </c>
      <c r="J620">
        <v>3866</v>
      </c>
      <c r="K620">
        <v>9266</v>
      </c>
      <c r="L620">
        <v>500</v>
      </c>
      <c r="M620">
        <v>499</v>
      </c>
      <c r="N620">
        <v>1</v>
      </c>
      <c r="O620">
        <v>3215.3325917891002</v>
      </c>
      <c r="P620" s="3" t="s">
        <v>52</v>
      </c>
      <c r="Q620">
        <v>50</v>
      </c>
      <c r="R620">
        <v>0.999</v>
      </c>
      <c r="S620">
        <v>0</v>
      </c>
    </row>
    <row r="621" spans="1:19" x14ac:dyDescent="0.2">
      <c r="A621" s="3" t="s">
        <v>54</v>
      </c>
      <c r="B621" s="3" t="s">
        <v>55</v>
      </c>
      <c r="C621">
        <v>40</v>
      </c>
      <c r="D621">
        <v>14000</v>
      </c>
      <c r="E621">
        <v>499</v>
      </c>
      <c r="F621">
        <v>1</v>
      </c>
      <c r="G621">
        <v>58565.0323707059</v>
      </c>
      <c r="H621">
        <v>0.13178653900000001</v>
      </c>
      <c r="I621">
        <v>13137</v>
      </c>
      <c r="J621">
        <v>3860</v>
      </c>
      <c r="K621">
        <v>9277</v>
      </c>
      <c r="L621">
        <v>500</v>
      </c>
      <c r="M621">
        <v>499</v>
      </c>
      <c r="N621">
        <v>1</v>
      </c>
      <c r="O621">
        <v>3224.9369407128002</v>
      </c>
      <c r="P621" s="3" t="s">
        <v>52</v>
      </c>
      <c r="Q621">
        <v>50</v>
      </c>
      <c r="R621">
        <v>0.999</v>
      </c>
      <c r="S621">
        <v>0</v>
      </c>
    </row>
    <row r="622" spans="1:19" x14ac:dyDescent="0.2">
      <c r="A622" s="3" t="s">
        <v>54</v>
      </c>
      <c r="B622" s="3" t="s">
        <v>55</v>
      </c>
      <c r="C622">
        <v>2</v>
      </c>
      <c r="D622">
        <v>14000</v>
      </c>
      <c r="E622">
        <v>499</v>
      </c>
      <c r="F622">
        <v>1</v>
      </c>
      <c r="G622">
        <v>58565.0323707059</v>
      </c>
      <c r="H622">
        <v>0.13032471800000001</v>
      </c>
      <c r="I622">
        <v>13130</v>
      </c>
      <c r="J622">
        <v>3818</v>
      </c>
      <c r="K622">
        <v>9312</v>
      </c>
      <c r="L622">
        <v>500</v>
      </c>
      <c r="M622">
        <v>499</v>
      </c>
      <c r="N622">
        <v>1</v>
      </c>
      <c r="O622">
        <v>3253.7984402367001</v>
      </c>
      <c r="P622" s="3" t="s">
        <v>50</v>
      </c>
      <c r="Q622">
        <v>50</v>
      </c>
      <c r="R622">
        <v>0.999</v>
      </c>
      <c r="S622">
        <v>0</v>
      </c>
    </row>
    <row r="623" spans="1:19" x14ac:dyDescent="0.2">
      <c r="A623" s="3" t="s">
        <v>54</v>
      </c>
      <c r="B623" s="3" t="s">
        <v>55</v>
      </c>
      <c r="C623">
        <v>35</v>
      </c>
      <c r="D623">
        <v>14000</v>
      </c>
      <c r="E623">
        <v>499</v>
      </c>
      <c r="F623">
        <v>1</v>
      </c>
      <c r="G623">
        <v>58565.0323707059</v>
      </c>
      <c r="H623">
        <v>0.13016171700000001</v>
      </c>
      <c r="I623">
        <v>13163</v>
      </c>
      <c r="J623">
        <v>3911</v>
      </c>
      <c r="K623">
        <v>9252</v>
      </c>
      <c r="L623">
        <v>500</v>
      </c>
      <c r="M623">
        <v>499</v>
      </c>
      <c r="N623">
        <v>1</v>
      </c>
      <c r="O623">
        <v>3092.8893114658999</v>
      </c>
      <c r="P623" s="3" t="s">
        <v>50</v>
      </c>
      <c r="Q623">
        <v>50</v>
      </c>
      <c r="R623">
        <v>0.999</v>
      </c>
      <c r="S623">
        <v>0</v>
      </c>
    </row>
    <row r="624" spans="1:19" x14ac:dyDescent="0.2">
      <c r="A624" s="3" t="s">
        <v>54</v>
      </c>
      <c r="B624" s="3" t="s">
        <v>55</v>
      </c>
      <c r="C624">
        <v>29</v>
      </c>
      <c r="D624">
        <v>14000</v>
      </c>
      <c r="E624">
        <v>499</v>
      </c>
      <c r="F624">
        <v>1</v>
      </c>
      <c r="G624">
        <v>58565.0323707059</v>
      </c>
      <c r="H624">
        <v>0.13010787100000001</v>
      </c>
      <c r="I624">
        <v>13121</v>
      </c>
      <c r="J624">
        <v>3860</v>
      </c>
      <c r="K624">
        <v>9261</v>
      </c>
      <c r="L624">
        <v>500</v>
      </c>
      <c r="M624">
        <v>499</v>
      </c>
      <c r="N624">
        <v>1</v>
      </c>
      <c r="O624">
        <v>3223.6808636973001</v>
      </c>
      <c r="P624" s="3" t="s">
        <v>52</v>
      </c>
      <c r="Q624">
        <v>50</v>
      </c>
      <c r="R624">
        <v>0.999</v>
      </c>
      <c r="S624">
        <v>0</v>
      </c>
    </row>
    <row r="625" spans="1:19" x14ac:dyDescent="0.2">
      <c r="A625" s="3" t="s">
        <v>54</v>
      </c>
      <c r="B625" s="3" t="s">
        <v>55</v>
      </c>
      <c r="C625">
        <v>10</v>
      </c>
      <c r="D625">
        <v>14000</v>
      </c>
      <c r="E625">
        <v>499</v>
      </c>
      <c r="F625">
        <v>1</v>
      </c>
      <c r="G625">
        <v>58565.0323707059</v>
      </c>
      <c r="H625">
        <v>0.130062605</v>
      </c>
      <c r="I625">
        <v>13159</v>
      </c>
      <c r="J625">
        <v>3924</v>
      </c>
      <c r="K625">
        <v>9235</v>
      </c>
      <c r="L625">
        <v>500</v>
      </c>
      <c r="M625">
        <v>499</v>
      </c>
      <c r="N625">
        <v>1</v>
      </c>
      <c r="O625">
        <v>3065.6981886232002</v>
      </c>
      <c r="P625" s="3" t="s">
        <v>52</v>
      </c>
      <c r="Q625">
        <v>50</v>
      </c>
      <c r="R625">
        <v>0.999</v>
      </c>
      <c r="S625">
        <v>0</v>
      </c>
    </row>
    <row r="626" spans="1:19" x14ac:dyDescent="0.2">
      <c r="A626" s="3" t="s">
        <v>54</v>
      </c>
      <c r="B626" s="3" t="s">
        <v>55</v>
      </c>
      <c r="C626">
        <v>9</v>
      </c>
      <c r="D626">
        <v>14000</v>
      </c>
      <c r="E626">
        <v>499</v>
      </c>
      <c r="F626">
        <v>1</v>
      </c>
      <c r="G626">
        <v>58565.0323707059</v>
      </c>
      <c r="H626">
        <v>0.129593349</v>
      </c>
      <c r="I626">
        <v>13175</v>
      </c>
      <c r="J626">
        <v>3924</v>
      </c>
      <c r="K626">
        <v>9251</v>
      </c>
      <c r="L626">
        <v>500</v>
      </c>
      <c r="M626">
        <v>499</v>
      </c>
      <c r="N626">
        <v>1</v>
      </c>
      <c r="O626">
        <v>3081.9509651383</v>
      </c>
      <c r="P626" s="3" t="s">
        <v>52</v>
      </c>
      <c r="Q626">
        <v>50</v>
      </c>
      <c r="R626">
        <v>0.999</v>
      </c>
      <c r="S626">
        <v>0</v>
      </c>
    </row>
    <row r="627" spans="1:19" x14ac:dyDescent="0.2">
      <c r="A627" s="3" t="s">
        <v>54</v>
      </c>
      <c r="B627" s="3" t="s">
        <v>55</v>
      </c>
      <c r="C627">
        <v>46</v>
      </c>
      <c r="D627">
        <v>14000</v>
      </c>
      <c r="E627">
        <v>499</v>
      </c>
      <c r="F627">
        <v>1</v>
      </c>
      <c r="G627">
        <v>58565.0323707059</v>
      </c>
      <c r="H627">
        <v>0.129492936</v>
      </c>
      <c r="I627">
        <v>13105</v>
      </c>
      <c r="J627">
        <v>3842</v>
      </c>
      <c r="K627">
        <v>9263</v>
      </c>
      <c r="L627">
        <v>500</v>
      </c>
      <c r="M627">
        <v>499</v>
      </c>
      <c r="N627">
        <v>1</v>
      </c>
      <c r="O627">
        <v>3302.8942189935001</v>
      </c>
      <c r="P627" s="3" t="s">
        <v>50</v>
      </c>
      <c r="Q627">
        <v>50</v>
      </c>
      <c r="R627">
        <v>0.999</v>
      </c>
      <c r="S627">
        <v>0</v>
      </c>
    </row>
    <row r="628" spans="1:19" x14ac:dyDescent="0.2">
      <c r="A628" s="3" t="s">
        <v>54</v>
      </c>
      <c r="B628" s="3" t="s">
        <v>55</v>
      </c>
      <c r="C628">
        <v>33</v>
      </c>
      <c r="D628">
        <v>14000</v>
      </c>
      <c r="E628">
        <v>499</v>
      </c>
      <c r="F628">
        <v>1</v>
      </c>
      <c r="G628">
        <v>58565.0323707059</v>
      </c>
      <c r="H628">
        <v>0.12946287100000001</v>
      </c>
      <c r="I628">
        <v>13178</v>
      </c>
      <c r="J628">
        <v>3905</v>
      </c>
      <c r="K628">
        <v>9273</v>
      </c>
      <c r="L628">
        <v>500</v>
      </c>
      <c r="M628">
        <v>499</v>
      </c>
      <c r="N628">
        <v>1</v>
      </c>
      <c r="O628">
        <v>3086.9436068605</v>
      </c>
      <c r="P628" s="3" t="s">
        <v>50</v>
      </c>
      <c r="Q628">
        <v>50</v>
      </c>
      <c r="R628">
        <v>0.999</v>
      </c>
      <c r="S628">
        <v>0</v>
      </c>
    </row>
    <row r="629" spans="1:19" x14ac:dyDescent="0.2">
      <c r="A629" s="3" t="s">
        <v>54</v>
      </c>
      <c r="B629" s="3" t="s">
        <v>55</v>
      </c>
      <c r="C629">
        <v>21</v>
      </c>
      <c r="D629">
        <v>14000</v>
      </c>
      <c r="E629">
        <v>499</v>
      </c>
      <c r="F629">
        <v>1</v>
      </c>
      <c r="G629">
        <v>58565.0323707059</v>
      </c>
      <c r="H629">
        <v>0.12919153</v>
      </c>
      <c r="I629">
        <v>13131</v>
      </c>
      <c r="J629">
        <v>3866</v>
      </c>
      <c r="K629">
        <v>9265</v>
      </c>
      <c r="L629">
        <v>500</v>
      </c>
      <c r="M629">
        <v>499</v>
      </c>
      <c r="N629">
        <v>1</v>
      </c>
      <c r="O629">
        <v>3233.0432393478</v>
      </c>
      <c r="P629" s="3" t="s">
        <v>52</v>
      </c>
      <c r="Q629">
        <v>50</v>
      </c>
      <c r="R629">
        <v>0.999</v>
      </c>
      <c r="S629">
        <v>0</v>
      </c>
    </row>
    <row r="630" spans="1:19" x14ac:dyDescent="0.2">
      <c r="A630" s="3" t="s">
        <v>54</v>
      </c>
      <c r="B630" s="3" t="s">
        <v>55</v>
      </c>
      <c r="C630">
        <v>3</v>
      </c>
      <c r="D630">
        <v>14000</v>
      </c>
      <c r="E630">
        <v>499</v>
      </c>
      <c r="F630">
        <v>1</v>
      </c>
      <c r="G630">
        <v>58565.0323707059</v>
      </c>
      <c r="H630">
        <v>0.12915126699999999</v>
      </c>
      <c r="I630">
        <v>13158</v>
      </c>
      <c r="J630">
        <v>3926</v>
      </c>
      <c r="K630">
        <v>9232</v>
      </c>
      <c r="L630">
        <v>500</v>
      </c>
      <c r="M630">
        <v>499</v>
      </c>
      <c r="N630">
        <v>1</v>
      </c>
      <c r="O630">
        <v>3098.4239998551002</v>
      </c>
      <c r="P630" s="3" t="s">
        <v>50</v>
      </c>
      <c r="Q630">
        <v>50</v>
      </c>
      <c r="R630">
        <v>0.999</v>
      </c>
      <c r="S630">
        <v>0</v>
      </c>
    </row>
    <row r="631" spans="1:19" x14ac:dyDescent="0.2">
      <c r="A631" s="3" t="s">
        <v>54</v>
      </c>
      <c r="B631" s="3" t="s">
        <v>55</v>
      </c>
      <c r="C631">
        <v>9</v>
      </c>
      <c r="D631">
        <v>14000</v>
      </c>
      <c r="E631">
        <v>499</v>
      </c>
      <c r="F631">
        <v>1</v>
      </c>
      <c r="G631">
        <v>58565.0323707059</v>
      </c>
      <c r="H631">
        <v>0.12913459499999999</v>
      </c>
      <c r="I631">
        <v>13150</v>
      </c>
      <c r="J631">
        <v>3899</v>
      </c>
      <c r="K631">
        <v>9251</v>
      </c>
      <c r="L631">
        <v>500</v>
      </c>
      <c r="M631">
        <v>499</v>
      </c>
      <c r="N631">
        <v>1</v>
      </c>
      <c r="O631">
        <v>3135.4607510586002</v>
      </c>
      <c r="P631" s="3" t="s">
        <v>50</v>
      </c>
      <c r="Q631">
        <v>50</v>
      </c>
      <c r="R631">
        <v>0.999</v>
      </c>
      <c r="S631">
        <v>0</v>
      </c>
    </row>
    <row r="632" spans="1:19" x14ac:dyDescent="0.2">
      <c r="A632" s="3" t="s">
        <v>54</v>
      </c>
      <c r="B632" s="3" t="s">
        <v>55</v>
      </c>
      <c r="C632">
        <v>12</v>
      </c>
      <c r="D632">
        <v>14000</v>
      </c>
      <c r="E632">
        <v>499</v>
      </c>
      <c r="F632">
        <v>1</v>
      </c>
      <c r="G632">
        <v>58565.0323707059</v>
      </c>
      <c r="H632">
        <v>0.12910740500000001</v>
      </c>
      <c r="I632">
        <v>13155</v>
      </c>
      <c r="J632">
        <v>3906</v>
      </c>
      <c r="K632">
        <v>9249</v>
      </c>
      <c r="L632">
        <v>500</v>
      </c>
      <c r="M632">
        <v>499</v>
      </c>
      <c r="N632">
        <v>1</v>
      </c>
      <c r="O632">
        <v>3191.2379930059001</v>
      </c>
      <c r="P632" s="3" t="s">
        <v>50</v>
      </c>
      <c r="Q632">
        <v>50</v>
      </c>
      <c r="R632">
        <v>0.999</v>
      </c>
      <c r="S632">
        <v>0</v>
      </c>
    </row>
    <row r="633" spans="1:19" x14ac:dyDescent="0.2">
      <c r="A633" s="3" t="s">
        <v>54</v>
      </c>
      <c r="B633" s="3" t="s">
        <v>55</v>
      </c>
      <c r="C633">
        <v>15</v>
      </c>
      <c r="D633">
        <v>14000</v>
      </c>
      <c r="E633">
        <v>499</v>
      </c>
      <c r="F633">
        <v>1</v>
      </c>
      <c r="G633">
        <v>58565.0323707059</v>
      </c>
      <c r="H633">
        <v>0.129040664</v>
      </c>
      <c r="I633">
        <v>13153</v>
      </c>
      <c r="J633">
        <v>3876</v>
      </c>
      <c r="K633">
        <v>9277</v>
      </c>
      <c r="L633">
        <v>500</v>
      </c>
      <c r="M633">
        <v>499</v>
      </c>
      <c r="N633">
        <v>1</v>
      </c>
      <c r="O633">
        <v>3120.8112348039999</v>
      </c>
      <c r="P633" s="3" t="s">
        <v>52</v>
      </c>
      <c r="Q633">
        <v>50</v>
      </c>
      <c r="R633">
        <v>0.999</v>
      </c>
      <c r="S633">
        <v>0</v>
      </c>
    </row>
    <row r="634" spans="1:19" x14ac:dyDescent="0.2">
      <c r="A634" s="3" t="s">
        <v>54</v>
      </c>
      <c r="B634" s="3" t="s">
        <v>55</v>
      </c>
      <c r="C634">
        <v>20</v>
      </c>
      <c r="D634">
        <v>14000</v>
      </c>
      <c r="E634">
        <v>499</v>
      </c>
      <c r="F634">
        <v>1</v>
      </c>
      <c r="G634">
        <v>58565.0323707059</v>
      </c>
      <c r="H634">
        <v>0.128937302</v>
      </c>
      <c r="I634">
        <v>13140</v>
      </c>
      <c r="J634">
        <v>3879</v>
      </c>
      <c r="K634">
        <v>9261</v>
      </c>
      <c r="L634">
        <v>500</v>
      </c>
      <c r="M634">
        <v>499</v>
      </c>
      <c r="N634">
        <v>1</v>
      </c>
      <c r="O634">
        <v>3198.6157593224998</v>
      </c>
      <c r="P634" s="3" t="s">
        <v>50</v>
      </c>
      <c r="Q634">
        <v>50</v>
      </c>
      <c r="R634">
        <v>0.999</v>
      </c>
      <c r="S634">
        <v>0</v>
      </c>
    </row>
    <row r="635" spans="1:19" x14ac:dyDescent="0.2">
      <c r="A635" s="3" t="s">
        <v>54</v>
      </c>
      <c r="B635" s="3" t="s">
        <v>55</v>
      </c>
      <c r="C635">
        <v>26</v>
      </c>
      <c r="D635">
        <v>14000</v>
      </c>
      <c r="E635">
        <v>499</v>
      </c>
      <c r="F635">
        <v>1</v>
      </c>
      <c r="G635">
        <v>58565.0323707059</v>
      </c>
      <c r="H635">
        <v>0.12883177200000001</v>
      </c>
      <c r="I635">
        <v>13125</v>
      </c>
      <c r="J635">
        <v>3851</v>
      </c>
      <c r="K635">
        <v>9274</v>
      </c>
      <c r="L635">
        <v>500</v>
      </c>
      <c r="M635">
        <v>499</v>
      </c>
      <c r="N635">
        <v>1</v>
      </c>
      <c r="O635">
        <v>3226.2322544848998</v>
      </c>
      <c r="P635" s="3" t="s">
        <v>50</v>
      </c>
      <c r="Q635">
        <v>50</v>
      </c>
      <c r="R635">
        <v>0.999</v>
      </c>
      <c r="S635">
        <v>0</v>
      </c>
    </row>
    <row r="636" spans="1:19" x14ac:dyDescent="0.2">
      <c r="A636" s="3" t="s">
        <v>54</v>
      </c>
      <c r="B636" s="3" t="s">
        <v>55</v>
      </c>
      <c r="C636">
        <v>6</v>
      </c>
      <c r="D636">
        <v>14000</v>
      </c>
      <c r="E636">
        <v>499</v>
      </c>
      <c r="F636">
        <v>1</v>
      </c>
      <c r="G636">
        <v>58565.0323707059</v>
      </c>
      <c r="H636">
        <v>0.12880299100000001</v>
      </c>
      <c r="I636">
        <v>13125</v>
      </c>
      <c r="J636">
        <v>3883</v>
      </c>
      <c r="K636">
        <v>9242</v>
      </c>
      <c r="L636">
        <v>500</v>
      </c>
      <c r="M636">
        <v>499</v>
      </c>
      <c r="N636">
        <v>1</v>
      </c>
      <c r="O636">
        <v>3241.1946959337001</v>
      </c>
      <c r="P636" s="3" t="s">
        <v>52</v>
      </c>
      <c r="Q636">
        <v>50</v>
      </c>
      <c r="R636">
        <v>0.999</v>
      </c>
      <c r="S636">
        <v>0</v>
      </c>
    </row>
    <row r="637" spans="1:19" x14ac:dyDescent="0.2">
      <c r="A637" s="3" t="s">
        <v>54</v>
      </c>
      <c r="B637" s="3" t="s">
        <v>55</v>
      </c>
      <c r="C637">
        <v>7</v>
      </c>
      <c r="D637">
        <v>14000</v>
      </c>
      <c r="E637">
        <v>499</v>
      </c>
      <c r="F637">
        <v>1</v>
      </c>
      <c r="G637">
        <v>58565.0323707059</v>
      </c>
      <c r="H637">
        <v>0.12869967299999999</v>
      </c>
      <c r="I637">
        <v>13128</v>
      </c>
      <c r="J637">
        <v>3928</v>
      </c>
      <c r="K637">
        <v>9200</v>
      </c>
      <c r="L637">
        <v>500</v>
      </c>
      <c r="M637">
        <v>499</v>
      </c>
      <c r="N637">
        <v>1</v>
      </c>
      <c r="O637">
        <v>3248.4354269498999</v>
      </c>
      <c r="P637" s="3" t="s">
        <v>50</v>
      </c>
      <c r="Q637">
        <v>50</v>
      </c>
      <c r="R637">
        <v>0.999</v>
      </c>
      <c r="S637">
        <v>0</v>
      </c>
    </row>
    <row r="638" spans="1:19" x14ac:dyDescent="0.2">
      <c r="A638" s="3" t="s">
        <v>54</v>
      </c>
      <c r="B638" s="3" t="s">
        <v>55</v>
      </c>
      <c r="C638">
        <v>28</v>
      </c>
      <c r="D638">
        <v>14000</v>
      </c>
      <c r="E638">
        <v>499</v>
      </c>
      <c r="F638">
        <v>1</v>
      </c>
      <c r="G638">
        <v>58565.0323707059</v>
      </c>
      <c r="H638">
        <v>0.128595177</v>
      </c>
      <c r="I638">
        <v>13181</v>
      </c>
      <c r="J638">
        <v>3891</v>
      </c>
      <c r="K638">
        <v>9290</v>
      </c>
      <c r="L638">
        <v>500</v>
      </c>
      <c r="M638">
        <v>499</v>
      </c>
      <c r="N638">
        <v>1</v>
      </c>
      <c r="O638">
        <v>3025.2698641027</v>
      </c>
      <c r="P638" s="3" t="s">
        <v>52</v>
      </c>
      <c r="Q638">
        <v>50</v>
      </c>
      <c r="R638">
        <v>0.999</v>
      </c>
      <c r="S638">
        <v>0</v>
      </c>
    </row>
    <row r="639" spans="1:19" x14ac:dyDescent="0.2">
      <c r="A639" s="3" t="s">
        <v>54</v>
      </c>
      <c r="B639" s="3" t="s">
        <v>55</v>
      </c>
      <c r="C639">
        <v>18</v>
      </c>
      <c r="D639">
        <v>14000</v>
      </c>
      <c r="E639">
        <v>499</v>
      </c>
      <c r="F639">
        <v>1</v>
      </c>
      <c r="G639">
        <v>58565.0323707059</v>
      </c>
      <c r="H639">
        <v>0.128430395</v>
      </c>
      <c r="I639">
        <v>13144</v>
      </c>
      <c r="J639">
        <v>3880</v>
      </c>
      <c r="K639">
        <v>9264</v>
      </c>
      <c r="L639">
        <v>500</v>
      </c>
      <c r="M639">
        <v>499</v>
      </c>
      <c r="N639">
        <v>1</v>
      </c>
      <c r="O639">
        <v>3139.8560141021999</v>
      </c>
      <c r="P639" s="3" t="s">
        <v>50</v>
      </c>
      <c r="Q639">
        <v>50</v>
      </c>
      <c r="R639">
        <v>0.999</v>
      </c>
      <c r="S639">
        <v>0</v>
      </c>
    </row>
    <row r="640" spans="1:19" x14ac:dyDescent="0.2">
      <c r="A640" s="3" t="s">
        <v>54</v>
      </c>
      <c r="B640" s="3" t="s">
        <v>55</v>
      </c>
      <c r="C640">
        <v>14</v>
      </c>
      <c r="D640">
        <v>14000</v>
      </c>
      <c r="E640">
        <v>499</v>
      </c>
      <c r="F640">
        <v>1</v>
      </c>
      <c r="G640">
        <v>58565.0323707059</v>
      </c>
      <c r="H640">
        <v>0.128381996</v>
      </c>
      <c r="I640">
        <v>13146</v>
      </c>
      <c r="J640">
        <v>3895</v>
      </c>
      <c r="K640">
        <v>9251</v>
      </c>
      <c r="L640">
        <v>500</v>
      </c>
      <c r="M640">
        <v>499</v>
      </c>
      <c r="N640">
        <v>1</v>
      </c>
      <c r="O640">
        <v>3205.422521516</v>
      </c>
      <c r="P640" s="3" t="s">
        <v>50</v>
      </c>
      <c r="Q640">
        <v>50</v>
      </c>
      <c r="R640">
        <v>0.999</v>
      </c>
      <c r="S640">
        <v>0</v>
      </c>
    </row>
    <row r="641" spans="1:19" x14ac:dyDescent="0.2">
      <c r="A641" s="3" t="s">
        <v>54</v>
      </c>
      <c r="B641" s="3" t="s">
        <v>55</v>
      </c>
      <c r="C641">
        <v>3</v>
      </c>
      <c r="D641">
        <v>14000</v>
      </c>
      <c r="E641">
        <v>499</v>
      </c>
      <c r="F641">
        <v>1</v>
      </c>
      <c r="G641">
        <v>58565.0323707059</v>
      </c>
      <c r="H641">
        <v>0.12812567</v>
      </c>
      <c r="I641">
        <v>13116</v>
      </c>
      <c r="J641">
        <v>3871</v>
      </c>
      <c r="K641">
        <v>9245</v>
      </c>
      <c r="L641">
        <v>500</v>
      </c>
      <c r="M641">
        <v>499</v>
      </c>
      <c r="N641">
        <v>1</v>
      </c>
      <c r="O641">
        <v>3288.1067163916</v>
      </c>
      <c r="P641" s="3" t="s">
        <v>52</v>
      </c>
      <c r="Q641">
        <v>50</v>
      </c>
      <c r="R641">
        <v>0.999</v>
      </c>
      <c r="S641">
        <v>0</v>
      </c>
    </row>
    <row r="642" spans="1:19" x14ac:dyDescent="0.2">
      <c r="A642" s="3" t="s">
        <v>54</v>
      </c>
      <c r="B642" s="3" t="s">
        <v>55</v>
      </c>
      <c r="C642">
        <v>13</v>
      </c>
      <c r="D642">
        <v>14000</v>
      </c>
      <c r="E642">
        <v>499</v>
      </c>
      <c r="F642">
        <v>1</v>
      </c>
      <c r="G642">
        <v>58565.0323707059</v>
      </c>
      <c r="H642">
        <v>0.128124349</v>
      </c>
      <c r="I642">
        <v>13156</v>
      </c>
      <c r="J642">
        <v>3868</v>
      </c>
      <c r="K642">
        <v>9288</v>
      </c>
      <c r="L642">
        <v>500</v>
      </c>
      <c r="M642">
        <v>499</v>
      </c>
      <c r="N642">
        <v>1</v>
      </c>
      <c r="O642">
        <v>3114.5740377657999</v>
      </c>
      <c r="P642" s="3" t="s">
        <v>52</v>
      </c>
      <c r="Q642">
        <v>50</v>
      </c>
      <c r="R642">
        <v>0.999</v>
      </c>
      <c r="S642">
        <v>0</v>
      </c>
    </row>
    <row r="643" spans="1:19" x14ac:dyDescent="0.2">
      <c r="A643" s="3" t="s">
        <v>54</v>
      </c>
      <c r="B643" s="3" t="s">
        <v>55</v>
      </c>
      <c r="C643">
        <v>24</v>
      </c>
      <c r="D643">
        <v>14000</v>
      </c>
      <c r="E643">
        <v>499</v>
      </c>
      <c r="F643">
        <v>1</v>
      </c>
      <c r="G643">
        <v>58565.0323707059</v>
      </c>
      <c r="H643">
        <v>0.12798585700000001</v>
      </c>
      <c r="I643">
        <v>13132</v>
      </c>
      <c r="J643">
        <v>3893</v>
      </c>
      <c r="K643">
        <v>9239</v>
      </c>
      <c r="L643">
        <v>500</v>
      </c>
      <c r="M643">
        <v>499</v>
      </c>
      <c r="N643">
        <v>1</v>
      </c>
      <c r="O643">
        <v>3197.4471785434998</v>
      </c>
      <c r="P643" s="3" t="s">
        <v>50</v>
      </c>
      <c r="Q643">
        <v>50</v>
      </c>
      <c r="R643">
        <v>0.999</v>
      </c>
      <c r="S643">
        <v>0</v>
      </c>
    </row>
    <row r="644" spans="1:19" x14ac:dyDescent="0.2">
      <c r="A644" s="3" t="s">
        <v>54</v>
      </c>
      <c r="B644" s="3" t="s">
        <v>55</v>
      </c>
      <c r="C644">
        <v>4</v>
      </c>
      <c r="D644">
        <v>14000</v>
      </c>
      <c r="E644">
        <v>499</v>
      </c>
      <c r="F644">
        <v>1</v>
      </c>
      <c r="G644">
        <v>58565.0323707059</v>
      </c>
      <c r="H644">
        <v>0.12790895199999999</v>
      </c>
      <c r="I644">
        <v>13148</v>
      </c>
      <c r="J644">
        <v>3895</v>
      </c>
      <c r="K644">
        <v>9253</v>
      </c>
      <c r="L644">
        <v>500</v>
      </c>
      <c r="M644">
        <v>499</v>
      </c>
      <c r="N644">
        <v>1</v>
      </c>
      <c r="O644">
        <v>3180.2050099140001</v>
      </c>
      <c r="P644" s="3" t="s">
        <v>52</v>
      </c>
      <c r="Q644">
        <v>50</v>
      </c>
      <c r="R644">
        <v>0.999</v>
      </c>
      <c r="S644">
        <v>0</v>
      </c>
    </row>
    <row r="645" spans="1:19" x14ac:dyDescent="0.2">
      <c r="A645" s="3" t="s">
        <v>54</v>
      </c>
      <c r="B645" s="3" t="s">
        <v>55</v>
      </c>
      <c r="C645">
        <v>22</v>
      </c>
      <c r="D645">
        <v>14000</v>
      </c>
      <c r="E645">
        <v>499</v>
      </c>
      <c r="F645">
        <v>1</v>
      </c>
      <c r="G645">
        <v>58565.0323707059</v>
      </c>
      <c r="H645">
        <v>0.127715509</v>
      </c>
      <c r="I645">
        <v>13133</v>
      </c>
      <c r="J645">
        <v>3879</v>
      </c>
      <c r="K645">
        <v>9254</v>
      </c>
      <c r="L645">
        <v>500</v>
      </c>
      <c r="M645">
        <v>499</v>
      </c>
      <c r="N645">
        <v>1</v>
      </c>
      <c r="O645">
        <v>3218.6076002776999</v>
      </c>
      <c r="P645" s="3" t="s">
        <v>50</v>
      </c>
      <c r="Q645">
        <v>50</v>
      </c>
      <c r="R645">
        <v>0.999</v>
      </c>
      <c r="S645">
        <v>0</v>
      </c>
    </row>
    <row r="646" spans="1:19" x14ac:dyDescent="0.2">
      <c r="A646" s="3" t="s">
        <v>54</v>
      </c>
      <c r="B646" s="3" t="s">
        <v>55</v>
      </c>
      <c r="C646">
        <v>22</v>
      </c>
      <c r="D646">
        <v>14000</v>
      </c>
      <c r="E646">
        <v>499</v>
      </c>
      <c r="F646">
        <v>1</v>
      </c>
      <c r="G646">
        <v>58565.0323707059</v>
      </c>
      <c r="H646">
        <v>0.12770002499999999</v>
      </c>
      <c r="I646">
        <v>13169</v>
      </c>
      <c r="J646">
        <v>3882</v>
      </c>
      <c r="K646">
        <v>9287</v>
      </c>
      <c r="L646">
        <v>500</v>
      </c>
      <c r="M646">
        <v>499</v>
      </c>
      <c r="N646">
        <v>1</v>
      </c>
      <c r="O646">
        <v>3133.6834300435999</v>
      </c>
      <c r="P646" s="3" t="s">
        <v>52</v>
      </c>
      <c r="Q646">
        <v>50</v>
      </c>
      <c r="R646">
        <v>0.999</v>
      </c>
      <c r="S646">
        <v>0</v>
      </c>
    </row>
    <row r="647" spans="1:19" x14ac:dyDescent="0.2">
      <c r="A647" s="3" t="s">
        <v>54</v>
      </c>
      <c r="B647" s="3" t="s">
        <v>55</v>
      </c>
      <c r="C647">
        <v>5</v>
      </c>
      <c r="D647">
        <v>14000</v>
      </c>
      <c r="E647">
        <v>499</v>
      </c>
      <c r="F647">
        <v>1</v>
      </c>
      <c r="G647">
        <v>58565.0323707059</v>
      </c>
      <c r="H647">
        <v>0.127621229</v>
      </c>
      <c r="I647">
        <v>13158</v>
      </c>
      <c r="J647">
        <v>3898</v>
      </c>
      <c r="K647">
        <v>9260</v>
      </c>
      <c r="L647">
        <v>500</v>
      </c>
      <c r="M647">
        <v>499</v>
      </c>
      <c r="N647">
        <v>1</v>
      </c>
      <c r="O647">
        <v>3119.2570746443998</v>
      </c>
      <c r="P647" s="3" t="s">
        <v>52</v>
      </c>
      <c r="Q647">
        <v>50</v>
      </c>
      <c r="R647">
        <v>0.999</v>
      </c>
      <c r="S647">
        <v>0</v>
      </c>
    </row>
    <row r="648" spans="1:19" x14ac:dyDescent="0.2">
      <c r="A648" s="3" t="s">
        <v>54</v>
      </c>
      <c r="B648" s="3" t="s">
        <v>55</v>
      </c>
      <c r="C648">
        <v>17</v>
      </c>
      <c r="D648">
        <v>14000</v>
      </c>
      <c r="E648">
        <v>499</v>
      </c>
      <c r="F648">
        <v>1</v>
      </c>
      <c r="G648">
        <v>58565.0323707059</v>
      </c>
      <c r="H648">
        <v>0.12750645299999999</v>
      </c>
      <c r="I648">
        <v>13157</v>
      </c>
      <c r="J648">
        <v>3894</v>
      </c>
      <c r="K648">
        <v>9263</v>
      </c>
      <c r="L648">
        <v>500</v>
      </c>
      <c r="M648">
        <v>499</v>
      </c>
      <c r="N648">
        <v>1</v>
      </c>
      <c r="O648">
        <v>3085.7633283140999</v>
      </c>
      <c r="P648" s="3" t="s">
        <v>52</v>
      </c>
      <c r="Q648">
        <v>50</v>
      </c>
      <c r="R648">
        <v>0.999</v>
      </c>
      <c r="S648">
        <v>0</v>
      </c>
    </row>
    <row r="649" spans="1:19" x14ac:dyDescent="0.2">
      <c r="A649" s="3" t="s">
        <v>54</v>
      </c>
      <c r="B649" s="3" t="s">
        <v>55</v>
      </c>
      <c r="C649">
        <v>50</v>
      </c>
      <c r="D649">
        <v>14000</v>
      </c>
      <c r="E649">
        <v>499</v>
      </c>
      <c r="F649">
        <v>1</v>
      </c>
      <c r="G649">
        <v>58565.0323707059</v>
      </c>
      <c r="H649">
        <v>0.12727820300000001</v>
      </c>
      <c r="I649">
        <v>13170</v>
      </c>
      <c r="J649">
        <v>3821</v>
      </c>
      <c r="K649">
        <v>9349</v>
      </c>
      <c r="L649">
        <v>500</v>
      </c>
      <c r="M649">
        <v>499</v>
      </c>
      <c r="N649">
        <v>1</v>
      </c>
      <c r="O649">
        <v>3072.1876243697002</v>
      </c>
      <c r="P649" s="3" t="s">
        <v>52</v>
      </c>
      <c r="Q649">
        <v>50</v>
      </c>
      <c r="R649">
        <v>0.999</v>
      </c>
      <c r="S649">
        <v>0</v>
      </c>
    </row>
    <row r="650" spans="1:19" x14ac:dyDescent="0.2">
      <c r="A650" s="3" t="s">
        <v>54</v>
      </c>
      <c r="B650" s="3" t="s">
        <v>55</v>
      </c>
      <c r="C650">
        <v>47</v>
      </c>
      <c r="D650">
        <v>14000</v>
      </c>
      <c r="E650">
        <v>499</v>
      </c>
      <c r="F650">
        <v>1</v>
      </c>
      <c r="G650">
        <v>58565.0323707059</v>
      </c>
      <c r="H650">
        <v>0.127200114</v>
      </c>
      <c r="I650">
        <v>13147</v>
      </c>
      <c r="J650">
        <v>3864</v>
      </c>
      <c r="K650">
        <v>9283</v>
      </c>
      <c r="L650">
        <v>500</v>
      </c>
      <c r="M650">
        <v>499</v>
      </c>
      <c r="N650">
        <v>1</v>
      </c>
      <c r="O650">
        <v>3188.2066742065999</v>
      </c>
      <c r="P650" s="3" t="s">
        <v>50</v>
      </c>
      <c r="Q650">
        <v>50</v>
      </c>
      <c r="R650">
        <v>0.999</v>
      </c>
      <c r="S650">
        <v>0</v>
      </c>
    </row>
    <row r="651" spans="1:19" x14ac:dyDescent="0.2">
      <c r="A651" s="3" t="s">
        <v>54</v>
      </c>
      <c r="B651" s="3" t="s">
        <v>55</v>
      </c>
      <c r="C651">
        <v>5</v>
      </c>
      <c r="D651">
        <v>14000</v>
      </c>
      <c r="E651">
        <v>499</v>
      </c>
      <c r="F651">
        <v>1</v>
      </c>
      <c r="G651">
        <v>58565.0323707059</v>
      </c>
      <c r="H651">
        <v>0.12700853100000001</v>
      </c>
      <c r="I651">
        <v>13157</v>
      </c>
      <c r="J651">
        <v>3951</v>
      </c>
      <c r="K651">
        <v>9206</v>
      </c>
      <c r="L651">
        <v>500</v>
      </c>
      <c r="M651">
        <v>499</v>
      </c>
      <c r="N651">
        <v>1</v>
      </c>
      <c r="O651">
        <v>3094.6657855069002</v>
      </c>
      <c r="P651" s="3" t="s">
        <v>50</v>
      </c>
      <c r="Q651">
        <v>50</v>
      </c>
      <c r="R651">
        <v>0.999</v>
      </c>
      <c r="S651">
        <v>0</v>
      </c>
    </row>
    <row r="652" spans="1:19" x14ac:dyDescent="0.2">
      <c r="A652" s="3" t="s">
        <v>54</v>
      </c>
      <c r="B652" s="3" t="s">
        <v>55</v>
      </c>
      <c r="C652">
        <v>1</v>
      </c>
      <c r="D652">
        <v>14000</v>
      </c>
      <c r="E652">
        <v>499</v>
      </c>
      <c r="F652">
        <v>1</v>
      </c>
      <c r="G652">
        <v>58565.0323707059</v>
      </c>
      <c r="H652">
        <v>0.126994412</v>
      </c>
      <c r="I652">
        <v>13138</v>
      </c>
      <c r="J652">
        <v>3841</v>
      </c>
      <c r="K652">
        <v>9297</v>
      </c>
      <c r="L652">
        <v>500</v>
      </c>
      <c r="M652">
        <v>499</v>
      </c>
      <c r="N652">
        <v>1</v>
      </c>
      <c r="O652">
        <v>3182.8175224801998</v>
      </c>
      <c r="P652" s="3" t="s">
        <v>50</v>
      </c>
      <c r="Q652">
        <v>50</v>
      </c>
      <c r="R652">
        <v>0.999</v>
      </c>
      <c r="S652">
        <v>0</v>
      </c>
    </row>
    <row r="653" spans="1:19" x14ac:dyDescent="0.2">
      <c r="A653" s="3" t="s">
        <v>54</v>
      </c>
      <c r="B653" s="3" t="s">
        <v>55</v>
      </c>
      <c r="C653">
        <v>48</v>
      </c>
      <c r="D653">
        <v>14000</v>
      </c>
      <c r="E653">
        <v>499</v>
      </c>
      <c r="F653">
        <v>1</v>
      </c>
      <c r="G653">
        <v>58565.0323707059</v>
      </c>
      <c r="H653">
        <v>0.12699284699999999</v>
      </c>
      <c r="I653">
        <v>13128</v>
      </c>
      <c r="J653">
        <v>3923</v>
      </c>
      <c r="K653">
        <v>9205</v>
      </c>
      <c r="L653">
        <v>500</v>
      </c>
      <c r="M653">
        <v>499</v>
      </c>
      <c r="N653">
        <v>1</v>
      </c>
      <c r="O653">
        <v>3227.2966956951</v>
      </c>
      <c r="P653" s="3" t="s">
        <v>50</v>
      </c>
      <c r="Q653">
        <v>50</v>
      </c>
      <c r="R653">
        <v>0.999</v>
      </c>
      <c r="S653">
        <v>0</v>
      </c>
    </row>
    <row r="654" spans="1:19" x14ac:dyDescent="0.2">
      <c r="A654" s="3" t="s">
        <v>54</v>
      </c>
      <c r="B654" s="3" t="s">
        <v>55</v>
      </c>
      <c r="C654">
        <v>17</v>
      </c>
      <c r="D654">
        <v>14000</v>
      </c>
      <c r="E654">
        <v>499</v>
      </c>
      <c r="F654">
        <v>1</v>
      </c>
      <c r="G654">
        <v>58565.0323707059</v>
      </c>
      <c r="H654">
        <v>0.126612376</v>
      </c>
      <c r="I654">
        <v>13157</v>
      </c>
      <c r="J654">
        <v>3929</v>
      </c>
      <c r="K654">
        <v>9228</v>
      </c>
      <c r="L654">
        <v>500</v>
      </c>
      <c r="M654">
        <v>499</v>
      </c>
      <c r="N654">
        <v>1</v>
      </c>
      <c r="O654">
        <v>3127.1651400476999</v>
      </c>
      <c r="P654" s="3" t="s">
        <v>50</v>
      </c>
      <c r="Q654">
        <v>50</v>
      </c>
      <c r="R654">
        <v>0.999</v>
      </c>
      <c r="S654">
        <v>0</v>
      </c>
    </row>
    <row r="655" spans="1:19" x14ac:dyDescent="0.2">
      <c r="A655" s="3" t="s">
        <v>54</v>
      </c>
      <c r="B655" s="3" t="s">
        <v>55</v>
      </c>
      <c r="C655">
        <v>4</v>
      </c>
      <c r="D655">
        <v>14000</v>
      </c>
      <c r="E655">
        <v>499</v>
      </c>
      <c r="F655">
        <v>1</v>
      </c>
      <c r="G655">
        <v>58565.0323707059</v>
      </c>
      <c r="H655">
        <v>0.126285696</v>
      </c>
      <c r="I655">
        <v>13140</v>
      </c>
      <c r="J655">
        <v>3867</v>
      </c>
      <c r="K655">
        <v>9273</v>
      </c>
      <c r="L655">
        <v>500</v>
      </c>
      <c r="M655">
        <v>499</v>
      </c>
      <c r="N655">
        <v>1</v>
      </c>
      <c r="O655">
        <v>3220.2200165651998</v>
      </c>
      <c r="P655" s="3" t="s">
        <v>50</v>
      </c>
      <c r="Q655">
        <v>50</v>
      </c>
      <c r="R655">
        <v>0.999</v>
      </c>
      <c r="S655">
        <v>0</v>
      </c>
    </row>
    <row r="656" spans="1:19" x14ac:dyDescent="0.2">
      <c r="A656" s="3" t="s">
        <v>54</v>
      </c>
      <c r="B656" s="3" t="s">
        <v>55</v>
      </c>
      <c r="C656">
        <v>10</v>
      </c>
      <c r="D656">
        <v>14000</v>
      </c>
      <c r="E656">
        <v>499</v>
      </c>
      <c r="F656">
        <v>1</v>
      </c>
      <c r="G656">
        <v>58565.0323707059</v>
      </c>
      <c r="H656">
        <v>0.126135995</v>
      </c>
      <c r="I656">
        <v>13150</v>
      </c>
      <c r="J656">
        <v>3852</v>
      </c>
      <c r="K656">
        <v>9298</v>
      </c>
      <c r="L656">
        <v>500</v>
      </c>
      <c r="M656">
        <v>499</v>
      </c>
      <c r="N656">
        <v>1</v>
      </c>
      <c r="O656">
        <v>3137.1264880745998</v>
      </c>
      <c r="P656" s="3" t="s">
        <v>50</v>
      </c>
      <c r="Q656">
        <v>50</v>
      </c>
      <c r="R656">
        <v>0.999</v>
      </c>
      <c r="S656">
        <v>0</v>
      </c>
    </row>
    <row r="657" spans="1:19" x14ac:dyDescent="0.2">
      <c r="A657" s="3" t="s">
        <v>54</v>
      </c>
      <c r="B657" s="3" t="s">
        <v>55</v>
      </c>
      <c r="C657">
        <v>46</v>
      </c>
      <c r="D657">
        <v>14000</v>
      </c>
      <c r="E657">
        <v>499</v>
      </c>
      <c r="F657">
        <v>1</v>
      </c>
      <c r="G657">
        <v>58565.0323707059</v>
      </c>
      <c r="H657">
        <v>0.12586602599999999</v>
      </c>
      <c r="I657">
        <v>13164</v>
      </c>
      <c r="J657">
        <v>3854</v>
      </c>
      <c r="K657">
        <v>9310</v>
      </c>
      <c r="L657">
        <v>500</v>
      </c>
      <c r="M657">
        <v>499</v>
      </c>
      <c r="N657">
        <v>1</v>
      </c>
      <c r="O657">
        <v>3068.6735325968998</v>
      </c>
      <c r="P657" s="3" t="s">
        <v>52</v>
      </c>
      <c r="Q657">
        <v>50</v>
      </c>
      <c r="R657">
        <v>0.999</v>
      </c>
      <c r="S657">
        <v>0</v>
      </c>
    </row>
    <row r="658" spans="1:19" x14ac:dyDescent="0.2">
      <c r="A658" s="3" t="s">
        <v>54</v>
      </c>
      <c r="B658" s="3" t="s">
        <v>55</v>
      </c>
      <c r="C658">
        <v>39</v>
      </c>
      <c r="D658">
        <v>14000</v>
      </c>
      <c r="E658">
        <v>499</v>
      </c>
      <c r="F658">
        <v>1</v>
      </c>
      <c r="G658">
        <v>58565.0323707059</v>
      </c>
      <c r="H658">
        <v>0.12578645999999999</v>
      </c>
      <c r="I658">
        <v>13162</v>
      </c>
      <c r="J658">
        <v>3887</v>
      </c>
      <c r="K658">
        <v>9275</v>
      </c>
      <c r="L658">
        <v>500</v>
      </c>
      <c r="M658">
        <v>499</v>
      </c>
      <c r="N658">
        <v>1</v>
      </c>
      <c r="O658">
        <v>3109.3070076549002</v>
      </c>
      <c r="P658" s="3" t="s">
        <v>52</v>
      </c>
      <c r="Q658">
        <v>50</v>
      </c>
      <c r="R658">
        <v>0.999</v>
      </c>
      <c r="S658">
        <v>0</v>
      </c>
    </row>
    <row r="659" spans="1:19" x14ac:dyDescent="0.2">
      <c r="A659" s="3" t="s">
        <v>54</v>
      </c>
      <c r="B659" s="3" t="s">
        <v>55</v>
      </c>
      <c r="C659">
        <v>37</v>
      </c>
      <c r="D659">
        <v>14000</v>
      </c>
      <c r="E659">
        <v>499</v>
      </c>
      <c r="F659">
        <v>1</v>
      </c>
      <c r="G659">
        <v>58565.0323707059</v>
      </c>
      <c r="H659">
        <v>0.12569952400000001</v>
      </c>
      <c r="I659">
        <v>13152</v>
      </c>
      <c r="J659">
        <v>3820</v>
      </c>
      <c r="K659">
        <v>9332</v>
      </c>
      <c r="L659">
        <v>500</v>
      </c>
      <c r="M659">
        <v>499</v>
      </c>
      <c r="N659">
        <v>1</v>
      </c>
      <c r="O659">
        <v>3152.6329380634002</v>
      </c>
      <c r="P659" s="3" t="s">
        <v>52</v>
      </c>
      <c r="Q659">
        <v>50</v>
      </c>
      <c r="R659">
        <v>0.999</v>
      </c>
      <c r="S659">
        <v>0</v>
      </c>
    </row>
    <row r="660" spans="1:19" x14ac:dyDescent="0.2">
      <c r="A660" s="3" t="s">
        <v>54</v>
      </c>
      <c r="B660" s="3" t="s">
        <v>55</v>
      </c>
      <c r="C660">
        <v>24</v>
      </c>
      <c r="D660">
        <v>14000</v>
      </c>
      <c r="E660">
        <v>499</v>
      </c>
      <c r="F660">
        <v>1</v>
      </c>
      <c r="G660">
        <v>58565.0323707059</v>
      </c>
      <c r="H660">
        <v>0.12569553</v>
      </c>
      <c r="I660">
        <v>13159</v>
      </c>
      <c r="J660">
        <v>3857</v>
      </c>
      <c r="K660">
        <v>9302</v>
      </c>
      <c r="L660">
        <v>500</v>
      </c>
      <c r="M660">
        <v>499</v>
      </c>
      <c r="N660">
        <v>1</v>
      </c>
      <c r="O660">
        <v>3133.4393181719001</v>
      </c>
      <c r="P660" s="3" t="s">
        <v>52</v>
      </c>
      <c r="Q660">
        <v>50</v>
      </c>
      <c r="R660">
        <v>0.999</v>
      </c>
      <c r="S660">
        <v>0</v>
      </c>
    </row>
    <row r="661" spans="1:19" x14ac:dyDescent="0.2">
      <c r="A661" s="3" t="s">
        <v>54</v>
      </c>
      <c r="B661" s="3" t="s">
        <v>55</v>
      </c>
      <c r="C661">
        <v>42</v>
      </c>
      <c r="D661">
        <v>14000</v>
      </c>
      <c r="E661">
        <v>499</v>
      </c>
      <c r="F661">
        <v>1</v>
      </c>
      <c r="G661">
        <v>58565.0323707059</v>
      </c>
      <c r="H661">
        <v>0.12567668400000001</v>
      </c>
      <c r="I661">
        <v>13120</v>
      </c>
      <c r="J661">
        <v>3832</v>
      </c>
      <c r="K661">
        <v>9288</v>
      </c>
      <c r="L661">
        <v>500</v>
      </c>
      <c r="M661">
        <v>499</v>
      </c>
      <c r="N661">
        <v>1</v>
      </c>
      <c r="O661">
        <v>3302.4912734698</v>
      </c>
      <c r="P661" s="3" t="s">
        <v>52</v>
      </c>
      <c r="Q661">
        <v>50</v>
      </c>
      <c r="R661">
        <v>0.999</v>
      </c>
      <c r="S661">
        <v>0</v>
      </c>
    </row>
    <row r="662" spans="1:19" x14ac:dyDescent="0.2">
      <c r="A662" s="3" t="s">
        <v>54</v>
      </c>
      <c r="B662" s="3" t="s">
        <v>55</v>
      </c>
      <c r="C662">
        <v>15</v>
      </c>
      <c r="D662">
        <v>14000</v>
      </c>
      <c r="E662">
        <v>499</v>
      </c>
      <c r="F662">
        <v>1</v>
      </c>
      <c r="G662">
        <v>58565.0323707059</v>
      </c>
      <c r="H662">
        <v>0.12565971500000001</v>
      </c>
      <c r="I662">
        <v>13151</v>
      </c>
      <c r="J662">
        <v>3910</v>
      </c>
      <c r="K662">
        <v>9241</v>
      </c>
      <c r="L662">
        <v>500</v>
      </c>
      <c r="M662">
        <v>499</v>
      </c>
      <c r="N662">
        <v>1</v>
      </c>
      <c r="O662">
        <v>3166.9666687297999</v>
      </c>
      <c r="P662" s="3" t="s">
        <v>50</v>
      </c>
      <c r="Q662">
        <v>50</v>
      </c>
      <c r="R662">
        <v>0.999</v>
      </c>
      <c r="S662">
        <v>0</v>
      </c>
    </row>
    <row r="663" spans="1:19" x14ac:dyDescent="0.2">
      <c r="A663" s="3" t="s">
        <v>54</v>
      </c>
      <c r="B663" s="3" t="s">
        <v>55</v>
      </c>
      <c r="C663">
        <v>23</v>
      </c>
      <c r="D663">
        <v>14000</v>
      </c>
      <c r="E663">
        <v>499</v>
      </c>
      <c r="F663">
        <v>1</v>
      </c>
      <c r="G663">
        <v>58565.0323707059</v>
      </c>
      <c r="H663">
        <v>0.125473468</v>
      </c>
      <c r="I663">
        <v>13164</v>
      </c>
      <c r="J663">
        <v>3890</v>
      </c>
      <c r="K663">
        <v>9274</v>
      </c>
      <c r="L663">
        <v>500</v>
      </c>
      <c r="M663">
        <v>499</v>
      </c>
      <c r="N663">
        <v>1</v>
      </c>
      <c r="O663">
        <v>3131.3225788671002</v>
      </c>
      <c r="P663" s="3" t="s">
        <v>50</v>
      </c>
      <c r="Q663">
        <v>50</v>
      </c>
      <c r="R663">
        <v>0.999</v>
      </c>
      <c r="S663">
        <v>0</v>
      </c>
    </row>
    <row r="664" spans="1:19" x14ac:dyDescent="0.2">
      <c r="A664" s="3" t="s">
        <v>54</v>
      </c>
      <c r="B664" s="3" t="s">
        <v>55</v>
      </c>
      <c r="C664">
        <v>36</v>
      </c>
      <c r="D664">
        <v>14000</v>
      </c>
      <c r="E664">
        <v>499</v>
      </c>
      <c r="F664">
        <v>1</v>
      </c>
      <c r="G664">
        <v>58565.0323707059</v>
      </c>
      <c r="H664">
        <v>0.12526285600000001</v>
      </c>
      <c r="I664">
        <v>13158</v>
      </c>
      <c r="J664">
        <v>3886</v>
      </c>
      <c r="K664">
        <v>9272</v>
      </c>
      <c r="L664">
        <v>500</v>
      </c>
      <c r="M664">
        <v>499</v>
      </c>
      <c r="N664">
        <v>1</v>
      </c>
      <c r="O664">
        <v>3133.9272319287002</v>
      </c>
      <c r="P664" s="3" t="s">
        <v>52</v>
      </c>
      <c r="Q664">
        <v>50</v>
      </c>
      <c r="R664">
        <v>0.999</v>
      </c>
      <c r="S664">
        <v>0</v>
      </c>
    </row>
    <row r="665" spans="1:19" x14ac:dyDescent="0.2">
      <c r="A665" s="3" t="s">
        <v>54</v>
      </c>
      <c r="B665" s="3" t="s">
        <v>55</v>
      </c>
      <c r="C665">
        <v>7</v>
      </c>
      <c r="D665">
        <v>14000</v>
      </c>
      <c r="E665">
        <v>499</v>
      </c>
      <c r="F665">
        <v>1</v>
      </c>
      <c r="G665">
        <v>58565.0323707059</v>
      </c>
      <c r="H665">
        <v>0.12524816799999999</v>
      </c>
      <c r="I665">
        <v>13145</v>
      </c>
      <c r="J665">
        <v>3817</v>
      </c>
      <c r="K665">
        <v>9328</v>
      </c>
      <c r="L665">
        <v>500</v>
      </c>
      <c r="M665">
        <v>499</v>
      </c>
      <c r="N665">
        <v>1</v>
      </c>
      <c r="O665">
        <v>3170.8796898168998</v>
      </c>
      <c r="P665" s="3" t="s">
        <v>52</v>
      </c>
      <c r="Q665">
        <v>50</v>
      </c>
      <c r="R665">
        <v>0.999</v>
      </c>
      <c r="S665">
        <v>0</v>
      </c>
    </row>
    <row r="666" spans="1:19" x14ac:dyDescent="0.2">
      <c r="A666" s="3" t="s">
        <v>54</v>
      </c>
      <c r="B666" s="3" t="s">
        <v>55</v>
      </c>
      <c r="C666">
        <v>39</v>
      </c>
      <c r="D666">
        <v>14000</v>
      </c>
      <c r="E666">
        <v>499</v>
      </c>
      <c r="F666">
        <v>1</v>
      </c>
      <c r="G666">
        <v>58565.0323707059</v>
      </c>
      <c r="H666">
        <v>0.12517191999999999</v>
      </c>
      <c r="I666">
        <v>13131</v>
      </c>
      <c r="J666">
        <v>3842</v>
      </c>
      <c r="K666">
        <v>9289</v>
      </c>
      <c r="L666">
        <v>500</v>
      </c>
      <c r="M666">
        <v>499</v>
      </c>
      <c r="N666">
        <v>1</v>
      </c>
      <c r="O666">
        <v>3226.1320444102998</v>
      </c>
      <c r="P666" s="3" t="s">
        <v>50</v>
      </c>
      <c r="Q666">
        <v>50</v>
      </c>
      <c r="R666">
        <v>0.999</v>
      </c>
      <c r="S666">
        <v>0</v>
      </c>
    </row>
    <row r="667" spans="1:19" x14ac:dyDescent="0.2">
      <c r="A667" s="3" t="s">
        <v>54</v>
      </c>
      <c r="B667" s="3" t="s">
        <v>55</v>
      </c>
      <c r="C667">
        <v>26</v>
      </c>
      <c r="D667">
        <v>14000</v>
      </c>
      <c r="E667">
        <v>499</v>
      </c>
      <c r="F667">
        <v>1</v>
      </c>
      <c r="G667">
        <v>58565.0323707059</v>
      </c>
      <c r="H667">
        <v>0.12515101200000001</v>
      </c>
      <c r="I667">
        <v>13162</v>
      </c>
      <c r="J667">
        <v>3857</v>
      </c>
      <c r="K667">
        <v>9305</v>
      </c>
      <c r="L667">
        <v>500</v>
      </c>
      <c r="M667">
        <v>499</v>
      </c>
      <c r="N667">
        <v>1</v>
      </c>
      <c r="O667">
        <v>3161.3729523036</v>
      </c>
      <c r="P667" s="3" t="s">
        <v>52</v>
      </c>
      <c r="Q667">
        <v>50</v>
      </c>
      <c r="R667">
        <v>0.999</v>
      </c>
      <c r="S667">
        <v>0</v>
      </c>
    </row>
    <row r="668" spans="1:19" x14ac:dyDescent="0.2">
      <c r="A668" s="3" t="s">
        <v>54</v>
      </c>
      <c r="B668" s="3" t="s">
        <v>55</v>
      </c>
      <c r="C668">
        <v>40</v>
      </c>
      <c r="D668">
        <v>14000</v>
      </c>
      <c r="E668">
        <v>499</v>
      </c>
      <c r="F668">
        <v>1</v>
      </c>
      <c r="G668">
        <v>58565.0323707059</v>
      </c>
      <c r="H668">
        <v>0.12514439399999999</v>
      </c>
      <c r="I668">
        <v>13142</v>
      </c>
      <c r="J668">
        <v>3882</v>
      </c>
      <c r="K668">
        <v>9260</v>
      </c>
      <c r="L668">
        <v>500</v>
      </c>
      <c r="M668">
        <v>499</v>
      </c>
      <c r="N668">
        <v>1</v>
      </c>
      <c r="O668">
        <v>3135.0230762965002</v>
      </c>
      <c r="P668" s="3" t="s">
        <v>50</v>
      </c>
      <c r="Q668">
        <v>50</v>
      </c>
      <c r="R668">
        <v>0.999</v>
      </c>
      <c r="S668">
        <v>0</v>
      </c>
    </row>
    <row r="669" spans="1:19" x14ac:dyDescent="0.2">
      <c r="A669" s="3" t="s">
        <v>54</v>
      </c>
      <c r="B669" s="3" t="s">
        <v>55</v>
      </c>
      <c r="C669">
        <v>41</v>
      </c>
      <c r="D669">
        <v>14000</v>
      </c>
      <c r="E669">
        <v>499</v>
      </c>
      <c r="F669">
        <v>1</v>
      </c>
      <c r="G669">
        <v>58565.0323707059</v>
      </c>
      <c r="H669">
        <v>0.124878817</v>
      </c>
      <c r="I669">
        <v>13138</v>
      </c>
      <c r="J669">
        <v>3857</v>
      </c>
      <c r="K669">
        <v>9281</v>
      </c>
      <c r="L669">
        <v>500</v>
      </c>
      <c r="M669">
        <v>499</v>
      </c>
      <c r="N669">
        <v>1</v>
      </c>
      <c r="O669">
        <v>3206.5115937570999</v>
      </c>
      <c r="P669" s="3" t="s">
        <v>50</v>
      </c>
      <c r="Q669">
        <v>50</v>
      </c>
      <c r="R669">
        <v>0.999</v>
      </c>
      <c r="S669">
        <v>0</v>
      </c>
    </row>
    <row r="670" spans="1:19" x14ac:dyDescent="0.2">
      <c r="A670" s="3" t="s">
        <v>54</v>
      </c>
      <c r="B670" s="3" t="s">
        <v>55</v>
      </c>
      <c r="C670">
        <v>36</v>
      </c>
      <c r="D670">
        <v>14000</v>
      </c>
      <c r="E670">
        <v>499</v>
      </c>
      <c r="F670">
        <v>1</v>
      </c>
      <c r="G670">
        <v>58565.0323707059</v>
      </c>
      <c r="H670">
        <v>0.124784227</v>
      </c>
      <c r="I670">
        <v>13108</v>
      </c>
      <c r="J670">
        <v>3824</v>
      </c>
      <c r="K670">
        <v>9284</v>
      </c>
      <c r="L670">
        <v>500</v>
      </c>
      <c r="M670">
        <v>499</v>
      </c>
      <c r="N670">
        <v>1</v>
      </c>
      <c r="O670">
        <v>3281.2450458449998</v>
      </c>
      <c r="P670" s="3" t="s">
        <v>50</v>
      </c>
      <c r="Q670">
        <v>50</v>
      </c>
      <c r="R670">
        <v>0.999</v>
      </c>
      <c r="S670">
        <v>0</v>
      </c>
    </row>
    <row r="671" spans="1:19" x14ac:dyDescent="0.2">
      <c r="A671" s="3" t="s">
        <v>54</v>
      </c>
      <c r="B671" s="3" t="s">
        <v>55</v>
      </c>
      <c r="C671">
        <v>27</v>
      </c>
      <c r="D671">
        <v>14000</v>
      </c>
      <c r="E671">
        <v>499</v>
      </c>
      <c r="F671">
        <v>1</v>
      </c>
      <c r="G671">
        <v>58565.0323707059</v>
      </c>
      <c r="H671">
        <v>0.12476588500000001</v>
      </c>
      <c r="I671">
        <v>13140</v>
      </c>
      <c r="J671">
        <v>3879</v>
      </c>
      <c r="K671">
        <v>9261</v>
      </c>
      <c r="L671">
        <v>500</v>
      </c>
      <c r="M671">
        <v>499</v>
      </c>
      <c r="N671">
        <v>1</v>
      </c>
      <c r="O671">
        <v>3149.5270275864</v>
      </c>
      <c r="P671" s="3" t="s">
        <v>50</v>
      </c>
      <c r="Q671">
        <v>50</v>
      </c>
      <c r="R671">
        <v>0.999</v>
      </c>
      <c r="S671">
        <v>0</v>
      </c>
    </row>
    <row r="672" spans="1:19" x14ac:dyDescent="0.2">
      <c r="A672" s="3" t="s">
        <v>54</v>
      </c>
      <c r="B672" s="3" t="s">
        <v>55</v>
      </c>
      <c r="C672">
        <v>31</v>
      </c>
      <c r="D672">
        <v>14000</v>
      </c>
      <c r="E672">
        <v>499</v>
      </c>
      <c r="F672">
        <v>1</v>
      </c>
      <c r="G672">
        <v>58565.0323707059</v>
      </c>
      <c r="H672">
        <v>0.124739789</v>
      </c>
      <c r="I672">
        <v>13143</v>
      </c>
      <c r="J672">
        <v>3867</v>
      </c>
      <c r="K672">
        <v>9276</v>
      </c>
      <c r="L672">
        <v>500</v>
      </c>
      <c r="M672">
        <v>499</v>
      </c>
      <c r="N672">
        <v>1</v>
      </c>
      <c r="O672">
        <v>3130.2919830019</v>
      </c>
      <c r="P672" s="3" t="s">
        <v>52</v>
      </c>
      <c r="Q672">
        <v>50</v>
      </c>
      <c r="R672">
        <v>0.999</v>
      </c>
      <c r="S672">
        <v>0</v>
      </c>
    </row>
    <row r="673" spans="1:19" x14ac:dyDescent="0.2">
      <c r="A673" s="3" t="s">
        <v>54</v>
      </c>
      <c r="B673" s="3" t="s">
        <v>55</v>
      </c>
      <c r="C673">
        <v>41</v>
      </c>
      <c r="D673">
        <v>14000</v>
      </c>
      <c r="E673">
        <v>499</v>
      </c>
      <c r="F673">
        <v>1</v>
      </c>
      <c r="G673">
        <v>58565.0323707059</v>
      </c>
      <c r="H673">
        <v>0.124594287</v>
      </c>
      <c r="I673">
        <v>13141</v>
      </c>
      <c r="J673">
        <v>3860</v>
      </c>
      <c r="K673">
        <v>9281</v>
      </c>
      <c r="L673">
        <v>500</v>
      </c>
      <c r="M673">
        <v>499</v>
      </c>
      <c r="N673">
        <v>1</v>
      </c>
      <c r="O673">
        <v>3123.3216386896001</v>
      </c>
      <c r="P673" s="3" t="s">
        <v>52</v>
      </c>
      <c r="Q673">
        <v>50</v>
      </c>
      <c r="R673">
        <v>0.999</v>
      </c>
      <c r="S673">
        <v>0</v>
      </c>
    </row>
    <row r="674" spans="1:19" x14ac:dyDescent="0.2">
      <c r="A674" s="3" t="s">
        <v>54</v>
      </c>
      <c r="B674" s="3" t="s">
        <v>55</v>
      </c>
      <c r="C674">
        <v>49</v>
      </c>
      <c r="D674">
        <v>14000</v>
      </c>
      <c r="E674">
        <v>499</v>
      </c>
      <c r="F674">
        <v>1</v>
      </c>
      <c r="G674">
        <v>58565.0323707059</v>
      </c>
      <c r="H674">
        <v>0.124513051</v>
      </c>
      <c r="I674">
        <v>13165</v>
      </c>
      <c r="J674">
        <v>3892</v>
      </c>
      <c r="K674">
        <v>9273</v>
      </c>
      <c r="L674">
        <v>500</v>
      </c>
      <c r="M674">
        <v>499</v>
      </c>
      <c r="N674">
        <v>1</v>
      </c>
      <c r="O674">
        <v>3097.9220682875002</v>
      </c>
      <c r="P674" s="3" t="s">
        <v>52</v>
      </c>
      <c r="Q674">
        <v>50</v>
      </c>
      <c r="R674">
        <v>0.999</v>
      </c>
      <c r="S674">
        <v>0</v>
      </c>
    </row>
    <row r="675" spans="1:19" x14ac:dyDescent="0.2">
      <c r="A675" s="3" t="s">
        <v>54</v>
      </c>
      <c r="B675" s="3" t="s">
        <v>55</v>
      </c>
      <c r="C675">
        <v>38</v>
      </c>
      <c r="D675">
        <v>14000</v>
      </c>
      <c r="E675">
        <v>499</v>
      </c>
      <c r="F675">
        <v>1</v>
      </c>
      <c r="G675">
        <v>58565.0323707059</v>
      </c>
      <c r="H675">
        <v>0.12448898</v>
      </c>
      <c r="I675">
        <v>13141</v>
      </c>
      <c r="J675">
        <v>3847</v>
      </c>
      <c r="K675">
        <v>9294</v>
      </c>
      <c r="L675">
        <v>500</v>
      </c>
      <c r="M675">
        <v>499</v>
      </c>
      <c r="N675">
        <v>1</v>
      </c>
      <c r="O675">
        <v>3157.3472146200002</v>
      </c>
      <c r="P675" s="3" t="s">
        <v>52</v>
      </c>
      <c r="Q675">
        <v>50</v>
      </c>
      <c r="R675">
        <v>0.999</v>
      </c>
      <c r="S675">
        <v>0</v>
      </c>
    </row>
    <row r="676" spans="1:19" x14ac:dyDescent="0.2">
      <c r="A676" s="3" t="s">
        <v>54</v>
      </c>
      <c r="B676" s="3" t="s">
        <v>55</v>
      </c>
      <c r="C676">
        <v>30</v>
      </c>
      <c r="D676">
        <v>14000</v>
      </c>
      <c r="E676">
        <v>499</v>
      </c>
      <c r="F676">
        <v>1</v>
      </c>
      <c r="G676">
        <v>58565.0323707059</v>
      </c>
      <c r="H676">
        <v>0.12393702099999999</v>
      </c>
      <c r="I676">
        <v>13153</v>
      </c>
      <c r="J676">
        <v>3834</v>
      </c>
      <c r="K676">
        <v>9319</v>
      </c>
      <c r="L676">
        <v>500</v>
      </c>
      <c r="M676">
        <v>499</v>
      </c>
      <c r="N676">
        <v>1</v>
      </c>
      <c r="O676">
        <v>3237.2959288676002</v>
      </c>
      <c r="P676" s="3" t="s">
        <v>52</v>
      </c>
      <c r="Q676">
        <v>50</v>
      </c>
      <c r="R676">
        <v>0.999</v>
      </c>
      <c r="S676">
        <v>0</v>
      </c>
    </row>
    <row r="677" spans="1:19" x14ac:dyDescent="0.2">
      <c r="A677" s="3" t="s">
        <v>54</v>
      </c>
      <c r="B677" s="3" t="s">
        <v>55</v>
      </c>
      <c r="C677">
        <v>19</v>
      </c>
      <c r="D677">
        <v>14000</v>
      </c>
      <c r="E677">
        <v>499</v>
      </c>
      <c r="F677">
        <v>1</v>
      </c>
      <c r="G677">
        <v>58565.0323707059</v>
      </c>
      <c r="H677">
        <v>0.12343522899999999</v>
      </c>
      <c r="I677">
        <v>13139</v>
      </c>
      <c r="J677">
        <v>3835</v>
      </c>
      <c r="K677">
        <v>9304</v>
      </c>
      <c r="L677">
        <v>500</v>
      </c>
      <c r="M677">
        <v>499</v>
      </c>
      <c r="N677">
        <v>1</v>
      </c>
      <c r="O677">
        <v>3220.6248298553</v>
      </c>
      <c r="P677" s="3" t="s">
        <v>52</v>
      </c>
      <c r="Q677">
        <v>50</v>
      </c>
      <c r="R677">
        <v>0.999</v>
      </c>
      <c r="S677">
        <v>0</v>
      </c>
    </row>
    <row r="678" spans="1:19" x14ac:dyDescent="0.2">
      <c r="A678" s="3" t="s">
        <v>54</v>
      </c>
      <c r="B678" s="3" t="s">
        <v>55</v>
      </c>
      <c r="C678">
        <v>16</v>
      </c>
      <c r="D678">
        <v>14000</v>
      </c>
      <c r="E678">
        <v>499</v>
      </c>
      <c r="F678">
        <v>1</v>
      </c>
      <c r="G678">
        <v>58565.0323707059</v>
      </c>
      <c r="H678">
        <v>0.123382822</v>
      </c>
      <c r="I678">
        <v>13137</v>
      </c>
      <c r="J678">
        <v>3923</v>
      </c>
      <c r="K678">
        <v>9214</v>
      </c>
      <c r="L678">
        <v>500</v>
      </c>
      <c r="M678">
        <v>499</v>
      </c>
      <c r="N678">
        <v>1</v>
      </c>
      <c r="O678">
        <v>3219.0037609695</v>
      </c>
      <c r="P678" s="3" t="s">
        <v>50</v>
      </c>
      <c r="Q678">
        <v>50</v>
      </c>
      <c r="R678">
        <v>0.999</v>
      </c>
      <c r="S678">
        <v>0</v>
      </c>
    </row>
    <row r="679" spans="1:19" x14ac:dyDescent="0.2">
      <c r="A679" s="3" t="s">
        <v>54</v>
      </c>
      <c r="B679" s="3" t="s">
        <v>55</v>
      </c>
      <c r="C679">
        <v>28</v>
      </c>
      <c r="D679">
        <v>14000</v>
      </c>
      <c r="E679">
        <v>499</v>
      </c>
      <c r="F679">
        <v>1</v>
      </c>
      <c r="G679">
        <v>58565.0323707059</v>
      </c>
      <c r="H679">
        <v>0.12323801600000001</v>
      </c>
      <c r="I679">
        <v>13131</v>
      </c>
      <c r="J679">
        <v>3858</v>
      </c>
      <c r="K679">
        <v>9273</v>
      </c>
      <c r="L679">
        <v>500</v>
      </c>
      <c r="M679">
        <v>499</v>
      </c>
      <c r="N679">
        <v>1</v>
      </c>
      <c r="O679">
        <v>3281.4283157119999</v>
      </c>
      <c r="P679" s="3" t="s">
        <v>50</v>
      </c>
      <c r="Q679">
        <v>50</v>
      </c>
      <c r="R679">
        <v>0.999</v>
      </c>
      <c r="S679">
        <v>0</v>
      </c>
    </row>
    <row r="680" spans="1:19" x14ac:dyDescent="0.2">
      <c r="A680" s="3" t="s">
        <v>54</v>
      </c>
      <c r="B680" s="3" t="s">
        <v>55</v>
      </c>
      <c r="C680">
        <v>45</v>
      </c>
      <c r="D680">
        <v>14000</v>
      </c>
      <c r="E680">
        <v>499</v>
      </c>
      <c r="F680">
        <v>1</v>
      </c>
      <c r="G680">
        <v>58565.0323707059</v>
      </c>
      <c r="H680">
        <v>0.12321423300000001</v>
      </c>
      <c r="I680">
        <v>13166</v>
      </c>
      <c r="J680">
        <v>3879</v>
      </c>
      <c r="K680">
        <v>9287</v>
      </c>
      <c r="L680">
        <v>500</v>
      </c>
      <c r="M680">
        <v>499</v>
      </c>
      <c r="N680">
        <v>1</v>
      </c>
      <c r="O680">
        <v>3098.9296673366998</v>
      </c>
      <c r="P680" s="3" t="s">
        <v>52</v>
      </c>
      <c r="Q680">
        <v>50</v>
      </c>
      <c r="R680">
        <v>0.999</v>
      </c>
      <c r="S680">
        <v>0</v>
      </c>
    </row>
    <row r="681" spans="1:19" x14ac:dyDescent="0.2">
      <c r="A681" s="3" t="s">
        <v>54</v>
      </c>
      <c r="B681" s="3" t="s">
        <v>55</v>
      </c>
      <c r="C681">
        <v>13</v>
      </c>
      <c r="D681">
        <v>14000</v>
      </c>
      <c r="E681">
        <v>499</v>
      </c>
      <c r="F681">
        <v>1</v>
      </c>
      <c r="G681">
        <v>58565.0323707059</v>
      </c>
      <c r="H681">
        <v>0.123211866</v>
      </c>
      <c r="I681">
        <v>13136</v>
      </c>
      <c r="J681">
        <v>3900</v>
      </c>
      <c r="K681">
        <v>9236</v>
      </c>
      <c r="L681">
        <v>500</v>
      </c>
      <c r="M681">
        <v>499</v>
      </c>
      <c r="N681">
        <v>1</v>
      </c>
      <c r="O681">
        <v>3234.7949095469999</v>
      </c>
      <c r="P681" s="3" t="s">
        <v>50</v>
      </c>
      <c r="Q681">
        <v>50</v>
      </c>
      <c r="R681">
        <v>0.999</v>
      </c>
      <c r="S681">
        <v>0</v>
      </c>
    </row>
    <row r="682" spans="1:19" x14ac:dyDescent="0.2">
      <c r="A682" s="3" t="s">
        <v>54</v>
      </c>
      <c r="B682" s="3" t="s">
        <v>55</v>
      </c>
      <c r="C682">
        <v>43</v>
      </c>
      <c r="D682">
        <v>14000</v>
      </c>
      <c r="E682">
        <v>499</v>
      </c>
      <c r="F682">
        <v>1</v>
      </c>
      <c r="G682">
        <v>58565.0323707059</v>
      </c>
      <c r="H682">
        <v>0.122970985</v>
      </c>
      <c r="I682">
        <v>13156</v>
      </c>
      <c r="J682">
        <v>3928</v>
      </c>
      <c r="K682">
        <v>9228</v>
      </c>
      <c r="L682">
        <v>500</v>
      </c>
      <c r="M682">
        <v>499</v>
      </c>
      <c r="N682">
        <v>1</v>
      </c>
      <c r="O682">
        <v>3091.8132824395002</v>
      </c>
      <c r="P682" s="3" t="s">
        <v>52</v>
      </c>
      <c r="Q682">
        <v>50</v>
      </c>
      <c r="R682">
        <v>0.999</v>
      </c>
      <c r="S682">
        <v>0</v>
      </c>
    </row>
    <row r="683" spans="1:19" x14ac:dyDescent="0.2">
      <c r="A683" s="3" t="s">
        <v>54</v>
      </c>
      <c r="B683" s="3" t="s">
        <v>55</v>
      </c>
      <c r="C683">
        <v>34</v>
      </c>
      <c r="D683">
        <v>14000</v>
      </c>
      <c r="E683">
        <v>499</v>
      </c>
      <c r="F683">
        <v>1</v>
      </c>
      <c r="G683">
        <v>58565.0323707059</v>
      </c>
      <c r="H683">
        <v>0.122743449</v>
      </c>
      <c r="I683">
        <v>13151</v>
      </c>
      <c r="J683">
        <v>3848</v>
      </c>
      <c r="K683">
        <v>9303</v>
      </c>
      <c r="L683">
        <v>500</v>
      </c>
      <c r="M683">
        <v>499</v>
      </c>
      <c r="N683">
        <v>1</v>
      </c>
      <c r="O683">
        <v>3171.3941773029001</v>
      </c>
      <c r="P683" s="3" t="s">
        <v>52</v>
      </c>
      <c r="Q683">
        <v>50</v>
      </c>
      <c r="R683">
        <v>0.999</v>
      </c>
      <c r="S683">
        <v>0</v>
      </c>
    </row>
    <row r="684" spans="1:19" x14ac:dyDescent="0.2">
      <c r="A684" s="3" t="s">
        <v>54</v>
      </c>
      <c r="B684" s="3" t="s">
        <v>55</v>
      </c>
      <c r="C684">
        <v>11</v>
      </c>
      <c r="D684">
        <v>14000</v>
      </c>
      <c r="E684">
        <v>499</v>
      </c>
      <c r="F684">
        <v>1</v>
      </c>
      <c r="G684">
        <v>58565.0323707059</v>
      </c>
      <c r="H684">
        <v>0.12254193100000001</v>
      </c>
      <c r="I684">
        <v>13154</v>
      </c>
      <c r="J684">
        <v>3863</v>
      </c>
      <c r="K684">
        <v>9291</v>
      </c>
      <c r="L684">
        <v>500</v>
      </c>
      <c r="M684">
        <v>499</v>
      </c>
      <c r="N684">
        <v>1</v>
      </c>
      <c r="O684">
        <v>3134.2429058767002</v>
      </c>
      <c r="P684" s="3" t="s">
        <v>52</v>
      </c>
      <c r="Q684">
        <v>50</v>
      </c>
      <c r="R684">
        <v>0.999</v>
      </c>
      <c r="S684">
        <v>0</v>
      </c>
    </row>
    <row r="685" spans="1:19" x14ac:dyDescent="0.2">
      <c r="A685" s="3" t="s">
        <v>54</v>
      </c>
      <c r="B685" s="3" t="s">
        <v>55</v>
      </c>
      <c r="C685">
        <v>27</v>
      </c>
      <c r="D685">
        <v>14000</v>
      </c>
      <c r="E685">
        <v>499</v>
      </c>
      <c r="F685">
        <v>1</v>
      </c>
      <c r="G685">
        <v>58565.0323707059</v>
      </c>
      <c r="H685">
        <v>0.12252631</v>
      </c>
      <c r="I685">
        <v>13138</v>
      </c>
      <c r="J685">
        <v>3880</v>
      </c>
      <c r="K685">
        <v>9258</v>
      </c>
      <c r="L685">
        <v>500</v>
      </c>
      <c r="M685">
        <v>499</v>
      </c>
      <c r="N685">
        <v>1</v>
      </c>
      <c r="O685">
        <v>3216.2893955284999</v>
      </c>
      <c r="P685" s="3" t="s">
        <v>52</v>
      </c>
      <c r="Q685">
        <v>50</v>
      </c>
      <c r="R685">
        <v>0.999</v>
      </c>
      <c r="S685">
        <v>0</v>
      </c>
    </row>
    <row r="686" spans="1:19" x14ac:dyDescent="0.2">
      <c r="A686" s="3" t="s">
        <v>54</v>
      </c>
      <c r="B686" s="3" t="s">
        <v>55</v>
      </c>
      <c r="C686">
        <v>47</v>
      </c>
      <c r="D686">
        <v>14000</v>
      </c>
      <c r="E686">
        <v>499</v>
      </c>
      <c r="F686">
        <v>1</v>
      </c>
      <c r="G686">
        <v>58565.0323707059</v>
      </c>
      <c r="H686">
        <v>0.122418099</v>
      </c>
      <c r="I686">
        <v>13159</v>
      </c>
      <c r="J686">
        <v>3854</v>
      </c>
      <c r="K686">
        <v>9305</v>
      </c>
      <c r="L686">
        <v>500</v>
      </c>
      <c r="M686">
        <v>499</v>
      </c>
      <c r="N686">
        <v>1</v>
      </c>
      <c r="O686">
        <v>3097.0307119836998</v>
      </c>
      <c r="P686" s="3" t="s">
        <v>52</v>
      </c>
      <c r="Q686">
        <v>50</v>
      </c>
      <c r="R686">
        <v>0.999</v>
      </c>
      <c r="S686">
        <v>0</v>
      </c>
    </row>
    <row r="687" spans="1:19" x14ac:dyDescent="0.2">
      <c r="A687" s="3" t="s">
        <v>54</v>
      </c>
      <c r="B687" s="3" t="s">
        <v>55</v>
      </c>
      <c r="C687">
        <v>18</v>
      </c>
      <c r="D687">
        <v>14000</v>
      </c>
      <c r="E687">
        <v>499</v>
      </c>
      <c r="F687">
        <v>1</v>
      </c>
      <c r="G687">
        <v>58565.0323707059</v>
      </c>
      <c r="H687">
        <v>0.12234318</v>
      </c>
      <c r="I687">
        <v>13125</v>
      </c>
      <c r="J687">
        <v>3800</v>
      </c>
      <c r="K687">
        <v>9325</v>
      </c>
      <c r="L687">
        <v>500</v>
      </c>
      <c r="M687">
        <v>499</v>
      </c>
      <c r="N687">
        <v>1</v>
      </c>
      <c r="O687">
        <v>3231.0419776442</v>
      </c>
      <c r="P687" s="3" t="s">
        <v>52</v>
      </c>
      <c r="Q687">
        <v>50</v>
      </c>
      <c r="R687">
        <v>0.999</v>
      </c>
      <c r="S687">
        <v>0</v>
      </c>
    </row>
    <row r="688" spans="1:19" x14ac:dyDescent="0.2">
      <c r="A688" s="3" t="s">
        <v>54</v>
      </c>
      <c r="B688" s="3" t="s">
        <v>55</v>
      </c>
      <c r="C688">
        <v>8</v>
      </c>
      <c r="D688">
        <v>14000</v>
      </c>
      <c r="E688">
        <v>499</v>
      </c>
      <c r="F688">
        <v>1</v>
      </c>
      <c r="G688">
        <v>58565.0323707059</v>
      </c>
      <c r="H688">
        <v>0.122252375</v>
      </c>
      <c r="I688">
        <v>13147</v>
      </c>
      <c r="J688">
        <v>3857</v>
      </c>
      <c r="K688">
        <v>9290</v>
      </c>
      <c r="L688">
        <v>500</v>
      </c>
      <c r="M688">
        <v>499</v>
      </c>
      <c r="N688">
        <v>1</v>
      </c>
      <c r="O688">
        <v>3149.0063983106002</v>
      </c>
      <c r="P688" s="3" t="s">
        <v>52</v>
      </c>
      <c r="Q688">
        <v>50</v>
      </c>
      <c r="R688">
        <v>0.999</v>
      </c>
      <c r="S688">
        <v>0</v>
      </c>
    </row>
    <row r="689" spans="1:19" x14ac:dyDescent="0.2">
      <c r="A689" s="3" t="s">
        <v>54</v>
      </c>
      <c r="B689" s="3" t="s">
        <v>55</v>
      </c>
      <c r="C689">
        <v>42</v>
      </c>
      <c r="D689">
        <v>14000</v>
      </c>
      <c r="E689">
        <v>499</v>
      </c>
      <c r="F689">
        <v>1</v>
      </c>
      <c r="G689">
        <v>58565.0323707059</v>
      </c>
      <c r="H689">
        <v>0.122202317</v>
      </c>
      <c r="I689">
        <v>13142</v>
      </c>
      <c r="J689">
        <v>3890</v>
      </c>
      <c r="K689">
        <v>9252</v>
      </c>
      <c r="L689">
        <v>500</v>
      </c>
      <c r="M689">
        <v>499</v>
      </c>
      <c r="N689">
        <v>1</v>
      </c>
      <c r="O689">
        <v>3187.9457299669998</v>
      </c>
      <c r="P689" s="3" t="s">
        <v>50</v>
      </c>
      <c r="Q689">
        <v>50</v>
      </c>
      <c r="R689">
        <v>0.999</v>
      </c>
      <c r="S689">
        <v>0</v>
      </c>
    </row>
    <row r="690" spans="1:19" x14ac:dyDescent="0.2">
      <c r="A690" s="3" t="s">
        <v>54</v>
      </c>
      <c r="B690" s="3" t="s">
        <v>55</v>
      </c>
      <c r="C690">
        <v>35</v>
      </c>
      <c r="D690">
        <v>14000</v>
      </c>
      <c r="E690">
        <v>499</v>
      </c>
      <c r="F690">
        <v>1</v>
      </c>
      <c r="G690">
        <v>58565.0323707059</v>
      </c>
      <c r="H690">
        <v>0.121463081</v>
      </c>
      <c r="I690">
        <v>13144</v>
      </c>
      <c r="J690">
        <v>3881</v>
      </c>
      <c r="K690">
        <v>9263</v>
      </c>
      <c r="L690">
        <v>500</v>
      </c>
      <c r="M690">
        <v>499</v>
      </c>
      <c r="N690">
        <v>1</v>
      </c>
      <c r="O690">
        <v>3146.9013660137002</v>
      </c>
      <c r="P690" s="3" t="s">
        <v>52</v>
      </c>
      <c r="Q690">
        <v>50</v>
      </c>
      <c r="R690">
        <v>0.999</v>
      </c>
      <c r="S690">
        <v>0</v>
      </c>
    </row>
    <row r="691" spans="1:19" x14ac:dyDescent="0.2">
      <c r="A691" s="3" t="s">
        <v>54</v>
      </c>
      <c r="B691" s="3" t="s">
        <v>55</v>
      </c>
      <c r="C691">
        <v>32</v>
      </c>
      <c r="D691">
        <v>14000</v>
      </c>
      <c r="E691">
        <v>499</v>
      </c>
      <c r="F691">
        <v>1</v>
      </c>
      <c r="G691">
        <v>58565.0323707059</v>
      </c>
      <c r="H691">
        <v>0.121319898</v>
      </c>
      <c r="I691">
        <v>13155</v>
      </c>
      <c r="J691">
        <v>3863</v>
      </c>
      <c r="K691">
        <v>9292</v>
      </c>
      <c r="L691">
        <v>500</v>
      </c>
      <c r="M691">
        <v>499</v>
      </c>
      <c r="N691">
        <v>1</v>
      </c>
      <c r="O691">
        <v>3149.011600801</v>
      </c>
      <c r="P691" s="3" t="s">
        <v>52</v>
      </c>
      <c r="Q691">
        <v>50</v>
      </c>
      <c r="R691">
        <v>0.999</v>
      </c>
      <c r="S691">
        <v>0</v>
      </c>
    </row>
    <row r="692" spans="1:19" x14ac:dyDescent="0.2">
      <c r="A692" s="3" t="s">
        <v>54</v>
      </c>
      <c r="B692" s="3" t="s">
        <v>55</v>
      </c>
      <c r="C692">
        <v>19</v>
      </c>
      <c r="D692">
        <v>14000</v>
      </c>
      <c r="E692">
        <v>499</v>
      </c>
      <c r="F692">
        <v>1</v>
      </c>
      <c r="G692">
        <v>58565.0323707059</v>
      </c>
      <c r="H692">
        <v>0.120890096</v>
      </c>
      <c r="I692">
        <v>13142</v>
      </c>
      <c r="J692">
        <v>3909</v>
      </c>
      <c r="K692">
        <v>9233</v>
      </c>
      <c r="L692">
        <v>500</v>
      </c>
      <c r="M692">
        <v>499</v>
      </c>
      <c r="N692">
        <v>1</v>
      </c>
      <c r="O692">
        <v>3187.9158314953002</v>
      </c>
      <c r="P692" s="3" t="s">
        <v>50</v>
      </c>
      <c r="Q692">
        <v>50</v>
      </c>
      <c r="R692">
        <v>0.999</v>
      </c>
      <c r="S692">
        <v>0</v>
      </c>
    </row>
    <row r="693" spans="1:19" x14ac:dyDescent="0.2">
      <c r="A693" s="3" t="s">
        <v>54</v>
      </c>
      <c r="B693" s="3" t="s">
        <v>55</v>
      </c>
      <c r="C693">
        <v>49</v>
      </c>
      <c r="D693">
        <v>14000</v>
      </c>
      <c r="E693">
        <v>499</v>
      </c>
      <c r="F693">
        <v>1</v>
      </c>
      <c r="G693">
        <v>58565.0323707059</v>
      </c>
      <c r="H693">
        <v>0.120383527</v>
      </c>
      <c r="I693">
        <v>13150</v>
      </c>
      <c r="J693">
        <v>3889</v>
      </c>
      <c r="K693">
        <v>9261</v>
      </c>
      <c r="L693">
        <v>500</v>
      </c>
      <c r="M693">
        <v>499</v>
      </c>
      <c r="N693">
        <v>1</v>
      </c>
      <c r="O693">
        <v>3129.043860665</v>
      </c>
      <c r="P693" s="3" t="s">
        <v>50</v>
      </c>
      <c r="Q693">
        <v>50</v>
      </c>
      <c r="R693">
        <v>0.999</v>
      </c>
      <c r="S693">
        <v>0</v>
      </c>
    </row>
    <row r="694" spans="1:19" x14ac:dyDescent="0.2">
      <c r="A694" s="3" t="s">
        <v>54</v>
      </c>
      <c r="B694" s="3" t="s">
        <v>55</v>
      </c>
      <c r="C694">
        <v>1</v>
      </c>
      <c r="D694">
        <v>14000</v>
      </c>
      <c r="E694">
        <v>499</v>
      </c>
      <c r="F694">
        <v>1</v>
      </c>
      <c r="G694">
        <v>58565.0323707059</v>
      </c>
      <c r="H694">
        <v>0.119920605</v>
      </c>
      <c r="I694">
        <v>13160</v>
      </c>
      <c r="J694">
        <v>3862</v>
      </c>
      <c r="K694">
        <v>9298</v>
      </c>
      <c r="L694">
        <v>500</v>
      </c>
      <c r="M694">
        <v>499</v>
      </c>
      <c r="N694">
        <v>1</v>
      </c>
      <c r="O694">
        <v>3093.2640851793999</v>
      </c>
      <c r="P694" s="3" t="s">
        <v>52</v>
      </c>
      <c r="Q694">
        <v>50</v>
      </c>
      <c r="R694">
        <v>0.999</v>
      </c>
      <c r="S694">
        <v>0</v>
      </c>
    </row>
    <row r="695" spans="1:19" x14ac:dyDescent="0.2">
      <c r="A695" s="3" t="s">
        <v>54</v>
      </c>
      <c r="B695" s="3" t="s">
        <v>55</v>
      </c>
      <c r="C695">
        <v>23</v>
      </c>
      <c r="D695">
        <v>14000</v>
      </c>
      <c r="E695">
        <v>499</v>
      </c>
      <c r="F695">
        <v>1</v>
      </c>
      <c r="G695">
        <v>58565.0323707059</v>
      </c>
      <c r="H695">
        <v>0.119825417</v>
      </c>
      <c r="I695">
        <v>13180</v>
      </c>
      <c r="J695">
        <v>3907</v>
      </c>
      <c r="K695">
        <v>9273</v>
      </c>
      <c r="L695">
        <v>500</v>
      </c>
      <c r="M695">
        <v>499</v>
      </c>
      <c r="N695">
        <v>1</v>
      </c>
      <c r="O695">
        <v>3034.1300137297999</v>
      </c>
      <c r="P695" s="3" t="s">
        <v>52</v>
      </c>
      <c r="Q695">
        <v>50</v>
      </c>
      <c r="R695">
        <v>0.999</v>
      </c>
      <c r="S695">
        <v>0</v>
      </c>
    </row>
    <row r="696" spans="1:19" x14ac:dyDescent="0.2">
      <c r="A696" s="3" t="s">
        <v>54</v>
      </c>
      <c r="B696" s="3" t="s">
        <v>55</v>
      </c>
      <c r="C696">
        <v>50</v>
      </c>
      <c r="D696">
        <v>14000</v>
      </c>
      <c r="E696">
        <v>499</v>
      </c>
      <c r="F696">
        <v>1</v>
      </c>
      <c r="G696">
        <v>58565.0323707059</v>
      </c>
      <c r="H696">
        <v>0.119765439</v>
      </c>
      <c r="I696">
        <v>13126</v>
      </c>
      <c r="J696">
        <v>3905</v>
      </c>
      <c r="K696">
        <v>9221</v>
      </c>
      <c r="L696">
        <v>500</v>
      </c>
      <c r="M696">
        <v>499</v>
      </c>
      <c r="N696">
        <v>1</v>
      </c>
      <c r="O696">
        <v>3291.9271862484002</v>
      </c>
      <c r="P696" s="3" t="s">
        <v>50</v>
      </c>
      <c r="Q696">
        <v>50</v>
      </c>
      <c r="R696">
        <v>0.999</v>
      </c>
      <c r="S696">
        <v>0</v>
      </c>
    </row>
    <row r="697" spans="1:19" x14ac:dyDescent="0.2">
      <c r="A697" s="3" t="s">
        <v>54</v>
      </c>
      <c r="B697" s="3" t="s">
        <v>55</v>
      </c>
      <c r="C697">
        <v>43</v>
      </c>
      <c r="D697">
        <v>14000</v>
      </c>
      <c r="E697">
        <v>499</v>
      </c>
      <c r="F697">
        <v>1</v>
      </c>
      <c r="G697">
        <v>58565.0323707059</v>
      </c>
      <c r="H697">
        <v>0.119425979</v>
      </c>
      <c r="I697">
        <v>13161</v>
      </c>
      <c r="J697">
        <v>3899</v>
      </c>
      <c r="K697">
        <v>9262</v>
      </c>
      <c r="L697">
        <v>500</v>
      </c>
      <c r="M697">
        <v>499</v>
      </c>
      <c r="N697">
        <v>1</v>
      </c>
      <c r="O697">
        <v>3173.5236956638</v>
      </c>
      <c r="P697" s="3" t="s">
        <v>50</v>
      </c>
      <c r="Q697">
        <v>50</v>
      </c>
      <c r="R697">
        <v>0.999</v>
      </c>
      <c r="S697">
        <v>0</v>
      </c>
    </row>
    <row r="698" spans="1:19" x14ac:dyDescent="0.2">
      <c r="A698" s="3" t="s">
        <v>54</v>
      </c>
      <c r="B698" s="3" t="s">
        <v>55</v>
      </c>
      <c r="C698">
        <v>48</v>
      </c>
      <c r="D698">
        <v>14000</v>
      </c>
      <c r="E698">
        <v>499</v>
      </c>
      <c r="F698">
        <v>1</v>
      </c>
      <c r="G698">
        <v>58565.0323707059</v>
      </c>
      <c r="H698">
        <v>0.119267122</v>
      </c>
      <c r="I698">
        <v>13143</v>
      </c>
      <c r="J698">
        <v>3889</v>
      </c>
      <c r="K698">
        <v>9254</v>
      </c>
      <c r="L698">
        <v>500</v>
      </c>
      <c r="M698">
        <v>499</v>
      </c>
      <c r="N698">
        <v>1</v>
      </c>
      <c r="O698">
        <v>3175.4094336190001</v>
      </c>
      <c r="P698" s="3" t="s">
        <v>52</v>
      </c>
      <c r="Q698">
        <v>50</v>
      </c>
      <c r="R698">
        <v>0.999</v>
      </c>
      <c r="S698">
        <v>0</v>
      </c>
    </row>
    <row r="699" spans="1:19" x14ac:dyDescent="0.2">
      <c r="A699" s="3" t="s">
        <v>54</v>
      </c>
      <c r="B699" s="3" t="s">
        <v>55</v>
      </c>
      <c r="C699">
        <v>38</v>
      </c>
      <c r="D699">
        <v>14000</v>
      </c>
      <c r="E699">
        <v>499</v>
      </c>
      <c r="F699">
        <v>1</v>
      </c>
      <c r="G699">
        <v>58565.0323707059</v>
      </c>
      <c r="H699">
        <v>0.117673082</v>
      </c>
      <c r="I699">
        <v>13128</v>
      </c>
      <c r="J699">
        <v>3836</v>
      </c>
      <c r="K699">
        <v>9292</v>
      </c>
      <c r="L699">
        <v>500</v>
      </c>
      <c r="M699">
        <v>499</v>
      </c>
      <c r="N699">
        <v>1</v>
      </c>
      <c r="O699">
        <v>3233.6225473615</v>
      </c>
      <c r="P699" s="3" t="s">
        <v>50</v>
      </c>
      <c r="Q699">
        <v>50</v>
      </c>
      <c r="R699">
        <v>0.999</v>
      </c>
      <c r="S699">
        <v>0</v>
      </c>
    </row>
    <row r="700" spans="1:19" x14ac:dyDescent="0.2">
      <c r="A700" s="3" t="s">
        <v>54</v>
      </c>
      <c r="B700" s="3" t="s">
        <v>55</v>
      </c>
      <c r="C700">
        <v>14</v>
      </c>
      <c r="D700">
        <v>14000</v>
      </c>
      <c r="E700">
        <v>499</v>
      </c>
      <c r="F700">
        <v>1</v>
      </c>
      <c r="G700">
        <v>58565.0323707059</v>
      </c>
      <c r="H700">
        <v>0.11685688299999999</v>
      </c>
      <c r="I700">
        <v>13170</v>
      </c>
      <c r="J700">
        <v>3866</v>
      </c>
      <c r="K700">
        <v>9304</v>
      </c>
      <c r="L700">
        <v>500</v>
      </c>
      <c r="M700">
        <v>499</v>
      </c>
      <c r="N700">
        <v>1</v>
      </c>
      <c r="O700">
        <v>3115.1954778272998</v>
      </c>
      <c r="P700" s="3" t="s">
        <v>52</v>
      </c>
      <c r="Q700">
        <v>50</v>
      </c>
      <c r="R700">
        <v>0.999</v>
      </c>
      <c r="S700">
        <v>0</v>
      </c>
    </row>
    <row r="701" spans="1:19" x14ac:dyDescent="0.2">
      <c r="A701" s="3" t="s">
        <v>54</v>
      </c>
      <c r="B701" s="3" t="s">
        <v>55</v>
      </c>
      <c r="C701">
        <v>25</v>
      </c>
      <c r="D701">
        <v>14000</v>
      </c>
      <c r="E701">
        <v>499</v>
      </c>
      <c r="F701">
        <v>1</v>
      </c>
      <c r="G701">
        <v>58565.0323707059</v>
      </c>
      <c r="H701">
        <v>0.116791745</v>
      </c>
      <c r="I701">
        <v>13147</v>
      </c>
      <c r="J701">
        <v>3882</v>
      </c>
      <c r="K701">
        <v>9265</v>
      </c>
      <c r="L701">
        <v>500</v>
      </c>
      <c r="M701">
        <v>499</v>
      </c>
      <c r="N701">
        <v>1</v>
      </c>
      <c r="O701">
        <v>3151.8826461259</v>
      </c>
      <c r="P701" s="3" t="s">
        <v>50</v>
      </c>
      <c r="Q701">
        <v>50</v>
      </c>
      <c r="R701">
        <v>0.999</v>
      </c>
      <c r="S701">
        <v>0</v>
      </c>
    </row>
    <row r="702" spans="1:19" x14ac:dyDescent="0.2">
      <c r="A702" s="3" t="s">
        <v>54</v>
      </c>
      <c r="B702" s="3" t="s">
        <v>55</v>
      </c>
      <c r="C702">
        <v>34</v>
      </c>
      <c r="D702">
        <v>14000</v>
      </c>
      <c r="E702">
        <v>499</v>
      </c>
      <c r="F702">
        <v>1</v>
      </c>
      <c r="G702">
        <v>58565.0323707059</v>
      </c>
      <c r="H702">
        <v>0.116620367</v>
      </c>
      <c r="I702">
        <v>13112</v>
      </c>
      <c r="J702">
        <v>3888</v>
      </c>
      <c r="K702">
        <v>9224</v>
      </c>
      <c r="L702">
        <v>500</v>
      </c>
      <c r="M702">
        <v>499</v>
      </c>
      <c r="N702">
        <v>1</v>
      </c>
      <c r="O702">
        <v>3275.0683122253999</v>
      </c>
      <c r="P702" s="3" t="s">
        <v>50</v>
      </c>
      <c r="Q702">
        <v>50</v>
      </c>
      <c r="R702">
        <v>0.999</v>
      </c>
      <c r="S702">
        <v>0</v>
      </c>
    </row>
    <row r="703" spans="1:19" x14ac:dyDescent="0.2">
      <c r="A703" s="3" t="s">
        <v>54</v>
      </c>
      <c r="B703" s="3" t="s">
        <v>55</v>
      </c>
      <c r="C703">
        <v>6</v>
      </c>
      <c r="D703">
        <v>14000</v>
      </c>
      <c r="E703">
        <v>499</v>
      </c>
      <c r="F703">
        <v>1</v>
      </c>
      <c r="G703">
        <v>58565.0323707059</v>
      </c>
      <c r="H703">
        <v>0.114730059</v>
      </c>
      <c r="I703">
        <v>13153</v>
      </c>
      <c r="J703">
        <v>3885</v>
      </c>
      <c r="K703">
        <v>9268</v>
      </c>
      <c r="L703">
        <v>500</v>
      </c>
      <c r="M703">
        <v>499</v>
      </c>
      <c r="N703">
        <v>1</v>
      </c>
      <c r="O703">
        <v>3122.5683529004</v>
      </c>
      <c r="P703" s="3" t="s">
        <v>50</v>
      </c>
      <c r="Q703">
        <v>50</v>
      </c>
      <c r="R703">
        <v>0.999</v>
      </c>
      <c r="S703">
        <v>0</v>
      </c>
    </row>
    <row r="704" spans="1:19" x14ac:dyDescent="0.2">
      <c r="A704" s="3" t="s">
        <v>54</v>
      </c>
      <c r="B704" s="3" t="s">
        <v>55</v>
      </c>
      <c r="C704">
        <v>27</v>
      </c>
      <c r="D704">
        <v>20000</v>
      </c>
      <c r="E704">
        <v>499</v>
      </c>
      <c r="F704">
        <v>1</v>
      </c>
      <c r="G704">
        <v>82302.7524576211</v>
      </c>
      <c r="H704">
        <v>0.11196134100000001</v>
      </c>
      <c r="I704">
        <v>15030</v>
      </c>
      <c r="J704">
        <v>5340</v>
      </c>
      <c r="K704">
        <v>9690</v>
      </c>
      <c r="L704">
        <v>500</v>
      </c>
      <c r="M704">
        <v>499</v>
      </c>
      <c r="N704">
        <v>1</v>
      </c>
      <c r="O704">
        <v>19768.7496123114</v>
      </c>
      <c r="P704" s="3" t="s">
        <v>51</v>
      </c>
      <c r="Q704">
        <v>50</v>
      </c>
      <c r="R704">
        <v>0.999</v>
      </c>
      <c r="S704">
        <v>0</v>
      </c>
    </row>
    <row r="705" spans="1:19" x14ac:dyDescent="0.2">
      <c r="A705" s="3" t="s">
        <v>54</v>
      </c>
      <c r="B705" s="3" t="s">
        <v>55</v>
      </c>
      <c r="C705">
        <v>31</v>
      </c>
      <c r="D705">
        <v>20000</v>
      </c>
      <c r="E705">
        <v>499</v>
      </c>
      <c r="F705">
        <v>1</v>
      </c>
      <c r="G705">
        <v>82302.7524576211</v>
      </c>
      <c r="H705">
        <v>9.2731104999999994E-2</v>
      </c>
      <c r="I705">
        <v>15014</v>
      </c>
      <c r="J705">
        <v>5341</v>
      </c>
      <c r="K705">
        <v>9673</v>
      </c>
      <c r="L705">
        <v>500</v>
      </c>
      <c r="M705">
        <v>499</v>
      </c>
      <c r="N705">
        <v>1</v>
      </c>
      <c r="O705">
        <v>19922.373785956399</v>
      </c>
      <c r="P705" s="3" t="s">
        <v>51</v>
      </c>
      <c r="Q705">
        <v>50</v>
      </c>
      <c r="R705">
        <v>0.999</v>
      </c>
      <c r="S705">
        <v>0</v>
      </c>
    </row>
    <row r="706" spans="1:19" x14ac:dyDescent="0.2">
      <c r="A706" s="3" t="s">
        <v>54</v>
      </c>
      <c r="B706" s="3" t="s">
        <v>55</v>
      </c>
      <c r="C706">
        <v>23</v>
      </c>
      <c r="D706">
        <v>20000</v>
      </c>
      <c r="E706">
        <v>499</v>
      </c>
      <c r="F706">
        <v>1</v>
      </c>
      <c r="G706">
        <v>82302.7524576211</v>
      </c>
      <c r="H706">
        <v>9.2713100000000007E-2</v>
      </c>
      <c r="I706">
        <v>15052</v>
      </c>
      <c r="J706">
        <v>5346</v>
      </c>
      <c r="K706">
        <v>9706</v>
      </c>
      <c r="L706">
        <v>500</v>
      </c>
      <c r="M706">
        <v>499</v>
      </c>
      <c r="N706">
        <v>1</v>
      </c>
      <c r="O706">
        <v>19869.652315296298</v>
      </c>
      <c r="P706" s="3" t="s">
        <v>51</v>
      </c>
      <c r="Q706">
        <v>50</v>
      </c>
      <c r="R706">
        <v>0.999</v>
      </c>
      <c r="S706">
        <v>0</v>
      </c>
    </row>
    <row r="707" spans="1:19" x14ac:dyDescent="0.2">
      <c r="A707" s="3" t="s">
        <v>54</v>
      </c>
      <c r="B707" s="3" t="s">
        <v>55</v>
      </c>
      <c r="C707">
        <v>33</v>
      </c>
      <c r="D707">
        <v>20000</v>
      </c>
      <c r="E707">
        <v>499</v>
      </c>
      <c r="F707">
        <v>1</v>
      </c>
      <c r="G707">
        <v>82302.7524576211</v>
      </c>
      <c r="H707">
        <v>9.2250873999999997E-2</v>
      </c>
      <c r="I707">
        <v>15030</v>
      </c>
      <c r="J707">
        <v>5345</v>
      </c>
      <c r="K707">
        <v>9685</v>
      </c>
      <c r="L707">
        <v>500</v>
      </c>
      <c r="M707">
        <v>499</v>
      </c>
      <c r="N707">
        <v>1</v>
      </c>
      <c r="O707">
        <v>19858.3965422211</v>
      </c>
      <c r="P707" s="3" t="s">
        <v>51</v>
      </c>
      <c r="Q707">
        <v>50</v>
      </c>
      <c r="R707">
        <v>0.999</v>
      </c>
      <c r="S707">
        <v>0</v>
      </c>
    </row>
    <row r="708" spans="1:19" x14ac:dyDescent="0.2">
      <c r="A708" s="3" t="s">
        <v>54</v>
      </c>
      <c r="B708" s="3" t="s">
        <v>55</v>
      </c>
      <c r="C708">
        <v>31</v>
      </c>
      <c r="D708">
        <v>18000</v>
      </c>
      <c r="E708">
        <v>499</v>
      </c>
      <c r="F708">
        <v>1</v>
      </c>
      <c r="G708">
        <v>75479.649376234796</v>
      </c>
      <c r="H708">
        <v>9.1994811999999995E-2</v>
      </c>
      <c r="I708">
        <v>14477</v>
      </c>
      <c r="J708">
        <v>4732</v>
      </c>
      <c r="K708">
        <v>9745</v>
      </c>
      <c r="L708">
        <v>500</v>
      </c>
      <c r="M708">
        <v>499</v>
      </c>
      <c r="N708">
        <v>1</v>
      </c>
      <c r="O708">
        <v>14105.476467970801</v>
      </c>
      <c r="P708" s="3" t="s">
        <v>51</v>
      </c>
      <c r="Q708">
        <v>50</v>
      </c>
      <c r="R708">
        <v>0.999</v>
      </c>
      <c r="S708">
        <v>0</v>
      </c>
    </row>
    <row r="709" spans="1:19" x14ac:dyDescent="0.2">
      <c r="A709" s="3" t="s">
        <v>54</v>
      </c>
      <c r="B709" s="3" t="s">
        <v>55</v>
      </c>
      <c r="C709">
        <v>17</v>
      </c>
      <c r="D709">
        <v>20000</v>
      </c>
      <c r="E709">
        <v>499</v>
      </c>
      <c r="F709">
        <v>1</v>
      </c>
      <c r="G709">
        <v>82302.7524576211</v>
      </c>
      <c r="H709">
        <v>9.1378475000000001E-2</v>
      </c>
      <c r="I709">
        <v>15005</v>
      </c>
      <c r="J709">
        <v>5350</v>
      </c>
      <c r="K709">
        <v>9655</v>
      </c>
      <c r="L709">
        <v>500</v>
      </c>
      <c r="M709">
        <v>499</v>
      </c>
      <c r="N709">
        <v>1</v>
      </c>
      <c r="O709">
        <v>19869.598665438101</v>
      </c>
      <c r="P709" s="3" t="s">
        <v>51</v>
      </c>
      <c r="Q709">
        <v>50</v>
      </c>
      <c r="R709">
        <v>0.999</v>
      </c>
      <c r="S709">
        <v>0</v>
      </c>
    </row>
    <row r="710" spans="1:19" x14ac:dyDescent="0.2">
      <c r="A710" s="3" t="s">
        <v>54</v>
      </c>
      <c r="B710" s="3" t="s">
        <v>55</v>
      </c>
      <c r="C710">
        <v>6</v>
      </c>
      <c r="D710">
        <v>18000</v>
      </c>
      <c r="E710">
        <v>499</v>
      </c>
      <c r="F710">
        <v>1</v>
      </c>
      <c r="G710">
        <v>75479.649376234796</v>
      </c>
      <c r="H710">
        <v>9.0553888999999999E-2</v>
      </c>
      <c r="I710">
        <v>14458</v>
      </c>
      <c r="J710">
        <v>4723</v>
      </c>
      <c r="K710">
        <v>9735</v>
      </c>
      <c r="L710">
        <v>500</v>
      </c>
      <c r="M710">
        <v>499</v>
      </c>
      <c r="N710">
        <v>1</v>
      </c>
      <c r="O710">
        <v>14102.2344056027</v>
      </c>
      <c r="P710" s="3" t="s">
        <v>51</v>
      </c>
      <c r="Q710">
        <v>50</v>
      </c>
      <c r="R710">
        <v>0.999</v>
      </c>
      <c r="S710">
        <v>0</v>
      </c>
    </row>
    <row r="711" spans="1:19" x14ac:dyDescent="0.2">
      <c r="A711" s="3" t="s">
        <v>54</v>
      </c>
      <c r="B711" s="3" t="s">
        <v>55</v>
      </c>
      <c r="C711">
        <v>43</v>
      </c>
      <c r="D711">
        <v>20000</v>
      </c>
      <c r="E711">
        <v>499</v>
      </c>
      <c r="F711">
        <v>1</v>
      </c>
      <c r="G711">
        <v>82302.7524576211</v>
      </c>
      <c r="H711">
        <v>8.9572106999999998E-2</v>
      </c>
      <c r="I711">
        <v>15030</v>
      </c>
      <c r="J711">
        <v>5336</v>
      </c>
      <c r="K711">
        <v>9694</v>
      </c>
      <c r="L711">
        <v>500</v>
      </c>
      <c r="M711">
        <v>499</v>
      </c>
      <c r="N711">
        <v>1</v>
      </c>
      <c r="O711">
        <v>19818.499998908799</v>
      </c>
      <c r="P711" s="3" t="s">
        <v>51</v>
      </c>
      <c r="Q711">
        <v>50</v>
      </c>
      <c r="R711">
        <v>0.999</v>
      </c>
      <c r="S711">
        <v>0</v>
      </c>
    </row>
    <row r="712" spans="1:19" x14ac:dyDescent="0.2">
      <c r="A712" s="3" t="s">
        <v>54</v>
      </c>
      <c r="B712" s="3" t="s">
        <v>55</v>
      </c>
      <c r="C712">
        <v>45</v>
      </c>
      <c r="D712">
        <v>18000</v>
      </c>
      <c r="E712">
        <v>499</v>
      </c>
      <c r="F712">
        <v>1</v>
      </c>
      <c r="G712">
        <v>75479.649376234796</v>
      </c>
      <c r="H712">
        <v>8.9361504999999994E-2</v>
      </c>
      <c r="I712">
        <v>14466</v>
      </c>
      <c r="J712">
        <v>4723</v>
      </c>
      <c r="K712">
        <v>9743</v>
      </c>
      <c r="L712">
        <v>500</v>
      </c>
      <c r="M712">
        <v>499</v>
      </c>
      <c r="N712">
        <v>1</v>
      </c>
      <c r="O712">
        <v>14102.807861733299</v>
      </c>
      <c r="P712" s="3" t="s">
        <v>51</v>
      </c>
      <c r="Q712">
        <v>50</v>
      </c>
      <c r="R712">
        <v>0.999</v>
      </c>
      <c r="S712">
        <v>0</v>
      </c>
    </row>
    <row r="713" spans="1:19" x14ac:dyDescent="0.2">
      <c r="A713" s="3" t="s">
        <v>54</v>
      </c>
      <c r="B713" s="3" t="s">
        <v>55</v>
      </c>
      <c r="C713">
        <v>29</v>
      </c>
      <c r="D713">
        <v>20000</v>
      </c>
      <c r="E713">
        <v>499</v>
      </c>
      <c r="F713">
        <v>1</v>
      </c>
      <c r="G713">
        <v>82302.7524576211</v>
      </c>
      <c r="H713">
        <v>8.9105404999999999E-2</v>
      </c>
      <c r="I713">
        <v>14973</v>
      </c>
      <c r="J713">
        <v>5323</v>
      </c>
      <c r="K713">
        <v>9650</v>
      </c>
      <c r="L713">
        <v>500</v>
      </c>
      <c r="M713">
        <v>499</v>
      </c>
      <c r="N713">
        <v>1</v>
      </c>
      <c r="O713">
        <v>20046.8910589964</v>
      </c>
      <c r="P713" s="3" t="s">
        <v>51</v>
      </c>
      <c r="Q713">
        <v>50</v>
      </c>
      <c r="R713">
        <v>0.999</v>
      </c>
      <c r="S713">
        <v>0</v>
      </c>
    </row>
    <row r="714" spans="1:19" x14ac:dyDescent="0.2">
      <c r="A714" s="3" t="s">
        <v>54</v>
      </c>
      <c r="B714" s="3" t="s">
        <v>55</v>
      </c>
      <c r="C714">
        <v>18</v>
      </c>
      <c r="D714">
        <v>20000</v>
      </c>
      <c r="E714">
        <v>499</v>
      </c>
      <c r="F714">
        <v>1</v>
      </c>
      <c r="G714">
        <v>82302.7524576211</v>
      </c>
      <c r="H714">
        <v>8.8931726000000003E-2</v>
      </c>
      <c r="I714">
        <v>15010</v>
      </c>
      <c r="J714">
        <v>5330</v>
      </c>
      <c r="K714">
        <v>9680</v>
      </c>
      <c r="L714">
        <v>500</v>
      </c>
      <c r="M714">
        <v>499</v>
      </c>
      <c r="N714">
        <v>1</v>
      </c>
      <c r="O714">
        <v>19800.259063613201</v>
      </c>
      <c r="P714" s="3" t="s">
        <v>51</v>
      </c>
      <c r="Q714">
        <v>50</v>
      </c>
      <c r="R714">
        <v>0.999</v>
      </c>
      <c r="S714">
        <v>0</v>
      </c>
    </row>
    <row r="715" spans="1:19" x14ac:dyDescent="0.2">
      <c r="A715" s="3" t="s">
        <v>54</v>
      </c>
      <c r="B715" s="3" t="s">
        <v>55</v>
      </c>
      <c r="C715">
        <v>50</v>
      </c>
      <c r="D715">
        <v>18000</v>
      </c>
      <c r="E715">
        <v>499</v>
      </c>
      <c r="F715">
        <v>1</v>
      </c>
      <c r="G715">
        <v>75479.649376234796</v>
      </c>
      <c r="H715">
        <v>8.8929509000000004E-2</v>
      </c>
      <c r="I715">
        <v>14444</v>
      </c>
      <c r="J715">
        <v>4707</v>
      </c>
      <c r="K715">
        <v>9737</v>
      </c>
      <c r="L715">
        <v>500</v>
      </c>
      <c r="M715">
        <v>499</v>
      </c>
      <c r="N715">
        <v>1</v>
      </c>
      <c r="O715">
        <v>14239.255200130499</v>
      </c>
      <c r="P715" s="3" t="s">
        <v>51</v>
      </c>
      <c r="Q715">
        <v>50</v>
      </c>
      <c r="R715">
        <v>0.999</v>
      </c>
      <c r="S715">
        <v>0</v>
      </c>
    </row>
    <row r="716" spans="1:19" x14ac:dyDescent="0.2">
      <c r="A716" s="3" t="s">
        <v>54</v>
      </c>
      <c r="B716" s="3" t="s">
        <v>55</v>
      </c>
      <c r="C716">
        <v>1</v>
      </c>
      <c r="D716">
        <v>18000</v>
      </c>
      <c r="E716">
        <v>499</v>
      </c>
      <c r="F716">
        <v>1</v>
      </c>
      <c r="G716">
        <v>75479.649376234796</v>
      </c>
      <c r="H716">
        <v>8.8634745000000001E-2</v>
      </c>
      <c r="I716">
        <v>14486</v>
      </c>
      <c r="J716">
        <v>4715</v>
      </c>
      <c r="K716">
        <v>9771</v>
      </c>
      <c r="L716">
        <v>500</v>
      </c>
      <c r="M716">
        <v>499</v>
      </c>
      <c r="N716">
        <v>1</v>
      </c>
      <c r="O716">
        <v>14060.9625372184</v>
      </c>
      <c r="P716" s="3" t="s">
        <v>51</v>
      </c>
      <c r="Q716">
        <v>50</v>
      </c>
      <c r="R716">
        <v>0.999</v>
      </c>
      <c r="S716">
        <v>0</v>
      </c>
    </row>
    <row r="717" spans="1:19" x14ac:dyDescent="0.2">
      <c r="A717" s="3" t="s">
        <v>54</v>
      </c>
      <c r="B717" s="3" t="s">
        <v>55</v>
      </c>
      <c r="C717">
        <v>19</v>
      </c>
      <c r="D717">
        <v>20000</v>
      </c>
      <c r="E717">
        <v>499</v>
      </c>
      <c r="F717">
        <v>1</v>
      </c>
      <c r="G717">
        <v>82302.7524576211</v>
      </c>
      <c r="H717">
        <v>8.8368389000000006E-2</v>
      </c>
      <c r="I717">
        <v>15005</v>
      </c>
      <c r="J717">
        <v>5329</v>
      </c>
      <c r="K717">
        <v>9676</v>
      </c>
      <c r="L717">
        <v>500</v>
      </c>
      <c r="M717">
        <v>499</v>
      </c>
      <c r="N717">
        <v>1</v>
      </c>
      <c r="O717">
        <v>19870.885253273202</v>
      </c>
      <c r="P717" s="3" t="s">
        <v>51</v>
      </c>
      <c r="Q717">
        <v>50</v>
      </c>
      <c r="R717">
        <v>0.999</v>
      </c>
      <c r="S717">
        <v>0</v>
      </c>
    </row>
    <row r="718" spans="1:19" x14ac:dyDescent="0.2">
      <c r="A718" s="3" t="s">
        <v>54</v>
      </c>
      <c r="B718" s="3" t="s">
        <v>55</v>
      </c>
      <c r="C718">
        <v>10</v>
      </c>
      <c r="D718">
        <v>18000</v>
      </c>
      <c r="E718">
        <v>499</v>
      </c>
      <c r="F718">
        <v>1</v>
      </c>
      <c r="G718">
        <v>75479.649376234796</v>
      </c>
      <c r="H718">
        <v>8.8209732999999999E-2</v>
      </c>
      <c r="I718">
        <v>14512</v>
      </c>
      <c r="J718">
        <v>4744</v>
      </c>
      <c r="K718">
        <v>9768</v>
      </c>
      <c r="L718">
        <v>500</v>
      </c>
      <c r="M718">
        <v>499</v>
      </c>
      <c r="N718">
        <v>1</v>
      </c>
      <c r="O718">
        <v>13931.5566686684</v>
      </c>
      <c r="P718" s="3" t="s">
        <v>51</v>
      </c>
      <c r="Q718">
        <v>50</v>
      </c>
      <c r="R718">
        <v>0.999</v>
      </c>
      <c r="S718">
        <v>0</v>
      </c>
    </row>
    <row r="719" spans="1:19" x14ac:dyDescent="0.2">
      <c r="A719" s="3" t="s">
        <v>54</v>
      </c>
      <c r="B719" s="3" t="s">
        <v>55</v>
      </c>
      <c r="C719">
        <v>28</v>
      </c>
      <c r="D719">
        <v>18000</v>
      </c>
      <c r="E719">
        <v>499</v>
      </c>
      <c r="F719">
        <v>1</v>
      </c>
      <c r="G719">
        <v>75479.649376234796</v>
      </c>
      <c r="H719">
        <v>8.8119872000000002E-2</v>
      </c>
      <c r="I719">
        <v>14445</v>
      </c>
      <c r="J719">
        <v>4732</v>
      </c>
      <c r="K719">
        <v>9713</v>
      </c>
      <c r="L719">
        <v>500</v>
      </c>
      <c r="M719">
        <v>499</v>
      </c>
      <c r="N719">
        <v>1</v>
      </c>
      <c r="O719">
        <v>14163.1828876171</v>
      </c>
      <c r="P719" s="3" t="s">
        <v>51</v>
      </c>
      <c r="Q719">
        <v>50</v>
      </c>
      <c r="R719">
        <v>0.999</v>
      </c>
      <c r="S719">
        <v>0</v>
      </c>
    </row>
    <row r="720" spans="1:19" x14ac:dyDescent="0.2">
      <c r="A720" s="3" t="s">
        <v>54</v>
      </c>
      <c r="B720" s="3" t="s">
        <v>55</v>
      </c>
      <c r="C720">
        <v>30</v>
      </c>
      <c r="D720">
        <v>18000</v>
      </c>
      <c r="E720">
        <v>499</v>
      </c>
      <c r="F720">
        <v>1</v>
      </c>
      <c r="G720">
        <v>75479.649376234796</v>
      </c>
      <c r="H720">
        <v>8.8018363000000002E-2</v>
      </c>
      <c r="I720">
        <v>14479</v>
      </c>
      <c r="J720">
        <v>4732</v>
      </c>
      <c r="K720">
        <v>9747</v>
      </c>
      <c r="L720">
        <v>500</v>
      </c>
      <c r="M720">
        <v>499</v>
      </c>
      <c r="N720">
        <v>1</v>
      </c>
      <c r="O720">
        <v>13975.977126762</v>
      </c>
      <c r="P720" s="3" t="s">
        <v>51</v>
      </c>
      <c r="Q720">
        <v>50</v>
      </c>
      <c r="R720">
        <v>0.999</v>
      </c>
      <c r="S720">
        <v>0</v>
      </c>
    </row>
    <row r="721" spans="1:19" x14ac:dyDescent="0.2">
      <c r="A721" s="3" t="s">
        <v>54</v>
      </c>
      <c r="B721" s="3" t="s">
        <v>55</v>
      </c>
      <c r="C721">
        <v>2</v>
      </c>
      <c r="D721">
        <v>18000</v>
      </c>
      <c r="E721">
        <v>499</v>
      </c>
      <c r="F721">
        <v>1</v>
      </c>
      <c r="G721">
        <v>75479.649376234796</v>
      </c>
      <c r="H721">
        <v>8.7808445999999998E-2</v>
      </c>
      <c r="I721">
        <v>14442</v>
      </c>
      <c r="J721">
        <v>4707</v>
      </c>
      <c r="K721">
        <v>9735</v>
      </c>
      <c r="L721">
        <v>500</v>
      </c>
      <c r="M721">
        <v>499</v>
      </c>
      <c r="N721">
        <v>1</v>
      </c>
      <c r="O721">
        <v>14157.6211463206</v>
      </c>
      <c r="P721" s="3" t="s">
        <v>51</v>
      </c>
      <c r="Q721">
        <v>50</v>
      </c>
      <c r="R721">
        <v>0.999</v>
      </c>
      <c r="S721">
        <v>0</v>
      </c>
    </row>
    <row r="722" spans="1:19" x14ac:dyDescent="0.2">
      <c r="A722" s="3" t="s">
        <v>54</v>
      </c>
      <c r="B722" s="3" t="s">
        <v>55</v>
      </c>
      <c r="C722">
        <v>25</v>
      </c>
      <c r="D722">
        <v>20000</v>
      </c>
      <c r="E722">
        <v>499</v>
      </c>
      <c r="F722">
        <v>1</v>
      </c>
      <c r="G722">
        <v>82302.7524576211</v>
      </c>
      <c r="H722">
        <v>8.7699153000000002E-2</v>
      </c>
      <c r="I722">
        <v>15042</v>
      </c>
      <c r="J722">
        <v>5348</v>
      </c>
      <c r="K722">
        <v>9694</v>
      </c>
      <c r="L722">
        <v>500</v>
      </c>
      <c r="M722">
        <v>499</v>
      </c>
      <c r="N722">
        <v>1</v>
      </c>
      <c r="O722">
        <v>19880.770533455699</v>
      </c>
      <c r="P722" s="3" t="s">
        <v>51</v>
      </c>
      <c r="Q722">
        <v>50</v>
      </c>
      <c r="R722">
        <v>0.999</v>
      </c>
      <c r="S722">
        <v>0</v>
      </c>
    </row>
    <row r="723" spans="1:19" x14ac:dyDescent="0.2">
      <c r="A723" s="3" t="s">
        <v>54</v>
      </c>
      <c r="B723" s="3" t="s">
        <v>55</v>
      </c>
      <c r="C723">
        <v>30</v>
      </c>
      <c r="D723">
        <v>20000</v>
      </c>
      <c r="E723">
        <v>499</v>
      </c>
      <c r="F723">
        <v>1</v>
      </c>
      <c r="G723">
        <v>82302.7524576211</v>
      </c>
      <c r="H723">
        <v>8.7651687000000006E-2</v>
      </c>
      <c r="I723">
        <v>15056</v>
      </c>
      <c r="J723">
        <v>5358</v>
      </c>
      <c r="K723">
        <v>9698</v>
      </c>
      <c r="L723">
        <v>500</v>
      </c>
      <c r="M723">
        <v>499</v>
      </c>
      <c r="N723">
        <v>1</v>
      </c>
      <c r="O723">
        <v>19766.816088480598</v>
      </c>
      <c r="P723" s="3" t="s">
        <v>51</v>
      </c>
      <c r="Q723">
        <v>50</v>
      </c>
      <c r="R723">
        <v>0.999</v>
      </c>
      <c r="S723">
        <v>0</v>
      </c>
    </row>
    <row r="724" spans="1:19" x14ac:dyDescent="0.2">
      <c r="A724" s="3" t="s">
        <v>54</v>
      </c>
      <c r="B724" s="3" t="s">
        <v>55</v>
      </c>
      <c r="C724">
        <v>28</v>
      </c>
      <c r="D724">
        <v>20000</v>
      </c>
      <c r="E724">
        <v>499</v>
      </c>
      <c r="F724">
        <v>1</v>
      </c>
      <c r="G724">
        <v>82302.7524576211</v>
      </c>
      <c r="H724">
        <v>8.7279210999999995E-2</v>
      </c>
      <c r="I724">
        <v>15025</v>
      </c>
      <c r="J724">
        <v>5343</v>
      </c>
      <c r="K724">
        <v>9682</v>
      </c>
      <c r="L724">
        <v>500</v>
      </c>
      <c r="M724">
        <v>499</v>
      </c>
      <c r="N724">
        <v>1</v>
      </c>
      <c r="O724">
        <v>19879.906582558899</v>
      </c>
      <c r="P724" s="3" t="s">
        <v>51</v>
      </c>
      <c r="Q724">
        <v>50</v>
      </c>
      <c r="R724">
        <v>0.999</v>
      </c>
      <c r="S724">
        <v>0</v>
      </c>
    </row>
    <row r="725" spans="1:19" x14ac:dyDescent="0.2">
      <c r="A725" s="3" t="s">
        <v>54</v>
      </c>
      <c r="B725" s="3" t="s">
        <v>55</v>
      </c>
      <c r="C725">
        <v>8</v>
      </c>
      <c r="D725">
        <v>20000</v>
      </c>
      <c r="E725">
        <v>499</v>
      </c>
      <c r="F725">
        <v>1</v>
      </c>
      <c r="G725">
        <v>82302.7524576211</v>
      </c>
      <c r="H725">
        <v>8.7254524E-2</v>
      </c>
      <c r="I725">
        <v>15023</v>
      </c>
      <c r="J725">
        <v>5347</v>
      </c>
      <c r="K725">
        <v>9676</v>
      </c>
      <c r="L725">
        <v>500</v>
      </c>
      <c r="M725">
        <v>499</v>
      </c>
      <c r="N725">
        <v>1</v>
      </c>
      <c r="O725">
        <v>19812.708167492699</v>
      </c>
      <c r="P725" s="3" t="s">
        <v>51</v>
      </c>
      <c r="Q725">
        <v>50</v>
      </c>
      <c r="R725">
        <v>0.999</v>
      </c>
      <c r="S725">
        <v>0</v>
      </c>
    </row>
    <row r="726" spans="1:19" x14ac:dyDescent="0.2">
      <c r="A726" s="3" t="s">
        <v>54</v>
      </c>
      <c r="B726" s="3" t="s">
        <v>55</v>
      </c>
      <c r="C726">
        <v>24</v>
      </c>
      <c r="D726">
        <v>20000</v>
      </c>
      <c r="E726">
        <v>499</v>
      </c>
      <c r="F726">
        <v>1</v>
      </c>
      <c r="G726">
        <v>82302.7524576211</v>
      </c>
      <c r="H726">
        <v>8.7035477999999999E-2</v>
      </c>
      <c r="I726">
        <v>15045</v>
      </c>
      <c r="J726">
        <v>5334</v>
      </c>
      <c r="K726">
        <v>9711</v>
      </c>
      <c r="L726">
        <v>500</v>
      </c>
      <c r="M726">
        <v>499</v>
      </c>
      <c r="N726">
        <v>1</v>
      </c>
      <c r="O726">
        <v>19990.780960513501</v>
      </c>
      <c r="P726" s="3" t="s">
        <v>51</v>
      </c>
      <c r="Q726">
        <v>50</v>
      </c>
      <c r="R726">
        <v>0.999</v>
      </c>
      <c r="S726">
        <v>0</v>
      </c>
    </row>
    <row r="727" spans="1:19" x14ac:dyDescent="0.2">
      <c r="A727" s="3" t="s">
        <v>54</v>
      </c>
      <c r="B727" s="3" t="s">
        <v>55</v>
      </c>
      <c r="C727">
        <v>9</v>
      </c>
      <c r="D727">
        <v>20000</v>
      </c>
      <c r="E727">
        <v>499</v>
      </c>
      <c r="F727">
        <v>1</v>
      </c>
      <c r="G727">
        <v>82302.7524576211</v>
      </c>
      <c r="H727">
        <v>8.7016724000000004E-2</v>
      </c>
      <c r="I727">
        <v>15030</v>
      </c>
      <c r="J727">
        <v>5352</v>
      </c>
      <c r="K727">
        <v>9678</v>
      </c>
      <c r="L727">
        <v>500</v>
      </c>
      <c r="M727">
        <v>499</v>
      </c>
      <c r="N727">
        <v>1</v>
      </c>
      <c r="O727">
        <v>19886.444778555899</v>
      </c>
      <c r="P727" s="3" t="s">
        <v>51</v>
      </c>
      <c r="Q727">
        <v>50</v>
      </c>
      <c r="R727">
        <v>0.999</v>
      </c>
      <c r="S727">
        <v>0</v>
      </c>
    </row>
    <row r="728" spans="1:19" x14ac:dyDescent="0.2">
      <c r="A728" s="3" t="s">
        <v>54</v>
      </c>
      <c r="B728" s="3" t="s">
        <v>55</v>
      </c>
      <c r="C728">
        <v>42</v>
      </c>
      <c r="D728">
        <v>20000</v>
      </c>
      <c r="E728">
        <v>499</v>
      </c>
      <c r="F728">
        <v>1</v>
      </c>
      <c r="G728">
        <v>82302.7524576211</v>
      </c>
      <c r="H728">
        <v>8.6972476000000007E-2</v>
      </c>
      <c r="I728">
        <v>15011</v>
      </c>
      <c r="J728">
        <v>5320</v>
      </c>
      <c r="K728">
        <v>9691</v>
      </c>
      <c r="L728">
        <v>500</v>
      </c>
      <c r="M728">
        <v>499</v>
      </c>
      <c r="N728">
        <v>1</v>
      </c>
      <c r="O728">
        <v>19993.516379641002</v>
      </c>
      <c r="P728" s="3" t="s">
        <v>51</v>
      </c>
      <c r="Q728">
        <v>50</v>
      </c>
      <c r="R728">
        <v>0.999</v>
      </c>
      <c r="S728">
        <v>0</v>
      </c>
    </row>
    <row r="729" spans="1:19" x14ac:dyDescent="0.2">
      <c r="A729" s="3" t="s">
        <v>54</v>
      </c>
      <c r="B729" s="3" t="s">
        <v>55</v>
      </c>
      <c r="C729">
        <v>1</v>
      </c>
      <c r="D729">
        <v>20000</v>
      </c>
      <c r="E729">
        <v>499</v>
      </c>
      <c r="F729">
        <v>1</v>
      </c>
      <c r="G729">
        <v>82302.7524576211</v>
      </c>
      <c r="H729">
        <v>8.6964536999999995E-2</v>
      </c>
      <c r="I729">
        <v>14995</v>
      </c>
      <c r="J729">
        <v>5333</v>
      </c>
      <c r="K729">
        <v>9662</v>
      </c>
      <c r="L729">
        <v>500</v>
      </c>
      <c r="M729">
        <v>499</v>
      </c>
      <c r="N729">
        <v>1</v>
      </c>
      <c r="O729">
        <v>19989.8563221037</v>
      </c>
      <c r="P729" s="3" t="s">
        <v>51</v>
      </c>
      <c r="Q729">
        <v>50</v>
      </c>
      <c r="R729">
        <v>0.999</v>
      </c>
      <c r="S729">
        <v>0</v>
      </c>
    </row>
    <row r="730" spans="1:19" x14ac:dyDescent="0.2">
      <c r="A730" s="3" t="s">
        <v>54</v>
      </c>
      <c r="B730" s="3" t="s">
        <v>55</v>
      </c>
      <c r="C730">
        <v>45</v>
      </c>
      <c r="D730">
        <v>20000</v>
      </c>
      <c r="E730">
        <v>499</v>
      </c>
      <c r="F730">
        <v>1</v>
      </c>
      <c r="G730">
        <v>82302.7524576211</v>
      </c>
      <c r="H730">
        <v>8.6590523000000003E-2</v>
      </c>
      <c r="I730">
        <v>15021</v>
      </c>
      <c r="J730">
        <v>5325</v>
      </c>
      <c r="K730">
        <v>9696</v>
      </c>
      <c r="L730">
        <v>500</v>
      </c>
      <c r="M730">
        <v>499</v>
      </c>
      <c r="N730">
        <v>1</v>
      </c>
      <c r="O730">
        <v>19981.951674378401</v>
      </c>
      <c r="P730" s="3" t="s">
        <v>51</v>
      </c>
      <c r="Q730">
        <v>50</v>
      </c>
      <c r="R730">
        <v>0.999</v>
      </c>
      <c r="S730">
        <v>0</v>
      </c>
    </row>
    <row r="731" spans="1:19" x14ac:dyDescent="0.2">
      <c r="A731" s="3" t="s">
        <v>54</v>
      </c>
      <c r="B731" s="3" t="s">
        <v>55</v>
      </c>
      <c r="C731">
        <v>49</v>
      </c>
      <c r="D731">
        <v>18000</v>
      </c>
      <c r="E731">
        <v>499</v>
      </c>
      <c r="F731">
        <v>1</v>
      </c>
      <c r="G731">
        <v>75479.649376234796</v>
      </c>
      <c r="H731">
        <v>8.6547373999999996E-2</v>
      </c>
      <c r="I731">
        <v>14495</v>
      </c>
      <c r="J731">
        <v>4755</v>
      </c>
      <c r="K731">
        <v>9740</v>
      </c>
      <c r="L731">
        <v>500</v>
      </c>
      <c r="M731">
        <v>499</v>
      </c>
      <c r="N731">
        <v>1</v>
      </c>
      <c r="O731">
        <v>13999.031803604101</v>
      </c>
      <c r="P731" s="3" t="s">
        <v>51</v>
      </c>
      <c r="Q731">
        <v>50</v>
      </c>
      <c r="R731">
        <v>0.999</v>
      </c>
      <c r="S731">
        <v>0</v>
      </c>
    </row>
    <row r="732" spans="1:19" x14ac:dyDescent="0.2">
      <c r="A732" s="3" t="s">
        <v>54</v>
      </c>
      <c r="B732" s="3" t="s">
        <v>55</v>
      </c>
      <c r="C732">
        <v>3</v>
      </c>
      <c r="D732">
        <v>20000</v>
      </c>
      <c r="E732">
        <v>499</v>
      </c>
      <c r="F732">
        <v>1</v>
      </c>
      <c r="G732">
        <v>82302.7524576211</v>
      </c>
      <c r="H732">
        <v>8.6327767E-2</v>
      </c>
      <c r="I732">
        <v>15049</v>
      </c>
      <c r="J732">
        <v>5346</v>
      </c>
      <c r="K732">
        <v>9703</v>
      </c>
      <c r="L732">
        <v>500</v>
      </c>
      <c r="M732">
        <v>499</v>
      </c>
      <c r="N732">
        <v>1</v>
      </c>
      <c r="O732">
        <v>19864.857208960901</v>
      </c>
      <c r="P732" s="3" t="s">
        <v>51</v>
      </c>
      <c r="Q732">
        <v>50</v>
      </c>
      <c r="R732">
        <v>0.999</v>
      </c>
      <c r="S732">
        <v>0</v>
      </c>
    </row>
    <row r="733" spans="1:19" x14ac:dyDescent="0.2">
      <c r="A733" s="3" t="s">
        <v>54</v>
      </c>
      <c r="B733" s="3" t="s">
        <v>55</v>
      </c>
      <c r="C733">
        <v>2</v>
      </c>
      <c r="D733">
        <v>20000</v>
      </c>
      <c r="E733">
        <v>499</v>
      </c>
      <c r="F733">
        <v>1</v>
      </c>
      <c r="G733">
        <v>82302.7524576211</v>
      </c>
      <c r="H733">
        <v>8.6244672999999994E-2</v>
      </c>
      <c r="I733">
        <v>15032</v>
      </c>
      <c r="J733">
        <v>5320</v>
      </c>
      <c r="K733">
        <v>9712</v>
      </c>
      <c r="L733">
        <v>500</v>
      </c>
      <c r="M733">
        <v>499</v>
      </c>
      <c r="N733">
        <v>1</v>
      </c>
      <c r="O733">
        <v>20041.616253689801</v>
      </c>
      <c r="P733" s="3" t="s">
        <v>51</v>
      </c>
      <c r="Q733">
        <v>50</v>
      </c>
      <c r="R733">
        <v>0.999</v>
      </c>
      <c r="S733">
        <v>0</v>
      </c>
    </row>
    <row r="734" spans="1:19" x14ac:dyDescent="0.2">
      <c r="A734" s="3" t="s">
        <v>54</v>
      </c>
      <c r="B734" s="3" t="s">
        <v>55</v>
      </c>
      <c r="C734">
        <v>11</v>
      </c>
      <c r="D734">
        <v>20000</v>
      </c>
      <c r="E734">
        <v>499</v>
      </c>
      <c r="F734">
        <v>1</v>
      </c>
      <c r="G734">
        <v>82302.7524576211</v>
      </c>
      <c r="H734">
        <v>8.6163704999999993E-2</v>
      </c>
      <c r="I734">
        <v>15033</v>
      </c>
      <c r="J734">
        <v>5343</v>
      </c>
      <c r="K734">
        <v>9690</v>
      </c>
      <c r="L734">
        <v>500</v>
      </c>
      <c r="M734">
        <v>499</v>
      </c>
      <c r="N734">
        <v>1</v>
      </c>
      <c r="O734">
        <v>19798.286865851202</v>
      </c>
      <c r="P734" s="3" t="s">
        <v>51</v>
      </c>
      <c r="Q734">
        <v>50</v>
      </c>
      <c r="R734">
        <v>0.999</v>
      </c>
      <c r="S734">
        <v>0</v>
      </c>
    </row>
    <row r="735" spans="1:19" x14ac:dyDescent="0.2">
      <c r="A735" s="3" t="s">
        <v>54</v>
      </c>
      <c r="B735" s="3" t="s">
        <v>55</v>
      </c>
      <c r="C735">
        <v>4</v>
      </c>
      <c r="D735">
        <v>20000</v>
      </c>
      <c r="E735">
        <v>499</v>
      </c>
      <c r="F735">
        <v>1</v>
      </c>
      <c r="G735">
        <v>82302.7524576211</v>
      </c>
      <c r="H735">
        <v>8.6108282999999994E-2</v>
      </c>
      <c r="I735">
        <v>15040</v>
      </c>
      <c r="J735">
        <v>5329</v>
      </c>
      <c r="K735">
        <v>9711</v>
      </c>
      <c r="L735">
        <v>500</v>
      </c>
      <c r="M735">
        <v>499</v>
      </c>
      <c r="N735">
        <v>1</v>
      </c>
      <c r="O735">
        <v>19866.771879323001</v>
      </c>
      <c r="P735" s="3" t="s">
        <v>51</v>
      </c>
      <c r="Q735">
        <v>50</v>
      </c>
      <c r="R735">
        <v>0.999</v>
      </c>
      <c r="S735">
        <v>0</v>
      </c>
    </row>
    <row r="736" spans="1:19" x14ac:dyDescent="0.2">
      <c r="A736" s="3" t="s">
        <v>54</v>
      </c>
      <c r="B736" s="3" t="s">
        <v>55</v>
      </c>
      <c r="C736">
        <v>11</v>
      </c>
      <c r="D736">
        <v>18000</v>
      </c>
      <c r="E736">
        <v>499</v>
      </c>
      <c r="F736">
        <v>1</v>
      </c>
      <c r="G736">
        <v>75479.649376234796</v>
      </c>
      <c r="H736">
        <v>8.6073908000000005E-2</v>
      </c>
      <c r="I736">
        <v>14477</v>
      </c>
      <c r="J736">
        <v>4738</v>
      </c>
      <c r="K736">
        <v>9739</v>
      </c>
      <c r="L736">
        <v>500</v>
      </c>
      <c r="M736">
        <v>499</v>
      </c>
      <c r="N736">
        <v>1</v>
      </c>
      <c r="O736">
        <v>13953.017718292</v>
      </c>
      <c r="P736" s="3" t="s">
        <v>51</v>
      </c>
      <c r="Q736">
        <v>50</v>
      </c>
      <c r="R736">
        <v>0.999</v>
      </c>
      <c r="S736">
        <v>0</v>
      </c>
    </row>
    <row r="737" spans="1:19" x14ac:dyDescent="0.2">
      <c r="A737" s="3" t="s">
        <v>54</v>
      </c>
      <c r="B737" s="3" t="s">
        <v>55</v>
      </c>
      <c r="C737">
        <v>15</v>
      </c>
      <c r="D737">
        <v>20000</v>
      </c>
      <c r="E737">
        <v>499</v>
      </c>
      <c r="F737">
        <v>1</v>
      </c>
      <c r="G737">
        <v>82302.7524576211</v>
      </c>
      <c r="H737">
        <v>8.6070864999999996E-2</v>
      </c>
      <c r="I737">
        <v>15026</v>
      </c>
      <c r="J737">
        <v>5357</v>
      </c>
      <c r="K737">
        <v>9669</v>
      </c>
      <c r="L737">
        <v>500</v>
      </c>
      <c r="M737">
        <v>499</v>
      </c>
      <c r="N737">
        <v>1</v>
      </c>
      <c r="O737">
        <v>19842.196781533799</v>
      </c>
      <c r="P737" s="3" t="s">
        <v>51</v>
      </c>
      <c r="Q737">
        <v>50</v>
      </c>
      <c r="R737">
        <v>0.999</v>
      </c>
      <c r="S737">
        <v>0</v>
      </c>
    </row>
    <row r="738" spans="1:19" x14ac:dyDescent="0.2">
      <c r="A738" s="3" t="s">
        <v>54</v>
      </c>
      <c r="B738" s="3" t="s">
        <v>55</v>
      </c>
      <c r="C738">
        <v>44</v>
      </c>
      <c r="D738">
        <v>20000</v>
      </c>
      <c r="E738">
        <v>499</v>
      </c>
      <c r="F738">
        <v>1</v>
      </c>
      <c r="G738">
        <v>82302.7524576211</v>
      </c>
      <c r="H738">
        <v>8.5590899999999998E-2</v>
      </c>
      <c r="I738">
        <v>15052</v>
      </c>
      <c r="J738">
        <v>5369</v>
      </c>
      <c r="K738">
        <v>9683</v>
      </c>
      <c r="L738">
        <v>500</v>
      </c>
      <c r="M738">
        <v>499</v>
      </c>
      <c r="N738">
        <v>1</v>
      </c>
      <c r="O738">
        <v>19785.3242090842</v>
      </c>
      <c r="P738" s="3" t="s">
        <v>51</v>
      </c>
      <c r="Q738">
        <v>50</v>
      </c>
      <c r="R738">
        <v>0.999</v>
      </c>
      <c r="S738">
        <v>0</v>
      </c>
    </row>
    <row r="739" spans="1:19" x14ac:dyDescent="0.2">
      <c r="A739" s="3" t="s">
        <v>54</v>
      </c>
      <c r="B739" s="3" t="s">
        <v>55</v>
      </c>
      <c r="C739">
        <v>34</v>
      </c>
      <c r="D739">
        <v>18000</v>
      </c>
      <c r="E739">
        <v>499</v>
      </c>
      <c r="F739">
        <v>1</v>
      </c>
      <c r="G739">
        <v>75479.649376234796</v>
      </c>
      <c r="H739">
        <v>8.5533534999999994E-2</v>
      </c>
      <c r="I739">
        <v>14447</v>
      </c>
      <c r="J739">
        <v>4688</v>
      </c>
      <c r="K739">
        <v>9759</v>
      </c>
      <c r="L739">
        <v>500</v>
      </c>
      <c r="M739">
        <v>499</v>
      </c>
      <c r="N739">
        <v>1</v>
      </c>
      <c r="O739">
        <v>14290.198433620901</v>
      </c>
      <c r="P739" s="3" t="s">
        <v>51</v>
      </c>
      <c r="Q739">
        <v>50</v>
      </c>
      <c r="R739">
        <v>0.999</v>
      </c>
      <c r="S739">
        <v>0</v>
      </c>
    </row>
    <row r="740" spans="1:19" x14ac:dyDescent="0.2">
      <c r="A740" s="3" t="s">
        <v>54</v>
      </c>
      <c r="B740" s="3" t="s">
        <v>55</v>
      </c>
      <c r="C740">
        <v>13</v>
      </c>
      <c r="D740">
        <v>20000</v>
      </c>
      <c r="E740">
        <v>499</v>
      </c>
      <c r="F740">
        <v>1</v>
      </c>
      <c r="G740">
        <v>82302.7524576211</v>
      </c>
      <c r="H740">
        <v>8.5258783000000005E-2</v>
      </c>
      <c r="I740">
        <v>15008</v>
      </c>
      <c r="J740">
        <v>5339</v>
      </c>
      <c r="K740">
        <v>9669</v>
      </c>
      <c r="L740">
        <v>500</v>
      </c>
      <c r="M740">
        <v>499</v>
      </c>
      <c r="N740">
        <v>1</v>
      </c>
      <c r="O740">
        <v>19978.247947265099</v>
      </c>
      <c r="P740" s="3" t="s">
        <v>51</v>
      </c>
      <c r="Q740">
        <v>50</v>
      </c>
      <c r="R740">
        <v>0.999</v>
      </c>
      <c r="S740">
        <v>0</v>
      </c>
    </row>
    <row r="741" spans="1:19" x14ac:dyDescent="0.2">
      <c r="A741" s="3" t="s">
        <v>54</v>
      </c>
      <c r="B741" s="3" t="s">
        <v>55</v>
      </c>
      <c r="C741">
        <v>15</v>
      </c>
      <c r="D741">
        <v>18000</v>
      </c>
      <c r="E741">
        <v>499</v>
      </c>
      <c r="F741">
        <v>1</v>
      </c>
      <c r="G741">
        <v>75479.649376234796</v>
      </c>
      <c r="H741">
        <v>8.4848852000000002E-2</v>
      </c>
      <c r="I741">
        <v>14457</v>
      </c>
      <c r="J741">
        <v>4700</v>
      </c>
      <c r="K741">
        <v>9757</v>
      </c>
      <c r="L741">
        <v>500</v>
      </c>
      <c r="M741">
        <v>499</v>
      </c>
      <c r="N741">
        <v>1</v>
      </c>
      <c r="O741">
        <v>14135.135429276699</v>
      </c>
      <c r="P741" s="3" t="s">
        <v>51</v>
      </c>
      <c r="Q741">
        <v>50</v>
      </c>
      <c r="R741">
        <v>0.999</v>
      </c>
      <c r="S741">
        <v>0</v>
      </c>
    </row>
    <row r="742" spans="1:19" x14ac:dyDescent="0.2">
      <c r="A742" s="3" t="s">
        <v>54</v>
      </c>
      <c r="B742" s="3" t="s">
        <v>55</v>
      </c>
      <c r="C742">
        <v>42</v>
      </c>
      <c r="D742">
        <v>18000</v>
      </c>
      <c r="E742">
        <v>499</v>
      </c>
      <c r="F742">
        <v>1</v>
      </c>
      <c r="G742">
        <v>75479.649376234796</v>
      </c>
      <c r="H742">
        <v>8.4680296000000002E-2</v>
      </c>
      <c r="I742">
        <v>14445</v>
      </c>
      <c r="J742">
        <v>4693</v>
      </c>
      <c r="K742">
        <v>9752</v>
      </c>
      <c r="L742">
        <v>500</v>
      </c>
      <c r="M742">
        <v>499</v>
      </c>
      <c r="N742">
        <v>1</v>
      </c>
      <c r="O742">
        <v>14165.860444412599</v>
      </c>
      <c r="P742" s="3" t="s">
        <v>51</v>
      </c>
      <c r="Q742">
        <v>50</v>
      </c>
      <c r="R742">
        <v>0.999</v>
      </c>
      <c r="S742">
        <v>0</v>
      </c>
    </row>
    <row r="743" spans="1:19" x14ac:dyDescent="0.2">
      <c r="A743" s="3" t="s">
        <v>54</v>
      </c>
      <c r="B743" s="3" t="s">
        <v>55</v>
      </c>
      <c r="C743">
        <v>8</v>
      </c>
      <c r="D743">
        <v>18000</v>
      </c>
      <c r="E743">
        <v>499</v>
      </c>
      <c r="F743">
        <v>1</v>
      </c>
      <c r="G743">
        <v>75479.649376234796</v>
      </c>
      <c r="H743">
        <v>8.4680166000000001E-2</v>
      </c>
      <c r="I743">
        <v>14465</v>
      </c>
      <c r="J743">
        <v>4718</v>
      </c>
      <c r="K743">
        <v>9747</v>
      </c>
      <c r="L743">
        <v>500</v>
      </c>
      <c r="M743">
        <v>499</v>
      </c>
      <c r="N743">
        <v>1</v>
      </c>
      <c r="O743">
        <v>14059.6650347901</v>
      </c>
      <c r="P743" s="3" t="s">
        <v>51</v>
      </c>
      <c r="Q743">
        <v>50</v>
      </c>
      <c r="R743">
        <v>0.999</v>
      </c>
      <c r="S743">
        <v>0</v>
      </c>
    </row>
    <row r="744" spans="1:19" x14ac:dyDescent="0.2">
      <c r="A744" s="3" t="s">
        <v>54</v>
      </c>
      <c r="B744" s="3" t="s">
        <v>55</v>
      </c>
      <c r="C744">
        <v>10</v>
      </c>
      <c r="D744">
        <v>20000</v>
      </c>
      <c r="E744">
        <v>499</v>
      </c>
      <c r="F744">
        <v>1</v>
      </c>
      <c r="G744">
        <v>82302.7524576211</v>
      </c>
      <c r="H744">
        <v>8.4660568000000005E-2</v>
      </c>
      <c r="I744">
        <v>15017</v>
      </c>
      <c r="J744">
        <v>5321</v>
      </c>
      <c r="K744">
        <v>9696</v>
      </c>
      <c r="L744">
        <v>500</v>
      </c>
      <c r="M744">
        <v>499</v>
      </c>
      <c r="N744">
        <v>1</v>
      </c>
      <c r="O744">
        <v>20046.8713676972</v>
      </c>
      <c r="P744" s="3" t="s">
        <v>51</v>
      </c>
      <c r="Q744">
        <v>50</v>
      </c>
      <c r="R744">
        <v>0.999</v>
      </c>
      <c r="S744">
        <v>0</v>
      </c>
    </row>
    <row r="745" spans="1:19" x14ac:dyDescent="0.2">
      <c r="A745" s="3" t="s">
        <v>54</v>
      </c>
      <c r="B745" s="3" t="s">
        <v>55</v>
      </c>
      <c r="C745">
        <v>21</v>
      </c>
      <c r="D745">
        <v>18000</v>
      </c>
      <c r="E745">
        <v>499</v>
      </c>
      <c r="F745">
        <v>1</v>
      </c>
      <c r="G745">
        <v>75479.649376234796</v>
      </c>
      <c r="H745">
        <v>8.4625589000000001E-2</v>
      </c>
      <c r="I745">
        <v>14469</v>
      </c>
      <c r="J745">
        <v>4709</v>
      </c>
      <c r="K745">
        <v>9760</v>
      </c>
      <c r="L745">
        <v>500</v>
      </c>
      <c r="M745">
        <v>499</v>
      </c>
      <c r="N745">
        <v>1</v>
      </c>
      <c r="O745">
        <v>14086.2961780602</v>
      </c>
      <c r="P745" s="3" t="s">
        <v>51</v>
      </c>
      <c r="Q745">
        <v>50</v>
      </c>
      <c r="R745">
        <v>0.999</v>
      </c>
      <c r="S745">
        <v>0</v>
      </c>
    </row>
    <row r="746" spans="1:19" x14ac:dyDescent="0.2">
      <c r="A746" s="3" t="s">
        <v>54</v>
      </c>
      <c r="B746" s="3" t="s">
        <v>55</v>
      </c>
      <c r="C746">
        <v>34</v>
      </c>
      <c r="D746">
        <v>20000</v>
      </c>
      <c r="E746">
        <v>499</v>
      </c>
      <c r="F746">
        <v>1</v>
      </c>
      <c r="G746">
        <v>82302.7524576211</v>
      </c>
      <c r="H746">
        <v>8.4443154000000006E-2</v>
      </c>
      <c r="I746">
        <v>15034</v>
      </c>
      <c r="J746">
        <v>5327</v>
      </c>
      <c r="K746">
        <v>9707</v>
      </c>
      <c r="L746">
        <v>500</v>
      </c>
      <c r="M746">
        <v>499</v>
      </c>
      <c r="N746">
        <v>1</v>
      </c>
      <c r="O746">
        <v>19927.5423792609</v>
      </c>
      <c r="P746" s="3" t="s">
        <v>51</v>
      </c>
      <c r="Q746">
        <v>50</v>
      </c>
      <c r="R746">
        <v>0.999</v>
      </c>
      <c r="S746">
        <v>0</v>
      </c>
    </row>
    <row r="747" spans="1:19" x14ac:dyDescent="0.2">
      <c r="A747" s="3" t="s">
        <v>54</v>
      </c>
      <c r="B747" s="3" t="s">
        <v>55</v>
      </c>
      <c r="C747">
        <v>16</v>
      </c>
      <c r="D747">
        <v>20000</v>
      </c>
      <c r="E747">
        <v>499</v>
      </c>
      <c r="F747">
        <v>1</v>
      </c>
      <c r="G747">
        <v>82302.7524576211</v>
      </c>
      <c r="H747">
        <v>8.4255732999999999E-2</v>
      </c>
      <c r="I747">
        <v>15013</v>
      </c>
      <c r="J747">
        <v>5318</v>
      </c>
      <c r="K747">
        <v>9695</v>
      </c>
      <c r="L747">
        <v>500</v>
      </c>
      <c r="M747">
        <v>499</v>
      </c>
      <c r="N747">
        <v>1</v>
      </c>
      <c r="O747">
        <v>19912.325794662</v>
      </c>
      <c r="P747" s="3" t="s">
        <v>51</v>
      </c>
      <c r="Q747">
        <v>50</v>
      </c>
      <c r="R747">
        <v>0.999</v>
      </c>
      <c r="S747">
        <v>0</v>
      </c>
    </row>
    <row r="748" spans="1:19" x14ac:dyDescent="0.2">
      <c r="A748" s="3" t="s">
        <v>54</v>
      </c>
      <c r="B748" s="3" t="s">
        <v>55</v>
      </c>
      <c r="C748">
        <v>32</v>
      </c>
      <c r="D748">
        <v>18000</v>
      </c>
      <c r="E748">
        <v>499</v>
      </c>
      <c r="F748">
        <v>1</v>
      </c>
      <c r="G748">
        <v>75479.649376234796</v>
      </c>
      <c r="H748">
        <v>8.4030324000000003E-2</v>
      </c>
      <c r="I748">
        <v>14488</v>
      </c>
      <c r="J748">
        <v>4742</v>
      </c>
      <c r="K748">
        <v>9746</v>
      </c>
      <c r="L748">
        <v>500</v>
      </c>
      <c r="M748">
        <v>499</v>
      </c>
      <c r="N748">
        <v>1</v>
      </c>
      <c r="O748">
        <v>13992.1817427109</v>
      </c>
      <c r="P748" s="3" t="s">
        <v>51</v>
      </c>
      <c r="Q748">
        <v>50</v>
      </c>
      <c r="R748">
        <v>0.999</v>
      </c>
      <c r="S748">
        <v>0</v>
      </c>
    </row>
    <row r="749" spans="1:19" x14ac:dyDescent="0.2">
      <c r="A749" s="3" t="s">
        <v>54</v>
      </c>
      <c r="B749" s="3" t="s">
        <v>55</v>
      </c>
      <c r="C749">
        <v>44</v>
      </c>
      <c r="D749">
        <v>18000</v>
      </c>
      <c r="E749">
        <v>499</v>
      </c>
      <c r="F749">
        <v>1</v>
      </c>
      <c r="G749">
        <v>75479.649376234796</v>
      </c>
      <c r="H749">
        <v>8.4006225000000004E-2</v>
      </c>
      <c r="I749">
        <v>14492</v>
      </c>
      <c r="J749">
        <v>4705</v>
      </c>
      <c r="K749">
        <v>9787</v>
      </c>
      <c r="L749">
        <v>500</v>
      </c>
      <c r="M749">
        <v>499</v>
      </c>
      <c r="N749">
        <v>1</v>
      </c>
      <c r="O749">
        <v>14066.820505965001</v>
      </c>
      <c r="P749" s="3" t="s">
        <v>51</v>
      </c>
      <c r="Q749">
        <v>50</v>
      </c>
      <c r="R749">
        <v>0.999</v>
      </c>
      <c r="S749">
        <v>0</v>
      </c>
    </row>
    <row r="750" spans="1:19" x14ac:dyDescent="0.2">
      <c r="A750" s="3" t="s">
        <v>54</v>
      </c>
      <c r="B750" s="3" t="s">
        <v>55</v>
      </c>
      <c r="C750">
        <v>22</v>
      </c>
      <c r="D750">
        <v>20000</v>
      </c>
      <c r="E750">
        <v>499</v>
      </c>
      <c r="F750">
        <v>1</v>
      </c>
      <c r="G750">
        <v>82302.7524576211</v>
      </c>
      <c r="H750">
        <v>8.3706870000000003E-2</v>
      </c>
      <c r="I750">
        <v>15020</v>
      </c>
      <c r="J750">
        <v>5343</v>
      </c>
      <c r="K750">
        <v>9677</v>
      </c>
      <c r="L750">
        <v>500</v>
      </c>
      <c r="M750">
        <v>499</v>
      </c>
      <c r="N750">
        <v>1</v>
      </c>
      <c r="O750">
        <v>19961.631097838199</v>
      </c>
      <c r="P750" s="3" t="s">
        <v>51</v>
      </c>
      <c r="Q750">
        <v>50</v>
      </c>
      <c r="R750">
        <v>0.999</v>
      </c>
      <c r="S750">
        <v>0</v>
      </c>
    </row>
    <row r="751" spans="1:19" x14ac:dyDescent="0.2">
      <c r="A751" s="3" t="s">
        <v>54</v>
      </c>
      <c r="B751" s="3" t="s">
        <v>55</v>
      </c>
      <c r="C751">
        <v>38</v>
      </c>
      <c r="D751">
        <v>20000</v>
      </c>
      <c r="E751">
        <v>499</v>
      </c>
      <c r="F751">
        <v>1</v>
      </c>
      <c r="G751">
        <v>82302.7524576211</v>
      </c>
      <c r="H751">
        <v>8.3546134999999994E-2</v>
      </c>
      <c r="I751">
        <v>15017</v>
      </c>
      <c r="J751">
        <v>5340</v>
      </c>
      <c r="K751">
        <v>9677</v>
      </c>
      <c r="L751">
        <v>500</v>
      </c>
      <c r="M751">
        <v>499</v>
      </c>
      <c r="N751">
        <v>1</v>
      </c>
      <c r="O751">
        <v>19987.439221275301</v>
      </c>
      <c r="P751" s="3" t="s">
        <v>51</v>
      </c>
      <c r="Q751">
        <v>50</v>
      </c>
      <c r="R751">
        <v>0.999</v>
      </c>
      <c r="S751">
        <v>0</v>
      </c>
    </row>
    <row r="752" spans="1:19" x14ac:dyDescent="0.2">
      <c r="A752" s="3" t="s">
        <v>54</v>
      </c>
      <c r="B752" s="3" t="s">
        <v>55</v>
      </c>
      <c r="C752">
        <v>14</v>
      </c>
      <c r="D752">
        <v>18000</v>
      </c>
      <c r="E752">
        <v>499</v>
      </c>
      <c r="F752">
        <v>1</v>
      </c>
      <c r="G752">
        <v>75479.649376234796</v>
      </c>
      <c r="H752">
        <v>8.3236972000000006E-2</v>
      </c>
      <c r="I752">
        <v>14460</v>
      </c>
      <c r="J752">
        <v>4723</v>
      </c>
      <c r="K752">
        <v>9737</v>
      </c>
      <c r="L752">
        <v>500</v>
      </c>
      <c r="M752">
        <v>499</v>
      </c>
      <c r="N752">
        <v>1</v>
      </c>
      <c r="O752">
        <v>14137.0800724235</v>
      </c>
      <c r="P752" s="3" t="s">
        <v>51</v>
      </c>
      <c r="Q752">
        <v>50</v>
      </c>
      <c r="R752">
        <v>0.999</v>
      </c>
      <c r="S752">
        <v>0</v>
      </c>
    </row>
    <row r="753" spans="1:19" x14ac:dyDescent="0.2">
      <c r="A753" s="3" t="s">
        <v>54</v>
      </c>
      <c r="B753" s="3" t="s">
        <v>55</v>
      </c>
      <c r="C753">
        <v>14</v>
      </c>
      <c r="D753">
        <v>20000</v>
      </c>
      <c r="E753">
        <v>499</v>
      </c>
      <c r="F753">
        <v>1</v>
      </c>
      <c r="G753">
        <v>82302.7524576211</v>
      </c>
      <c r="H753">
        <v>8.3014470000000007E-2</v>
      </c>
      <c r="I753">
        <v>14980</v>
      </c>
      <c r="J753">
        <v>5315</v>
      </c>
      <c r="K753">
        <v>9665</v>
      </c>
      <c r="L753">
        <v>500</v>
      </c>
      <c r="M753">
        <v>499</v>
      </c>
      <c r="N753">
        <v>1</v>
      </c>
      <c r="O753">
        <v>19967.266350157101</v>
      </c>
      <c r="P753" s="3" t="s">
        <v>51</v>
      </c>
      <c r="Q753">
        <v>50</v>
      </c>
      <c r="R753">
        <v>0.999</v>
      </c>
      <c r="S753">
        <v>0</v>
      </c>
    </row>
    <row r="754" spans="1:19" x14ac:dyDescent="0.2">
      <c r="A754" s="3" t="s">
        <v>54</v>
      </c>
      <c r="B754" s="3" t="s">
        <v>55</v>
      </c>
      <c r="C754">
        <v>5</v>
      </c>
      <c r="D754">
        <v>18000</v>
      </c>
      <c r="E754">
        <v>499</v>
      </c>
      <c r="F754">
        <v>1</v>
      </c>
      <c r="G754">
        <v>75479.649376234796</v>
      </c>
      <c r="H754">
        <v>8.2994320999999996E-2</v>
      </c>
      <c r="I754">
        <v>14476</v>
      </c>
      <c r="J754">
        <v>4710</v>
      </c>
      <c r="K754">
        <v>9766</v>
      </c>
      <c r="L754">
        <v>500</v>
      </c>
      <c r="M754">
        <v>499</v>
      </c>
      <c r="N754">
        <v>1</v>
      </c>
      <c r="O754">
        <v>14101.6856568316</v>
      </c>
      <c r="P754" s="3" t="s">
        <v>51</v>
      </c>
      <c r="Q754">
        <v>50</v>
      </c>
      <c r="R754">
        <v>0.999</v>
      </c>
      <c r="S754">
        <v>0</v>
      </c>
    </row>
    <row r="755" spans="1:19" x14ac:dyDescent="0.2">
      <c r="A755" s="3" t="s">
        <v>54</v>
      </c>
      <c r="B755" s="3" t="s">
        <v>55</v>
      </c>
      <c r="C755">
        <v>47</v>
      </c>
      <c r="D755">
        <v>18000</v>
      </c>
      <c r="E755">
        <v>499</v>
      </c>
      <c r="F755">
        <v>1</v>
      </c>
      <c r="G755">
        <v>75479.649376234796</v>
      </c>
      <c r="H755">
        <v>8.2937708999999998E-2</v>
      </c>
      <c r="I755">
        <v>14504</v>
      </c>
      <c r="J755">
        <v>4755</v>
      </c>
      <c r="K755">
        <v>9749</v>
      </c>
      <c r="L755">
        <v>500</v>
      </c>
      <c r="M755">
        <v>499</v>
      </c>
      <c r="N755">
        <v>1</v>
      </c>
      <c r="O755">
        <v>14030.4201754633</v>
      </c>
      <c r="P755" s="3" t="s">
        <v>51</v>
      </c>
      <c r="Q755">
        <v>50</v>
      </c>
      <c r="R755">
        <v>0.999</v>
      </c>
      <c r="S755">
        <v>0</v>
      </c>
    </row>
    <row r="756" spans="1:19" x14ac:dyDescent="0.2">
      <c r="A756" s="3" t="s">
        <v>54</v>
      </c>
      <c r="B756" s="3" t="s">
        <v>55</v>
      </c>
      <c r="C756">
        <v>36</v>
      </c>
      <c r="D756">
        <v>18000</v>
      </c>
      <c r="E756">
        <v>499</v>
      </c>
      <c r="F756">
        <v>1</v>
      </c>
      <c r="G756">
        <v>75479.649376234796</v>
      </c>
      <c r="H756">
        <v>8.2919915999999996E-2</v>
      </c>
      <c r="I756">
        <v>14482</v>
      </c>
      <c r="J756">
        <v>4730</v>
      </c>
      <c r="K756">
        <v>9752</v>
      </c>
      <c r="L756">
        <v>500</v>
      </c>
      <c r="M756">
        <v>499</v>
      </c>
      <c r="N756">
        <v>1</v>
      </c>
      <c r="O756">
        <v>14122.280389141701</v>
      </c>
      <c r="P756" s="3" t="s">
        <v>51</v>
      </c>
      <c r="Q756">
        <v>50</v>
      </c>
      <c r="R756">
        <v>0.999</v>
      </c>
      <c r="S756">
        <v>0</v>
      </c>
    </row>
    <row r="757" spans="1:19" x14ac:dyDescent="0.2">
      <c r="A757" s="3" t="s">
        <v>54</v>
      </c>
      <c r="B757" s="3" t="s">
        <v>55</v>
      </c>
      <c r="C757">
        <v>49</v>
      </c>
      <c r="D757">
        <v>20000</v>
      </c>
      <c r="E757">
        <v>499</v>
      </c>
      <c r="F757">
        <v>1</v>
      </c>
      <c r="G757">
        <v>82302.7524576211</v>
      </c>
      <c r="H757">
        <v>8.2912317999999999E-2</v>
      </c>
      <c r="I757">
        <v>14970</v>
      </c>
      <c r="J757">
        <v>5320</v>
      </c>
      <c r="K757">
        <v>9650</v>
      </c>
      <c r="L757">
        <v>500</v>
      </c>
      <c r="M757">
        <v>499</v>
      </c>
      <c r="N757">
        <v>1</v>
      </c>
      <c r="O757">
        <v>19999.475143108299</v>
      </c>
      <c r="P757" s="3" t="s">
        <v>51</v>
      </c>
      <c r="Q757">
        <v>50</v>
      </c>
      <c r="R757">
        <v>0.999</v>
      </c>
      <c r="S757">
        <v>0</v>
      </c>
    </row>
    <row r="758" spans="1:19" x14ac:dyDescent="0.2">
      <c r="A758" s="3" t="s">
        <v>54</v>
      </c>
      <c r="B758" s="3" t="s">
        <v>55</v>
      </c>
      <c r="C758">
        <v>26</v>
      </c>
      <c r="D758">
        <v>20000</v>
      </c>
      <c r="E758">
        <v>499</v>
      </c>
      <c r="F758">
        <v>1</v>
      </c>
      <c r="G758">
        <v>82302.7524576211</v>
      </c>
      <c r="H758">
        <v>8.2897447999999999E-2</v>
      </c>
      <c r="I758">
        <v>15024</v>
      </c>
      <c r="J758">
        <v>5357</v>
      </c>
      <c r="K758">
        <v>9667</v>
      </c>
      <c r="L758">
        <v>500</v>
      </c>
      <c r="M758">
        <v>499</v>
      </c>
      <c r="N758">
        <v>1</v>
      </c>
      <c r="O758">
        <v>19942.042870212201</v>
      </c>
      <c r="P758" s="3" t="s">
        <v>51</v>
      </c>
      <c r="Q758">
        <v>50</v>
      </c>
      <c r="R758">
        <v>0.999</v>
      </c>
      <c r="S758">
        <v>0</v>
      </c>
    </row>
    <row r="759" spans="1:19" x14ac:dyDescent="0.2">
      <c r="A759" s="3" t="s">
        <v>54</v>
      </c>
      <c r="B759" s="3" t="s">
        <v>55</v>
      </c>
      <c r="C759">
        <v>47</v>
      </c>
      <c r="D759">
        <v>20000</v>
      </c>
      <c r="E759">
        <v>499</v>
      </c>
      <c r="F759">
        <v>1</v>
      </c>
      <c r="G759">
        <v>82302.7524576211</v>
      </c>
      <c r="H759">
        <v>8.2677054999999999E-2</v>
      </c>
      <c r="I759">
        <v>14984</v>
      </c>
      <c r="J759">
        <v>5338</v>
      </c>
      <c r="K759">
        <v>9646</v>
      </c>
      <c r="L759">
        <v>500</v>
      </c>
      <c r="M759">
        <v>499</v>
      </c>
      <c r="N759">
        <v>1</v>
      </c>
      <c r="O759">
        <v>19911.253981067301</v>
      </c>
      <c r="P759" s="3" t="s">
        <v>51</v>
      </c>
      <c r="Q759">
        <v>50</v>
      </c>
      <c r="R759">
        <v>0.999</v>
      </c>
      <c r="S759">
        <v>0</v>
      </c>
    </row>
    <row r="760" spans="1:19" x14ac:dyDescent="0.2">
      <c r="A760" s="3" t="s">
        <v>54</v>
      </c>
      <c r="B760" s="3" t="s">
        <v>55</v>
      </c>
      <c r="C760">
        <v>6</v>
      </c>
      <c r="D760">
        <v>20000</v>
      </c>
      <c r="E760">
        <v>499</v>
      </c>
      <c r="F760">
        <v>1</v>
      </c>
      <c r="G760">
        <v>82302.7524576211</v>
      </c>
      <c r="H760">
        <v>8.2599405000000001E-2</v>
      </c>
      <c r="I760">
        <v>15024</v>
      </c>
      <c r="J760">
        <v>5340</v>
      </c>
      <c r="K760">
        <v>9684</v>
      </c>
      <c r="L760">
        <v>500</v>
      </c>
      <c r="M760">
        <v>499</v>
      </c>
      <c r="N760">
        <v>1</v>
      </c>
      <c r="O760">
        <v>19826.0134489148</v>
      </c>
      <c r="P760" s="3" t="s">
        <v>51</v>
      </c>
      <c r="Q760">
        <v>50</v>
      </c>
      <c r="R760">
        <v>0.999</v>
      </c>
      <c r="S760">
        <v>0</v>
      </c>
    </row>
    <row r="761" spans="1:19" x14ac:dyDescent="0.2">
      <c r="A761" s="3" t="s">
        <v>54</v>
      </c>
      <c r="B761" s="3" t="s">
        <v>55</v>
      </c>
      <c r="C761">
        <v>41</v>
      </c>
      <c r="D761">
        <v>20000</v>
      </c>
      <c r="E761">
        <v>499</v>
      </c>
      <c r="F761">
        <v>1</v>
      </c>
      <c r="G761">
        <v>82302.7524576211</v>
      </c>
      <c r="H761">
        <v>8.2352768000000007E-2</v>
      </c>
      <c r="I761">
        <v>15024</v>
      </c>
      <c r="J761">
        <v>5356</v>
      </c>
      <c r="K761">
        <v>9668</v>
      </c>
      <c r="L761">
        <v>500</v>
      </c>
      <c r="M761">
        <v>499</v>
      </c>
      <c r="N761">
        <v>1</v>
      </c>
      <c r="O761">
        <v>19914.0720740006</v>
      </c>
      <c r="P761" s="3" t="s">
        <v>51</v>
      </c>
      <c r="Q761">
        <v>50</v>
      </c>
      <c r="R761">
        <v>0.999</v>
      </c>
      <c r="S761">
        <v>0</v>
      </c>
    </row>
    <row r="762" spans="1:19" x14ac:dyDescent="0.2">
      <c r="A762" s="3" t="s">
        <v>54</v>
      </c>
      <c r="B762" s="3" t="s">
        <v>55</v>
      </c>
      <c r="C762">
        <v>12</v>
      </c>
      <c r="D762">
        <v>20000</v>
      </c>
      <c r="E762">
        <v>499</v>
      </c>
      <c r="F762">
        <v>1</v>
      </c>
      <c r="G762">
        <v>82302.7524576211</v>
      </c>
      <c r="H762">
        <v>8.2192782000000006E-2</v>
      </c>
      <c r="I762">
        <v>15014</v>
      </c>
      <c r="J762">
        <v>5369</v>
      </c>
      <c r="K762">
        <v>9645</v>
      </c>
      <c r="L762">
        <v>500</v>
      </c>
      <c r="M762">
        <v>499</v>
      </c>
      <c r="N762">
        <v>1</v>
      </c>
      <c r="O762">
        <v>19823.4440606022</v>
      </c>
      <c r="P762" s="3" t="s">
        <v>51</v>
      </c>
      <c r="Q762">
        <v>50</v>
      </c>
      <c r="R762">
        <v>0.999</v>
      </c>
      <c r="S762">
        <v>0</v>
      </c>
    </row>
    <row r="763" spans="1:19" x14ac:dyDescent="0.2">
      <c r="A763" s="3" t="s">
        <v>54</v>
      </c>
      <c r="B763" s="3" t="s">
        <v>55</v>
      </c>
      <c r="C763">
        <v>35</v>
      </c>
      <c r="D763">
        <v>20000</v>
      </c>
      <c r="E763">
        <v>499</v>
      </c>
      <c r="F763">
        <v>1</v>
      </c>
      <c r="G763">
        <v>82302.7524576211</v>
      </c>
      <c r="H763">
        <v>8.2139825999999999E-2</v>
      </c>
      <c r="I763">
        <v>15031</v>
      </c>
      <c r="J763">
        <v>5348</v>
      </c>
      <c r="K763">
        <v>9683</v>
      </c>
      <c r="L763">
        <v>500</v>
      </c>
      <c r="M763">
        <v>499</v>
      </c>
      <c r="N763">
        <v>1</v>
      </c>
      <c r="O763">
        <v>19875.066081690999</v>
      </c>
      <c r="P763" s="3" t="s">
        <v>51</v>
      </c>
      <c r="Q763">
        <v>50</v>
      </c>
      <c r="R763">
        <v>0.999</v>
      </c>
      <c r="S763">
        <v>0</v>
      </c>
    </row>
    <row r="764" spans="1:19" x14ac:dyDescent="0.2">
      <c r="A764" s="3" t="s">
        <v>54</v>
      </c>
      <c r="B764" s="3" t="s">
        <v>55</v>
      </c>
      <c r="C764">
        <v>29</v>
      </c>
      <c r="D764">
        <v>18000</v>
      </c>
      <c r="E764">
        <v>499</v>
      </c>
      <c r="F764">
        <v>1</v>
      </c>
      <c r="G764">
        <v>75479.649376234796</v>
      </c>
      <c r="H764">
        <v>8.2130348000000006E-2</v>
      </c>
      <c r="I764">
        <v>14482</v>
      </c>
      <c r="J764">
        <v>4728</v>
      </c>
      <c r="K764">
        <v>9754</v>
      </c>
      <c r="L764">
        <v>500</v>
      </c>
      <c r="M764">
        <v>499</v>
      </c>
      <c r="N764">
        <v>1</v>
      </c>
      <c r="O764">
        <v>14086.7006006786</v>
      </c>
      <c r="P764" s="3" t="s">
        <v>51</v>
      </c>
      <c r="Q764">
        <v>50</v>
      </c>
      <c r="R764">
        <v>0.999</v>
      </c>
      <c r="S764">
        <v>0</v>
      </c>
    </row>
    <row r="765" spans="1:19" x14ac:dyDescent="0.2">
      <c r="A765" s="3" t="s">
        <v>54</v>
      </c>
      <c r="B765" s="3" t="s">
        <v>55</v>
      </c>
      <c r="C765">
        <v>7</v>
      </c>
      <c r="D765">
        <v>18000</v>
      </c>
      <c r="E765">
        <v>499</v>
      </c>
      <c r="F765">
        <v>1</v>
      </c>
      <c r="G765">
        <v>75479.649376234796</v>
      </c>
      <c r="H765">
        <v>8.1992803000000003E-2</v>
      </c>
      <c r="I765">
        <v>14435</v>
      </c>
      <c r="J765">
        <v>4692</v>
      </c>
      <c r="K765">
        <v>9743</v>
      </c>
      <c r="L765">
        <v>500</v>
      </c>
      <c r="M765">
        <v>499</v>
      </c>
      <c r="N765">
        <v>1</v>
      </c>
      <c r="O765">
        <v>14295.9139447568</v>
      </c>
      <c r="P765" s="3" t="s">
        <v>51</v>
      </c>
      <c r="Q765">
        <v>50</v>
      </c>
      <c r="R765">
        <v>0.999</v>
      </c>
      <c r="S765">
        <v>0</v>
      </c>
    </row>
    <row r="766" spans="1:19" x14ac:dyDescent="0.2">
      <c r="A766" s="3" t="s">
        <v>54</v>
      </c>
      <c r="B766" s="3" t="s">
        <v>55</v>
      </c>
      <c r="C766">
        <v>21</v>
      </c>
      <c r="D766">
        <v>20000</v>
      </c>
      <c r="E766">
        <v>499</v>
      </c>
      <c r="F766">
        <v>1</v>
      </c>
      <c r="G766">
        <v>82302.7524576211</v>
      </c>
      <c r="H766">
        <v>8.1792839000000006E-2</v>
      </c>
      <c r="I766">
        <v>15020</v>
      </c>
      <c r="J766">
        <v>5325</v>
      </c>
      <c r="K766">
        <v>9695</v>
      </c>
      <c r="L766">
        <v>500</v>
      </c>
      <c r="M766">
        <v>499</v>
      </c>
      <c r="N766">
        <v>1</v>
      </c>
      <c r="O766">
        <v>19970.962686611299</v>
      </c>
      <c r="P766" s="3" t="s">
        <v>51</v>
      </c>
      <c r="Q766">
        <v>50</v>
      </c>
      <c r="R766">
        <v>0.999</v>
      </c>
      <c r="S766">
        <v>0</v>
      </c>
    </row>
    <row r="767" spans="1:19" x14ac:dyDescent="0.2">
      <c r="A767" s="3" t="s">
        <v>54</v>
      </c>
      <c r="B767" s="3" t="s">
        <v>55</v>
      </c>
      <c r="C767">
        <v>46</v>
      </c>
      <c r="D767">
        <v>18000</v>
      </c>
      <c r="E767">
        <v>499</v>
      </c>
      <c r="F767">
        <v>1</v>
      </c>
      <c r="G767">
        <v>75479.649376234796</v>
      </c>
      <c r="H767">
        <v>8.1765844000000004E-2</v>
      </c>
      <c r="I767">
        <v>14455</v>
      </c>
      <c r="J767">
        <v>4746</v>
      </c>
      <c r="K767">
        <v>9709</v>
      </c>
      <c r="L767">
        <v>500</v>
      </c>
      <c r="M767">
        <v>499</v>
      </c>
      <c r="N767">
        <v>1</v>
      </c>
      <c r="O767">
        <v>14054.385764545699</v>
      </c>
      <c r="P767" s="3" t="s">
        <v>51</v>
      </c>
      <c r="Q767">
        <v>50</v>
      </c>
      <c r="R767">
        <v>0.999</v>
      </c>
      <c r="S767">
        <v>0</v>
      </c>
    </row>
    <row r="768" spans="1:19" x14ac:dyDescent="0.2">
      <c r="A768" s="3" t="s">
        <v>54</v>
      </c>
      <c r="B768" s="3" t="s">
        <v>55</v>
      </c>
      <c r="C768">
        <v>16</v>
      </c>
      <c r="D768">
        <v>18000</v>
      </c>
      <c r="E768">
        <v>499</v>
      </c>
      <c r="F768">
        <v>1</v>
      </c>
      <c r="G768">
        <v>75479.649376234796</v>
      </c>
      <c r="H768">
        <v>8.1686453000000006E-2</v>
      </c>
      <c r="I768">
        <v>14457</v>
      </c>
      <c r="J768">
        <v>4713</v>
      </c>
      <c r="K768">
        <v>9744</v>
      </c>
      <c r="L768">
        <v>500</v>
      </c>
      <c r="M768">
        <v>499</v>
      </c>
      <c r="N768">
        <v>1</v>
      </c>
      <c r="O768">
        <v>14043.575486797799</v>
      </c>
      <c r="P768" s="3" t="s">
        <v>51</v>
      </c>
      <c r="Q768">
        <v>50</v>
      </c>
      <c r="R768">
        <v>0.999</v>
      </c>
      <c r="S768">
        <v>0</v>
      </c>
    </row>
    <row r="769" spans="1:19" x14ac:dyDescent="0.2">
      <c r="A769" s="3" t="s">
        <v>54</v>
      </c>
      <c r="B769" s="3" t="s">
        <v>55</v>
      </c>
      <c r="C769">
        <v>5</v>
      </c>
      <c r="D769">
        <v>20000</v>
      </c>
      <c r="E769">
        <v>499</v>
      </c>
      <c r="F769">
        <v>1</v>
      </c>
      <c r="G769">
        <v>82302.7524576211</v>
      </c>
      <c r="H769">
        <v>8.1607821999999997E-2</v>
      </c>
      <c r="I769">
        <v>15001</v>
      </c>
      <c r="J769">
        <v>5342</v>
      </c>
      <c r="K769">
        <v>9659</v>
      </c>
      <c r="L769">
        <v>500</v>
      </c>
      <c r="M769">
        <v>499</v>
      </c>
      <c r="N769">
        <v>1</v>
      </c>
      <c r="O769">
        <v>19943.522795300902</v>
      </c>
      <c r="P769" s="3" t="s">
        <v>51</v>
      </c>
      <c r="Q769">
        <v>50</v>
      </c>
      <c r="R769">
        <v>0.999</v>
      </c>
      <c r="S769">
        <v>0</v>
      </c>
    </row>
    <row r="770" spans="1:19" x14ac:dyDescent="0.2">
      <c r="A770" s="3" t="s">
        <v>54</v>
      </c>
      <c r="B770" s="3" t="s">
        <v>55</v>
      </c>
      <c r="C770">
        <v>23</v>
      </c>
      <c r="D770">
        <v>18000</v>
      </c>
      <c r="E770">
        <v>499</v>
      </c>
      <c r="F770">
        <v>1</v>
      </c>
      <c r="G770">
        <v>75479.649376234796</v>
      </c>
      <c r="H770">
        <v>8.1491909000000001E-2</v>
      </c>
      <c r="I770">
        <v>14457</v>
      </c>
      <c r="J770">
        <v>4728</v>
      </c>
      <c r="K770">
        <v>9729</v>
      </c>
      <c r="L770">
        <v>500</v>
      </c>
      <c r="M770">
        <v>499</v>
      </c>
      <c r="N770">
        <v>1</v>
      </c>
      <c r="O770">
        <v>14099.804940501201</v>
      </c>
      <c r="P770" s="3" t="s">
        <v>51</v>
      </c>
      <c r="Q770">
        <v>50</v>
      </c>
      <c r="R770">
        <v>0.999</v>
      </c>
      <c r="S770">
        <v>0</v>
      </c>
    </row>
    <row r="771" spans="1:19" x14ac:dyDescent="0.2">
      <c r="A771" s="3" t="s">
        <v>54</v>
      </c>
      <c r="B771" s="3" t="s">
        <v>55</v>
      </c>
      <c r="C771">
        <v>37</v>
      </c>
      <c r="D771">
        <v>20000</v>
      </c>
      <c r="E771">
        <v>499</v>
      </c>
      <c r="F771">
        <v>1</v>
      </c>
      <c r="G771">
        <v>82302.7524576211</v>
      </c>
      <c r="H771">
        <v>8.1406805999999998E-2</v>
      </c>
      <c r="I771">
        <v>14988</v>
      </c>
      <c r="J771">
        <v>5307</v>
      </c>
      <c r="K771">
        <v>9681</v>
      </c>
      <c r="L771">
        <v>500</v>
      </c>
      <c r="M771">
        <v>499</v>
      </c>
      <c r="N771">
        <v>1</v>
      </c>
      <c r="O771">
        <v>20013.0423817636</v>
      </c>
      <c r="P771" s="3" t="s">
        <v>51</v>
      </c>
      <c r="Q771">
        <v>50</v>
      </c>
      <c r="R771">
        <v>0.999</v>
      </c>
      <c r="S771">
        <v>0</v>
      </c>
    </row>
    <row r="772" spans="1:19" x14ac:dyDescent="0.2">
      <c r="A772" s="3" t="s">
        <v>54</v>
      </c>
      <c r="B772" s="3" t="s">
        <v>55</v>
      </c>
      <c r="C772">
        <v>13</v>
      </c>
      <c r="D772">
        <v>18000</v>
      </c>
      <c r="E772">
        <v>499</v>
      </c>
      <c r="F772">
        <v>1</v>
      </c>
      <c r="G772">
        <v>75479.649376234796</v>
      </c>
      <c r="H772">
        <v>8.1314600000000001E-2</v>
      </c>
      <c r="I772">
        <v>14439</v>
      </c>
      <c r="J772">
        <v>4708</v>
      </c>
      <c r="K772">
        <v>9731</v>
      </c>
      <c r="L772">
        <v>500</v>
      </c>
      <c r="M772">
        <v>499</v>
      </c>
      <c r="N772">
        <v>1</v>
      </c>
      <c r="O772">
        <v>14155.350029527201</v>
      </c>
      <c r="P772" s="3" t="s">
        <v>51</v>
      </c>
      <c r="Q772">
        <v>50</v>
      </c>
      <c r="R772">
        <v>0.999</v>
      </c>
      <c r="S772">
        <v>0</v>
      </c>
    </row>
    <row r="773" spans="1:19" x14ac:dyDescent="0.2">
      <c r="A773" s="3" t="s">
        <v>54</v>
      </c>
      <c r="B773" s="3" t="s">
        <v>55</v>
      </c>
      <c r="C773">
        <v>36</v>
      </c>
      <c r="D773">
        <v>20000</v>
      </c>
      <c r="E773">
        <v>499</v>
      </c>
      <c r="F773">
        <v>1</v>
      </c>
      <c r="G773">
        <v>82302.7524576211</v>
      </c>
      <c r="H773">
        <v>8.1007545E-2</v>
      </c>
      <c r="I773">
        <v>14996</v>
      </c>
      <c r="J773">
        <v>5331</v>
      </c>
      <c r="K773">
        <v>9665</v>
      </c>
      <c r="L773">
        <v>500</v>
      </c>
      <c r="M773">
        <v>499</v>
      </c>
      <c r="N773">
        <v>1</v>
      </c>
      <c r="O773">
        <v>20018.014088595399</v>
      </c>
      <c r="P773" s="3" t="s">
        <v>51</v>
      </c>
      <c r="Q773">
        <v>50</v>
      </c>
      <c r="R773">
        <v>0.999</v>
      </c>
      <c r="S773">
        <v>0</v>
      </c>
    </row>
    <row r="774" spans="1:19" x14ac:dyDescent="0.2">
      <c r="A774" s="3" t="s">
        <v>54</v>
      </c>
      <c r="B774" s="3" t="s">
        <v>55</v>
      </c>
      <c r="C774">
        <v>28</v>
      </c>
      <c r="D774">
        <v>17000</v>
      </c>
      <c r="E774">
        <v>499</v>
      </c>
      <c r="F774">
        <v>1</v>
      </c>
      <c r="G774">
        <v>65872.258119671897</v>
      </c>
      <c r="H774">
        <v>8.0634875999999994E-2</v>
      </c>
      <c r="I774">
        <v>14229</v>
      </c>
      <c r="J774">
        <v>4750</v>
      </c>
      <c r="K774">
        <v>9479</v>
      </c>
      <c r="L774">
        <v>500</v>
      </c>
      <c r="M774">
        <v>499</v>
      </c>
      <c r="N774">
        <v>1</v>
      </c>
      <c r="O774">
        <v>9718.3169397534002</v>
      </c>
      <c r="P774" s="3" t="s">
        <v>51</v>
      </c>
      <c r="Q774">
        <v>50</v>
      </c>
      <c r="R774">
        <v>0.999</v>
      </c>
      <c r="S774">
        <v>0</v>
      </c>
    </row>
    <row r="775" spans="1:19" x14ac:dyDescent="0.2">
      <c r="A775" s="3" t="s">
        <v>54</v>
      </c>
      <c r="B775" s="3" t="s">
        <v>55</v>
      </c>
      <c r="C775">
        <v>25</v>
      </c>
      <c r="D775">
        <v>18000</v>
      </c>
      <c r="E775">
        <v>499</v>
      </c>
      <c r="F775">
        <v>1</v>
      </c>
      <c r="G775">
        <v>75479.649376234796</v>
      </c>
      <c r="H775">
        <v>8.0483525E-2</v>
      </c>
      <c r="I775">
        <v>14436</v>
      </c>
      <c r="J775">
        <v>4710</v>
      </c>
      <c r="K775">
        <v>9726</v>
      </c>
      <c r="L775">
        <v>500</v>
      </c>
      <c r="M775">
        <v>499</v>
      </c>
      <c r="N775">
        <v>1</v>
      </c>
      <c r="O775">
        <v>14155.0570473475</v>
      </c>
      <c r="P775" s="3" t="s">
        <v>51</v>
      </c>
      <c r="Q775">
        <v>50</v>
      </c>
      <c r="R775">
        <v>0.999</v>
      </c>
      <c r="S775">
        <v>0</v>
      </c>
    </row>
    <row r="776" spans="1:19" x14ac:dyDescent="0.2">
      <c r="A776" s="3" t="s">
        <v>54</v>
      </c>
      <c r="B776" s="3" t="s">
        <v>55</v>
      </c>
      <c r="C776">
        <v>50</v>
      </c>
      <c r="D776">
        <v>20000</v>
      </c>
      <c r="E776">
        <v>499</v>
      </c>
      <c r="F776">
        <v>1</v>
      </c>
      <c r="G776">
        <v>82302.7524576211</v>
      </c>
      <c r="H776">
        <v>8.0314914000000001E-2</v>
      </c>
      <c r="I776">
        <v>15025</v>
      </c>
      <c r="J776">
        <v>5351</v>
      </c>
      <c r="K776">
        <v>9674</v>
      </c>
      <c r="L776">
        <v>500</v>
      </c>
      <c r="M776">
        <v>499</v>
      </c>
      <c r="N776">
        <v>1</v>
      </c>
      <c r="O776">
        <v>19801.9511464651</v>
      </c>
      <c r="P776" s="3" t="s">
        <v>51</v>
      </c>
      <c r="Q776">
        <v>50</v>
      </c>
      <c r="R776">
        <v>0.999</v>
      </c>
      <c r="S776">
        <v>0</v>
      </c>
    </row>
    <row r="777" spans="1:19" x14ac:dyDescent="0.2">
      <c r="A777" s="3" t="s">
        <v>54</v>
      </c>
      <c r="B777" s="3" t="s">
        <v>55</v>
      </c>
      <c r="C777">
        <v>7</v>
      </c>
      <c r="D777">
        <v>20000</v>
      </c>
      <c r="E777">
        <v>499</v>
      </c>
      <c r="F777">
        <v>1</v>
      </c>
      <c r="G777">
        <v>82302.7524576211</v>
      </c>
      <c r="H777">
        <v>8.0279551000000005E-2</v>
      </c>
      <c r="I777">
        <v>15012</v>
      </c>
      <c r="J777">
        <v>5353</v>
      </c>
      <c r="K777">
        <v>9659</v>
      </c>
      <c r="L777">
        <v>500</v>
      </c>
      <c r="M777">
        <v>499</v>
      </c>
      <c r="N777">
        <v>1</v>
      </c>
      <c r="O777">
        <v>19878.092094156898</v>
      </c>
      <c r="P777" s="3" t="s">
        <v>51</v>
      </c>
      <c r="Q777">
        <v>50</v>
      </c>
      <c r="R777">
        <v>0.999</v>
      </c>
      <c r="S777">
        <v>0</v>
      </c>
    </row>
    <row r="778" spans="1:19" x14ac:dyDescent="0.2">
      <c r="A778" s="3" t="s">
        <v>54</v>
      </c>
      <c r="B778" s="3" t="s">
        <v>55</v>
      </c>
      <c r="C778">
        <v>40</v>
      </c>
      <c r="D778">
        <v>20000</v>
      </c>
      <c r="E778">
        <v>499</v>
      </c>
      <c r="F778">
        <v>1</v>
      </c>
      <c r="G778">
        <v>82302.7524576211</v>
      </c>
      <c r="H778">
        <v>8.0249508999999997E-2</v>
      </c>
      <c r="I778">
        <v>15006</v>
      </c>
      <c r="J778">
        <v>5348</v>
      </c>
      <c r="K778">
        <v>9658</v>
      </c>
      <c r="L778">
        <v>500</v>
      </c>
      <c r="M778">
        <v>499</v>
      </c>
      <c r="N778">
        <v>1</v>
      </c>
      <c r="O778">
        <v>19924.9600504394</v>
      </c>
      <c r="P778" s="3" t="s">
        <v>51</v>
      </c>
      <c r="Q778">
        <v>50</v>
      </c>
      <c r="R778">
        <v>0.999</v>
      </c>
      <c r="S778">
        <v>0</v>
      </c>
    </row>
    <row r="779" spans="1:19" x14ac:dyDescent="0.2">
      <c r="A779" s="3" t="s">
        <v>54</v>
      </c>
      <c r="B779" s="3" t="s">
        <v>55</v>
      </c>
      <c r="C779">
        <v>4</v>
      </c>
      <c r="D779">
        <v>18000</v>
      </c>
      <c r="E779">
        <v>499</v>
      </c>
      <c r="F779">
        <v>1</v>
      </c>
      <c r="G779">
        <v>75479.649376234796</v>
      </c>
      <c r="H779">
        <v>8.0210752999999996E-2</v>
      </c>
      <c r="I779">
        <v>14474</v>
      </c>
      <c r="J779">
        <v>4731</v>
      </c>
      <c r="K779">
        <v>9743</v>
      </c>
      <c r="L779">
        <v>500</v>
      </c>
      <c r="M779">
        <v>499</v>
      </c>
      <c r="N779">
        <v>1</v>
      </c>
      <c r="O779">
        <v>14015.017014724601</v>
      </c>
      <c r="P779" s="3" t="s">
        <v>51</v>
      </c>
      <c r="Q779">
        <v>50</v>
      </c>
      <c r="R779">
        <v>0.999</v>
      </c>
      <c r="S779">
        <v>0</v>
      </c>
    </row>
    <row r="780" spans="1:19" x14ac:dyDescent="0.2">
      <c r="A780" s="3" t="s">
        <v>54</v>
      </c>
      <c r="B780" s="3" t="s">
        <v>55</v>
      </c>
      <c r="C780">
        <v>17</v>
      </c>
      <c r="D780">
        <v>18000</v>
      </c>
      <c r="E780">
        <v>499</v>
      </c>
      <c r="F780">
        <v>1</v>
      </c>
      <c r="G780">
        <v>75479.649376234796</v>
      </c>
      <c r="H780">
        <v>7.9932828999999997E-2</v>
      </c>
      <c r="I780">
        <v>14452</v>
      </c>
      <c r="J780">
        <v>4684</v>
      </c>
      <c r="K780">
        <v>9768</v>
      </c>
      <c r="L780">
        <v>500</v>
      </c>
      <c r="M780">
        <v>499</v>
      </c>
      <c r="N780">
        <v>1</v>
      </c>
      <c r="O780">
        <v>14255.687317886601</v>
      </c>
      <c r="P780" s="3" t="s">
        <v>51</v>
      </c>
      <c r="Q780">
        <v>50</v>
      </c>
      <c r="R780">
        <v>0.999</v>
      </c>
      <c r="S780">
        <v>0</v>
      </c>
    </row>
    <row r="781" spans="1:19" x14ac:dyDescent="0.2">
      <c r="A781" s="3" t="s">
        <v>54</v>
      </c>
      <c r="B781" s="3" t="s">
        <v>55</v>
      </c>
      <c r="C781">
        <v>39</v>
      </c>
      <c r="D781">
        <v>18000</v>
      </c>
      <c r="E781">
        <v>499</v>
      </c>
      <c r="F781">
        <v>1</v>
      </c>
      <c r="G781">
        <v>75479.649376234796</v>
      </c>
      <c r="H781">
        <v>7.9738358999999995E-2</v>
      </c>
      <c r="I781">
        <v>14442</v>
      </c>
      <c r="J781">
        <v>4695</v>
      </c>
      <c r="K781">
        <v>9747</v>
      </c>
      <c r="L781">
        <v>500</v>
      </c>
      <c r="M781">
        <v>499</v>
      </c>
      <c r="N781">
        <v>1</v>
      </c>
      <c r="O781">
        <v>14280.560791548</v>
      </c>
      <c r="P781" s="3" t="s">
        <v>51</v>
      </c>
      <c r="Q781">
        <v>50</v>
      </c>
      <c r="R781">
        <v>0.999</v>
      </c>
      <c r="S781">
        <v>0</v>
      </c>
    </row>
    <row r="782" spans="1:19" x14ac:dyDescent="0.2">
      <c r="A782" s="3" t="s">
        <v>54</v>
      </c>
      <c r="B782" s="3" t="s">
        <v>55</v>
      </c>
      <c r="C782">
        <v>20</v>
      </c>
      <c r="D782">
        <v>20000</v>
      </c>
      <c r="E782">
        <v>499</v>
      </c>
      <c r="F782">
        <v>1</v>
      </c>
      <c r="G782">
        <v>82302.7524576211</v>
      </c>
      <c r="H782">
        <v>7.9609320999999997E-2</v>
      </c>
      <c r="I782">
        <v>15031</v>
      </c>
      <c r="J782">
        <v>5322</v>
      </c>
      <c r="K782">
        <v>9709</v>
      </c>
      <c r="L782">
        <v>500</v>
      </c>
      <c r="M782">
        <v>499</v>
      </c>
      <c r="N782">
        <v>1</v>
      </c>
      <c r="O782">
        <v>19908.6054947183</v>
      </c>
      <c r="P782" s="3" t="s">
        <v>51</v>
      </c>
      <c r="Q782">
        <v>50</v>
      </c>
      <c r="R782">
        <v>0.999</v>
      </c>
      <c r="S782">
        <v>0</v>
      </c>
    </row>
    <row r="783" spans="1:19" x14ac:dyDescent="0.2">
      <c r="A783" s="3" t="s">
        <v>54</v>
      </c>
      <c r="B783" s="3" t="s">
        <v>55</v>
      </c>
      <c r="C783">
        <v>19</v>
      </c>
      <c r="D783">
        <v>18000</v>
      </c>
      <c r="E783">
        <v>499</v>
      </c>
      <c r="F783">
        <v>1</v>
      </c>
      <c r="G783">
        <v>75479.649376234796</v>
      </c>
      <c r="H783">
        <v>7.9541433999999994E-2</v>
      </c>
      <c r="I783">
        <v>14420</v>
      </c>
      <c r="J783">
        <v>4696</v>
      </c>
      <c r="K783">
        <v>9724</v>
      </c>
      <c r="L783">
        <v>500</v>
      </c>
      <c r="M783">
        <v>499</v>
      </c>
      <c r="N783">
        <v>1</v>
      </c>
      <c r="O783">
        <v>14360.783342921901</v>
      </c>
      <c r="P783" s="3" t="s">
        <v>51</v>
      </c>
      <c r="Q783">
        <v>50</v>
      </c>
      <c r="R783">
        <v>0.999</v>
      </c>
      <c r="S783">
        <v>0</v>
      </c>
    </row>
    <row r="784" spans="1:19" x14ac:dyDescent="0.2">
      <c r="A784" s="3" t="s">
        <v>54</v>
      </c>
      <c r="B784" s="3" t="s">
        <v>55</v>
      </c>
      <c r="C784">
        <v>48</v>
      </c>
      <c r="D784">
        <v>20000</v>
      </c>
      <c r="E784">
        <v>499</v>
      </c>
      <c r="F784">
        <v>1</v>
      </c>
      <c r="G784">
        <v>82302.7524576211</v>
      </c>
      <c r="H784">
        <v>7.9051413000000001E-2</v>
      </c>
      <c r="I784">
        <v>15018</v>
      </c>
      <c r="J784">
        <v>5323</v>
      </c>
      <c r="K784">
        <v>9695</v>
      </c>
      <c r="L784">
        <v>500</v>
      </c>
      <c r="M784">
        <v>499</v>
      </c>
      <c r="N784">
        <v>1</v>
      </c>
      <c r="O784">
        <v>20107.2487080715</v>
      </c>
      <c r="P784" s="3" t="s">
        <v>51</v>
      </c>
      <c r="Q784">
        <v>50</v>
      </c>
      <c r="R784">
        <v>0.999</v>
      </c>
      <c r="S784">
        <v>0</v>
      </c>
    </row>
    <row r="785" spans="1:19" x14ac:dyDescent="0.2">
      <c r="A785" s="3" t="s">
        <v>54</v>
      </c>
      <c r="B785" s="3" t="s">
        <v>55</v>
      </c>
      <c r="C785">
        <v>46</v>
      </c>
      <c r="D785">
        <v>20000</v>
      </c>
      <c r="E785">
        <v>499</v>
      </c>
      <c r="F785">
        <v>1</v>
      </c>
      <c r="G785">
        <v>82302.7524576211</v>
      </c>
      <c r="H785">
        <v>7.9013453999999997E-2</v>
      </c>
      <c r="I785">
        <v>14988</v>
      </c>
      <c r="J785">
        <v>5304</v>
      </c>
      <c r="K785">
        <v>9684</v>
      </c>
      <c r="L785">
        <v>500</v>
      </c>
      <c r="M785">
        <v>499</v>
      </c>
      <c r="N785">
        <v>1</v>
      </c>
      <c r="O785">
        <v>20134.9844004361</v>
      </c>
      <c r="P785" s="3" t="s">
        <v>51</v>
      </c>
      <c r="Q785">
        <v>50</v>
      </c>
      <c r="R785">
        <v>0.999</v>
      </c>
      <c r="S785">
        <v>0</v>
      </c>
    </row>
    <row r="786" spans="1:19" x14ac:dyDescent="0.2">
      <c r="A786" s="3" t="s">
        <v>54</v>
      </c>
      <c r="B786" s="3" t="s">
        <v>55</v>
      </c>
      <c r="C786">
        <v>20</v>
      </c>
      <c r="D786">
        <v>13000</v>
      </c>
      <c r="E786">
        <v>499</v>
      </c>
      <c r="F786">
        <v>1</v>
      </c>
      <c r="G786">
        <v>53044.701099550097</v>
      </c>
      <c r="H786">
        <v>7.8916588999999995E-2</v>
      </c>
      <c r="I786">
        <v>12624</v>
      </c>
      <c r="J786">
        <v>3594</v>
      </c>
      <c r="K786">
        <v>9030</v>
      </c>
      <c r="L786">
        <v>500</v>
      </c>
      <c r="M786">
        <v>499</v>
      </c>
      <c r="N786">
        <v>1</v>
      </c>
      <c r="O786">
        <v>1311.9150715349001</v>
      </c>
      <c r="P786" s="3" t="s">
        <v>52</v>
      </c>
      <c r="Q786">
        <v>50</v>
      </c>
      <c r="R786">
        <v>0.999</v>
      </c>
      <c r="S786">
        <v>0</v>
      </c>
    </row>
    <row r="787" spans="1:19" x14ac:dyDescent="0.2">
      <c r="A787" s="3" t="s">
        <v>54</v>
      </c>
      <c r="B787" s="3" t="s">
        <v>55</v>
      </c>
      <c r="C787">
        <v>24</v>
      </c>
      <c r="D787">
        <v>18000</v>
      </c>
      <c r="E787">
        <v>499</v>
      </c>
      <c r="F787">
        <v>1</v>
      </c>
      <c r="G787">
        <v>75479.649376234796</v>
      </c>
      <c r="H787">
        <v>7.8823465999999995E-2</v>
      </c>
      <c r="I787">
        <v>14463</v>
      </c>
      <c r="J787">
        <v>4719</v>
      </c>
      <c r="K787">
        <v>9744</v>
      </c>
      <c r="L787">
        <v>500</v>
      </c>
      <c r="M787">
        <v>499</v>
      </c>
      <c r="N787">
        <v>1</v>
      </c>
      <c r="O787">
        <v>14146.4157716028</v>
      </c>
      <c r="P787" s="3" t="s">
        <v>51</v>
      </c>
      <c r="Q787">
        <v>50</v>
      </c>
      <c r="R787">
        <v>0.999</v>
      </c>
      <c r="S787">
        <v>0</v>
      </c>
    </row>
    <row r="788" spans="1:19" x14ac:dyDescent="0.2">
      <c r="A788" s="3" t="s">
        <v>54</v>
      </c>
      <c r="B788" s="3" t="s">
        <v>55</v>
      </c>
      <c r="C788">
        <v>40</v>
      </c>
      <c r="D788">
        <v>18000</v>
      </c>
      <c r="E788">
        <v>499</v>
      </c>
      <c r="F788">
        <v>1</v>
      </c>
      <c r="G788">
        <v>75479.649376234796</v>
      </c>
      <c r="H788">
        <v>7.8810953000000003E-2</v>
      </c>
      <c r="I788">
        <v>14420</v>
      </c>
      <c r="J788">
        <v>4672</v>
      </c>
      <c r="K788">
        <v>9748</v>
      </c>
      <c r="L788">
        <v>500</v>
      </c>
      <c r="M788">
        <v>499</v>
      </c>
      <c r="N788">
        <v>1</v>
      </c>
      <c r="O788">
        <v>14277.4794702213</v>
      </c>
      <c r="P788" s="3" t="s">
        <v>51</v>
      </c>
      <c r="Q788">
        <v>50</v>
      </c>
      <c r="R788">
        <v>0.999</v>
      </c>
      <c r="S788">
        <v>0</v>
      </c>
    </row>
    <row r="789" spans="1:19" x14ac:dyDescent="0.2">
      <c r="A789" s="3" t="s">
        <v>54</v>
      </c>
      <c r="B789" s="3" t="s">
        <v>55</v>
      </c>
      <c r="C789">
        <v>13</v>
      </c>
      <c r="D789">
        <v>17000</v>
      </c>
      <c r="E789">
        <v>499</v>
      </c>
      <c r="F789">
        <v>1</v>
      </c>
      <c r="G789">
        <v>65872.258119671897</v>
      </c>
      <c r="H789">
        <v>7.8544075000000005E-2</v>
      </c>
      <c r="I789">
        <v>14259</v>
      </c>
      <c r="J789">
        <v>4760</v>
      </c>
      <c r="K789">
        <v>9499</v>
      </c>
      <c r="L789">
        <v>500</v>
      </c>
      <c r="M789">
        <v>499</v>
      </c>
      <c r="N789">
        <v>1</v>
      </c>
      <c r="O789">
        <v>9772.6109467153001</v>
      </c>
      <c r="P789" s="3" t="s">
        <v>51</v>
      </c>
      <c r="Q789">
        <v>50</v>
      </c>
      <c r="R789">
        <v>0.999</v>
      </c>
      <c r="S789">
        <v>0</v>
      </c>
    </row>
    <row r="790" spans="1:19" x14ac:dyDescent="0.2">
      <c r="A790" s="3" t="s">
        <v>54</v>
      </c>
      <c r="B790" s="3" t="s">
        <v>55</v>
      </c>
      <c r="C790">
        <v>27</v>
      </c>
      <c r="D790">
        <v>18000</v>
      </c>
      <c r="E790">
        <v>499</v>
      </c>
      <c r="F790">
        <v>1</v>
      </c>
      <c r="G790">
        <v>75479.649376234796</v>
      </c>
      <c r="H790">
        <v>7.8515824999999997E-2</v>
      </c>
      <c r="I790">
        <v>14494</v>
      </c>
      <c r="J790">
        <v>4748</v>
      </c>
      <c r="K790">
        <v>9746</v>
      </c>
      <c r="L790">
        <v>500</v>
      </c>
      <c r="M790">
        <v>499</v>
      </c>
      <c r="N790">
        <v>1</v>
      </c>
      <c r="O790">
        <v>14005.827764068599</v>
      </c>
      <c r="P790" s="3" t="s">
        <v>51</v>
      </c>
      <c r="Q790">
        <v>50</v>
      </c>
      <c r="R790">
        <v>0.999</v>
      </c>
      <c r="S790">
        <v>0</v>
      </c>
    </row>
    <row r="791" spans="1:19" x14ac:dyDescent="0.2">
      <c r="A791" s="3" t="s">
        <v>54</v>
      </c>
      <c r="B791" s="3" t="s">
        <v>55</v>
      </c>
      <c r="C791">
        <v>12</v>
      </c>
      <c r="D791">
        <v>18000</v>
      </c>
      <c r="E791">
        <v>499</v>
      </c>
      <c r="F791">
        <v>1</v>
      </c>
      <c r="G791">
        <v>75479.649376234796</v>
      </c>
      <c r="H791">
        <v>7.7823881999999997E-2</v>
      </c>
      <c r="I791">
        <v>14437</v>
      </c>
      <c r="J791">
        <v>4688</v>
      </c>
      <c r="K791">
        <v>9749</v>
      </c>
      <c r="L791">
        <v>500</v>
      </c>
      <c r="M791">
        <v>499</v>
      </c>
      <c r="N791">
        <v>1</v>
      </c>
      <c r="O791">
        <v>14171.0842415961</v>
      </c>
      <c r="P791" s="3" t="s">
        <v>51</v>
      </c>
      <c r="Q791">
        <v>50</v>
      </c>
      <c r="R791">
        <v>0.999</v>
      </c>
      <c r="S791">
        <v>0</v>
      </c>
    </row>
    <row r="792" spans="1:19" x14ac:dyDescent="0.2">
      <c r="A792" s="3" t="s">
        <v>54</v>
      </c>
      <c r="B792" s="3" t="s">
        <v>55</v>
      </c>
      <c r="C792">
        <v>38</v>
      </c>
      <c r="D792">
        <v>18000</v>
      </c>
      <c r="E792">
        <v>499</v>
      </c>
      <c r="F792">
        <v>1</v>
      </c>
      <c r="G792">
        <v>75479.649376234796</v>
      </c>
      <c r="H792">
        <v>7.7759575999999997E-2</v>
      </c>
      <c r="I792">
        <v>14447</v>
      </c>
      <c r="J792">
        <v>4715</v>
      </c>
      <c r="K792">
        <v>9732</v>
      </c>
      <c r="L792">
        <v>500</v>
      </c>
      <c r="M792">
        <v>499</v>
      </c>
      <c r="N792">
        <v>1</v>
      </c>
      <c r="O792">
        <v>14180.7583573962</v>
      </c>
      <c r="P792" s="3" t="s">
        <v>51</v>
      </c>
      <c r="Q792">
        <v>50</v>
      </c>
      <c r="R792">
        <v>0.999</v>
      </c>
      <c r="S792">
        <v>0</v>
      </c>
    </row>
    <row r="793" spans="1:19" x14ac:dyDescent="0.2">
      <c r="A793" s="3" t="s">
        <v>54</v>
      </c>
      <c r="B793" s="3" t="s">
        <v>55</v>
      </c>
      <c r="C793">
        <v>43</v>
      </c>
      <c r="D793">
        <v>18000</v>
      </c>
      <c r="E793">
        <v>499</v>
      </c>
      <c r="F793">
        <v>1</v>
      </c>
      <c r="G793">
        <v>75479.649376234796</v>
      </c>
      <c r="H793">
        <v>7.7570753000000006E-2</v>
      </c>
      <c r="I793">
        <v>14421</v>
      </c>
      <c r="J793">
        <v>4686</v>
      </c>
      <c r="K793">
        <v>9735</v>
      </c>
      <c r="L793">
        <v>500</v>
      </c>
      <c r="M793">
        <v>499</v>
      </c>
      <c r="N793">
        <v>1</v>
      </c>
      <c r="O793">
        <v>14243.4349014953</v>
      </c>
      <c r="P793" s="3" t="s">
        <v>51</v>
      </c>
      <c r="Q793">
        <v>50</v>
      </c>
      <c r="R793">
        <v>0.999</v>
      </c>
      <c r="S793">
        <v>0</v>
      </c>
    </row>
    <row r="794" spans="1:19" x14ac:dyDescent="0.2">
      <c r="A794" s="3" t="s">
        <v>54</v>
      </c>
      <c r="B794" s="3" t="s">
        <v>55</v>
      </c>
      <c r="C794">
        <v>39</v>
      </c>
      <c r="D794">
        <v>20000</v>
      </c>
      <c r="E794">
        <v>499</v>
      </c>
      <c r="F794">
        <v>1</v>
      </c>
      <c r="G794">
        <v>82302.7524576211</v>
      </c>
      <c r="H794">
        <v>7.7167769999999997E-2</v>
      </c>
      <c r="I794">
        <v>14997</v>
      </c>
      <c r="J794">
        <v>5330</v>
      </c>
      <c r="K794">
        <v>9667</v>
      </c>
      <c r="L794">
        <v>500</v>
      </c>
      <c r="M794">
        <v>499</v>
      </c>
      <c r="N794">
        <v>1</v>
      </c>
      <c r="O794">
        <v>19873.618321197198</v>
      </c>
      <c r="P794" s="3" t="s">
        <v>51</v>
      </c>
      <c r="Q794">
        <v>50</v>
      </c>
      <c r="R794">
        <v>0.999</v>
      </c>
      <c r="S794">
        <v>0</v>
      </c>
    </row>
    <row r="795" spans="1:19" x14ac:dyDescent="0.2">
      <c r="A795" s="3" t="s">
        <v>54</v>
      </c>
      <c r="B795" s="3" t="s">
        <v>55</v>
      </c>
      <c r="C795">
        <v>35</v>
      </c>
      <c r="D795">
        <v>18000</v>
      </c>
      <c r="E795">
        <v>499</v>
      </c>
      <c r="F795">
        <v>1</v>
      </c>
      <c r="G795">
        <v>75479.649376234796</v>
      </c>
      <c r="H795">
        <v>7.7069006999999995E-2</v>
      </c>
      <c r="I795">
        <v>14424</v>
      </c>
      <c r="J795">
        <v>4695</v>
      </c>
      <c r="K795">
        <v>9729</v>
      </c>
      <c r="L795">
        <v>500</v>
      </c>
      <c r="M795">
        <v>499</v>
      </c>
      <c r="N795">
        <v>1</v>
      </c>
      <c r="O795">
        <v>14301.371309260599</v>
      </c>
      <c r="P795" s="3" t="s">
        <v>51</v>
      </c>
      <c r="Q795">
        <v>50</v>
      </c>
      <c r="R795">
        <v>0.999</v>
      </c>
      <c r="S795">
        <v>0</v>
      </c>
    </row>
    <row r="796" spans="1:19" x14ac:dyDescent="0.2">
      <c r="A796" s="3" t="s">
        <v>54</v>
      </c>
      <c r="B796" s="3" t="s">
        <v>55</v>
      </c>
      <c r="C796">
        <v>37</v>
      </c>
      <c r="D796">
        <v>18000</v>
      </c>
      <c r="E796">
        <v>499</v>
      </c>
      <c r="F796">
        <v>1</v>
      </c>
      <c r="G796">
        <v>75479.649376234796</v>
      </c>
      <c r="H796">
        <v>7.6977269000000001E-2</v>
      </c>
      <c r="I796">
        <v>14458</v>
      </c>
      <c r="J796">
        <v>4718</v>
      </c>
      <c r="K796">
        <v>9740</v>
      </c>
      <c r="L796">
        <v>500</v>
      </c>
      <c r="M796">
        <v>499</v>
      </c>
      <c r="N796">
        <v>1</v>
      </c>
      <c r="O796">
        <v>14071.060640883399</v>
      </c>
      <c r="P796" s="3" t="s">
        <v>51</v>
      </c>
      <c r="Q796">
        <v>50</v>
      </c>
      <c r="R796">
        <v>0.999</v>
      </c>
      <c r="S796">
        <v>0</v>
      </c>
    </row>
    <row r="797" spans="1:19" x14ac:dyDescent="0.2">
      <c r="A797" s="3" t="s">
        <v>54</v>
      </c>
      <c r="B797" s="3" t="s">
        <v>55</v>
      </c>
      <c r="C797">
        <v>27</v>
      </c>
      <c r="D797">
        <v>17000</v>
      </c>
      <c r="E797">
        <v>499</v>
      </c>
      <c r="F797">
        <v>1</v>
      </c>
      <c r="G797">
        <v>65872.258119671897</v>
      </c>
      <c r="H797">
        <v>7.6858055999999994E-2</v>
      </c>
      <c r="I797">
        <v>14266</v>
      </c>
      <c r="J797">
        <v>4745</v>
      </c>
      <c r="K797">
        <v>9521</v>
      </c>
      <c r="L797">
        <v>500</v>
      </c>
      <c r="M797">
        <v>499</v>
      </c>
      <c r="N797">
        <v>1</v>
      </c>
      <c r="O797">
        <v>9753.8213756463992</v>
      </c>
      <c r="P797" s="3" t="s">
        <v>51</v>
      </c>
      <c r="Q797">
        <v>50</v>
      </c>
      <c r="R797">
        <v>0.999</v>
      </c>
      <c r="S797">
        <v>0</v>
      </c>
    </row>
    <row r="798" spans="1:19" x14ac:dyDescent="0.2">
      <c r="A798" s="3" t="s">
        <v>54</v>
      </c>
      <c r="B798" s="3" t="s">
        <v>55</v>
      </c>
      <c r="C798">
        <v>26</v>
      </c>
      <c r="D798">
        <v>18000</v>
      </c>
      <c r="E798">
        <v>499</v>
      </c>
      <c r="F798">
        <v>1</v>
      </c>
      <c r="G798">
        <v>75479.649376234796</v>
      </c>
      <c r="H798">
        <v>7.6853178999999994E-2</v>
      </c>
      <c r="I798">
        <v>14414</v>
      </c>
      <c r="J798">
        <v>4683</v>
      </c>
      <c r="K798">
        <v>9731</v>
      </c>
      <c r="L798">
        <v>500</v>
      </c>
      <c r="M798">
        <v>499</v>
      </c>
      <c r="N798">
        <v>1</v>
      </c>
      <c r="O798">
        <v>14429.9321486182</v>
      </c>
      <c r="P798" s="3" t="s">
        <v>51</v>
      </c>
      <c r="Q798">
        <v>50</v>
      </c>
      <c r="R798">
        <v>0.999</v>
      </c>
      <c r="S798">
        <v>0</v>
      </c>
    </row>
    <row r="799" spans="1:19" x14ac:dyDescent="0.2">
      <c r="A799" s="3" t="s">
        <v>54</v>
      </c>
      <c r="B799" s="3" t="s">
        <v>55</v>
      </c>
      <c r="C799">
        <v>3</v>
      </c>
      <c r="D799">
        <v>18000</v>
      </c>
      <c r="E799">
        <v>499</v>
      </c>
      <c r="F799">
        <v>1</v>
      </c>
      <c r="G799">
        <v>75479.649376234796</v>
      </c>
      <c r="H799">
        <v>7.6586906999999996E-2</v>
      </c>
      <c r="I799">
        <v>14474</v>
      </c>
      <c r="J799">
        <v>4709</v>
      </c>
      <c r="K799">
        <v>9765</v>
      </c>
      <c r="L799">
        <v>500</v>
      </c>
      <c r="M799">
        <v>499</v>
      </c>
      <c r="N799">
        <v>1</v>
      </c>
      <c r="O799">
        <v>14139.765772496799</v>
      </c>
      <c r="P799" s="3" t="s">
        <v>51</v>
      </c>
      <c r="Q799">
        <v>50</v>
      </c>
      <c r="R799">
        <v>0.999</v>
      </c>
      <c r="S799">
        <v>0</v>
      </c>
    </row>
    <row r="800" spans="1:19" x14ac:dyDescent="0.2">
      <c r="A800" s="3" t="s">
        <v>54</v>
      </c>
      <c r="B800" s="3" t="s">
        <v>55</v>
      </c>
      <c r="C800">
        <v>9</v>
      </c>
      <c r="D800">
        <v>18000</v>
      </c>
      <c r="E800">
        <v>499</v>
      </c>
      <c r="F800">
        <v>1</v>
      </c>
      <c r="G800">
        <v>75479.649376234796</v>
      </c>
      <c r="H800">
        <v>7.6067983000000006E-2</v>
      </c>
      <c r="I800">
        <v>14407</v>
      </c>
      <c r="J800">
        <v>4683</v>
      </c>
      <c r="K800">
        <v>9724</v>
      </c>
      <c r="L800">
        <v>500</v>
      </c>
      <c r="M800">
        <v>499</v>
      </c>
      <c r="N800">
        <v>1</v>
      </c>
      <c r="O800">
        <v>14280.3526326476</v>
      </c>
      <c r="P800" s="3" t="s">
        <v>51</v>
      </c>
      <c r="Q800">
        <v>50</v>
      </c>
      <c r="R800">
        <v>0.999</v>
      </c>
      <c r="S800">
        <v>0</v>
      </c>
    </row>
    <row r="801" spans="1:19" x14ac:dyDescent="0.2">
      <c r="A801" s="3" t="s">
        <v>54</v>
      </c>
      <c r="B801" s="3" t="s">
        <v>55</v>
      </c>
      <c r="C801">
        <v>32</v>
      </c>
      <c r="D801">
        <v>20000</v>
      </c>
      <c r="E801">
        <v>499</v>
      </c>
      <c r="F801">
        <v>1</v>
      </c>
      <c r="G801">
        <v>82302.7524576211</v>
      </c>
      <c r="H801">
        <v>7.5734667000000006E-2</v>
      </c>
      <c r="I801">
        <v>15011</v>
      </c>
      <c r="J801">
        <v>5314</v>
      </c>
      <c r="K801">
        <v>9697</v>
      </c>
      <c r="L801">
        <v>500</v>
      </c>
      <c r="M801">
        <v>499</v>
      </c>
      <c r="N801">
        <v>1</v>
      </c>
      <c r="O801">
        <v>19907.014305778299</v>
      </c>
      <c r="P801" s="3" t="s">
        <v>51</v>
      </c>
      <c r="Q801">
        <v>50</v>
      </c>
      <c r="R801">
        <v>0.999</v>
      </c>
      <c r="S801">
        <v>0</v>
      </c>
    </row>
    <row r="802" spans="1:19" x14ac:dyDescent="0.2">
      <c r="A802" s="3" t="s">
        <v>54</v>
      </c>
      <c r="B802" s="3" t="s">
        <v>55</v>
      </c>
      <c r="C802">
        <v>41</v>
      </c>
      <c r="D802">
        <v>18000</v>
      </c>
      <c r="E802">
        <v>499</v>
      </c>
      <c r="F802">
        <v>1</v>
      </c>
      <c r="G802">
        <v>75479.649376234796</v>
      </c>
      <c r="H802">
        <v>7.5317117000000003E-2</v>
      </c>
      <c r="I802">
        <v>14452</v>
      </c>
      <c r="J802">
        <v>4689</v>
      </c>
      <c r="K802">
        <v>9763</v>
      </c>
      <c r="L802">
        <v>500</v>
      </c>
      <c r="M802">
        <v>499</v>
      </c>
      <c r="N802">
        <v>1</v>
      </c>
      <c r="O802">
        <v>14169.529908882299</v>
      </c>
      <c r="P802" s="3" t="s">
        <v>51</v>
      </c>
      <c r="Q802">
        <v>50</v>
      </c>
      <c r="R802">
        <v>0.999</v>
      </c>
      <c r="S802">
        <v>0</v>
      </c>
    </row>
    <row r="803" spans="1:19" x14ac:dyDescent="0.2">
      <c r="A803" s="3" t="s">
        <v>54</v>
      </c>
      <c r="B803" s="3" t="s">
        <v>55</v>
      </c>
      <c r="C803">
        <v>37</v>
      </c>
      <c r="D803">
        <v>13000</v>
      </c>
      <c r="E803">
        <v>499</v>
      </c>
      <c r="F803">
        <v>1</v>
      </c>
      <c r="G803">
        <v>53044.701099550097</v>
      </c>
      <c r="H803">
        <v>7.5181910000000005E-2</v>
      </c>
      <c r="I803">
        <v>12636</v>
      </c>
      <c r="J803">
        <v>3694</v>
      </c>
      <c r="K803">
        <v>8942</v>
      </c>
      <c r="L803">
        <v>500</v>
      </c>
      <c r="M803">
        <v>499</v>
      </c>
      <c r="N803">
        <v>1</v>
      </c>
      <c r="O803">
        <v>1328.6049866771</v>
      </c>
      <c r="P803" s="3" t="s">
        <v>50</v>
      </c>
      <c r="Q803">
        <v>50</v>
      </c>
      <c r="R803">
        <v>0.999</v>
      </c>
      <c r="S803">
        <v>0</v>
      </c>
    </row>
    <row r="804" spans="1:19" x14ac:dyDescent="0.2">
      <c r="A804" s="3" t="s">
        <v>54</v>
      </c>
      <c r="B804" s="3" t="s">
        <v>55</v>
      </c>
      <c r="C804">
        <v>20</v>
      </c>
      <c r="D804">
        <v>18000</v>
      </c>
      <c r="E804">
        <v>499</v>
      </c>
      <c r="F804">
        <v>1</v>
      </c>
      <c r="G804">
        <v>75479.649376234796</v>
      </c>
      <c r="H804">
        <v>7.5103003000000002E-2</v>
      </c>
      <c r="I804">
        <v>14451</v>
      </c>
      <c r="J804">
        <v>4730</v>
      </c>
      <c r="K804">
        <v>9721</v>
      </c>
      <c r="L804">
        <v>500</v>
      </c>
      <c r="M804">
        <v>499</v>
      </c>
      <c r="N804">
        <v>1</v>
      </c>
      <c r="O804">
        <v>14165.2919470217</v>
      </c>
      <c r="P804" s="3" t="s">
        <v>51</v>
      </c>
      <c r="Q804">
        <v>50</v>
      </c>
      <c r="R804">
        <v>0.999</v>
      </c>
      <c r="S804">
        <v>0</v>
      </c>
    </row>
    <row r="805" spans="1:19" x14ac:dyDescent="0.2">
      <c r="A805" s="3" t="s">
        <v>54</v>
      </c>
      <c r="B805" s="3" t="s">
        <v>55</v>
      </c>
      <c r="C805">
        <v>49</v>
      </c>
      <c r="D805">
        <v>13000</v>
      </c>
      <c r="E805">
        <v>499</v>
      </c>
      <c r="F805">
        <v>1</v>
      </c>
      <c r="G805">
        <v>53044.701099550097</v>
      </c>
      <c r="H805">
        <v>7.5005450000000001E-2</v>
      </c>
      <c r="I805">
        <v>12642</v>
      </c>
      <c r="J805">
        <v>3706</v>
      </c>
      <c r="K805">
        <v>8936</v>
      </c>
      <c r="L805">
        <v>500</v>
      </c>
      <c r="M805">
        <v>499</v>
      </c>
      <c r="N805">
        <v>1</v>
      </c>
      <c r="O805">
        <v>1286.9630727705</v>
      </c>
      <c r="P805" s="3" t="s">
        <v>52</v>
      </c>
      <c r="Q805">
        <v>50</v>
      </c>
      <c r="R805">
        <v>0.999</v>
      </c>
      <c r="S805">
        <v>0</v>
      </c>
    </row>
    <row r="806" spans="1:19" x14ac:dyDescent="0.2">
      <c r="A806" s="3" t="s">
        <v>54</v>
      </c>
      <c r="B806" s="3" t="s">
        <v>55</v>
      </c>
      <c r="C806">
        <v>33</v>
      </c>
      <c r="D806">
        <v>18000</v>
      </c>
      <c r="E806">
        <v>499</v>
      </c>
      <c r="F806">
        <v>1</v>
      </c>
      <c r="G806">
        <v>75479.649376234796</v>
      </c>
      <c r="H806">
        <v>7.4960873999999997E-2</v>
      </c>
      <c r="I806">
        <v>14456</v>
      </c>
      <c r="J806">
        <v>4680</v>
      </c>
      <c r="K806">
        <v>9776</v>
      </c>
      <c r="L806">
        <v>500</v>
      </c>
      <c r="M806">
        <v>499</v>
      </c>
      <c r="N806">
        <v>1</v>
      </c>
      <c r="O806">
        <v>14294.6222059024</v>
      </c>
      <c r="P806" s="3" t="s">
        <v>51</v>
      </c>
      <c r="Q806">
        <v>50</v>
      </c>
      <c r="R806">
        <v>0.999</v>
      </c>
      <c r="S806">
        <v>0</v>
      </c>
    </row>
    <row r="807" spans="1:19" x14ac:dyDescent="0.2">
      <c r="A807" s="3" t="s">
        <v>54</v>
      </c>
      <c r="B807" s="3" t="s">
        <v>55</v>
      </c>
      <c r="C807">
        <v>20</v>
      </c>
      <c r="D807">
        <v>17000</v>
      </c>
      <c r="E807">
        <v>499</v>
      </c>
      <c r="F807">
        <v>1</v>
      </c>
      <c r="G807">
        <v>65872.258119671897</v>
      </c>
      <c r="H807">
        <v>7.4933778000000006E-2</v>
      </c>
      <c r="I807">
        <v>14199</v>
      </c>
      <c r="J807">
        <v>4735</v>
      </c>
      <c r="K807">
        <v>9464</v>
      </c>
      <c r="L807">
        <v>500</v>
      </c>
      <c r="M807">
        <v>499</v>
      </c>
      <c r="N807">
        <v>1</v>
      </c>
      <c r="O807">
        <v>9884.4629578546992</v>
      </c>
      <c r="P807" s="3" t="s">
        <v>51</v>
      </c>
      <c r="Q807">
        <v>50</v>
      </c>
      <c r="R807">
        <v>0.999</v>
      </c>
      <c r="S807">
        <v>0</v>
      </c>
    </row>
    <row r="808" spans="1:19" x14ac:dyDescent="0.2">
      <c r="A808" s="3" t="s">
        <v>54</v>
      </c>
      <c r="B808" s="3" t="s">
        <v>55</v>
      </c>
      <c r="C808">
        <v>9</v>
      </c>
      <c r="D808">
        <v>17000</v>
      </c>
      <c r="E808">
        <v>499</v>
      </c>
      <c r="F808">
        <v>1</v>
      </c>
      <c r="G808">
        <v>65872.258119671897</v>
      </c>
      <c r="H808">
        <v>7.4492762000000004E-2</v>
      </c>
      <c r="I808">
        <v>14240</v>
      </c>
      <c r="J808">
        <v>4725</v>
      </c>
      <c r="K808">
        <v>9515</v>
      </c>
      <c r="L808">
        <v>500</v>
      </c>
      <c r="M808">
        <v>499</v>
      </c>
      <c r="N808">
        <v>1</v>
      </c>
      <c r="O808">
        <v>9889.5011252176992</v>
      </c>
      <c r="P808" s="3" t="s">
        <v>51</v>
      </c>
      <c r="Q808">
        <v>50</v>
      </c>
      <c r="R808">
        <v>0.999</v>
      </c>
      <c r="S808">
        <v>0</v>
      </c>
    </row>
    <row r="809" spans="1:19" x14ac:dyDescent="0.2">
      <c r="A809" s="3" t="s">
        <v>54</v>
      </c>
      <c r="B809" s="3" t="s">
        <v>55</v>
      </c>
      <c r="C809">
        <v>33</v>
      </c>
      <c r="D809">
        <v>17000</v>
      </c>
      <c r="E809">
        <v>499</v>
      </c>
      <c r="F809">
        <v>1</v>
      </c>
      <c r="G809">
        <v>65872.258119671897</v>
      </c>
      <c r="H809">
        <v>7.4464739000000002E-2</v>
      </c>
      <c r="I809">
        <v>14233</v>
      </c>
      <c r="J809">
        <v>4745</v>
      </c>
      <c r="K809">
        <v>9488</v>
      </c>
      <c r="L809">
        <v>500</v>
      </c>
      <c r="M809">
        <v>499</v>
      </c>
      <c r="N809">
        <v>1</v>
      </c>
      <c r="O809">
        <v>9810.1526047700008</v>
      </c>
      <c r="P809" s="3" t="s">
        <v>51</v>
      </c>
      <c r="Q809">
        <v>50</v>
      </c>
      <c r="R809">
        <v>0.999</v>
      </c>
      <c r="S809">
        <v>0</v>
      </c>
    </row>
    <row r="810" spans="1:19" x14ac:dyDescent="0.2">
      <c r="A810" s="3" t="s">
        <v>54</v>
      </c>
      <c r="B810" s="3" t="s">
        <v>55</v>
      </c>
      <c r="C810">
        <v>35</v>
      </c>
      <c r="D810">
        <v>13000</v>
      </c>
      <c r="E810">
        <v>499</v>
      </c>
      <c r="F810">
        <v>1</v>
      </c>
      <c r="G810">
        <v>53044.701099550097</v>
      </c>
      <c r="H810">
        <v>7.4327193999999999E-2</v>
      </c>
      <c r="I810">
        <v>12613</v>
      </c>
      <c r="J810">
        <v>3642</v>
      </c>
      <c r="K810">
        <v>8971</v>
      </c>
      <c r="L810">
        <v>500</v>
      </c>
      <c r="M810">
        <v>499</v>
      </c>
      <c r="N810">
        <v>1</v>
      </c>
      <c r="O810">
        <v>1354.4045452529999</v>
      </c>
      <c r="P810" s="3" t="s">
        <v>52</v>
      </c>
      <c r="Q810">
        <v>50</v>
      </c>
      <c r="R810">
        <v>0.999</v>
      </c>
      <c r="S810">
        <v>0</v>
      </c>
    </row>
    <row r="811" spans="1:19" x14ac:dyDescent="0.2">
      <c r="A811" s="3" t="s">
        <v>54</v>
      </c>
      <c r="B811" s="3" t="s">
        <v>55</v>
      </c>
      <c r="C811">
        <v>48</v>
      </c>
      <c r="D811">
        <v>18000</v>
      </c>
      <c r="E811">
        <v>499</v>
      </c>
      <c r="F811">
        <v>1</v>
      </c>
      <c r="G811">
        <v>75479.649376234796</v>
      </c>
      <c r="H811">
        <v>7.4120311999999994E-2</v>
      </c>
      <c r="I811">
        <v>14460</v>
      </c>
      <c r="J811">
        <v>4716</v>
      </c>
      <c r="K811">
        <v>9744</v>
      </c>
      <c r="L811">
        <v>500</v>
      </c>
      <c r="M811">
        <v>499</v>
      </c>
      <c r="N811">
        <v>1</v>
      </c>
      <c r="O811">
        <v>14159.1604137457</v>
      </c>
      <c r="P811" s="3" t="s">
        <v>51</v>
      </c>
      <c r="Q811">
        <v>50</v>
      </c>
      <c r="R811">
        <v>0.999</v>
      </c>
      <c r="S811">
        <v>0</v>
      </c>
    </row>
    <row r="812" spans="1:19" x14ac:dyDescent="0.2">
      <c r="A812" s="3" t="s">
        <v>54</v>
      </c>
      <c r="B812" s="3" t="s">
        <v>55</v>
      </c>
      <c r="C812">
        <v>18</v>
      </c>
      <c r="D812">
        <v>17000</v>
      </c>
      <c r="E812">
        <v>499</v>
      </c>
      <c r="F812">
        <v>1</v>
      </c>
      <c r="G812">
        <v>65872.258119671897</v>
      </c>
      <c r="H812">
        <v>7.4075707000000005E-2</v>
      </c>
      <c r="I812">
        <v>14244</v>
      </c>
      <c r="J812">
        <v>4751</v>
      </c>
      <c r="K812">
        <v>9493</v>
      </c>
      <c r="L812">
        <v>500</v>
      </c>
      <c r="M812">
        <v>499</v>
      </c>
      <c r="N812">
        <v>1</v>
      </c>
      <c r="O812">
        <v>9784.4844897521998</v>
      </c>
      <c r="P812" s="3" t="s">
        <v>51</v>
      </c>
      <c r="Q812">
        <v>50</v>
      </c>
      <c r="R812">
        <v>0.999</v>
      </c>
      <c r="S812">
        <v>0</v>
      </c>
    </row>
    <row r="813" spans="1:19" x14ac:dyDescent="0.2">
      <c r="A813" s="3" t="s">
        <v>54</v>
      </c>
      <c r="B813" s="3" t="s">
        <v>55</v>
      </c>
      <c r="C813">
        <v>29</v>
      </c>
      <c r="D813">
        <v>17000</v>
      </c>
      <c r="E813">
        <v>499</v>
      </c>
      <c r="F813">
        <v>1</v>
      </c>
      <c r="G813">
        <v>65872.258119671897</v>
      </c>
      <c r="H813">
        <v>7.3878375999999996E-2</v>
      </c>
      <c r="I813">
        <v>14215</v>
      </c>
      <c r="J813">
        <v>4768</v>
      </c>
      <c r="K813">
        <v>9447</v>
      </c>
      <c r="L813">
        <v>500</v>
      </c>
      <c r="M813">
        <v>499</v>
      </c>
      <c r="N813">
        <v>1</v>
      </c>
      <c r="O813">
        <v>9830.5171460568999</v>
      </c>
      <c r="P813" s="3" t="s">
        <v>51</v>
      </c>
      <c r="Q813">
        <v>50</v>
      </c>
      <c r="R813">
        <v>0.999</v>
      </c>
      <c r="S813">
        <v>0</v>
      </c>
    </row>
    <row r="814" spans="1:19" x14ac:dyDescent="0.2">
      <c r="A814" s="3" t="s">
        <v>54</v>
      </c>
      <c r="B814" s="3" t="s">
        <v>55</v>
      </c>
      <c r="C814">
        <v>4</v>
      </c>
      <c r="D814">
        <v>13000</v>
      </c>
      <c r="E814">
        <v>499</v>
      </c>
      <c r="F814">
        <v>1</v>
      </c>
      <c r="G814">
        <v>53044.701099550097</v>
      </c>
      <c r="H814">
        <v>7.3579204999999995E-2</v>
      </c>
      <c r="I814">
        <v>12613</v>
      </c>
      <c r="J814">
        <v>3662</v>
      </c>
      <c r="K814">
        <v>8951</v>
      </c>
      <c r="L814">
        <v>500</v>
      </c>
      <c r="M814">
        <v>499</v>
      </c>
      <c r="N814">
        <v>1</v>
      </c>
      <c r="O814">
        <v>1355.3767589391</v>
      </c>
      <c r="P814" s="3" t="s">
        <v>50</v>
      </c>
      <c r="Q814">
        <v>50</v>
      </c>
      <c r="R814">
        <v>0.999</v>
      </c>
      <c r="S814">
        <v>0</v>
      </c>
    </row>
    <row r="815" spans="1:19" x14ac:dyDescent="0.2">
      <c r="A815" s="3" t="s">
        <v>54</v>
      </c>
      <c r="B815" s="3" t="s">
        <v>55</v>
      </c>
      <c r="C815">
        <v>19</v>
      </c>
      <c r="D815">
        <v>17000</v>
      </c>
      <c r="E815">
        <v>499</v>
      </c>
      <c r="F815">
        <v>1</v>
      </c>
      <c r="G815">
        <v>65872.258119671897</v>
      </c>
      <c r="H815">
        <v>7.3462330000000006E-2</v>
      </c>
      <c r="I815">
        <v>14264</v>
      </c>
      <c r="J815">
        <v>4767</v>
      </c>
      <c r="K815">
        <v>9497</v>
      </c>
      <c r="L815">
        <v>500</v>
      </c>
      <c r="M815">
        <v>499</v>
      </c>
      <c r="N815">
        <v>1</v>
      </c>
      <c r="O815">
        <v>9726.2607504813004</v>
      </c>
      <c r="P815" s="3" t="s">
        <v>51</v>
      </c>
      <c r="Q815">
        <v>50</v>
      </c>
      <c r="R815">
        <v>0.999</v>
      </c>
      <c r="S815">
        <v>0</v>
      </c>
    </row>
    <row r="816" spans="1:19" x14ac:dyDescent="0.2">
      <c r="A816" s="3" t="s">
        <v>54</v>
      </c>
      <c r="B816" s="3" t="s">
        <v>55</v>
      </c>
      <c r="C816">
        <v>22</v>
      </c>
      <c r="D816">
        <v>18000</v>
      </c>
      <c r="E816">
        <v>499</v>
      </c>
      <c r="F816">
        <v>1</v>
      </c>
      <c r="G816">
        <v>75479.649376234796</v>
      </c>
      <c r="H816">
        <v>7.3048283000000006E-2</v>
      </c>
      <c r="I816">
        <v>14434</v>
      </c>
      <c r="J816">
        <v>4686</v>
      </c>
      <c r="K816">
        <v>9748</v>
      </c>
      <c r="L816">
        <v>500</v>
      </c>
      <c r="M816">
        <v>499</v>
      </c>
      <c r="N816">
        <v>1</v>
      </c>
      <c r="O816">
        <v>14278.417360656</v>
      </c>
      <c r="P816" s="3" t="s">
        <v>51</v>
      </c>
      <c r="Q816">
        <v>50</v>
      </c>
      <c r="R816">
        <v>0.999</v>
      </c>
      <c r="S816">
        <v>0</v>
      </c>
    </row>
    <row r="817" spans="1:19" x14ac:dyDescent="0.2">
      <c r="A817" s="3" t="s">
        <v>54</v>
      </c>
      <c r="B817" s="3" t="s">
        <v>55</v>
      </c>
      <c r="C817">
        <v>30</v>
      </c>
      <c r="D817">
        <v>17000</v>
      </c>
      <c r="E817">
        <v>499</v>
      </c>
      <c r="F817">
        <v>1</v>
      </c>
      <c r="G817">
        <v>65872.258119671897</v>
      </c>
      <c r="H817">
        <v>7.3014686999999995E-2</v>
      </c>
      <c r="I817">
        <v>14259</v>
      </c>
      <c r="J817">
        <v>4748</v>
      </c>
      <c r="K817">
        <v>9511</v>
      </c>
      <c r="L817">
        <v>500</v>
      </c>
      <c r="M817">
        <v>499</v>
      </c>
      <c r="N817">
        <v>1</v>
      </c>
      <c r="O817">
        <v>9765.8866034060993</v>
      </c>
      <c r="P817" s="3" t="s">
        <v>51</v>
      </c>
      <c r="Q817">
        <v>50</v>
      </c>
      <c r="R817">
        <v>0.999</v>
      </c>
      <c r="S817">
        <v>0</v>
      </c>
    </row>
    <row r="818" spans="1:19" x14ac:dyDescent="0.2">
      <c r="A818" s="3" t="s">
        <v>54</v>
      </c>
      <c r="B818" s="3" t="s">
        <v>55</v>
      </c>
      <c r="C818">
        <v>17</v>
      </c>
      <c r="D818">
        <v>13000</v>
      </c>
      <c r="E818">
        <v>499</v>
      </c>
      <c r="F818">
        <v>1</v>
      </c>
      <c r="G818">
        <v>53044.701099550097</v>
      </c>
      <c r="H818">
        <v>7.2931298000000006E-2</v>
      </c>
      <c r="I818">
        <v>12626</v>
      </c>
      <c r="J818">
        <v>3641</v>
      </c>
      <c r="K818">
        <v>8985</v>
      </c>
      <c r="L818">
        <v>500</v>
      </c>
      <c r="M818">
        <v>499</v>
      </c>
      <c r="N818">
        <v>1</v>
      </c>
      <c r="O818">
        <v>1314.2900970998001</v>
      </c>
      <c r="P818" s="3" t="s">
        <v>52</v>
      </c>
      <c r="Q818">
        <v>50</v>
      </c>
      <c r="R818">
        <v>0.999</v>
      </c>
      <c r="S818">
        <v>0</v>
      </c>
    </row>
    <row r="819" spans="1:19" x14ac:dyDescent="0.2">
      <c r="A819" s="3" t="s">
        <v>54</v>
      </c>
      <c r="B819" s="3" t="s">
        <v>55</v>
      </c>
      <c r="C819">
        <v>32</v>
      </c>
      <c r="D819">
        <v>13000</v>
      </c>
      <c r="E819">
        <v>499</v>
      </c>
      <c r="F819">
        <v>1</v>
      </c>
      <c r="G819">
        <v>53044.701099550097</v>
      </c>
      <c r="H819">
        <v>7.2559729000000003E-2</v>
      </c>
      <c r="I819">
        <v>12628</v>
      </c>
      <c r="J819">
        <v>3660</v>
      </c>
      <c r="K819">
        <v>8968</v>
      </c>
      <c r="L819">
        <v>500</v>
      </c>
      <c r="M819">
        <v>499</v>
      </c>
      <c r="N819">
        <v>1</v>
      </c>
      <c r="O819">
        <v>1330.8123885494999</v>
      </c>
      <c r="P819" s="3" t="s">
        <v>52</v>
      </c>
      <c r="Q819">
        <v>50</v>
      </c>
      <c r="R819">
        <v>0.999</v>
      </c>
      <c r="S819">
        <v>0</v>
      </c>
    </row>
    <row r="820" spans="1:19" x14ac:dyDescent="0.2">
      <c r="A820" s="3" t="s">
        <v>54</v>
      </c>
      <c r="B820" s="3" t="s">
        <v>55</v>
      </c>
      <c r="C820">
        <v>50</v>
      </c>
      <c r="D820">
        <v>17000</v>
      </c>
      <c r="E820">
        <v>499</v>
      </c>
      <c r="F820">
        <v>1</v>
      </c>
      <c r="G820">
        <v>65872.258119671897</v>
      </c>
      <c r="H820">
        <v>7.2538215000000003E-2</v>
      </c>
      <c r="I820">
        <v>14238</v>
      </c>
      <c r="J820">
        <v>4762</v>
      </c>
      <c r="K820">
        <v>9476</v>
      </c>
      <c r="L820">
        <v>500</v>
      </c>
      <c r="M820">
        <v>499</v>
      </c>
      <c r="N820">
        <v>1</v>
      </c>
      <c r="O820">
        <v>9805.9444181415001</v>
      </c>
      <c r="P820" s="3" t="s">
        <v>51</v>
      </c>
      <c r="Q820">
        <v>50</v>
      </c>
      <c r="R820">
        <v>0.999</v>
      </c>
      <c r="S820">
        <v>0</v>
      </c>
    </row>
    <row r="821" spans="1:19" x14ac:dyDescent="0.2">
      <c r="A821" s="3" t="s">
        <v>54</v>
      </c>
      <c r="B821" s="3" t="s">
        <v>55</v>
      </c>
      <c r="C821">
        <v>18</v>
      </c>
      <c r="D821">
        <v>18000</v>
      </c>
      <c r="E821">
        <v>499</v>
      </c>
      <c r="F821">
        <v>1</v>
      </c>
      <c r="G821">
        <v>75479.649376234796</v>
      </c>
      <c r="H821">
        <v>7.2338877999999995E-2</v>
      </c>
      <c r="I821">
        <v>14424</v>
      </c>
      <c r="J821">
        <v>4664</v>
      </c>
      <c r="K821">
        <v>9760</v>
      </c>
      <c r="L821">
        <v>500</v>
      </c>
      <c r="M821">
        <v>499</v>
      </c>
      <c r="N821">
        <v>1</v>
      </c>
      <c r="O821">
        <v>14380.645293263</v>
      </c>
      <c r="P821" s="3" t="s">
        <v>51</v>
      </c>
      <c r="Q821">
        <v>50</v>
      </c>
      <c r="R821">
        <v>0.999</v>
      </c>
      <c r="S821">
        <v>0</v>
      </c>
    </row>
    <row r="822" spans="1:19" x14ac:dyDescent="0.2">
      <c r="A822" s="3" t="s">
        <v>54</v>
      </c>
      <c r="B822" s="3" t="s">
        <v>55</v>
      </c>
      <c r="C822">
        <v>43</v>
      </c>
      <c r="D822">
        <v>13000</v>
      </c>
      <c r="E822">
        <v>499</v>
      </c>
      <c r="F822">
        <v>1</v>
      </c>
      <c r="G822">
        <v>53044.701099550097</v>
      </c>
      <c r="H822">
        <v>7.2111156999999995E-2</v>
      </c>
      <c r="I822">
        <v>12625</v>
      </c>
      <c r="J822">
        <v>3643</v>
      </c>
      <c r="K822">
        <v>8982</v>
      </c>
      <c r="L822">
        <v>500</v>
      </c>
      <c r="M822">
        <v>499</v>
      </c>
      <c r="N822">
        <v>1</v>
      </c>
      <c r="O822">
        <v>1352.7329439678001</v>
      </c>
      <c r="P822" s="3" t="s">
        <v>52</v>
      </c>
      <c r="Q822">
        <v>50</v>
      </c>
      <c r="R822">
        <v>0.999</v>
      </c>
      <c r="S822">
        <v>0</v>
      </c>
    </row>
    <row r="823" spans="1:19" x14ac:dyDescent="0.2">
      <c r="A823" s="3" t="s">
        <v>54</v>
      </c>
      <c r="B823" s="3" t="s">
        <v>55</v>
      </c>
      <c r="C823">
        <v>23</v>
      </c>
      <c r="D823">
        <v>17000</v>
      </c>
      <c r="E823">
        <v>499</v>
      </c>
      <c r="F823">
        <v>1</v>
      </c>
      <c r="G823">
        <v>65872.258119671897</v>
      </c>
      <c r="H823">
        <v>7.1949836000000003E-2</v>
      </c>
      <c r="I823">
        <v>14235</v>
      </c>
      <c r="J823">
        <v>4749</v>
      </c>
      <c r="K823">
        <v>9486</v>
      </c>
      <c r="L823">
        <v>500</v>
      </c>
      <c r="M823">
        <v>499</v>
      </c>
      <c r="N823">
        <v>1</v>
      </c>
      <c r="O823">
        <v>9758.5170617577005</v>
      </c>
      <c r="P823" s="3" t="s">
        <v>51</v>
      </c>
      <c r="Q823">
        <v>50</v>
      </c>
      <c r="R823">
        <v>0.999</v>
      </c>
      <c r="S823">
        <v>0</v>
      </c>
    </row>
    <row r="824" spans="1:19" x14ac:dyDescent="0.2">
      <c r="A824" s="3" t="s">
        <v>54</v>
      </c>
      <c r="B824" s="3" t="s">
        <v>55</v>
      </c>
      <c r="C824">
        <v>15</v>
      </c>
      <c r="D824">
        <v>17000</v>
      </c>
      <c r="E824">
        <v>499</v>
      </c>
      <c r="F824">
        <v>1</v>
      </c>
      <c r="G824">
        <v>65872.258119671897</v>
      </c>
      <c r="H824">
        <v>7.1903470999999997E-2</v>
      </c>
      <c r="I824">
        <v>14234</v>
      </c>
      <c r="J824">
        <v>4757</v>
      </c>
      <c r="K824">
        <v>9477</v>
      </c>
      <c r="L824">
        <v>500</v>
      </c>
      <c r="M824">
        <v>499</v>
      </c>
      <c r="N824">
        <v>1</v>
      </c>
      <c r="O824">
        <v>9789.6839480176004</v>
      </c>
      <c r="P824" s="3" t="s">
        <v>51</v>
      </c>
      <c r="Q824">
        <v>50</v>
      </c>
      <c r="R824">
        <v>0.999</v>
      </c>
      <c r="S824">
        <v>0</v>
      </c>
    </row>
    <row r="825" spans="1:19" x14ac:dyDescent="0.2">
      <c r="A825" s="3" t="s">
        <v>54</v>
      </c>
      <c r="B825" s="3" t="s">
        <v>55</v>
      </c>
      <c r="C825">
        <v>25</v>
      </c>
      <c r="D825">
        <v>13000</v>
      </c>
      <c r="E825">
        <v>499</v>
      </c>
      <c r="F825">
        <v>1</v>
      </c>
      <c r="G825">
        <v>53044.701099550097</v>
      </c>
      <c r="H825">
        <v>7.1498479000000004E-2</v>
      </c>
      <c r="I825">
        <v>12628</v>
      </c>
      <c r="J825">
        <v>3660</v>
      </c>
      <c r="K825">
        <v>8968</v>
      </c>
      <c r="L825">
        <v>500</v>
      </c>
      <c r="M825">
        <v>499</v>
      </c>
      <c r="N825">
        <v>1</v>
      </c>
      <c r="O825">
        <v>1332.7035375988</v>
      </c>
      <c r="P825" s="3" t="s">
        <v>52</v>
      </c>
      <c r="Q825">
        <v>50</v>
      </c>
      <c r="R825">
        <v>0.999</v>
      </c>
      <c r="S825">
        <v>0</v>
      </c>
    </row>
    <row r="826" spans="1:19" x14ac:dyDescent="0.2">
      <c r="A826" s="3" t="s">
        <v>54</v>
      </c>
      <c r="B826" s="3" t="s">
        <v>55</v>
      </c>
      <c r="C826">
        <v>7</v>
      </c>
      <c r="D826">
        <v>13000</v>
      </c>
      <c r="E826">
        <v>499</v>
      </c>
      <c r="F826">
        <v>1</v>
      </c>
      <c r="G826">
        <v>53044.701099550097</v>
      </c>
      <c r="H826">
        <v>7.1469485999999999E-2</v>
      </c>
      <c r="I826">
        <v>12619</v>
      </c>
      <c r="J826">
        <v>3624</v>
      </c>
      <c r="K826">
        <v>8995</v>
      </c>
      <c r="L826">
        <v>500</v>
      </c>
      <c r="M826">
        <v>499</v>
      </c>
      <c r="N826">
        <v>1</v>
      </c>
      <c r="O826">
        <v>1336.7284072046</v>
      </c>
      <c r="P826" s="3" t="s">
        <v>52</v>
      </c>
      <c r="Q826">
        <v>50</v>
      </c>
      <c r="R826">
        <v>0.999</v>
      </c>
      <c r="S826">
        <v>0</v>
      </c>
    </row>
    <row r="827" spans="1:19" x14ac:dyDescent="0.2">
      <c r="A827" s="3" t="s">
        <v>54</v>
      </c>
      <c r="B827" s="3" t="s">
        <v>55</v>
      </c>
      <c r="C827">
        <v>1</v>
      </c>
      <c r="D827">
        <v>13000</v>
      </c>
      <c r="E827">
        <v>499</v>
      </c>
      <c r="F827">
        <v>1</v>
      </c>
      <c r="G827">
        <v>53044.701099550097</v>
      </c>
      <c r="H827">
        <v>7.1422048000000002E-2</v>
      </c>
      <c r="I827">
        <v>12629</v>
      </c>
      <c r="J827">
        <v>3704</v>
      </c>
      <c r="K827">
        <v>8925</v>
      </c>
      <c r="L827">
        <v>500</v>
      </c>
      <c r="M827">
        <v>499</v>
      </c>
      <c r="N827">
        <v>1</v>
      </c>
      <c r="O827">
        <v>1294.8863795294001</v>
      </c>
      <c r="P827" s="3" t="s">
        <v>52</v>
      </c>
      <c r="Q827">
        <v>50</v>
      </c>
      <c r="R827">
        <v>0.999</v>
      </c>
      <c r="S827">
        <v>0</v>
      </c>
    </row>
    <row r="828" spans="1:19" x14ac:dyDescent="0.2">
      <c r="A828" s="3" t="s">
        <v>54</v>
      </c>
      <c r="B828" s="3" t="s">
        <v>55</v>
      </c>
      <c r="C828">
        <v>31</v>
      </c>
      <c r="D828">
        <v>13000</v>
      </c>
      <c r="E828">
        <v>499</v>
      </c>
      <c r="F828">
        <v>1</v>
      </c>
      <c r="G828">
        <v>53044.701099550097</v>
      </c>
      <c r="H828">
        <v>7.1174412000000006E-2</v>
      </c>
      <c r="I828">
        <v>12607</v>
      </c>
      <c r="J828">
        <v>3731</v>
      </c>
      <c r="K828">
        <v>8876</v>
      </c>
      <c r="L828">
        <v>500</v>
      </c>
      <c r="M828">
        <v>499</v>
      </c>
      <c r="N828">
        <v>1</v>
      </c>
      <c r="O828">
        <v>1382.5439412830001</v>
      </c>
      <c r="P828" s="3" t="s">
        <v>50</v>
      </c>
      <c r="Q828">
        <v>50</v>
      </c>
      <c r="R828">
        <v>0.999</v>
      </c>
      <c r="S828">
        <v>0</v>
      </c>
    </row>
    <row r="829" spans="1:19" x14ac:dyDescent="0.2">
      <c r="A829" s="3" t="s">
        <v>54</v>
      </c>
      <c r="B829" s="3" t="s">
        <v>55</v>
      </c>
      <c r="C829">
        <v>25</v>
      </c>
      <c r="D829">
        <v>17000</v>
      </c>
      <c r="E829">
        <v>499</v>
      </c>
      <c r="F829">
        <v>1</v>
      </c>
      <c r="G829">
        <v>65872.258119671897</v>
      </c>
      <c r="H829">
        <v>7.1000081000000007E-2</v>
      </c>
      <c r="I829">
        <v>14246</v>
      </c>
      <c r="J829">
        <v>4732</v>
      </c>
      <c r="K829">
        <v>9514</v>
      </c>
      <c r="L829">
        <v>500</v>
      </c>
      <c r="M829">
        <v>499</v>
      </c>
      <c r="N829">
        <v>1</v>
      </c>
      <c r="O829">
        <v>9848.4073201335996</v>
      </c>
      <c r="P829" s="3" t="s">
        <v>51</v>
      </c>
      <c r="Q829">
        <v>50</v>
      </c>
      <c r="R829">
        <v>0.999</v>
      </c>
      <c r="S829">
        <v>0</v>
      </c>
    </row>
    <row r="830" spans="1:19" x14ac:dyDescent="0.2">
      <c r="A830" s="3" t="s">
        <v>54</v>
      </c>
      <c r="B830" s="3" t="s">
        <v>55</v>
      </c>
      <c r="C830">
        <v>49</v>
      </c>
      <c r="D830">
        <v>17000</v>
      </c>
      <c r="E830">
        <v>499</v>
      </c>
      <c r="F830">
        <v>1</v>
      </c>
      <c r="G830">
        <v>65872.258119671897</v>
      </c>
      <c r="H830">
        <v>7.0885260000000005E-2</v>
      </c>
      <c r="I830">
        <v>14272</v>
      </c>
      <c r="J830">
        <v>4781</v>
      </c>
      <c r="K830">
        <v>9491</v>
      </c>
      <c r="L830">
        <v>500</v>
      </c>
      <c r="M830">
        <v>499</v>
      </c>
      <c r="N830">
        <v>1</v>
      </c>
      <c r="O830">
        <v>9744.8110809387999</v>
      </c>
      <c r="P830" s="3" t="s">
        <v>51</v>
      </c>
      <c r="Q830">
        <v>50</v>
      </c>
      <c r="R830">
        <v>0.999</v>
      </c>
      <c r="S830">
        <v>0</v>
      </c>
    </row>
    <row r="831" spans="1:19" x14ac:dyDescent="0.2">
      <c r="A831" s="3" t="s">
        <v>54</v>
      </c>
      <c r="B831" s="3" t="s">
        <v>55</v>
      </c>
      <c r="C831">
        <v>37</v>
      </c>
      <c r="D831">
        <v>17000</v>
      </c>
      <c r="E831">
        <v>499</v>
      </c>
      <c r="F831">
        <v>1</v>
      </c>
      <c r="G831">
        <v>65872.258119671897</v>
      </c>
      <c r="H831">
        <v>7.0820074999999996E-2</v>
      </c>
      <c r="I831">
        <v>14222</v>
      </c>
      <c r="J831">
        <v>4768</v>
      </c>
      <c r="K831">
        <v>9454</v>
      </c>
      <c r="L831">
        <v>500</v>
      </c>
      <c r="M831">
        <v>499</v>
      </c>
      <c r="N831">
        <v>1</v>
      </c>
      <c r="O831">
        <v>9820.2237838875008</v>
      </c>
      <c r="P831" s="3" t="s">
        <v>51</v>
      </c>
      <c r="Q831">
        <v>50</v>
      </c>
      <c r="R831">
        <v>0.999</v>
      </c>
      <c r="S831">
        <v>0</v>
      </c>
    </row>
    <row r="832" spans="1:19" x14ac:dyDescent="0.2">
      <c r="A832" s="3" t="s">
        <v>54</v>
      </c>
      <c r="B832" s="3" t="s">
        <v>55</v>
      </c>
      <c r="C832">
        <v>46</v>
      </c>
      <c r="D832">
        <v>17000</v>
      </c>
      <c r="E832">
        <v>499</v>
      </c>
      <c r="F832">
        <v>1</v>
      </c>
      <c r="G832">
        <v>65872.258119671897</v>
      </c>
      <c r="H832">
        <v>7.0733394000000005E-2</v>
      </c>
      <c r="I832">
        <v>14230</v>
      </c>
      <c r="J832">
        <v>4763</v>
      </c>
      <c r="K832">
        <v>9467</v>
      </c>
      <c r="L832">
        <v>500</v>
      </c>
      <c r="M832">
        <v>499</v>
      </c>
      <c r="N832">
        <v>1</v>
      </c>
      <c r="O832">
        <v>9888.8336907298999</v>
      </c>
      <c r="P832" s="3" t="s">
        <v>51</v>
      </c>
      <c r="Q832">
        <v>50</v>
      </c>
      <c r="R832">
        <v>0.999</v>
      </c>
      <c r="S832">
        <v>0</v>
      </c>
    </row>
    <row r="833" spans="1:19" x14ac:dyDescent="0.2">
      <c r="A833" s="3" t="s">
        <v>54</v>
      </c>
      <c r="B833" s="3" t="s">
        <v>55</v>
      </c>
      <c r="C833">
        <v>1</v>
      </c>
      <c r="D833">
        <v>17000</v>
      </c>
      <c r="E833">
        <v>499</v>
      </c>
      <c r="F833">
        <v>1</v>
      </c>
      <c r="G833">
        <v>65872.258119671897</v>
      </c>
      <c r="H833">
        <v>7.0670220000000006E-2</v>
      </c>
      <c r="I833">
        <v>14209</v>
      </c>
      <c r="J833">
        <v>4731</v>
      </c>
      <c r="K833">
        <v>9478</v>
      </c>
      <c r="L833">
        <v>500</v>
      </c>
      <c r="M833">
        <v>499</v>
      </c>
      <c r="N833">
        <v>1</v>
      </c>
      <c r="O833">
        <v>9892.1367693920001</v>
      </c>
      <c r="P833" s="3" t="s">
        <v>51</v>
      </c>
      <c r="Q833">
        <v>50</v>
      </c>
      <c r="R833">
        <v>0.999</v>
      </c>
      <c r="S833">
        <v>0</v>
      </c>
    </row>
    <row r="834" spans="1:19" x14ac:dyDescent="0.2">
      <c r="A834" s="3" t="s">
        <v>54</v>
      </c>
      <c r="B834" s="3" t="s">
        <v>55</v>
      </c>
      <c r="C834">
        <v>26</v>
      </c>
      <c r="D834">
        <v>17000</v>
      </c>
      <c r="E834">
        <v>499</v>
      </c>
      <c r="F834">
        <v>1</v>
      </c>
      <c r="G834">
        <v>65872.258119671897</v>
      </c>
      <c r="H834">
        <v>7.0662638E-2</v>
      </c>
      <c r="I834">
        <v>14215</v>
      </c>
      <c r="J834">
        <v>4738</v>
      </c>
      <c r="K834">
        <v>9477</v>
      </c>
      <c r="L834">
        <v>500</v>
      </c>
      <c r="M834">
        <v>499</v>
      </c>
      <c r="N834">
        <v>1</v>
      </c>
      <c r="O834">
        <v>9924.2984630472001</v>
      </c>
      <c r="P834" s="3" t="s">
        <v>51</v>
      </c>
      <c r="Q834">
        <v>50</v>
      </c>
      <c r="R834">
        <v>0.999</v>
      </c>
      <c r="S834">
        <v>0</v>
      </c>
    </row>
    <row r="835" spans="1:19" x14ac:dyDescent="0.2">
      <c r="A835" s="3" t="s">
        <v>54</v>
      </c>
      <c r="B835" s="3" t="s">
        <v>55</v>
      </c>
      <c r="C835">
        <v>15</v>
      </c>
      <c r="D835">
        <v>13000</v>
      </c>
      <c r="E835">
        <v>499</v>
      </c>
      <c r="F835">
        <v>1</v>
      </c>
      <c r="G835">
        <v>53044.701099550097</v>
      </c>
      <c r="H835">
        <v>7.0525982000000001E-2</v>
      </c>
      <c r="I835">
        <v>12622</v>
      </c>
      <c r="J835">
        <v>3659</v>
      </c>
      <c r="K835">
        <v>8963</v>
      </c>
      <c r="L835">
        <v>500</v>
      </c>
      <c r="M835">
        <v>499</v>
      </c>
      <c r="N835">
        <v>1</v>
      </c>
      <c r="O835">
        <v>1324.6558748523</v>
      </c>
      <c r="P835" s="3" t="s">
        <v>52</v>
      </c>
      <c r="Q835">
        <v>50</v>
      </c>
      <c r="R835">
        <v>0.999</v>
      </c>
      <c r="S835">
        <v>0</v>
      </c>
    </row>
    <row r="836" spans="1:19" x14ac:dyDescent="0.2">
      <c r="A836" s="3" t="s">
        <v>54</v>
      </c>
      <c r="B836" s="3" t="s">
        <v>55</v>
      </c>
      <c r="C836">
        <v>41</v>
      </c>
      <c r="D836">
        <v>13000</v>
      </c>
      <c r="E836">
        <v>499</v>
      </c>
      <c r="F836">
        <v>1</v>
      </c>
      <c r="G836">
        <v>53044.701099550097</v>
      </c>
      <c r="H836">
        <v>7.0457962999999998E-2</v>
      </c>
      <c r="I836">
        <v>12623</v>
      </c>
      <c r="J836">
        <v>3625</v>
      </c>
      <c r="K836">
        <v>8998</v>
      </c>
      <c r="L836">
        <v>500</v>
      </c>
      <c r="M836">
        <v>499</v>
      </c>
      <c r="N836">
        <v>1</v>
      </c>
      <c r="O836">
        <v>1336.1877690959</v>
      </c>
      <c r="P836" s="3" t="s">
        <v>52</v>
      </c>
      <c r="Q836">
        <v>50</v>
      </c>
      <c r="R836">
        <v>0.999</v>
      </c>
      <c r="S836">
        <v>0</v>
      </c>
    </row>
    <row r="837" spans="1:19" x14ac:dyDescent="0.2">
      <c r="A837" s="3" t="s">
        <v>54</v>
      </c>
      <c r="B837" s="3" t="s">
        <v>55</v>
      </c>
      <c r="C837">
        <v>47</v>
      </c>
      <c r="D837">
        <v>17000</v>
      </c>
      <c r="E837">
        <v>499</v>
      </c>
      <c r="F837">
        <v>1</v>
      </c>
      <c r="G837">
        <v>65872.258119671897</v>
      </c>
      <c r="H837">
        <v>7.0376776000000002E-2</v>
      </c>
      <c r="I837">
        <v>14221</v>
      </c>
      <c r="J837">
        <v>4749</v>
      </c>
      <c r="K837">
        <v>9472</v>
      </c>
      <c r="L837">
        <v>500</v>
      </c>
      <c r="M837">
        <v>499</v>
      </c>
      <c r="N837">
        <v>1</v>
      </c>
      <c r="O837">
        <v>9868.9462375113999</v>
      </c>
      <c r="P837" s="3" t="s">
        <v>51</v>
      </c>
      <c r="Q837">
        <v>50</v>
      </c>
      <c r="R837">
        <v>0.999</v>
      </c>
      <c r="S837">
        <v>0</v>
      </c>
    </row>
    <row r="838" spans="1:19" x14ac:dyDescent="0.2">
      <c r="A838" s="3" t="s">
        <v>54</v>
      </c>
      <c r="B838" s="3" t="s">
        <v>55</v>
      </c>
      <c r="C838">
        <v>6</v>
      </c>
      <c r="D838">
        <v>17000</v>
      </c>
      <c r="E838">
        <v>499</v>
      </c>
      <c r="F838">
        <v>1</v>
      </c>
      <c r="G838">
        <v>65872.258119671897</v>
      </c>
      <c r="H838">
        <v>7.0319632000000007E-2</v>
      </c>
      <c r="I838">
        <v>14239</v>
      </c>
      <c r="J838">
        <v>4779</v>
      </c>
      <c r="K838">
        <v>9460</v>
      </c>
      <c r="L838">
        <v>500</v>
      </c>
      <c r="M838">
        <v>499</v>
      </c>
      <c r="N838">
        <v>1</v>
      </c>
      <c r="O838">
        <v>9834.0171090477997</v>
      </c>
      <c r="P838" s="3" t="s">
        <v>51</v>
      </c>
      <c r="Q838">
        <v>50</v>
      </c>
      <c r="R838">
        <v>0.999</v>
      </c>
      <c r="S838">
        <v>0</v>
      </c>
    </row>
    <row r="839" spans="1:19" x14ac:dyDescent="0.2">
      <c r="A839" s="3" t="s">
        <v>54</v>
      </c>
      <c r="B839" s="3" t="s">
        <v>55</v>
      </c>
      <c r="C839">
        <v>34</v>
      </c>
      <c r="D839">
        <v>17000</v>
      </c>
      <c r="E839">
        <v>499</v>
      </c>
      <c r="F839">
        <v>1</v>
      </c>
      <c r="G839">
        <v>65872.258119671897</v>
      </c>
      <c r="H839">
        <v>7.0270845999999998E-2</v>
      </c>
      <c r="I839">
        <v>14227</v>
      </c>
      <c r="J839">
        <v>4757</v>
      </c>
      <c r="K839">
        <v>9470</v>
      </c>
      <c r="L839">
        <v>500</v>
      </c>
      <c r="M839">
        <v>499</v>
      </c>
      <c r="N839">
        <v>1</v>
      </c>
      <c r="O839">
        <v>9889.9879476195001</v>
      </c>
      <c r="P839" s="3" t="s">
        <v>51</v>
      </c>
      <c r="Q839">
        <v>50</v>
      </c>
      <c r="R839">
        <v>0.999</v>
      </c>
      <c r="S839">
        <v>0</v>
      </c>
    </row>
    <row r="840" spans="1:19" x14ac:dyDescent="0.2">
      <c r="A840" s="3" t="s">
        <v>54</v>
      </c>
      <c r="B840" s="3" t="s">
        <v>55</v>
      </c>
      <c r="C840">
        <v>50</v>
      </c>
      <c r="D840">
        <v>13000</v>
      </c>
      <c r="E840">
        <v>499</v>
      </c>
      <c r="F840">
        <v>1</v>
      </c>
      <c r="G840">
        <v>53044.701099550097</v>
      </c>
      <c r="H840">
        <v>7.0040710000000006E-2</v>
      </c>
      <c r="I840">
        <v>12643</v>
      </c>
      <c r="J840">
        <v>3727</v>
      </c>
      <c r="K840">
        <v>8916</v>
      </c>
      <c r="L840">
        <v>500</v>
      </c>
      <c r="M840">
        <v>499</v>
      </c>
      <c r="N840">
        <v>1</v>
      </c>
      <c r="O840">
        <v>1284.7586506816999</v>
      </c>
      <c r="P840" s="3" t="s">
        <v>52</v>
      </c>
      <c r="Q840">
        <v>50</v>
      </c>
      <c r="R840">
        <v>0.999</v>
      </c>
      <c r="S840">
        <v>0</v>
      </c>
    </row>
    <row r="841" spans="1:19" x14ac:dyDescent="0.2">
      <c r="A841" s="3" t="s">
        <v>54</v>
      </c>
      <c r="B841" s="3" t="s">
        <v>55</v>
      </c>
      <c r="C841">
        <v>11</v>
      </c>
      <c r="D841">
        <v>17000</v>
      </c>
      <c r="E841">
        <v>499</v>
      </c>
      <c r="F841">
        <v>1</v>
      </c>
      <c r="G841">
        <v>65872.258119671897</v>
      </c>
      <c r="H841">
        <v>7.0019057999999995E-2</v>
      </c>
      <c r="I841">
        <v>14248</v>
      </c>
      <c r="J841">
        <v>4749</v>
      </c>
      <c r="K841">
        <v>9499</v>
      </c>
      <c r="L841">
        <v>500</v>
      </c>
      <c r="M841">
        <v>499</v>
      </c>
      <c r="N841">
        <v>1</v>
      </c>
      <c r="O841">
        <v>9841.4528156394008</v>
      </c>
      <c r="P841" s="3" t="s">
        <v>51</v>
      </c>
      <c r="Q841">
        <v>50</v>
      </c>
      <c r="R841">
        <v>0.999</v>
      </c>
      <c r="S841">
        <v>0</v>
      </c>
    </row>
    <row r="842" spans="1:19" x14ac:dyDescent="0.2">
      <c r="A842" s="3" t="s">
        <v>54</v>
      </c>
      <c r="B842" s="3" t="s">
        <v>55</v>
      </c>
      <c r="C842">
        <v>4</v>
      </c>
      <c r="D842">
        <v>13000</v>
      </c>
      <c r="E842">
        <v>499</v>
      </c>
      <c r="F842">
        <v>1</v>
      </c>
      <c r="G842">
        <v>53044.701099550097</v>
      </c>
      <c r="H842">
        <v>6.9910396999999999E-2</v>
      </c>
      <c r="I842">
        <v>12618</v>
      </c>
      <c r="J842">
        <v>3630</v>
      </c>
      <c r="K842">
        <v>8988</v>
      </c>
      <c r="L842">
        <v>500</v>
      </c>
      <c r="M842">
        <v>499</v>
      </c>
      <c r="N842">
        <v>1</v>
      </c>
      <c r="O842">
        <v>1370.477481782</v>
      </c>
      <c r="P842" s="3" t="s">
        <v>52</v>
      </c>
      <c r="Q842">
        <v>50</v>
      </c>
      <c r="R842">
        <v>0.999</v>
      </c>
      <c r="S842">
        <v>0</v>
      </c>
    </row>
    <row r="843" spans="1:19" x14ac:dyDescent="0.2">
      <c r="A843" s="3" t="s">
        <v>54</v>
      </c>
      <c r="B843" s="3" t="s">
        <v>55</v>
      </c>
      <c r="C843">
        <v>16</v>
      </c>
      <c r="D843">
        <v>13000</v>
      </c>
      <c r="E843">
        <v>499</v>
      </c>
      <c r="F843">
        <v>1</v>
      </c>
      <c r="G843">
        <v>53044.701099550097</v>
      </c>
      <c r="H843">
        <v>6.9653876000000003E-2</v>
      </c>
      <c r="I843">
        <v>12624</v>
      </c>
      <c r="J843">
        <v>3640</v>
      </c>
      <c r="K843">
        <v>8984</v>
      </c>
      <c r="L843">
        <v>500</v>
      </c>
      <c r="M843">
        <v>499</v>
      </c>
      <c r="N843">
        <v>1</v>
      </c>
      <c r="O843">
        <v>1318.7353542504</v>
      </c>
      <c r="P843" s="3" t="s">
        <v>52</v>
      </c>
      <c r="Q843">
        <v>50</v>
      </c>
      <c r="R843">
        <v>0.999</v>
      </c>
      <c r="S843">
        <v>0</v>
      </c>
    </row>
    <row r="844" spans="1:19" x14ac:dyDescent="0.2">
      <c r="A844" s="3" t="s">
        <v>54</v>
      </c>
      <c r="B844" s="3" t="s">
        <v>55</v>
      </c>
      <c r="C844">
        <v>31</v>
      </c>
      <c r="D844">
        <v>17000</v>
      </c>
      <c r="E844">
        <v>499</v>
      </c>
      <c r="F844">
        <v>1</v>
      </c>
      <c r="G844">
        <v>65872.258119671897</v>
      </c>
      <c r="H844">
        <v>6.9647478999999998E-2</v>
      </c>
      <c r="I844">
        <v>14228</v>
      </c>
      <c r="J844">
        <v>4749</v>
      </c>
      <c r="K844">
        <v>9479</v>
      </c>
      <c r="L844">
        <v>500</v>
      </c>
      <c r="M844">
        <v>499</v>
      </c>
      <c r="N844">
        <v>1</v>
      </c>
      <c r="O844">
        <v>9808.6799873836007</v>
      </c>
      <c r="P844" s="3" t="s">
        <v>51</v>
      </c>
      <c r="Q844">
        <v>50</v>
      </c>
      <c r="R844">
        <v>0.999</v>
      </c>
      <c r="S844">
        <v>0</v>
      </c>
    </row>
    <row r="845" spans="1:19" x14ac:dyDescent="0.2">
      <c r="A845" s="3" t="s">
        <v>54</v>
      </c>
      <c r="B845" s="3" t="s">
        <v>55</v>
      </c>
      <c r="C845">
        <v>46</v>
      </c>
      <c r="D845">
        <v>13000</v>
      </c>
      <c r="E845">
        <v>499</v>
      </c>
      <c r="F845">
        <v>1</v>
      </c>
      <c r="G845">
        <v>53044.701099550097</v>
      </c>
      <c r="H845">
        <v>6.9562156E-2</v>
      </c>
      <c r="I845">
        <v>12629</v>
      </c>
      <c r="J845">
        <v>3683</v>
      </c>
      <c r="K845">
        <v>8946</v>
      </c>
      <c r="L845">
        <v>500</v>
      </c>
      <c r="M845">
        <v>499</v>
      </c>
      <c r="N845">
        <v>1</v>
      </c>
      <c r="O845">
        <v>1319.8827300792</v>
      </c>
      <c r="P845" s="3" t="s">
        <v>52</v>
      </c>
      <c r="Q845">
        <v>50</v>
      </c>
      <c r="R845">
        <v>0.999</v>
      </c>
      <c r="S845">
        <v>0</v>
      </c>
    </row>
    <row r="846" spans="1:19" x14ac:dyDescent="0.2">
      <c r="A846" s="3" t="s">
        <v>54</v>
      </c>
      <c r="B846" s="3" t="s">
        <v>55</v>
      </c>
      <c r="C846">
        <v>6</v>
      </c>
      <c r="D846">
        <v>13000</v>
      </c>
      <c r="E846">
        <v>499</v>
      </c>
      <c r="F846">
        <v>1</v>
      </c>
      <c r="G846">
        <v>53044.701099550097</v>
      </c>
      <c r="H846">
        <v>6.9554959E-2</v>
      </c>
      <c r="I846">
        <v>12625</v>
      </c>
      <c r="J846">
        <v>3659</v>
      </c>
      <c r="K846">
        <v>8966</v>
      </c>
      <c r="L846">
        <v>500</v>
      </c>
      <c r="M846">
        <v>499</v>
      </c>
      <c r="N846">
        <v>1</v>
      </c>
      <c r="O846">
        <v>1345.0684973540999</v>
      </c>
      <c r="P846" s="3" t="s">
        <v>52</v>
      </c>
      <c r="Q846">
        <v>50</v>
      </c>
      <c r="R846">
        <v>0.999</v>
      </c>
      <c r="S846">
        <v>0</v>
      </c>
    </row>
    <row r="847" spans="1:19" x14ac:dyDescent="0.2">
      <c r="A847" s="3" t="s">
        <v>54</v>
      </c>
      <c r="B847" s="3" t="s">
        <v>55</v>
      </c>
      <c r="C847">
        <v>8</v>
      </c>
      <c r="D847">
        <v>13000</v>
      </c>
      <c r="E847">
        <v>499</v>
      </c>
      <c r="F847">
        <v>1</v>
      </c>
      <c r="G847">
        <v>53044.701099550097</v>
      </c>
      <c r="H847">
        <v>6.9545554999999995E-2</v>
      </c>
      <c r="I847">
        <v>12615</v>
      </c>
      <c r="J847">
        <v>3673</v>
      </c>
      <c r="K847">
        <v>8942</v>
      </c>
      <c r="L847">
        <v>500</v>
      </c>
      <c r="M847">
        <v>499</v>
      </c>
      <c r="N847">
        <v>1</v>
      </c>
      <c r="O847">
        <v>1365.3873928817</v>
      </c>
      <c r="P847" s="3" t="s">
        <v>52</v>
      </c>
      <c r="Q847">
        <v>50</v>
      </c>
      <c r="R847">
        <v>0.999</v>
      </c>
      <c r="S847">
        <v>0</v>
      </c>
    </row>
    <row r="848" spans="1:19" x14ac:dyDescent="0.2">
      <c r="A848" s="3" t="s">
        <v>54</v>
      </c>
      <c r="B848" s="3" t="s">
        <v>55</v>
      </c>
      <c r="C848">
        <v>10</v>
      </c>
      <c r="D848">
        <v>13000</v>
      </c>
      <c r="E848">
        <v>499</v>
      </c>
      <c r="F848">
        <v>1</v>
      </c>
      <c r="G848">
        <v>53044.701099550097</v>
      </c>
      <c r="H848">
        <v>6.9528670000000001E-2</v>
      </c>
      <c r="I848">
        <v>12631</v>
      </c>
      <c r="J848">
        <v>3669</v>
      </c>
      <c r="K848">
        <v>8962</v>
      </c>
      <c r="L848">
        <v>500</v>
      </c>
      <c r="M848">
        <v>499</v>
      </c>
      <c r="N848">
        <v>1</v>
      </c>
      <c r="O848">
        <v>1326.0711690339999</v>
      </c>
      <c r="P848" s="3" t="s">
        <v>52</v>
      </c>
      <c r="Q848">
        <v>50</v>
      </c>
      <c r="R848">
        <v>0.999</v>
      </c>
      <c r="S848">
        <v>0</v>
      </c>
    </row>
    <row r="849" spans="1:19" x14ac:dyDescent="0.2">
      <c r="A849" s="3" t="s">
        <v>54</v>
      </c>
      <c r="B849" s="3" t="s">
        <v>55</v>
      </c>
      <c r="C849">
        <v>38</v>
      </c>
      <c r="D849">
        <v>13000</v>
      </c>
      <c r="E849">
        <v>499</v>
      </c>
      <c r="F849">
        <v>1</v>
      </c>
      <c r="G849">
        <v>53044.701099550097</v>
      </c>
      <c r="H849">
        <v>6.9484715000000002E-2</v>
      </c>
      <c r="I849">
        <v>12615</v>
      </c>
      <c r="J849">
        <v>3595</v>
      </c>
      <c r="K849">
        <v>9020</v>
      </c>
      <c r="L849">
        <v>500</v>
      </c>
      <c r="M849">
        <v>499</v>
      </c>
      <c r="N849">
        <v>1</v>
      </c>
      <c r="O849">
        <v>1358.9534569026</v>
      </c>
      <c r="P849" s="3" t="s">
        <v>52</v>
      </c>
      <c r="Q849">
        <v>50</v>
      </c>
      <c r="R849">
        <v>0.999</v>
      </c>
      <c r="S849">
        <v>0</v>
      </c>
    </row>
    <row r="850" spans="1:19" x14ac:dyDescent="0.2">
      <c r="A850" s="3" t="s">
        <v>54</v>
      </c>
      <c r="B850" s="3" t="s">
        <v>55</v>
      </c>
      <c r="C850">
        <v>5</v>
      </c>
      <c r="D850">
        <v>13000</v>
      </c>
      <c r="E850">
        <v>499</v>
      </c>
      <c r="F850">
        <v>1</v>
      </c>
      <c r="G850">
        <v>53044.701099550097</v>
      </c>
      <c r="H850">
        <v>6.9313574000000003E-2</v>
      </c>
      <c r="I850">
        <v>12652</v>
      </c>
      <c r="J850">
        <v>3686</v>
      </c>
      <c r="K850">
        <v>8966</v>
      </c>
      <c r="L850">
        <v>500</v>
      </c>
      <c r="M850">
        <v>499</v>
      </c>
      <c r="N850">
        <v>1</v>
      </c>
      <c r="O850">
        <v>1258.6730180682</v>
      </c>
      <c r="P850" s="3" t="s">
        <v>52</v>
      </c>
      <c r="Q850">
        <v>50</v>
      </c>
      <c r="R850">
        <v>0.999</v>
      </c>
      <c r="S850">
        <v>0</v>
      </c>
    </row>
    <row r="851" spans="1:19" x14ac:dyDescent="0.2">
      <c r="A851" s="3" t="s">
        <v>54</v>
      </c>
      <c r="B851" s="3" t="s">
        <v>55</v>
      </c>
      <c r="C851">
        <v>38</v>
      </c>
      <c r="D851">
        <v>17000</v>
      </c>
      <c r="E851">
        <v>499</v>
      </c>
      <c r="F851">
        <v>1</v>
      </c>
      <c r="G851">
        <v>65872.258119671897</v>
      </c>
      <c r="H851">
        <v>6.9269978999999995E-2</v>
      </c>
      <c r="I851">
        <v>14250</v>
      </c>
      <c r="J851">
        <v>4743</v>
      </c>
      <c r="K851">
        <v>9507</v>
      </c>
      <c r="L851">
        <v>500</v>
      </c>
      <c r="M851">
        <v>499</v>
      </c>
      <c r="N851">
        <v>1</v>
      </c>
      <c r="O851">
        <v>9837.7202265979995</v>
      </c>
      <c r="P851" s="3" t="s">
        <v>51</v>
      </c>
      <c r="Q851">
        <v>50</v>
      </c>
      <c r="R851">
        <v>0.999</v>
      </c>
      <c r="S851">
        <v>0</v>
      </c>
    </row>
    <row r="852" spans="1:19" x14ac:dyDescent="0.2">
      <c r="A852" s="3" t="s">
        <v>54</v>
      </c>
      <c r="B852" s="3" t="s">
        <v>55</v>
      </c>
      <c r="C852">
        <v>1</v>
      </c>
      <c r="D852">
        <v>13000</v>
      </c>
      <c r="E852">
        <v>499</v>
      </c>
      <c r="F852">
        <v>1</v>
      </c>
      <c r="G852">
        <v>53044.701099550097</v>
      </c>
      <c r="H852">
        <v>6.9228252000000004E-2</v>
      </c>
      <c r="I852">
        <v>12620</v>
      </c>
      <c r="J852">
        <v>3676</v>
      </c>
      <c r="K852">
        <v>8944</v>
      </c>
      <c r="L852">
        <v>500</v>
      </c>
      <c r="M852">
        <v>499</v>
      </c>
      <c r="N852">
        <v>1</v>
      </c>
      <c r="O852">
        <v>1358.6847794175001</v>
      </c>
      <c r="P852" s="3" t="s">
        <v>50</v>
      </c>
      <c r="Q852">
        <v>50</v>
      </c>
      <c r="R852">
        <v>0.999</v>
      </c>
      <c r="S852">
        <v>0</v>
      </c>
    </row>
    <row r="853" spans="1:19" x14ac:dyDescent="0.2">
      <c r="A853" s="3" t="s">
        <v>54</v>
      </c>
      <c r="B853" s="3" t="s">
        <v>55</v>
      </c>
      <c r="C853">
        <v>35</v>
      </c>
      <c r="D853">
        <v>17000</v>
      </c>
      <c r="E853">
        <v>499</v>
      </c>
      <c r="F853">
        <v>1</v>
      </c>
      <c r="G853">
        <v>65872.258119671897</v>
      </c>
      <c r="H853">
        <v>6.9198496999999998E-2</v>
      </c>
      <c r="I853">
        <v>14255</v>
      </c>
      <c r="J853">
        <v>4759</v>
      </c>
      <c r="K853">
        <v>9496</v>
      </c>
      <c r="L853">
        <v>500</v>
      </c>
      <c r="M853">
        <v>499</v>
      </c>
      <c r="N853">
        <v>1</v>
      </c>
      <c r="O853">
        <v>9847.6966170463002</v>
      </c>
      <c r="P853" s="3" t="s">
        <v>51</v>
      </c>
      <c r="Q853">
        <v>50</v>
      </c>
      <c r="R853">
        <v>0.999</v>
      </c>
      <c r="S853">
        <v>0</v>
      </c>
    </row>
    <row r="854" spans="1:19" x14ac:dyDescent="0.2">
      <c r="A854" s="3" t="s">
        <v>54</v>
      </c>
      <c r="B854" s="3" t="s">
        <v>55</v>
      </c>
      <c r="C854">
        <v>21</v>
      </c>
      <c r="D854">
        <v>13000</v>
      </c>
      <c r="E854">
        <v>499</v>
      </c>
      <c r="F854">
        <v>1</v>
      </c>
      <c r="G854">
        <v>53044.701099550097</v>
      </c>
      <c r="H854">
        <v>6.9190237000000002E-2</v>
      </c>
      <c r="I854">
        <v>12626</v>
      </c>
      <c r="J854">
        <v>3655</v>
      </c>
      <c r="K854">
        <v>8971</v>
      </c>
      <c r="L854">
        <v>500</v>
      </c>
      <c r="M854">
        <v>499</v>
      </c>
      <c r="N854">
        <v>1</v>
      </c>
      <c r="O854">
        <v>1324.1351929821001</v>
      </c>
      <c r="P854" s="3" t="s">
        <v>52</v>
      </c>
      <c r="Q854">
        <v>50</v>
      </c>
      <c r="R854">
        <v>0.999</v>
      </c>
      <c r="S854">
        <v>0</v>
      </c>
    </row>
    <row r="855" spans="1:19" x14ac:dyDescent="0.2">
      <c r="A855" s="3" t="s">
        <v>54</v>
      </c>
      <c r="B855" s="3" t="s">
        <v>55</v>
      </c>
      <c r="C855">
        <v>44</v>
      </c>
      <c r="D855">
        <v>17000</v>
      </c>
      <c r="E855">
        <v>499</v>
      </c>
      <c r="F855">
        <v>1</v>
      </c>
      <c r="G855">
        <v>65872.258119671897</v>
      </c>
      <c r="H855">
        <v>6.9157303000000003E-2</v>
      </c>
      <c r="I855">
        <v>14250</v>
      </c>
      <c r="J855">
        <v>4765</v>
      </c>
      <c r="K855">
        <v>9485</v>
      </c>
      <c r="L855">
        <v>500</v>
      </c>
      <c r="M855">
        <v>499</v>
      </c>
      <c r="N855">
        <v>1</v>
      </c>
      <c r="O855">
        <v>9713.0639992992001</v>
      </c>
      <c r="P855" s="3" t="s">
        <v>51</v>
      </c>
      <c r="Q855">
        <v>50</v>
      </c>
      <c r="R855">
        <v>0.999</v>
      </c>
      <c r="S855">
        <v>0</v>
      </c>
    </row>
    <row r="856" spans="1:19" x14ac:dyDescent="0.2">
      <c r="A856" s="3" t="s">
        <v>54</v>
      </c>
      <c r="B856" s="3" t="s">
        <v>55</v>
      </c>
      <c r="C856">
        <v>42</v>
      </c>
      <c r="D856">
        <v>13000</v>
      </c>
      <c r="E856">
        <v>499</v>
      </c>
      <c r="F856">
        <v>1</v>
      </c>
      <c r="G856">
        <v>53044.701099550097</v>
      </c>
      <c r="H856">
        <v>6.9125422000000006E-2</v>
      </c>
      <c r="I856">
        <v>12625</v>
      </c>
      <c r="J856">
        <v>3665</v>
      </c>
      <c r="K856">
        <v>8960</v>
      </c>
      <c r="L856">
        <v>500</v>
      </c>
      <c r="M856">
        <v>499</v>
      </c>
      <c r="N856">
        <v>1</v>
      </c>
      <c r="O856">
        <v>1347.3066802615001</v>
      </c>
      <c r="P856" s="3" t="s">
        <v>52</v>
      </c>
      <c r="Q856">
        <v>50</v>
      </c>
      <c r="R856">
        <v>0.999</v>
      </c>
      <c r="S856">
        <v>0</v>
      </c>
    </row>
    <row r="857" spans="1:19" x14ac:dyDescent="0.2">
      <c r="A857" s="3" t="s">
        <v>54</v>
      </c>
      <c r="B857" s="3" t="s">
        <v>55</v>
      </c>
      <c r="C857">
        <v>45</v>
      </c>
      <c r="D857">
        <v>17000</v>
      </c>
      <c r="E857">
        <v>499</v>
      </c>
      <c r="F857">
        <v>1</v>
      </c>
      <c r="G857">
        <v>65872.258119671897</v>
      </c>
      <c r="H857">
        <v>6.9110296000000002E-2</v>
      </c>
      <c r="I857">
        <v>14240</v>
      </c>
      <c r="J857">
        <v>4775</v>
      </c>
      <c r="K857">
        <v>9465</v>
      </c>
      <c r="L857">
        <v>500</v>
      </c>
      <c r="M857">
        <v>499</v>
      </c>
      <c r="N857">
        <v>1</v>
      </c>
      <c r="O857">
        <v>9883.4746916240001</v>
      </c>
      <c r="P857" s="3" t="s">
        <v>51</v>
      </c>
      <c r="Q857">
        <v>50</v>
      </c>
      <c r="R857">
        <v>0.999</v>
      </c>
      <c r="S857">
        <v>0</v>
      </c>
    </row>
    <row r="858" spans="1:19" x14ac:dyDescent="0.2">
      <c r="A858" s="3" t="s">
        <v>54</v>
      </c>
      <c r="B858" s="3" t="s">
        <v>55</v>
      </c>
      <c r="C858">
        <v>23</v>
      </c>
      <c r="D858">
        <v>13000</v>
      </c>
      <c r="E858">
        <v>499</v>
      </c>
      <c r="F858">
        <v>1</v>
      </c>
      <c r="G858">
        <v>53044.701099550097</v>
      </c>
      <c r="H858">
        <v>6.9024614999999997E-2</v>
      </c>
      <c r="I858">
        <v>12622</v>
      </c>
      <c r="J858">
        <v>3663</v>
      </c>
      <c r="K858">
        <v>8959</v>
      </c>
      <c r="L858">
        <v>500</v>
      </c>
      <c r="M858">
        <v>499</v>
      </c>
      <c r="N858">
        <v>1</v>
      </c>
      <c r="O858">
        <v>1355.2403269242</v>
      </c>
      <c r="P858" s="3" t="s">
        <v>52</v>
      </c>
      <c r="Q858">
        <v>50</v>
      </c>
      <c r="R858">
        <v>0.999</v>
      </c>
      <c r="S858">
        <v>0</v>
      </c>
    </row>
    <row r="859" spans="1:19" x14ac:dyDescent="0.2">
      <c r="A859" s="3" t="s">
        <v>54</v>
      </c>
      <c r="B859" s="3" t="s">
        <v>55</v>
      </c>
      <c r="C859">
        <v>18</v>
      </c>
      <c r="D859">
        <v>13000</v>
      </c>
      <c r="E859">
        <v>499</v>
      </c>
      <c r="F859">
        <v>1</v>
      </c>
      <c r="G859">
        <v>53044.701099550097</v>
      </c>
      <c r="H859">
        <v>6.9020490000000004E-2</v>
      </c>
      <c r="I859">
        <v>12625</v>
      </c>
      <c r="J859">
        <v>3672</v>
      </c>
      <c r="K859">
        <v>8953</v>
      </c>
      <c r="L859">
        <v>500</v>
      </c>
      <c r="M859">
        <v>499</v>
      </c>
      <c r="N859">
        <v>1</v>
      </c>
      <c r="O859">
        <v>1366.9462460709001</v>
      </c>
      <c r="P859" s="3" t="s">
        <v>52</v>
      </c>
      <c r="Q859">
        <v>50</v>
      </c>
      <c r="R859">
        <v>0.999</v>
      </c>
      <c r="S859">
        <v>0</v>
      </c>
    </row>
    <row r="860" spans="1:19" x14ac:dyDescent="0.2">
      <c r="A860" s="3" t="s">
        <v>54</v>
      </c>
      <c r="B860" s="3" t="s">
        <v>55</v>
      </c>
      <c r="C860">
        <v>9</v>
      </c>
      <c r="D860">
        <v>13000</v>
      </c>
      <c r="E860">
        <v>499</v>
      </c>
      <c r="F860">
        <v>1</v>
      </c>
      <c r="G860">
        <v>53044.701099550097</v>
      </c>
      <c r="H860">
        <v>6.8962601999999998E-2</v>
      </c>
      <c r="I860">
        <v>12609</v>
      </c>
      <c r="J860">
        <v>3611</v>
      </c>
      <c r="K860">
        <v>8998</v>
      </c>
      <c r="L860">
        <v>500</v>
      </c>
      <c r="M860">
        <v>499</v>
      </c>
      <c r="N860">
        <v>1</v>
      </c>
      <c r="O860">
        <v>1342.7194965823001</v>
      </c>
      <c r="P860" s="3" t="s">
        <v>52</v>
      </c>
      <c r="Q860">
        <v>50</v>
      </c>
      <c r="R860">
        <v>0.999</v>
      </c>
      <c r="S860">
        <v>0</v>
      </c>
    </row>
    <row r="861" spans="1:19" x14ac:dyDescent="0.2">
      <c r="A861" s="3" t="s">
        <v>54</v>
      </c>
      <c r="B861" s="3" t="s">
        <v>55</v>
      </c>
      <c r="C861">
        <v>14</v>
      </c>
      <c r="D861">
        <v>17000</v>
      </c>
      <c r="E861">
        <v>499</v>
      </c>
      <c r="F861">
        <v>1</v>
      </c>
      <c r="G861">
        <v>65872.258119671897</v>
      </c>
      <c r="H861">
        <v>6.8911021000000003E-2</v>
      </c>
      <c r="I861">
        <v>14245</v>
      </c>
      <c r="J861">
        <v>4768</v>
      </c>
      <c r="K861">
        <v>9477</v>
      </c>
      <c r="L861">
        <v>500</v>
      </c>
      <c r="M861">
        <v>499</v>
      </c>
      <c r="N861">
        <v>1</v>
      </c>
      <c r="O861">
        <v>9828.0855416637005</v>
      </c>
      <c r="P861" s="3" t="s">
        <v>51</v>
      </c>
      <c r="Q861">
        <v>50</v>
      </c>
      <c r="R861">
        <v>0.999</v>
      </c>
      <c r="S861">
        <v>0</v>
      </c>
    </row>
    <row r="862" spans="1:19" x14ac:dyDescent="0.2">
      <c r="A862" s="3" t="s">
        <v>54</v>
      </c>
      <c r="B862" s="3" t="s">
        <v>55</v>
      </c>
      <c r="C862">
        <v>14</v>
      </c>
      <c r="D862">
        <v>13000</v>
      </c>
      <c r="E862">
        <v>499</v>
      </c>
      <c r="F862">
        <v>1</v>
      </c>
      <c r="G862">
        <v>53044.701099550097</v>
      </c>
      <c r="H862">
        <v>6.8884201000000006E-2</v>
      </c>
      <c r="I862">
        <v>12619</v>
      </c>
      <c r="J862">
        <v>3639</v>
      </c>
      <c r="K862">
        <v>8980</v>
      </c>
      <c r="L862">
        <v>500</v>
      </c>
      <c r="M862">
        <v>499</v>
      </c>
      <c r="N862">
        <v>1</v>
      </c>
      <c r="O862">
        <v>1385.6323833919</v>
      </c>
      <c r="P862" s="3" t="s">
        <v>52</v>
      </c>
      <c r="Q862">
        <v>50</v>
      </c>
      <c r="R862">
        <v>0.999</v>
      </c>
      <c r="S862">
        <v>0</v>
      </c>
    </row>
    <row r="863" spans="1:19" x14ac:dyDescent="0.2">
      <c r="A863" s="3" t="s">
        <v>54</v>
      </c>
      <c r="B863" s="3" t="s">
        <v>55</v>
      </c>
      <c r="C863">
        <v>43</v>
      </c>
      <c r="D863">
        <v>13000</v>
      </c>
      <c r="E863">
        <v>499</v>
      </c>
      <c r="F863">
        <v>1</v>
      </c>
      <c r="G863">
        <v>53044.701099550097</v>
      </c>
      <c r="H863">
        <v>6.8861412999999996E-2</v>
      </c>
      <c r="I863">
        <v>12605</v>
      </c>
      <c r="J863">
        <v>3666</v>
      </c>
      <c r="K863">
        <v>8939</v>
      </c>
      <c r="L863">
        <v>500</v>
      </c>
      <c r="M863">
        <v>499</v>
      </c>
      <c r="N863">
        <v>1</v>
      </c>
      <c r="O863">
        <v>1408.2865406029</v>
      </c>
      <c r="P863" s="3" t="s">
        <v>50</v>
      </c>
      <c r="Q863">
        <v>50</v>
      </c>
      <c r="R863">
        <v>0.999</v>
      </c>
      <c r="S863">
        <v>0</v>
      </c>
    </row>
    <row r="864" spans="1:19" x14ac:dyDescent="0.2">
      <c r="A864" s="3" t="s">
        <v>54</v>
      </c>
      <c r="B864" s="3" t="s">
        <v>55</v>
      </c>
      <c r="C864">
        <v>16</v>
      </c>
      <c r="D864">
        <v>17000</v>
      </c>
      <c r="E864">
        <v>499</v>
      </c>
      <c r="F864">
        <v>1</v>
      </c>
      <c r="G864">
        <v>65872.258119671897</v>
      </c>
      <c r="H864">
        <v>6.8785741999999997E-2</v>
      </c>
      <c r="I864">
        <v>14253</v>
      </c>
      <c r="J864">
        <v>4762</v>
      </c>
      <c r="K864">
        <v>9491</v>
      </c>
      <c r="L864">
        <v>500</v>
      </c>
      <c r="M864">
        <v>499</v>
      </c>
      <c r="N864">
        <v>1</v>
      </c>
      <c r="O864">
        <v>9770.3874003878991</v>
      </c>
      <c r="P864" s="3" t="s">
        <v>51</v>
      </c>
      <c r="Q864">
        <v>50</v>
      </c>
      <c r="R864">
        <v>0.999</v>
      </c>
      <c r="S864">
        <v>0</v>
      </c>
    </row>
    <row r="865" spans="1:19" x14ac:dyDescent="0.2">
      <c r="A865" s="3" t="s">
        <v>54</v>
      </c>
      <c r="B865" s="3" t="s">
        <v>55</v>
      </c>
      <c r="C865">
        <v>46</v>
      </c>
      <c r="D865">
        <v>13000</v>
      </c>
      <c r="E865">
        <v>499</v>
      </c>
      <c r="F865">
        <v>1</v>
      </c>
      <c r="G865">
        <v>53044.701099550097</v>
      </c>
      <c r="H865">
        <v>6.8706771E-2</v>
      </c>
      <c r="I865">
        <v>12595</v>
      </c>
      <c r="J865">
        <v>3675</v>
      </c>
      <c r="K865">
        <v>8920</v>
      </c>
      <c r="L865">
        <v>500</v>
      </c>
      <c r="M865">
        <v>499</v>
      </c>
      <c r="N865">
        <v>1</v>
      </c>
      <c r="O865">
        <v>1417.4079509133001</v>
      </c>
      <c r="P865" s="3" t="s">
        <v>50</v>
      </c>
      <c r="Q865">
        <v>50</v>
      </c>
      <c r="R865">
        <v>0.999</v>
      </c>
      <c r="S865">
        <v>0</v>
      </c>
    </row>
    <row r="866" spans="1:19" x14ac:dyDescent="0.2">
      <c r="A866" s="3" t="s">
        <v>54</v>
      </c>
      <c r="B866" s="3" t="s">
        <v>55</v>
      </c>
      <c r="C866">
        <v>8</v>
      </c>
      <c r="D866">
        <v>17000</v>
      </c>
      <c r="E866">
        <v>499</v>
      </c>
      <c r="F866">
        <v>1</v>
      </c>
      <c r="G866">
        <v>65872.258119671897</v>
      </c>
      <c r="H866">
        <v>6.8698698000000002E-2</v>
      </c>
      <c r="I866">
        <v>14266</v>
      </c>
      <c r="J866">
        <v>4741</v>
      </c>
      <c r="K866">
        <v>9525</v>
      </c>
      <c r="L866">
        <v>500</v>
      </c>
      <c r="M866">
        <v>499</v>
      </c>
      <c r="N866">
        <v>1</v>
      </c>
      <c r="O866">
        <v>9782.8289712365004</v>
      </c>
      <c r="P866" s="3" t="s">
        <v>51</v>
      </c>
      <c r="Q866">
        <v>50</v>
      </c>
      <c r="R866">
        <v>0.999</v>
      </c>
      <c r="S866">
        <v>0</v>
      </c>
    </row>
    <row r="867" spans="1:19" x14ac:dyDescent="0.2">
      <c r="A867" s="3" t="s">
        <v>54</v>
      </c>
      <c r="B867" s="3" t="s">
        <v>55</v>
      </c>
      <c r="C867">
        <v>19</v>
      </c>
      <c r="D867">
        <v>13000</v>
      </c>
      <c r="E867">
        <v>499</v>
      </c>
      <c r="F867">
        <v>1</v>
      </c>
      <c r="G867">
        <v>53044.701099550097</v>
      </c>
      <c r="H867">
        <v>6.8688439000000004E-2</v>
      </c>
      <c r="I867">
        <v>12630</v>
      </c>
      <c r="J867">
        <v>3677</v>
      </c>
      <c r="K867">
        <v>8953</v>
      </c>
      <c r="L867">
        <v>500</v>
      </c>
      <c r="M867">
        <v>499</v>
      </c>
      <c r="N867">
        <v>1</v>
      </c>
      <c r="O867">
        <v>1332.9161293261</v>
      </c>
      <c r="P867" s="3" t="s">
        <v>52</v>
      </c>
      <c r="Q867">
        <v>50</v>
      </c>
      <c r="R867">
        <v>0.999</v>
      </c>
      <c r="S867">
        <v>0</v>
      </c>
    </row>
    <row r="868" spans="1:19" x14ac:dyDescent="0.2">
      <c r="A868" s="3" t="s">
        <v>54</v>
      </c>
      <c r="B868" s="3" t="s">
        <v>55</v>
      </c>
      <c r="C868">
        <v>30</v>
      </c>
      <c r="D868">
        <v>20000</v>
      </c>
      <c r="E868">
        <v>499</v>
      </c>
      <c r="F868">
        <v>1</v>
      </c>
      <c r="G868">
        <v>20000</v>
      </c>
      <c r="H868">
        <v>6.8613905000000003E-2</v>
      </c>
      <c r="I868">
        <v>15545</v>
      </c>
      <c r="J868">
        <v>5513</v>
      </c>
      <c r="K868">
        <v>10032</v>
      </c>
      <c r="L868">
        <v>500</v>
      </c>
      <c r="M868">
        <v>499</v>
      </c>
      <c r="N868">
        <v>1</v>
      </c>
      <c r="O868">
        <v>4455</v>
      </c>
      <c r="P868" s="3" t="s">
        <v>51</v>
      </c>
      <c r="Q868">
        <v>50</v>
      </c>
      <c r="R868">
        <v>0.999</v>
      </c>
      <c r="S868">
        <v>1</v>
      </c>
    </row>
    <row r="869" spans="1:19" x14ac:dyDescent="0.2">
      <c r="A869" s="3" t="s">
        <v>54</v>
      </c>
      <c r="B869" s="3" t="s">
        <v>55</v>
      </c>
      <c r="C869">
        <v>10</v>
      </c>
      <c r="D869">
        <v>17000</v>
      </c>
      <c r="E869">
        <v>499</v>
      </c>
      <c r="F869">
        <v>1</v>
      </c>
      <c r="G869">
        <v>65872.258119671897</v>
      </c>
      <c r="H869">
        <v>6.8601144000000003E-2</v>
      </c>
      <c r="I869">
        <v>14220</v>
      </c>
      <c r="J869">
        <v>4735</v>
      </c>
      <c r="K869">
        <v>9485</v>
      </c>
      <c r="L869">
        <v>500</v>
      </c>
      <c r="M869">
        <v>499</v>
      </c>
      <c r="N869">
        <v>1</v>
      </c>
      <c r="O869">
        <v>9887.9521463341007</v>
      </c>
      <c r="P869" s="3" t="s">
        <v>51</v>
      </c>
      <c r="Q869">
        <v>50</v>
      </c>
      <c r="R869">
        <v>0.999</v>
      </c>
      <c r="S869">
        <v>0</v>
      </c>
    </row>
    <row r="870" spans="1:19" x14ac:dyDescent="0.2">
      <c r="A870" s="3" t="s">
        <v>54</v>
      </c>
      <c r="B870" s="3" t="s">
        <v>55</v>
      </c>
      <c r="C870">
        <v>2</v>
      </c>
      <c r="D870">
        <v>17000</v>
      </c>
      <c r="E870">
        <v>499</v>
      </c>
      <c r="F870">
        <v>1</v>
      </c>
      <c r="G870">
        <v>65872.258119671897</v>
      </c>
      <c r="H870">
        <v>6.8594242E-2</v>
      </c>
      <c r="I870">
        <v>14242</v>
      </c>
      <c r="J870">
        <v>4774</v>
      </c>
      <c r="K870">
        <v>9468</v>
      </c>
      <c r="L870">
        <v>500</v>
      </c>
      <c r="M870">
        <v>499</v>
      </c>
      <c r="N870">
        <v>1</v>
      </c>
      <c r="O870">
        <v>9751.9899504641999</v>
      </c>
      <c r="P870" s="3" t="s">
        <v>51</v>
      </c>
      <c r="Q870">
        <v>50</v>
      </c>
      <c r="R870">
        <v>0.999</v>
      </c>
      <c r="S870">
        <v>0</v>
      </c>
    </row>
    <row r="871" spans="1:19" x14ac:dyDescent="0.2">
      <c r="A871" s="3" t="s">
        <v>54</v>
      </c>
      <c r="B871" s="3" t="s">
        <v>55</v>
      </c>
      <c r="C871">
        <v>36</v>
      </c>
      <c r="D871">
        <v>13000</v>
      </c>
      <c r="E871">
        <v>499</v>
      </c>
      <c r="F871">
        <v>1</v>
      </c>
      <c r="G871">
        <v>53044.701099550097</v>
      </c>
      <c r="H871">
        <v>6.8556321000000003E-2</v>
      </c>
      <c r="I871">
        <v>12607</v>
      </c>
      <c r="J871">
        <v>3717</v>
      </c>
      <c r="K871">
        <v>8890</v>
      </c>
      <c r="L871">
        <v>500</v>
      </c>
      <c r="M871">
        <v>499</v>
      </c>
      <c r="N871">
        <v>1</v>
      </c>
      <c r="O871">
        <v>1409.0966339027</v>
      </c>
      <c r="P871" s="3" t="s">
        <v>50</v>
      </c>
      <c r="Q871">
        <v>50</v>
      </c>
      <c r="R871">
        <v>0.999</v>
      </c>
      <c r="S871">
        <v>0</v>
      </c>
    </row>
    <row r="872" spans="1:19" x14ac:dyDescent="0.2">
      <c r="A872" s="3" t="s">
        <v>54</v>
      </c>
      <c r="B872" s="3" t="s">
        <v>55</v>
      </c>
      <c r="C872">
        <v>30</v>
      </c>
      <c r="D872">
        <v>13000</v>
      </c>
      <c r="E872">
        <v>499</v>
      </c>
      <c r="F872">
        <v>1</v>
      </c>
      <c r="G872">
        <v>53044.701099550097</v>
      </c>
      <c r="H872">
        <v>6.8388304999999996E-2</v>
      </c>
      <c r="I872">
        <v>12649</v>
      </c>
      <c r="J872">
        <v>3696</v>
      </c>
      <c r="K872">
        <v>8953</v>
      </c>
      <c r="L872">
        <v>500</v>
      </c>
      <c r="M872">
        <v>499</v>
      </c>
      <c r="N872">
        <v>1</v>
      </c>
      <c r="O872">
        <v>1263.3375753544001</v>
      </c>
      <c r="P872" s="3" t="s">
        <v>52</v>
      </c>
      <c r="Q872">
        <v>50</v>
      </c>
      <c r="R872">
        <v>0.999</v>
      </c>
      <c r="S872">
        <v>0</v>
      </c>
    </row>
    <row r="873" spans="1:19" x14ac:dyDescent="0.2">
      <c r="A873" s="3" t="s">
        <v>54</v>
      </c>
      <c r="B873" s="3" t="s">
        <v>55</v>
      </c>
      <c r="C873">
        <v>27</v>
      </c>
      <c r="D873">
        <v>13000</v>
      </c>
      <c r="E873">
        <v>499</v>
      </c>
      <c r="F873">
        <v>1</v>
      </c>
      <c r="G873">
        <v>53044.701099550097</v>
      </c>
      <c r="H873">
        <v>6.8207814000000005E-2</v>
      </c>
      <c r="I873">
        <v>12614</v>
      </c>
      <c r="J873">
        <v>3699</v>
      </c>
      <c r="K873">
        <v>8915</v>
      </c>
      <c r="L873">
        <v>500</v>
      </c>
      <c r="M873">
        <v>499</v>
      </c>
      <c r="N873">
        <v>1</v>
      </c>
      <c r="O873">
        <v>1367.0674544876999</v>
      </c>
      <c r="P873" s="3" t="s">
        <v>52</v>
      </c>
      <c r="Q873">
        <v>50</v>
      </c>
      <c r="R873">
        <v>0.999</v>
      </c>
      <c r="S873">
        <v>0</v>
      </c>
    </row>
    <row r="874" spans="1:19" x14ac:dyDescent="0.2">
      <c r="A874" s="3" t="s">
        <v>54</v>
      </c>
      <c r="B874" s="3" t="s">
        <v>55</v>
      </c>
      <c r="C874">
        <v>45</v>
      </c>
      <c r="D874">
        <v>13000</v>
      </c>
      <c r="E874">
        <v>499</v>
      </c>
      <c r="F874">
        <v>1</v>
      </c>
      <c r="G874">
        <v>53044.701099550097</v>
      </c>
      <c r="H874">
        <v>6.8195941999999996E-2</v>
      </c>
      <c r="I874">
        <v>12643</v>
      </c>
      <c r="J874">
        <v>3679</v>
      </c>
      <c r="K874">
        <v>8964</v>
      </c>
      <c r="L874">
        <v>500</v>
      </c>
      <c r="M874">
        <v>499</v>
      </c>
      <c r="N874">
        <v>1</v>
      </c>
      <c r="O874">
        <v>1263.246768617</v>
      </c>
      <c r="P874" s="3" t="s">
        <v>52</v>
      </c>
      <c r="Q874">
        <v>50</v>
      </c>
      <c r="R874">
        <v>0.999</v>
      </c>
      <c r="S874">
        <v>0</v>
      </c>
    </row>
    <row r="875" spans="1:19" x14ac:dyDescent="0.2">
      <c r="A875" s="3" t="s">
        <v>54</v>
      </c>
      <c r="B875" s="3" t="s">
        <v>55</v>
      </c>
      <c r="C875">
        <v>39</v>
      </c>
      <c r="D875">
        <v>13000</v>
      </c>
      <c r="E875">
        <v>499</v>
      </c>
      <c r="F875">
        <v>1</v>
      </c>
      <c r="G875">
        <v>53044.701099550097</v>
      </c>
      <c r="H875">
        <v>6.8090982999999994E-2</v>
      </c>
      <c r="I875">
        <v>12652</v>
      </c>
      <c r="J875">
        <v>3668</v>
      </c>
      <c r="K875">
        <v>8984</v>
      </c>
      <c r="L875">
        <v>500</v>
      </c>
      <c r="M875">
        <v>499</v>
      </c>
      <c r="N875">
        <v>1</v>
      </c>
      <c r="O875">
        <v>1260.3648247951</v>
      </c>
      <c r="P875" s="3" t="s">
        <v>52</v>
      </c>
      <c r="Q875">
        <v>50</v>
      </c>
      <c r="R875">
        <v>0.999</v>
      </c>
      <c r="S875">
        <v>0</v>
      </c>
    </row>
    <row r="876" spans="1:19" x14ac:dyDescent="0.2">
      <c r="A876" s="3" t="s">
        <v>54</v>
      </c>
      <c r="B876" s="3" t="s">
        <v>55</v>
      </c>
      <c r="C876">
        <v>42</v>
      </c>
      <c r="D876">
        <v>17000</v>
      </c>
      <c r="E876">
        <v>499</v>
      </c>
      <c r="F876">
        <v>1</v>
      </c>
      <c r="G876">
        <v>65872.258119671897</v>
      </c>
      <c r="H876">
        <v>6.8053244999999998E-2</v>
      </c>
      <c r="I876">
        <v>14246</v>
      </c>
      <c r="J876">
        <v>4737</v>
      </c>
      <c r="K876">
        <v>9509</v>
      </c>
      <c r="L876">
        <v>500</v>
      </c>
      <c r="M876">
        <v>499</v>
      </c>
      <c r="N876">
        <v>1</v>
      </c>
      <c r="O876">
        <v>9770.0709051171998</v>
      </c>
      <c r="P876" s="3" t="s">
        <v>51</v>
      </c>
      <c r="Q876">
        <v>50</v>
      </c>
      <c r="R876">
        <v>0.999</v>
      </c>
      <c r="S876">
        <v>0</v>
      </c>
    </row>
    <row r="877" spans="1:19" x14ac:dyDescent="0.2">
      <c r="A877" s="3" t="s">
        <v>54</v>
      </c>
      <c r="B877" s="3" t="s">
        <v>55</v>
      </c>
      <c r="C877">
        <v>18</v>
      </c>
      <c r="D877">
        <v>20000</v>
      </c>
      <c r="E877">
        <v>499</v>
      </c>
      <c r="F877">
        <v>1</v>
      </c>
      <c r="G877">
        <v>20000</v>
      </c>
      <c r="H877">
        <v>6.7968665999999997E-2</v>
      </c>
      <c r="I877">
        <v>15566</v>
      </c>
      <c r="J877">
        <v>5525</v>
      </c>
      <c r="K877">
        <v>10041</v>
      </c>
      <c r="L877">
        <v>500</v>
      </c>
      <c r="M877">
        <v>499</v>
      </c>
      <c r="N877">
        <v>1</v>
      </c>
      <c r="O877">
        <v>4434</v>
      </c>
      <c r="P877" s="3" t="s">
        <v>51</v>
      </c>
      <c r="Q877">
        <v>50</v>
      </c>
      <c r="R877">
        <v>0.999</v>
      </c>
      <c r="S877">
        <v>1</v>
      </c>
    </row>
    <row r="878" spans="1:19" x14ac:dyDescent="0.2">
      <c r="A878" s="3" t="s">
        <v>54</v>
      </c>
      <c r="B878" s="3" t="s">
        <v>55</v>
      </c>
      <c r="C878">
        <v>40</v>
      </c>
      <c r="D878">
        <v>13000</v>
      </c>
      <c r="E878">
        <v>499</v>
      </c>
      <c r="F878">
        <v>1</v>
      </c>
      <c r="G878">
        <v>53044.701099550097</v>
      </c>
      <c r="H878">
        <v>6.7924307000000003E-2</v>
      </c>
      <c r="I878">
        <v>12609</v>
      </c>
      <c r="J878">
        <v>3698</v>
      </c>
      <c r="K878">
        <v>8911</v>
      </c>
      <c r="L878">
        <v>500</v>
      </c>
      <c r="M878">
        <v>499</v>
      </c>
      <c r="N878">
        <v>1</v>
      </c>
      <c r="O878">
        <v>1393.7881425057001</v>
      </c>
      <c r="P878" s="3" t="s">
        <v>50</v>
      </c>
      <c r="Q878">
        <v>50</v>
      </c>
      <c r="R878">
        <v>0.999</v>
      </c>
      <c r="S878">
        <v>0</v>
      </c>
    </row>
    <row r="879" spans="1:19" x14ac:dyDescent="0.2">
      <c r="A879" s="3" t="s">
        <v>54</v>
      </c>
      <c r="B879" s="3" t="s">
        <v>55</v>
      </c>
      <c r="C879">
        <v>31</v>
      </c>
      <c r="D879">
        <v>13000</v>
      </c>
      <c r="E879">
        <v>499</v>
      </c>
      <c r="F879">
        <v>1</v>
      </c>
      <c r="G879">
        <v>53044.701099550097</v>
      </c>
      <c r="H879">
        <v>6.7900529000000001E-2</v>
      </c>
      <c r="I879">
        <v>12632</v>
      </c>
      <c r="J879">
        <v>3670</v>
      </c>
      <c r="K879">
        <v>8962</v>
      </c>
      <c r="L879">
        <v>500</v>
      </c>
      <c r="M879">
        <v>499</v>
      </c>
      <c r="N879">
        <v>1</v>
      </c>
      <c r="O879">
        <v>1314.1017886942</v>
      </c>
      <c r="P879" s="3" t="s">
        <v>52</v>
      </c>
      <c r="Q879">
        <v>50</v>
      </c>
      <c r="R879">
        <v>0.999</v>
      </c>
      <c r="S879">
        <v>0</v>
      </c>
    </row>
    <row r="880" spans="1:19" x14ac:dyDescent="0.2">
      <c r="A880" s="3" t="s">
        <v>54</v>
      </c>
      <c r="B880" s="3" t="s">
        <v>55</v>
      </c>
      <c r="C880">
        <v>36</v>
      </c>
      <c r="D880">
        <v>13000</v>
      </c>
      <c r="E880">
        <v>499</v>
      </c>
      <c r="F880">
        <v>1</v>
      </c>
      <c r="G880">
        <v>53044.701099550097</v>
      </c>
      <c r="H880">
        <v>6.7892240000000006E-2</v>
      </c>
      <c r="I880">
        <v>12652</v>
      </c>
      <c r="J880">
        <v>3638</v>
      </c>
      <c r="K880">
        <v>9014</v>
      </c>
      <c r="L880">
        <v>500</v>
      </c>
      <c r="M880">
        <v>499</v>
      </c>
      <c r="N880">
        <v>1</v>
      </c>
      <c r="O880">
        <v>1280.5657847497</v>
      </c>
      <c r="P880" s="3" t="s">
        <v>52</v>
      </c>
      <c r="Q880">
        <v>50</v>
      </c>
      <c r="R880">
        <v>0.999</v>
      </c>
      <c r="S880">
        <v>0</v>
      </c>
    </row>
    <row r="881" spans="1:19" x14ac:dyDescent="0.2">
      <c r="A881" s="3" t="s">
        <v>54</v>
      </c>
      <c r="B881" s="3" t="s">
        <v>55</v>
      </c>
      <c r="C881">
        <v>37</v>
      </c>
      <c r="D881">
        <v>13000</v>
      </c>
      <c r="E881">
        <v>499</v>
      </c>
      <c r="F881">
        <v>1</v>
      </c>
      <c r="G881">
        <v>53044.701099550097</v>
      </c>
      <c r="H881">
        <v>6.7844153000000004E-2</v>
      </c>
      <c r="I881">
        <v>12600</v>
      </c>
      <c r="J881">
        <v>3610</v>
      </c>
      <c r="K881">
        <v>8990</v>
      </c>
      <c r="L881">
        <v>500</v>
      </c>
      <c r="M881">
        <v>499</v>
      </c>
      <c r="N881">
        <v>1</v>
      </c>
      <c r="O881">
        <v>1428.696230195</v>
      </c>
      <c r="P881" s="3" t="s">
        <v>52</v>
      </c>
      <c r="Q881">
        <v>50</v>
      </c>
      <c r="R881">
        <v>0.999</v>
      </c>
      <c r="S881">
        <v>0</v>
      </c>
    </row>
    <row r="882" spans="1:19" x14ac:dyDescent="0.2">
      <c r="A882" s="3" t="s">
        <v>54</v>
      </c>
      <c r="B882" s="3" t="s">
        <v>55</v>
      </c>
      <c r="C882">
        <v>27</v>
      </c>
      <c r="D882">
        <v>13000</v>
      </c>
      <c r="E882">
        <v>499</v>
      </c>
      <c r="F882">
        <v>1</v>
      </c>
      <c r="G882">
        <v>53044.701099550097</v>
      </c>
      <c r="H882">
        <v>6.7834401000000003E-2</v>
      </c>
      <c r="I882">
        <v>12603</v>
      </c>
      <c r="J882">
        <v>3631</v>
      </c>
      <c r="K882">
        <v>8972</v>
      </c>
      <c r="L882">
        <v>500</v>
      </c>
      <c r="M882">
        <v>499</v>
      </c>
      <c r="N882">
        <v>1</v>
      </c>
      <c r="O882">
        <v>1379.1301197216001</v>
      </c>
      <c r="P882" s="3" t="s">
        <v>50</v>
      </c>
      <c r="Q882">
        <v>50</v>
      </c>
      <c r="R882">
        <v>0.999</v>
      </c>
      <c r="S882">
        <v>0</v>
      </c>
    </row>
    <row r="883" spans="1:19" x14ac:dyDescent="0.2">
      <c r="A883" s="3" t="s">
        <v>54</v>
      </c>
      <c r="B883" s="3" t="s">
        <v>55</v>
      </c>
      <c r="C883">
        <v>11</v>
      </c>
      <c r="D883">
        <v>13000</v>
      </c>
      <c r="E883">
        <v>499</v>
      </c>
      <c r="F883">
        <v>1</v>
      </c>
      <c r="G883">
        <v>53044.701099550097</v>
      </c>
      <c r="H883">
        <v>6.7802380999999995E-2</v>
      </c>
      <c r="I883">
        <v>12622</v>
      </c>
      <c r="J883">
        <v>3658</v>
      </c>
      <c r="K883">
        <v>8964</v>
      </c>
      <c r="L883">
        <v>500</v>
      </c>
      <c r="M883">
        <v>499</v>
      </c>
      <c r="N883">
        <v>1</v>
      </c>
      <c r="O883">
        <v>1368.3681955011</v>
      </c>
      <c r="P883" s="3" t="s">
        <v>52</v>
      </c>
      <c r="Q883">
        <v>50</v>
      </c>
      <c r="R883">
        <v>0.999</v>
      </c>
      <c r="S883">
        <v>0</v>
      </c>
    </row>
    <row r="884" spans="1:19" x14ac:dyDescent="0.2">
      <c r="A884" s="3" t="s">
        <v>54</v>
      </c>
      <c r="B884" s="3" t="s">
        <v>55</v>
      </c>
      <c r="C884">
        <v>22</v>
      </c>
      <c r="D884">
        <v>13000</v>
      </c>
      <c r="E884">
        <v>499</v>
      </c>
      <c r="F884">
        <v>1</v>
      </c>
      <c r="G884">
        <v>53044.701099550097</v>
      </c>
      <c r="H884">
        <v>6.7792858999999997E-2</v>
      </c>
      <c r="I884">
        <v>12638</v>
      </c>
      <c r="J884">
        <v>3658</v>
      </c>
      <c r="K884">
        <v>8980</v>
      </c>
      <c r="L884">
        <v>500</v>
      </c>
      <c r="M884">
        <v>499</v>
      </c>
      <c r="N884">
        <v>1</v>
      </c>
      <c r="O884">
        <v>1304.8027114385</v>
      </c>
      <c r="P884" s="3" t="s">
        <v>50</v>
      </c>
      <c r="Q884">
        <v>50</v>
      </c>
      <c r="R884">
        <v>0.999</v>
      </c>
      <c r="S884">
        <v>0</v>
      </c>
    </row>
    <row r="885" spans="1:19" x14ac:dyDescent="0.2">
      <c r="A885" s="3" t="s">
        <v>54</v>
      </c>
      <c r="B885" s="3" t="s">
        <v>55</v>
      </c>
      <c r="C885">
        <v>12</v>
      </c>
      <c r="D885">
        <v>13000</v>
      </c>
      <c r="E885">
        <v>499</v>
      </c>
      <c r="F885">
        <v>1</v>
      </c>
      <c r="G885">
        <v>53044.701099550097</v>
      </c>
      <c r="H885">
        <v>6.7785230000000002E-2</v>
      </c>
      <c r="I885">
        <v>12639</v>
      </c>
      <c r="J885">
        <v>3688</v>
      </c>
      <c r="K885">
        <v>8951</v>
      </c>
      <c r="L885">
        <v>500</v>
      </c>
      <c r="M885">
        <v>499</v>
      </c>
      <c r="N885">
        <v>1</v>
      </c>
      <c r="O885">
        <v>1297.2658156762</v>
      </c>
      <c r="P885" s="3" t="s">
        <v>52</v>
      </c>
      <c r="Q885">
        <v>50</v>
      </c>
      <c r="R885">
        <v>0.999</v>
      </c>
      <c r="S885">
        <v>0</v>
      </c>
    </row>
    <row r="886" spans="1:19" x14ac:dyDescent="0.2">
      <c r="A886" s="3" t="s">
        <v>54</v>
      </c>
      <c r="B886" s="3" t="s">
        <v>55</v>
      </c>
      <c r="C886">
        <v>47</v>
      </c>
      <c r="D886">
        <v>13000</v>
      </c>
      <c r="E886">
        <v>499</v>
      </c>
      <c r="F886">
        <v>1</v>
      </c>
      <c r="G886">
        <v>53044.701099550097</v>
      </c>
      <c r="H886">
        <v>6.7759811000000003E-2</v>
      </c>
      <c r="I886">
        <v>12651</v>
      </c>
      <c r="J886">
        <v>3695</v>
      </c>
      <c r="K886">
        <v>8956</v>
      </c>
      <c r="L886">
        <v>500</v>
      </c>
      <c r="M886">
        <v>499</v>
      </c>
      <c r="N886">
        <v>1</v>
      </c>
      <c r="O886">
        <v>1217.7653897619</v>
      </c>
      <c r="P886" s="3" t="s">
        <v>52</v>
      </c>
      <c r="Q886">
        <v>50</v>
      </c>
      <c r="R886">
        <v>0.999</v>
      </c>
      <c r="S886">
        <v>0</v>
      </c>
    </row>
    <row r="887" spans="1:19" x14ac:dyDescent="0.2">
      <c r="A887" s="3" t="s">
        <v>54</v>
      </c>
      <c r="B887" s="3" t="s">
        <v>55</v>
      </c>
      <c r="C887">
        <v>36</v>
      </c>
      <c r="D887">
        <v>17000</v>
      </c>
      <c r="E887">
        <v>499</v>
      </c>
      <c r="F887">
        <v>1</v>
      </c>
      <c r="G887">
        <v>65872.258119671897</v>
      </c>
      <c r="H887">
        <v>6.7606702000000005E-2</v>
      </c>
      <c r="I887">
        <v>14207</v>
      </c>
      <c r="J887">
        <v>4730</v>
      </c>
      <c r="K887">
        <v>9477</v>
      </c>
      <c r="L887">
        <v>500</v>
      </c>
      <c r="M887">
        <v>499</v>
      </c>
      <c r="N887">
        <v>1</v>
      </c>
      <c r="O887">
        <v>9839.6133300328001</v>
      </c>
      <c r="P887" s="3" t="s">
        <v>51</v>
      </c>
      <c r="Q887">
        <v>50</v>
      </c>
      <c r="R887">
        <v>0.999</v>
      </c>
      <c r="S887">
        <v>0</v>
      </c>
    </row>
    <row r="888" spans="1:19" x14ac:dyDescent="0.2">
      <c r="A888" s="3" t="s">
        <v>54</v>
      </c>
      <c r="B888" s="3" t="s">
        <v>55</v>
      </c>
      <c r="C888">
        <v>26</v>
      </c>
      <c r="D888">
        <v>13000</v>
      </c>
      <c r="E888">
        <v>499</v>
      </c>
      <c r="F888">
        <v>1</v>
      </c>
      <c r="G888">
        <v>53044.701099550097</v>
      </c>
      <c r="H888">
        <v>6.7529014999999998E-2</v>
      </c>
      <c r="I888">
        <v>12657</v>
      </c>
      <c r="J888">
        <v>3743</v>
      </c>
      <c r="K888">
        <v>8914</v>
      </c>
      <c r="L888">
        <v>500</v>
      </c>
      <c r="M888">
        <v>499</v>
      </c>
      <c r="N888">
        <v>1</v>
      </c>
      <c r="O888">
        <v>1245.8525087375001</v>
      </c>
      <c r="P888" s="3" t="s">
        <v>50</v>
      </c>
      <c r="Q888">
        <v>50</v>
      </c>
      <c r="R888">
        <v>0.999</v>
      </c>
      <c r="S888">
        <v>0</v>
      </c>
    </row>
    <row r="889" spans="1:19" x14ac:dyDescent="0.2">
      <c r="A889" s="3" t="s">
        <v>54</v>
      </c>
      <c r="B889" s="3" t="s">
        <v>55</v>
      </c>
      <c r="C889">
        <v>12</v>
      </c>
      <c r="D889">
        <v>13000</v>
      </c>
      <c r="E889">
        <v>499</v>
      </c>
      <c r="F889">
        <v>1</v>
      </c>
      <c r="G889">
        <v>53044.701099550097</v>
      </c>
      <c r="H889">
        <v>6.7515842000000006E-2</v>
      </c>
      <c r="I889">
        <v>12619</v>
      </c>
      <c r="J889">
        <v>3712</v>
      </c>
      <c r="K889">
        <v>8907</v>
      </c>
      <c r="L889">
        <v>500</v>
      </c>
      <c r="M889">
        <v>499</v>
      </c>
      <c r="N889">
        <v>1</v>
      </c>
      <c r="O889">
        <v>1372.5860409208999</v>
      </c>
      <c r="P889" s="3" t="s">
        <v>50</v>
      </c>
      <c r="Q889">
        <v>50</v>
      </c>
      <c r="R889">
        <v>0.999</v>
      </c>
      <c r="S889">
        <v>0</v>
      </c>
    </row>
    <row r="890" spans="1:19" x14ac:dyDescent="0.2">
      <c r="A890" s="3" t="s">
        <v>54</v>
      </c>
      <c r="B890" s="3" t="s">
        <v>55</v>
      </c>
      <c r="C890">
        <v>41</v>
      </c>
      <c r="D890">
        <v>13000</v>
      </c>
      <c r="E890">
        <v>499</v>
      </c>
      <c r="F890">
        <v>1</v>
      </c>
      <c r="G890">
        <v>53044.701099550097</v>
      </c>
      <c r="H890">
        <v>6.7439878999999994E-2</v>
      </c>
      <c r="I890">
        <v>12627</v>
      </c>
      <c r="J890">
        <v>3702</v>
      </c>
      <c r="K890">
        <v>8925</v>
      </c>
      <c r="L890">
        <v>500</v>
      </c>
      <c r="M890">
        <v>499</v>
      </c>
      <c r="N890">
        <v>1</v>
      </c>
      <c r="O890">
        <v>1318.6408542004001</v>
      </c>
      <c r="P890" s="3" t="s">
        <v>50</v>
      </c>
      <c r="Q890">
        <v>50</v>
      </c>
      <c r="R890">
        <v>0.999</v>
      </c>
      <c r="S890">
        <v>0</v>
      </c>
    </row>
    <row r="891" spans="1:19" x14ac:dyDescent="0.2">
      <c r="A891" s="3" t="s">
        <v>54</v>
      </c>
      <c r="B891" s="3" t="s">
        <v>55</v>
      </c>
      <c r="C891">
        <v>24</v>
      </c>
      <c r="D891">
        <v>13000</v>
      </c>
      <c r="E891">
        <v>499</v>
      </c>
      <c r="F891">
        <v>1</v>
      </c>
      <c r="G891">
        <v>53044.701099550097</v>
      </c>
      <c r="H891">
        <v>6.7390101999999993E-2</v>
      </c>
      <c r="I891">
        <v>12618</v>
      </c>
      <c r="J891">
        <v>3631</v>
      </c>
      <c r="K891">
        <v>8987</v>
      </c>
      <c r="L891">
        <v>500</v>
      </c>
      <c r="M891">
        <v>499</v>
      </c>
      <c r="N891">
        <v>1</v>
      </c>
      <c r="O891">
        <v>1366.7228781515</v>
      </c>
      <c r="P891" s="3" t="s">
        <v>52</v>
      </c>
      <c r="Q891">
        <v>50</v>
      </c>
      <c r="R891">
        <v>0.999</v>
      </c>
      <c r="S891">
        <v>0</v>
      </c>
    </row>
    <row r="892" spans="1:19" x14ac:dyDescent="0.2">
      <c r="A892" s="3" t="s">
        <v>54</v>
      </c>
      <c r="B892" s="3" t="s">
        <v>55</v>
      </c>
      <c r="C892">
        <v>40</v>
      </c>
      <c r="D892">
        <v>13000</v>
      </c>
      <c r="E892">
        <v>499</v>
      </c>
      <c r="F892">
        <v>1</v>
      </c>
      <c r="G892">
        <v>53044.701099550097</v>
      </c>
      <c r="H892">
        <v>6.7329255000000005E-2</v>
      </c>
      <c r="I892">
        <v>12587</v>
      </c>
      <c r="J892">
        <v>3568</v>
      </c>
      <c r="K892">
        <v>9019</v>
      </c>
      <c r="L892">
        <v>500</v>
      </c>
      <c r="M892">
        <v>499</v>
      </c>
      <c r="N892">
        <v>1</v>
      </c>
      <c r="O892">
        <v>1494.2278204508</v>
      </c>
      <c r="P892" s="3" t="s">
        <v>52</v>
      </c>
      <c r="Q892">
        <v>50</v>
      </c>
      <c r="R892">
        <v>0.999</v>
      </c>
      <c r="S892">
        <v>0</v>
      </c>
    </row>
    <row r="893" spans="1:19" x14ac:dyDescent="0.2">
      <c r="A893" s="3" t="s">
        <v>54</v>
      </c>
      <c r="B893" s="3" t="s">
        <v>55</v>
      </c>
      <c r="C893">
        <v>2</v>
      </c>
      <c r="D893">
        <v>13000</v>
      </c>
      <c r="E893">
        <v>499</v>
      </c>
      <c r="F893">
        <v>1</v>
      </c>
      <c r="G893">
        <v>53044.701099550097</v>
      </c>
      <c r="H893">
        <v>6.7328522000000002E-2</v>
      </c>
      <c r="I893">
        <v>12635</v>
      </c>
      <c r="J893">
        <v>3629</v>
      </c>
      <c r="K893">
        <v>9006</v>
      </c>
      <c r="L893">
        <v>500</v>
      </c>
      <c r="M893">
        <v>499</v>
      </c>
      <c r="N893">
        <v>1</v>
      </c>
      <c r="O893">
        <v>1327.5610075915999</v>
      </c>
      <c r="P893" s="3" t="s">
        <v>52</v>
      </c>
      <c r="Q893">
        <v>50</v>
      </c>
      <c r="R893">
        <v>0.999</v>
      </c>
      <c r="S893">
        <v>0</v>
      </c>
    </row>
    <row r="894" spans="1:19" x14ac:dyDescent="0.2">
      <c r="A894" s="3" t="s">
        <v>54</v>
      </c>
      <c r="B894" s="3" t="s">
        <v>55</v>
      </c>
      <c r="C894">
        <v>33</v>
      </c>
      <c r="D894">
        <v>13000</v>
      </c>
      <c r="E894">
        <v>499</v>
      </c>
      <c r="F894">
        <v>1</v>
      </c>
      <c r="G894">
        <v>53044.701099550097</v>
      </c>
      <c r="H894">
        <v>6.7313341999999998E-2</v>
      </c>
      <c r="I894">
        <v>12636</v>
      </c>
      <c r="J894">
        <v>3655</v>
      </c>
      <c r="K894">
        <v>8981</v>
      </c>
      <c r="L894">
        <v>500</v>
      </c>
      <c r="M894">
        <v>499</v>
      </c>
      <c r="N894">
        <v>1</v>
      </c>
      <c r="O894">
        <v>1310.9937801011999</v>
      </c>
      <c r="P894" s="3" t="s">
        <v>52</v>
      </c>
      <c r="Q894">
        <v>50</v>
      </c>
      <c r="R894">
        <v>0.999</v>
      </c>
      <c r="S894">
        <v>0</v>
      </c>
    </row>
    <row r="895" spans="1:19" x14ac:dyDescent="0.2">
      <c r="A895" s="3" t="s">
        <v>54</v>
      </c>
      <c r="B895" s="3" t="s">
        <v>55</v>
      </c>
      <c r="C895">
        <v>19</v>
      </c>
      <c r="D895">
        <v>13000</v>
      </c>
      <c r="E895">
        <v>499</v>
      </c>
      <c r="F895">
        <v>1</v>
      </c>
      <c r="G895">
        <v>53044.701099550097</v>
      </c>
      <c r="H895">
        <v>6.7211388999999996E-2</v>
      </c>
      <c r="I895">
        <v>12603</v>
      </c>
      <c r="J895">
        <v>3686</v>
      </c>
      <c r="K895">
        <v>8917</v>
      </c>
      <c r="L895">
        <v>500</v>
      </c>
      <c r="M895">
        <v>499</v>
      </c>
      <c r="N895">
        <v>1</v>
      </c>
      <c r="O895">
        <v>1412.3436845551</v>
      </c>
      <c r="P895" s="3" t="s">
        <v>50</v>
      </c>
      <c r="Q895">
        <v>50</v>
      </c>
      <c r="R895">
        <v>0.999</v>
      </c>
      <c r="S895">
        <v>0</v>
      </c>
    </row>
    <row r="896" spans="1:19" x14ac:dyDescent="0.2">
      <c r="A896" s="3" t="s">
        <v>54</v>
      </c>
      <c r="B896" s="3" t="s">
        <v>55</v>
      </c>
      <c r="C896">
        <v>2</v>
      </c>
      <c r="D896">
        <v>13000</v>
      </c>
      <c r="E896">
        <v>499</v>
      </c>
      <c r="F896">
        <v>1</v>
      </c>
      <c r="G896">
        <v>53044.701099550097</v>
      </c>
      <c r="H896">
        <v>6.7196043999999996E-2</v>
      </c>
      <c r="I896">
        <v>12624</v>
      </c>
      <c r="J896">
        <v>3679</v>
      </c>
      <c r="K896">
        <v>8945</v>
      </c>
      <c r="L896">
        <v>500</v>
      </c>
      <c r="M896">
        <v>499</v>
      </c>
      <c r="N896">
        <v>1</v>
      </c>
      <c r="O896">
        <v>1320.6910217110999</v>
      </c>
      <c r="P896" s="3" t="s">
        <v>50</v>
      </c>
      <c r="Q896">
        <v>50</v>
      </c>
      <c r="R896">
        <v>0.999</v>
      </c>
      <c r="S896">
        <v>0</v>
      </c>
    </row>
    <row r="897" spans="1:19" x14ac:dyDescent="0.2">
      <c r="A897" s="3" t="s">
        <v>54</v>
      </c>
      <c r="B897" s="3" t="s">
        <v>55</v>
      </c>
      <c r="C897">
        <v>29</v>
      </c>
      <c r="D897">
        <v>19000</v>
      </c>
      <c r="E897">
        <v>499</v>
      </c>
      <c r="F897">
        <v>1</v>
      </c>
      <c r="G897">
        <v>84218.384375429901</v>
      </c>
      <c r="H897">
        <v>6.7158783999999999E-2</v>
      </c>
      <c r="I897">
        <v>15018</v>
      </c>
      <c r="J897">
        <v>4803</v>
      </c>
      <c r="K897">
        <v>10215</v>
      </c>
      <c r="L897">
        <v>500</v>
      </c>
      <c r="M897">
        <v>499</v>
      </c>
      <c r="N897">
        <v>1</v>
      </c>
      <c r="O897">
        <v>17739.908696111601</v>
      </c>
      <c r="P897" s="3" t="s">
        <v>51</v>
      </c>
      <c r="Q897">
        <v>50</v>
      </c>
      <c r="R897">
        <v>0.999</v>
      </c>
      <c r="S897">
        <v>0</v>
      </c>
    </row>
    <row r="898" spans="1:19" x14ac:dyDescent="0.2">
      <c r="A898" s="3" t="s">
        <v>54</v>
      </c>
      <c r="B898" s="3" t="s">
        <v>55</v>
      </c>
      <c r="C898">
        <v>2</v>
      </c>
      <c r="D898">
        <v>17000</v>
      </c>
      <c r="E898">
        <v>499</v>
      </c>
      <c r="F898">
        <v>1</v>
      </c>
      <c r="G898">
        <v>17000</v>
      </c>
      <c r="H898">
        <v>6.7152219999999999E-2</v>
      </c>
      <c r="I898">
        <v>14373</v>
      </c>
      <c r="J898">
        <v>5163</v>
      </c>
      <c r="K898">
        <v>9210</v>
      </c>
      <c r="L898">
        <v>500</v>
      </c>
      <c r="M898">
        <v>499</v>
      </c>
      <c r="N898">
        <v>1</v>
      </c>
      <c r="O898">
        <v>2627</v>
      </c>
      <c r="P898" s="3" t="s">
        <v>51</v>
      </c>
      <c r="Q898">
        <v>50</v>
      </c>
      <c r="R898">
        <v>0.999</v>
      </c>
      <c r="S898">
        <v>1</v>
      </c>
    </row>
    <row r="899" spans="1:19" x14ac:dyDescent="0.2">
      <c r="A899" s="3" t="s">
        <v>54</v>
      </c>
      <c r="B899" s="3" t="s">
        <v>55</v>
      </c>
      <c r="C899">
        <v>3</v>
      </c>
      <c r="D899">
        <v>17000</v>
      </c>
      <c r="E899">
        <v>499</v>
      </c>
      <c r="F899">
        <v>1</v>
      </c>
      <c r="G899">
        <v>65872.258119671897</v>
      </c>
      <c r="H899">
        <v>6.7102482000000005E-2</v>
      </c>
      <c r="I899">
        <v>14258</v>
      </c>
      <c r="J899">
        <v>4760</v>
      </c>
      <c r="K899">
        <v>9498</v>
      </c>
      <c r="L899">
        <v>500</v>
      </c>
      <c r="M899">
        <v>499</v>
      </c>
      <c r="N899">
        <v>1</v>
      </c>
      <c r="O899">
        <v>9806.8476142848995</v>
      </c>
      <c r="P899" s="3" t="s">
        <v>51</v>
      </c>
      <c r="Q899">
        <v>50</v>
      </c>
      <c r="R899">
        <v>0.999</v>
      </c>
      <c r="S899">
        <v>0</v>
      </c>
    </row>
    <row r="900" spans="1:19" x14ac:dyDescent="0.2">
      <c r="A900" s="3" t="s">
        <v>54</v>
      </c>
      <c r="B900" s="3" t="s">
        <v>55</v>
      </c>
      <c r="C900">
        <v>17</v>
      </c>
      <c r="D900">
        <v>17000</v>
      </c>
      <c r="E900">
        <v>499</v>
      </c>
      <c r="F900">
        <v>1</v>
      </c>
      <c r="G900">
        <v>65872.258119671897</v>
      </c>
      <c r="H900">
        <v>6.7091187999999996E-2</v>
      </c>
      <c r="I900">
        <v>14236</v>
      </c>
      <c r="J900">
        <v>4752</v>
      </c>
      <c r="K900">
        <v>9484</v>
      </c>
      <c r="L900">
        <v>500</v>
      </c>
      <c r="M900">
        <v>499</v>
      </c>
      <c r="N900">
        <v>1</v>
      </c>
      <c r="O900">
        <v>9785.7001056930003</v>
      </c>
      <c r="P900" s="3" t="s">
        <v>51</v>
      </c>
      <c r="Q900">
        <v>50</v>
      </c>
      <c r="R900">
        <v>0.999</v>
      </c>
      <c r="S900">
        <v>0</v>
      </c>
    </row>
    <row r="901" spans="1:19" x14ac:dyDescent="0.2">
      <c r="A901" s="3" t="s">
        <v>54</v>
      </c>
      <c r="B901" s="3" t="s">
        <v>55</v>
      </c>
      <c r="C901">
        <v>13</v>
      </c>
      <c r="D901">
        <v>13000</v>
      </c>
      <c r="E901">
        <v>499</v>
      </c>
      <c r="F901">
        <v>1</v>
      </c>
      <c r="G901">
        <v>53044.701099550097</v>
      </c>
      <c r="H901">
        <v>6.7039407999999995E-2</v>
      </c>
      <c r="I901">
        <v>12655</v>
      </c>
      <c r="J901">
        <v>3675</v>
      </c>
      <c r="K901">
        <v>8980</v>
      </c>
      <c r="L901">
        <v>500</v>
      </c>
      <c r="M901">
        <v>499</v>
      </c>
      <c r="N901">
        <v>1</v>
      </c>
      <c r="O901">
        <v>1221.8504336030001</v>
      </c>
      <c r="P901" s="3" t="s">
        <v>52</v>
      </c>
      <c r="Q901">
        <v>50</v>
      </c>
      <c r="R901">
        <v>0.999</v>
      </c>
      <c r="S901">
        <v>0</v>
      </c>
    </row>
    <row r="902" spans="1:19" x14ac:dyDescent="0.2">
      <c r="A902" s="3" t="s">
        <v>54</v>
      </c>
      <c r="B902" s="3" t="s">
        <v>55</v>
      </c>
      <c r="C902">
        <v>6</v>
      </c>
      <c r="D902">
        <v>13000</v>
      </c>
      <c r="E902">
        <v>499</v>
      </c>
      <c r="F902">
        <v>1</v>
      </c>
      <c r="G902">
        <v>53044.701099550097</v>
      </c>
      <c r="H902">
        <v>6.6986690000000002E-2</v>
      </c>
      <c r="I902">
        <v>12611</v>
      </c>
      <c r="J902">
        <v>3677</v>
      </c>
      <c r="K902">
        <v>8934</v>
      </c>
      <c r="L902">
        <v>500</v>
      </c>
      <c r="M902">
        <v>499</v>
      </c>
      <c r="N902">
        <v>1</v>
      </c>
      <c r="O902">
        <v>1362.6692906026999</v>
      </c>
      <c r="P902" s="3" t="s">
        <v>50</v>
      </c>
      <c r="Q902">
        <v>50</v>
      </c>
      <c r="R902">
        <v>0.999</v>
      </c>
      <c r="S902">
        <v>0</v>
      </c>
    </row>
    <row r="903" spans="1:19" x14ac:dyDescent="0.2">
      <c r="A903" s="3" t="s">
        <v>54</v>
      </c>
      <c r="B903" s="3" t="s">
        <v>55</v>
      </c>
      <c r="C903">
        <v>34</v>
      </c>
      <c r="D903">
        <v>13000</v>
      </c>
      <c r="E903">
        <v>499</v>
      </c>
      <c r="F903">
        <v>1</v>
      </c>
      <c r="G903">
        <v>53044.701099550097</v>
      </c>
      <c r="H903">
        <v>6.6971719999999998E-2</v>
      </c>
      <c r="I903">
        <v>12671</v>
      </c>
      <c r="J903">
        <v>3715</v>
      </c>
      <c r="K903">
        <v>8956</v>
      </c>
      <c r="L903">
        <v>500</v>
      </c>
      <c r="M903">
        <v>499</v>
      </c>
      <c r="N903">
        <v>1</v>
      </c>
      <c r="O903">
        <v>1192.4280130909001</v>
      </c>
      <c r="P903" s="3" t="s">
        <v>52</v>
      </c>
      <c r="Q903">
        <v>50</v>
      </c>
      <c r="R903">
        <v>0.999</v>
      </c>
      <c r="S903">
        <v>0</v>
      </c>
    </row>
    <row r="904" spans="1:19" x14ac:dyDescent="0.2">
      <c r="A904" s="3" t="s">
        <v>54</v>
      </c>
      <c r="B904" s="3" t="s">
        <v>55</v>
      </c>
      <c r="C904">
        <v>43</v>
      </c>
      <c r="D904">
        <v>17000</v>
      </c>
      <c r="E904">
        <v>499</v>
      </c>
      <c r="F904">
        <v>1</v>
      </c>
      <c r="G904">
        <v>65872.258119671897</v>
      </c>
      <c r="H904">
        <v>6.6878046999999996E-2</v>
      </c>
      <c r="I904">
        <v>14244</v>
      </c>
      <c r="J904">
        <v>4756</v>
      </c>
      <c r="K904">
        <v>9488</v>
      </c>
      <c r="L904">
        <v>500</v>
      </c>
      <c r="M904">
        <v>499</v>
      </c>
      <c r="N904">
        <v>1</v>
      </c>
      <c r="O904">
        <v>9799.2744874844993</v>
      </c>
      <c r="P904" s="3" t="s">
        <v>51</v>
      </c>
      <c r="Q904">
        <v>50</v>
      </c>
      <c r="R904">
        <v>0.999</v>
      </c>
      <c r="S904">
        <v>0</v>
      </c>
    </row>
    <row r="905" spans="1:19" x14ac:dyDescent="0.2">
      <c r="A905" s="3" t="s">
        <v>54</v>
      </c>
      <c r="B905" s="3" t="s">
        <v>55</v>
      </c>
      <c r="C905">
        <v>22</v>
      </c>
      <c r="D905">
        <v>17000</v>
      </c>
      <c r="E905">
        <v>499</v>
      </c>
      <c r="F905">
        <v>1</v>
      </c>
      <c r="G905">
        <v>65872.258119671897</v>
      </c>
      <c r="H905">
        <v>6.6813338999999999E-2</v>
      </c>
      <c r="I905">
        <v>14263</v>
      </c>
      <c r="J905">
        <v>4741</v>
      </c>
      <c r="K905">
        <v>9522</v>
      </c>
      <c r="L905">
        <v>500</v>
      </c>
      <c r="M905">
        <v>499</v>
      </c>
      <c r="N905">
        <v>1</v>
      </c>
      <c r="O905">
        <v>9764.0430720943004</v>
      </c>
      <c r="P905" s="3" t="s">
        <v>51</v>
      </c>
      <c r="Q905">
        <v>50</v>
      </c>
      <c r="R905">
        <v>0.999</v>
      </c>
      <c r="S905">
        <v>0</v>
      </c>
    </row>
    <row r="906" spans="1:19" x14ac:dyDescent="0.2">
      <c r="A906" s="3" t="s">
        <v>54</v>
      </c>
      <c r="B906" s="3" t="s">
        <v>55</v>
      </c>
      <c r="C906">
        <v>26</v>
      </c>
      <c r="D906">
        <v>13000</v>
      </c>
      <c r="E906">
        <v>499</v>
      </c>
      <c r="F906">
        <v>1</v>
      </c>
      <c r="G906">
        <v>53044.701099550097</v>
      </c>
      <c r="H906">
        <v>6.6792300999999998E-2</v>
      </c>
      <c r="I906">
        <v>12638</v>
      </c>
      <c r="J906">
        <v>3652</v>
      </c>
      <c r="K906">
        <v>8986</v>
      </c>
      <c r="L906">
        <v>500</v>
      </c>
      <c r="M906">
        <v>499</v>
      </c>
      <c r="N906">
        <v>1</v>
      </c>
      <c r="O906">
        <v>1297.5868906108001</v>
      </c>
      <c r="P906" s="3" t="s">
        <v>52</v>
      </c>
      <c r="Q906">
        <v>50</v>
      </c>
      <c r="R906">
        <v>0.999</v>
      </c>
      <c r="S906">
        <v>0</v>
      </c>
    </row>
    <row r="907" spans="1:19" x14ac:dyDescent="0.2">
      <c r="A907" s="3" t="s">
        <v>54</v>
      </c>
      <c r="B907" s="3" t="s">
        <v>55</v>
      </c>
      <c r="C907">
        <v>48</v>
      </c>
      <c r="D907">
        <v>13000</v>
      </c>
      <c r="E907">
        <v>499</v>
      </c>
      <c r="F907">
        <v>1</v>
      </c>
      <c r="G907">
        <v>53044.701099550097</v>
      </c>
      <c r="H907">
        <v>6.6749869000000003E-2</v>
      </c>
      <c r="I907">
        <v>12623</v>
      </c>
      <c r="J907">
        <v>3630</v>
      </c>
      <c r="K907">
        <v>8993</v>
      </c>
      <c r="L907">
        <v>500</v>
      </c>
      <c r="M907">
        <v>499</v>
      </c>
      <c r="N907">
        <v>1</v>
      </c>
      <c r="O907">
        <v>1383.9330562765999</v>
      </c>
      <c r="P907" s="3" t="s">
        <v>52</v>
      </c>
      <c r="Q907">
        <v>50</v>
      </c>
      <c r="R907">
        <v>0.999</v>
      </c>
      <c r="S907">
        <v>0</v>
      </c>
    </row>
    <row r="908" spans="1:19" x14ac:dyDescent="0.2">
      <c r="A908" s="3" t="s">
        <v>54</v>
      </c>
      <c r="B908" s="3" t="s">
        <v>55</v>
      </c>
      <c r="C908">
        <v>15</v>
      </c>
      <c r="D908">
        <v>13000</v>
      </c>
      <c r="E908">
        <v>499</v>
      </c>
      <c r="F908">
        <v>1</v>
      </c>
      <c r="G908">
        <v>53044.701099550097</v>
      </c>
      <c r="H908">
        <v>6.6729765999999996E-2</v>
      </c>
      <c r="I908">
        <v>12615</v>
      </c>
      <c r="J908">
        <v>3693</v>
      </c>
      <c r="K908">
        <v>8922</v>
      </c>
      <c r="L908">
        <v>500</v>
      </c>
      <c r="M908">
        <v>499</v>
      </c>
      <c r="N908">
        <v>1</v>
      </c>
      <c r="O908">
        <v>1349.3843869441</v>
      </c>
      <c r="P908" s="3" t="s">
        <v>50</v>
      </c>
      <c r="Q908">
        <v>50</v>
      </c>
      <c r="R908">
        <v>0.999</v>
      </c>
      <c r="S908">
        <v>0</v>
      </c>
    </row>
    <row r="909" spans="1:19" x14ac:dyDescent="0.2">
      <c r="A909" s="3" t="s">
        <v>54</v>
      </c>
      <c r="B909" s="3" t="s">
        <v>55</v>
      </c>
      <c r="C909">
        <v>3</v>
      </c>
      <c r="D909">
        <v>13000</v>
      </c>
      <c r="E909">
        <v>499</v>
      </c>
      <c r="F909">
        <v>1</v>
      </c>
      <c r="G909">
        <v>53044.701099550097</v>
      </c>
      <c r="H909">
        <v>6.6686271000000005E-2</v>
      </c>
      <c r="I909">
        <v>12644</v>
      </c>
      <c r="J909">
        <v>3706</v>
      </c>
      <c r="K909">
        <v>8938</v>
      </c>
      <c r="L909">
        <v>500</v>
      </c>
      <c r="M909">
        <v>499</v>
      </c>
      <c r="N909">
        <v>1</v>
      </c>
      <c r="O909">
        <v>1292.7875870293999</v>
      </c>
      <c r="P909" s="3" t="s">
        <v>52</v>
      </c>
      <c r="Q909">
        <v>50</v>
      </c>
      <c r="R909">
        <v>0.999</v>
      </c>
      <c r="S909">
        <v>0</v>
      </c>
    </row>
    <row r="910" spans="1:19" x14ac:dyDescent="0.2">
      <c r="A910" s="3" t="s">
        <v>54</v>
      </c>
      <c r="B910" s="3" t="s">
        <v>55</v>
      </c>
      <c r="C910">
        <v>20</v>
      </c>
      <c r="D910">
        <v>13000</v>
      </c>
      <c r="E910">
        <v>499</v>
      </c>
      <c r="F910">
        <v>1</v>
      </c>
      <c r="G910">
        <v>53044.701099550097</v>
      </c>
      <c r="H910">
        <v>6.6637450000000001E-2</v>
      </c>
      <c r="I910">
        <v>12622</v>
      </c>
      <c r="J910">
        <v>3706</v>
      </c>
      <c r="K910">
        <v>8916</v>
      </c>
      <c r="L910">
        <v>500</v>
      </c>
      <c r="M910">
        <v>499</v>
      </c>
      <c r="N910">
        <v>1</v>
      </c>
      <c r="O910">
        <v>1330.1392252912999</v>
      </c>
      <c r="P910" s="3" t="s">
        <v>50</v>
      </c>
      <c r="Q910">
        <v>50</v>
      </c>
      <c r="R910">
        <v>0.999</v>
      </c>
      <c r="S910">
        <v>0</v>
      </c>
    </row>
    <row r="911" spans="1:19" x14ac:dyDescent="0.2">
      <c r="A911" s="3" t="s">
        <v>54</v>
      </c>
      <c r="B911" s="3" t="s">
        <v>55</v>
      </c>
      <c r="C911">
        <v>48</v>
      </c>
      <c r="D911">
        <v>17000</v>
      </c>
      <c r="E911">
        <v>499</v>
      </c>
      <c r="F911">
        <v>1</v>
      </c>
      <c r="G911">
        <v>65872.258119671897</v>
      </c>
      <c r="H911">
        <v>6.6501114E-2</v>
      </c>
      <c r="I911">
        <v>14251</v>
      </c>
      <c r="J911">
        <v>4764</v>
      </c>
      <c r="K911">
        <v>9487</v>
      </c>
      <c r="L911">
        <v>500</v>
      </c>
      <c r="M911">
        <v>499</v>
      </c>
      <c r="N911">
        <v>1</v>
      </c>
      <c r="O911">
        <v>9796.2684723224993</v>
      </c>
      <c r="P911" s="3" t="s">
        <v>51</v>
      </c>
      <c r="Q911">
        <v>50</v>
      </c>
      <c r="R911">
        <v>0.999</v>
      </c>
      <c r="S911">
        <v>0</v>
      </c>
    </row>
    <row r="912" spans="1:19" x14ac:dyDescent="0.2">
      <c r="A912" s="3" t="s">
        <v>54</v>
      </c>
      <c r="B912" s="3" t="s">
        <v>55</v>
      </c>
      <c r="C912">
        <v>4</v>
      </c>
      <c r="D912">
        <v>17000</v>
      </c>
      <c r="E912">
        <v>499</v>
      </c>
      <c r="F912">
        <v>1</v>
      </c>
      <c r="G912">
        <v>65872.258119671897</v>
      </c>
      <c r="H912">
        <v>6.6498409999999994E-2</v>
      </c>
      <c r="I912">
        <v>14237</v>
      </c>
      <c r="J912">
        <v>4768</v>
      </c>
      <c r="K912">
        <v>9469</v>
      </c>
      <c r="L912">
        <v>500</v>
      </c>
      <c r="M912">
        <v>499</v>
      </c>
      <c r="N912">
        <v>1</v>
      </c>
      <c r="O912">
        <v>9806.7349298986992</v>
      </c>
      <c r="P912" s="3" t="s">
        <v>51</v>
      </c>
      <c r="Q912">
        <v>50</v>
      </c>
      <c r="R912">
        <v>0.999</v>
      </c>
      <c r="S912">
        <v>0</v>
      </c>
    </row>
    <row r="913" spans="1:19" x14ac:dyDescent="0.2">
      <c r="A913" s="3" t="s">
        <v>54</v>
      </c>
      <c r="B913" s="3" t="s">
        <v>55</v>
      </c>
      <c r="C913">
        <v>32</v>
      </c>
      <c r="D913">
        <v>13000</v>
      </c>
      <c r="E913">
        <v>499</v>
      </c>
      <c r="F913">
        <v>1</v>
      </c>
      <c r="G913">
        <v>53044.701099550097</v>
      </c>
      <c r="H913">
        <v>6.6407458000000003E-2</v>
      </c>
      <c r="I913">
        <v>12618</v>
      </c>
      <c r="J913">
        <v>3697</v>
      </c>
      <c r="K913">
        <v>8921</v>
      </c>
      <c r="L913">
        <v>500</v>
      </c>
      <c r="M913">
        <v>499</v>
      </c>
      <c r="N913">
        <v>1</v>
      </c>
      <c r="O913">
        <v>1316.8562903032</v>
      </c>
      <c r="P913" s="3" t="s">
        <v>50</v>
      </c>
      <c r="Q913">
        <v>50</v>
      </c>
      <c r="R913">
        <v>0.999</v>
      </c>
      <c r="S913">
        <v>0</v>
      </c>
    </row>
    <row r="914" spans="1:19" x14ac:dyDescent="0.2">
      <c r="A914" s="3" t="s">
        <v>54</v>
      </c>
      <c r="B914" s="3" t="s">
        <v>55</v>
      </c>
      <c r="C914">
        <v>5</v>
      </c>
      <c r="D914">
        <v>17000</v>
      </c>
      <c r="E914">
        <v>499</v>
      </c>
      <c r="F914">
        <v>1</v>
      </c>
      <c r="G914">
        <v>65872.258119671897</v>
      </c>
      <c r="H914">
        <v>6.6352631999999995E-2</v>
      </c>
      <c r="I914">
        <v>14267</v>
      </c>
      <c r="J914">
        <v>4751</v>
      </c>
      <c r="K914">
        <v>9516</v>
      </c>
      <c r="L914">
        <v>500</v>
      </c>
      <c r="M914">
        <v>499</v>
      </c>
      <c r="N914">
        <v>1</v>
      </c>
      <c r="O914">
        <v>9748.2446933805004</v>
      </c>
      <c r="P914" s="3" t="s">
        <v>51</v>
      </c>
      <c r="Q914">
        <v>50</v>
      </c>
      <c r="R914">
        <v>0.999</v>
      </c>
      <c r="S914">
        <v>0</v>
      </c>
    </row>
    <row r="915" spans="1:19" x14ac:dyDescent="0.2">
      <c r="A915" s="3" t="s">
        <v>54</v>
      </c>
      <c r="B915" s="3" t="s">
        <v>55</v>
      </c>
      <c r="C915">
        <v>16</v>
      </c>
      <c r="D915">
        <v>13000</v>
      </c>
      <c r="E915">
        <v>499</v>
      </c>
      <c r="F915">
        <v>1</v>
      </c>
      <c r="G915">
        <v>53044.701099550097</v>
      </c>
      <c r="H915">
        <v>6.6282551999999995E-2</v>
      </c>
      <c r="I915">
        <v>12619</v>
      </c>
      <c r="J915">
        <v>3706</v>
      </c>
      <c r="K915">
        <v>8913</v>
      </c>
      <c r="L915">
        <v>500</v>
      </c>
      <c r="M915">
        <v>499</v>
      </c>
      <c r="N915">
        <v>1</v>
      </c>
      <c r="O915">
        <v>1344.9057822566999</v>
      </c>
      <c r="P915" s="3" t="s">
        <v>50</v>
      </c>
      <c r="Q915">
        <v>50</v>
      </c>
      <c r="R915">
        <v>0.999</v>
      </c>
      <c r="S915">
        <v>0</v>
      </c>
    </row>
    <row r="916" spans="1:19" x14ac:dyDescent="0.2">
      <c r="A916" s="3" t="s">
        <v>54</v>
      </c>
      <c r="B916" s="3" t="s">
        <v>55</v>
      </c>
      <c r="C916">
        <v>7</v>
      </c>
      <c r="D916">
        <v>19000</v>
      </c>
      <c r="E916">
        <v>499</v>
      </c>
      <c r="F916">
        <v>1</v>
      </c>
      <c r="G916">
        <v>19000</v>
      </c>
      <c r="H916">
        <v>6.6227451000000007E-2</v>
      </c>
      <c r="I916">
        <v>15187</v>
      </c>
      <c r="J916">
        <v>5365</v>
      </c>
      <c r="K916">
        <v>9822</v>
      </c>
      <c r="L916">
        <v>500</v>
      </c>
      <c r="M916">
        <v>499</v>
      </c>
      <c r="N916">
        <v>1</v>
      </c>
      <c r="O916">
        <v>3813</v>
      </c>
      <c r="P916" s="3" t="s">
        <v>51</v>
      </c>
      <c r="Q916">
        <v>50</v>
      </c>
      <c r="R916">
        <v>0.999</v>
      </c>
      <c r="S916">
        <v>1</v>
      </c>
    </row>
    <row r="917" spans="1:19" x14ac:dyDescent="0.2">
      <c r="A917" s="3" t="s">
        <v>54</v>
      </c>
      <c r="B917" s="3" t="s">
        <v>55</v>
      </c>
      <c r="C917">
        <v>28</v>
      </c>
      <c r="D917">
        <v>13000</v>
      </c>
      <c r="E917">
        <v>499</v>
      </c>
      <c r="F917">
        <v>1</v>
      </c>
      <c r="G917">
        <v>53044.701099550097</v>
      </c>
      <c r="H917">
        <v>6.6181361999999994E-2</v>
      </c>
      <c r="I917">
        <v>12615</v>
      </c>
      <c r="J917">
        <v>3651</v>
      </c>
      <c r="K917">
        <v>8964</v>
      </c>
      <c r="L917">
        <v>500</v>
      </c>
      <c r="M917">
        <v>499</v>
      </c>
      <c r="N917">
        <v>1</v>
      </c>
      <c r="O917">
        <v>1349.7644549183999</v>
      </c>
      <c r="P917" s="3" t="s">
        <v>50</v>
      </c>
      <c r="Q917">
        <v>50</v>
      </c>
      <c r="R917">
        <v>0.999</v>
      </c>
      <c r="S917">
        <v>0</v>
      </c>
    </row>
    <row r="918" spans="1:19" x14ac:dyDescent="0.2">
      <c r="A918" s="3" t="s">
        <v>54</v>
      </c>
      <c r="B918" s="3" t="s">
        <v>55</v>
      </c>
      <c r="C918">
        <v>44</v>
      </c>
      <c r="D918">
        <v>13000</v>
      </c>
      <c r="E918">
        <v>499</v>
      </c>
      <c r="F918">
        <v>1</v>
      </c>
      <c r="G918">
        <v>53044.701099550097</v>
      </c>
      <c r="H918">
        <v>6.6146317999999996E-2</v>
      </c>
      <c r="I918">
        <v>12634</v>
      </c>
      <c r="J918">
        <v>3624</v>
      </c>
      <c r="K918">
        <v>9010</v>
      </c>
      <c r="L918">
        <v>500</v>
      </c>
      <c r="M918">
        <v>499</v>
      </c>
      <c r="N918">
        <v>1</v>
      </c>
      <c r="O918">
        <v>1326.943266877</v>
      </c>
      <c r="P918" s="3" t="s">
        <v>52</v>
      </c>
      <c r="Q918">
        <v>50</v>
      </c>
      <c r="R918">
        <v>0.999</v>
      </c>
      <c r="S918">
        <v>0</v>
      </c>
    </row>
    <row r="919" spans="1:19" x14ac:dyDescent="0.2">
      <c r="A919" s="3" t="s">
        <v>54</v>
      </c>
      <c r="B919" s="3" t="s">
        <v>55</v>
      </c>
      <c r="C919">
        <v>10</v>
      </c>
      <c r="D919">
        <v>16000</v>
      </c>
      <c r="E919">
        <v>499</v>
      </c>
      <c r="F919">
        <v>1</v>
      </c>
      <c r="G919">
        <v>64781.839036288002</v>
      </c>
      <c r="H919">
        <v>6.6100724E-2</v>
      </c>
      <c r="I919">
        <v>13826</v>
      </c>
      <c r="J919">
        <v>4755</v>
      </c>
      <c r="K919">
        <v>9071</v>
      </c>
      <c r="L919">
        <v>500</v>
      </c>
      <c r="M919">
        <v>499</v>
      </c>
      <c r="N919">
        <v>1</v>
      </c>
      <c r="O919">
        <v>8341.9376344580996</v>
      </c>
      <c r="P919" s="3" t="s">
        <v>51</v>
      </c>
      <c r="Q919">
        <v>50</v>
      </c>
      <c r="R919">
        <v>0.999</v>
      </c>
      <c r="S919">
        <v>0</v>
      </c>
    </row>
    <row r="920" spans="1:19" x14ac:dyDescent="0.2">
      <c r="A920" s="3" t="s">
        <v>54</v>
      </c>
      <c r="B920" s="3" t="s">
        <v>55</v>
      </c>
      <c r="C920">
        <v>42</v>
      </c>
      <c r="D920">
        <v>13000</v>
      </c>
      <c r="E920">
        <v>499</v>
      </c>
      <c r="F920">
        <v>1</v>
      </c>
      <c r="G920">
        <v>53044.701099550097</v>
      </c>
      <c r="H920">
        <v>6.6061169000000003E-2</v>
      </c>
      <c r="I920">
        <v>12619</v>
      </c>
      <c r="J920">
        <v>3660</v>
      </c>
      <c r="K920">
        <v>8959</v>
      </c>
      <c r="L920">
        <v>500</v>
      </c>
      <c r="M920">
        <v>499</v>
      </c>
      <c r="N920">
        <v>1</v>
      </c>
      <c r="O920">
        <v>1371.3952122866999</v>
      </c>
      <c r="P920" s="3" t="s">
        <v>50</v>
      </c>
      <c r="Q920">
        <v>50</v>
      </c>
      <c r="R920">
        <v>0.999</v>
      </c>
      <c r="S920">
        <v>0</v>
      </c>
    </row>
    <row r="921" spans="1:19" x14ac:dyDescent="0.2">
      <c r="A921" s="3" t="s">
        <v>54</v>
      </c>
      <c r="B921" s="3" t="s">
        <v>55</v>
      </c>
      <c r="C921">
        <v>29</v>
      </c>
      <c r="D921">
        <v>13000</v>
      </c>
      <c r="E921">
        <v>499</v>
      </c>
      <c r="F921">
        <v>1</v>
      </c>
      <c r="G921">
        <v>53044.701099550097</v>
      </c>
      <c r="H921">
        <v>6.6047273000000004E-2</v>
      </c>
      <c r="I921">
        <v>12630</v>
      </c>
      <c r="J921">
        <v>3664</v>
      </c>
      <c r="K921">
        <v>8966</v>
      </c>
      <c r="L921">
        <v>500</v>
      </c>
      <c r="M921">
        <v>499</v>
      </c>
      <c r="N921">
        <v>1</v>
      </c>
      <c r="O921">
        <v>1321.7700101590999</v>
      </c>
      <c r="P921" s="3" t="s">
        <v>52</v>
      </c>
      <c r="Q921">
        <v>50</v>
      </c>
      <c r="R921">
        <v>0.999</v>
      </c>
      <c r="S921">
        <v>0</v>
      </c>
    </row>
    <row r="922" spans="1:19" x14ac:dyDescent="0.2">
      <c r="A922" s="3" t="s">
        <v>54</v>
      </c>
      <c r="B922" s="3" t="s">
        <v>55</v>
      </c>
      <c r="C922">
        <v>5</v>
      </c>
      <c r="D922">
        <v>13000</v>
      </c>
      <c r="E922">
        <v>499</v>
      </c>
      <c r="F922">
        <v>1</v>
      </c>
      <c r="G922">
        <v>53044.701099550097</v>
      </c>
      <c r="H922">
        <v>6.5874501000000002E-2</v>
      </c>
      <c r="I922">
        <v>12625</v>
      </c>
      <c r="J922">
        <v>3681</v>
      </c>
      <c r="K922">
        <v>8944</v>
      </c>
      <c r="L922">
        <v>500</v>
      </c>
      <c r="M922">
        <v>499</v>
      </c>
      <c r="N922">
        <v>1</v>
      </c>
      <c r="O922">
        <v>1335.1169396826001</v>
      </c>
      <c r="P922" s="3" t="s">
        <v>50</v>
      </c>
      <c r="Q922">
        <v>50</v>
      </c>
      <c r="R922">
        <v>0.999</v>
      </c>
      <c r="S922">
        <v>0</v>
      </c>
    </row>
    <row r="923" spans="1:19" x14ac:dyDescent="0.2">
      <c r="A923" s="3" t="s">
        <v>54</v>
      </c>
      <c r="B923" s="3" t="s">
        <v>55</v>
      </c>
      <c r="C923">
        <v>24</v>
      </c>
      <c r="D923">
        <v>13000</v>
      </c>
      <c r="E923">
        <v>499</v>
      </c>
      <c r="F923">
        <v>1</v>
      </c>
      <c r="G923">
        <v>53044.701099550097</v>
      </c>
      <c r="H923">
        <v>6.5864564E-2</v>
      </c>
      <c r="I923">
        <v>12631</v>
      </c>
      <c r="J923">
        <v>3698</v>
      </c>
      <c r="K923">
        <v>8933</v>
      </c>
      <c r="L923">
        <v>500</v>
      </c>
      <c r="M923">
        <v>499</v>
      </c>
      <c r="N923">
        <v>1</v>
      </c>
      <c r="O923">
        <v>1327.6097860629</v>
      </c>
      <c r="P923" s="3" t="s">
        <v>50</v>
      </c>
      <c r="Q923">
        <v>50</v>
      </c>
      <c r="R923">
        <v>0.999</v>
      </c>
      <c r="S923">
        <v>0</v>
      </c>
    </row>
    <row r="924" spans="1:19" x14ac:dyDescent="0.2">
      <c r="A924" s="3" t="s">
        <v>54</v>
      </c>
      <c r="B924" s="3" t="s">
        <v>55</v>
      </c>
      <c r="C924">
        <v>5</v>
      </c>
      <c r="D924">
        <v>19000</v>
      </c>
      <c r="E924">
        <v>499</v>
      </c>
      <c r="F924">
        <v>1</v>
      </c>
      <c r="G924">
        <v>84218.384375429901</v>
      </c>
      <c r="H924">
        <v>6.5648313999999999E-2</v>
      </c>
      <c r="I924">
        <v>15026</v>
      </c>
      <c r="J924">
        <v>4755</v>
      </c>
      <c r="K924">
        <v>10271</v>
      </c>
      <c r="L924">
        <v>500</v>
      </c>
      <c r="M924">
        <v>499</v>
      </c>
      <c r="N924">
        <v>1</v>
      </c>
      <c r="O924">
        <v>17830.537078640999</v>
      </c>
      <c r="P924" s="3" t="s">
        <v>51</v>
      </c>
      <c r="Q924">
        <v>50</v>
      </c>
      <c r="R924">
        <v>0.999</v>
      </c>
      <c r="S924">
        <v>0</v>
      </c>
    </row>
    <row r="925" spans="1:19" x14ac:dyDescent="0.2">
      <c r="A925" s="3" t="s">
        <v>54</v>
      </c>
      <c r="B925" s="3" t="s">
        <v>55</v>
      </c>
      <c r="C925">
        <v>41</v>
      </c>
      <c r="D925">
        <v>17000</v>
      </c>
      <c r="E925">
        <v>499</v>
      </c>
      <c r="F925">
        <v>1</v>
      </c>
      <c r="G925">
        <v>65872.258119671897</v>
      </c>
      <c r="H925">
        <v>6.5643023999999994E-2</v>
      </c>
      <c r="I925">
        <v>14214</v>
      </c>
      <c r="J925">
        <v>4742</v>
      </c>
      <c r="K925">
        <v>9472</v>
      </c>
      <c r="L925">
        <v>500</v>
      </c>
      <c r="M925">
        <v>499</v>
      </c>
      <c r="N925">
        <v>1</v>
      </c>
      <c r="O925">
        <v>9888.3696604997003</v>
      </c>
      <c r="P925" s="3" t="s">
        <v>51</v>
      </c>
      <c r="Q925">
        <v>50</v>
      </c>
      <c r="R925">
        <v>0.999</v>
      </c>
      <c r="S925">
        <v>0</v>
      </c>
    </row>
    <row r="926" spans="1:19" x14ac:dyDescent="0.2">
      <c r="A926" s="3" t="s">
        <v>54</v>
      </c>
      <c r="B926" s="3" t="s">
        <v>55</v>
      </c>
      <c r="C926">
        <v>28</v>
      </c>
      <c r="D926">
        <v>13000</v>
      </c>
      <c r="E926">
        <v>499</v>
      </c>
      <c r="F926">
        <v>1</v>
      </c>
      <c r="G926">
        <v>53044.701099550097</v>
      </c>
      <c r="H926">
        <v>6.5537690999999995E-2</v>
      </c>
      <c r="I926">
        <v>12652</v>
      </c>
      <c r="J926">
        <v>3643</v>
      </c>
      <c r="K926">
        <v>9009</v>
      </c>
      <c r="L926">
        <v>500</v>
      </c>
      <c r="M926">
        <v>499</v>
      </c>
      <c r="N926">
        <v>1</v>
      </c>
      <c r="O926">
        <v>1247.5556662639999</v>
      </c>
      <c r="P926" s="3" t="s">
        <v>52</v>
      </c>
      <c r="Q926">
        <v>50</v>
      </c>
      <c r="R926">
        <v>0.999</v>
      </c>
      <c r="S926">
        <v>0</v>
      </c>
    </row>
    <row r="927" spans="1:19" x14ac:dyDescent="0.2">
      <c r="A927" s="3" t="s">
        <v>54</v>
      </c>
      <c r="B927" s="3" t="s">
        <v>55</v>
      </c>
      <c r="C927">
        <v>48</v>
      </c>
      <c r="D927">
        <v>13000</v>
      </c>
      <c r="E927">
        <v>499</v>
      </c>
      <c r="F927">
        <v>1</v>
      </c>
      <c r="G927">
        <v>53044.701099550097</v>
      </c>
      <c r="H927">
        <v>6.5356163999999994E-2</v>
      </c>
      <c r="I927">
        <v>12613</v>
      </c>
      <c r="J927">
        <v>3678</v>
      </c>
      <c r="K927">
        <v>8935</v>
      </c>
      <c r="L927">
        <v>500</v>
      </c>
      <c r="M927">
        <v>499</v>
      </c>
      <c r="N927">
        <v>1</v>
      </c>
      <c r="O927">
        <v>1350.7032705262</v>
      </c>
      <c r="P927" s="3" t="s">
        <v>50</v>
      </c>
      <c r="Q927">
        <v>50</v>
      </c>
      <c r="R927">
        <v>0.999</v>
      </c>
      <c r="S927">
        <v>0</v>
      </c>
    </row>
    <row r="928" spans="1:19" x14ac:dyDescent="0.2">
      <c r="A928" s="3" t="s">
        <v>54</v>
      </c>
      <c r="B928" s="3" t="s">
        <v>55</v>
      </c>
      <c r="C928">
        <v>34</v>
      </c>
      <c r="D928">
        <v>13000</v>
      </c>
      <c r="E928">
        <v>499</v>
      </c>
      <c r="F928">
        <v>1</v>
      </c>
      <c r="G928">
        <v>53044.701099550097</v>
      </c>
      <c r="H928">
        <v>6.5341982000000007E-2</v>
      </c>
      <c r="I928">
        <v>12603</v>
      </c>
      <c r="J928">
        <v>3671</v>
      </c>
      <c r="K928">
        <v>8932</v>
      </c>
      <c r="L928">
        <v>500</v>
      </c>
      <c r="M928">
        <v>499</v>
      </c>
      <c r="N928">
        <v>1</v>
      </c>
      <c r="O928">
        <v>1390.6028855698</v>
      </c>
      <c r="P928" s="3" t="s">
        <v>50</v>
      </c>
      <c r="Q928">
        <v>50</v>
      </c>
      <c r="R928">
        <v>0.999</v>
      </c>
      <c r="S928">
        <v>0</v>
      </c>
    </row>
    <row r="929" spans="1:19" x14ac:dyDescent="0.2">
      <c r="A929" s="3" t="s">
        <v>54</v>
      </c>
      <c r="B929" s="3" t="s">
        <v>55</v>
      </c>
      <c r="C929">
        <v>49</v>
      </c>
      <c r="D929">
        <v>13000</v>
      </c>
      <c r="E929">
        <v>499</v>
      </c>
      <c r="F929">
        <v>1</v>
      </c>
      <c r="G929">
        <v>53044.701099550097</v>
      </c>
      <c r="H929">
        <v>6.5307206000000007E-2</v>
      </c>
      <c r="I929">
        <v>12619</v>
      </c>
      <c r="J929">
        <v>3654</v>
      </c>
      <c r="K929">
        <v>8965</v>
      </c>
      <c r="L929">
        <v>500</v>
      </c>
      <c r="M929">
        <v>499</v>
      </c>
      <c r="N929">
        <v>1</v>
      </c>
      <c r="O929">
        <v>1357.6279133375999</v>
      </c>
      <c r="P929" s="3" t="s">
        <v>50</v>
      </c>
      <c r="Q929">
        <v>50</v>
      </c>
      <c r="R929">
        <v>0.999</v>
      </c>
      <c r="S929">
        <v>0</v>
      </c>
    </row>
    <row r="930" spans="1:19" x14ac:dyDescent="0.2">
      <c r="A930" s="3" t="s">
        <v>54</v>
      </c>
      <c r="B930" s="3" t="s">
        <v>55</v>
      </c>
      <c r="C930">
        <v>39</v>
      </c>
      <c r="D930">
        <v>16000</v>
      </c>
      <c r="E930">
        <v>499</v>
      </c>
      <c r="F930">
        <v>1</v>
      </c>
      <c r="G930">
        <v>64781.839036288002</v>
      </c>
      <c r="H930">
        <v>6.5085884999999996E-2</v>
      </c>
      <c r="I930">
        <v>13809</v>
      </c>
      <c r="J930">
        <v>4718</v>
      </c>
      <c r="K930">
        <v>9091</v>
      </c>
      <c r="L930">
        <v>500</v>
      </c>
      <c r="M930">
        <v>499</v>
      </c>
      <c r="N930">
        <v>1</v>
      </c>
      <c r="O930">
        <v>8391.3989408008001</v>
      </c>
      <c r="P930" s="3" t="s">
        <v>51</v>
      </c>
      <c r="Q930">
        <v>50</v>
      </c>
      <c r="R930">
        <v>0.999</v>
      </c>
      <c r="S930">
        <v>0</v>
      </c>
    </row>
    <row r="931" spans="1:19" x14ac:dyDescent="0.2">
      <c r="A931" s="3" t="s">
        <v>54</v>
      </c>
      <c r="B931" s="3" t="s">
        <v>55</v>
      </c>
      <c r="C931">
        <v>17</v>
      </c>
      <c r="D931">
        <v>13000</v>
      </c>
      <c r="E931">
        <v>499</v>
      </c>
      <c r="F931">
        <v>1</v>
      </c>
      <c r="G931">
        <v>53044.701099550097</v>
      </c>
      <c r="H931">
        <v>6.5045708999999993E-2</v>
      </c>
      <c r="I931">
        <v>12624</v>
      </c>
      <c r="J931">
        <v>3662</v>
      </c>
      <c r="K931">
        <v>8962</v>
      </c>
      <c r="L931">
        <v>500</v>
      </c>
      <c r="M931">
        <v>499</v>
      </c>
      <c r="N931">
        <v>1</v>
      </c>
      <c r="O931">
        <v>1373.1240683504</v>
      </c>
      <c r="P931" s="3" t="s">
        <v>50</v>
      </c>
      <c r="Q931">
        <v>50</v>
      </c>
      <c r="R931">
        <v>0.999</v>
      </c>
      <c r="S931">
        <v>0</v>
      </c>
    </row>
    <row r="932" spans="1:19" x14ac:dyDescent="0.2">
      <c r="A932" s="3" t="s">
        <v>54</v>
      </c>
      <c r="B932" s="3" t="s">
        <v>55</v>
      </c>
      <c r="C932">
        <v>16</v>
      </c>
      <c r="D932">
        <v>19000</v>
      </c>
      <c r="E932">
        <v>499</v>
      </c>
      <c r="F932">
        <v>1</v>
      </c>
      <c r="G932">
        <v>84218.384375429901</v>
      </c>
      <c r="H932">
        <v>6.4936351000000003E-2</v>
      </c>
      <c r="I932">
        <v>15007</v>
      </c>
      <c r="J932">
        <v>4788</v>
      </c>
      <c r="K932">
        <v>10219</v>
      </c>
      <c r="L932">
        <v>500</v>
      </c>
      <c r="M932">
        <v>499</v>
      </c>
      <c r="N932">
        <v>1</v>
      </c>
      <c r="O932">
        <v>17718.762464338299</v>
      </c>
      <c r="P932" s="3" t="s">
        <v>51</v>
      </c>
      <c r="Q932">
        <v>50</v>
      </c>
      <c r="R932">
        <v>0.999</v>
      </c>
      <c r="S932">
        <v>0</v>
      </c>
    </row>
    <row r="933" spans="1:19" x14ac:dyDescent="0.2">
      <c r="A933" s="3" t="s">
        <v>54</v>
      </c>
      <c r="B933" s="3" t="s">
        <v>55</v>
      </c>
      <c r="C933">
        <v>22</v>
      </c>
      <c r="D933">
        <v>13000</v>
      </c>
      <c r="E933">
        <v>499</v>
      </c>
      <c r="F933">
        <v>1</v>
      </c>
      <c r="G933">
        <v>53044.701099550097</v>
      </c>
      <c r="H933">
        <v>6.4898932000000006E-2</v>
      </c>
      <c r="I933">
        <v>12626</v>
      </c>
      <c r="J933">
        <v>3593</v>
      </c>
      <c r="K933">
        <v>9033</v>
      </c>
      <c r="L933">
        <v>500</v>
      </c>
      <c r="M933">
        <v>499</v>
      </c>
      <c r="N933">
        <v>1</v>
      </c>
      <c r="O933">
        <v>1321.7977047244999</v>
      </c>
      <c r="P933" s="3" t="s">
        <v>52</v>
      </c>
      <c r="Q933">
        <v>50</v>
      </c>
      <c r="R933">
        <v>0.999</v>
      </c>
      <c r="S933">
        <v>0</v>
      </c>
    </row>
    <row r="934" spans="1:19" x14ac:dyDescent="0.2">
      <c r="A934" s="3" t="s">
        <v>54</v>
      </c>
      <c r="B934" s="3" t="s">
        <v>55</v>
      </c>
      <c r="C934">
        <v>24</v>
      </c>
      <c r="D934">
        <v>17000</v>
      </c>
      <c r="E934">
        <v>499</v>
      </c>
      <c r="F934">
        <v>1</v>
      </c>
      <c r="G934">
        <v>65872.258119671897</v>
      </c>
      <c r="H934">
        <v>6.4850229999999995E-2</v>
      </c>
      <c r="I934">
        <v>14220</v>
      </c>
      <c r="J934">
        <v>4753</v>
      </c>
      <c r="K934">
        <v>9467</v>
      </c>
      <c r="L934">
        <v>500</v>
      </c>
      <c r="M934">
        <v>499</v>
      </c>
      <c r="N934">
        <v>1</v>
      </c>
      <c r="O934">
        <v>9830.0907251890003</v>
      </c>
      <c r="P934" s="3" t="s">
        <v>51</v>
      </c>
      <c r="Q934">
        <v>50</v>
      </c>
      <c r="R934">
        <v>0.999</v>
      </c>
      <c r="S934">
        <v>0</v>
      </c>
    </row>
    <row r="935" spans="1:19" x14ac:dyDescent="0.2">
      <c r="A935" s="3" t="s">
        <v>54</v>
      </c>
      <c r="B935" s="3" t="s">
        <v>55</v>
      </c>
      <c r="C935">
        <v>32</v>
      </c>
      <c r="D935">
        <v>18000</v>
      </c>
      <c r="E935">
        <v>499</v>
      </c>
      <c r="F935">
        <v>1</v>
      </c>
      <c r="G935">
        <v>18000</v>
      </c>
      <c r="H935">
        <v>6.4828358000000003E-2</v>
      </c>
      <c r="I935">
        <v>14788</v>
      </c>
      <c r="J935">
        <v>5255</v>
      </c>
      <c r="K935">
        <v>9533</v>
      </c>
      <c r="L935">
        <v>500</v>
      </c>
      <c r="M935">
        <v>499</v>
      </c>
      <c r="N935">
        <v>1</v>
      </c>
      <c r="O935">
        <v>3212</v>
      </c>
      <c r="P935" s="3" t="s">
        <v>51</v>
      </c>
      <c r="Q935">
        <v>50</v>
      </c>
      <c r="R935">
        <v>0.999</v>
      </c>
      <c r="S935">
        <v>1</v>
      </c>
    </row>
    <row r="936" spans="1:19" x14ac:dyDescent="0.2">
      <c r="A936" s="3" t="s">
        <v>54</v>
      </c>
      <c r="B936" s="3" t="s">
        <v>55</v>
      </c>
      <c r="C936">
        <v>32</v>
      </c>
      <c r="D936">
        <v>16000</v>
      </c>
      <c r="E936">
        <v>499</v>
      </c>
      <c r="F936">
        <v>1</v>
      </c>
      <c r="G936">
        <v>64781.839036288002</v>
      </c>
      <c r="H936">
        <v>6.4804313000000002E-2</v>
      </c>
      <c r="I936">
        <v>13826</v>
      </c>
      <c r="J936">
        <v>4751</v>
      </c>
      <c r="K936">
        <v>9075</v>
      </c>
      <c r="L936">
        <v>500</v>
      </c>
      <c r="M936">
        <v>499</v>
      </c>
      <c r="N936">
        <v>1</v>
      </c>
      <c r="O936">
        <v>8312.0323128492</v>
      </c>
      <c r="P936" s="3" t="s">
        <v>51</v>
      </c>
      <c r="Q936">
        <v>50</v>
      </c>
      <c r="R936">
        <v>0.999</v>
      </c>
      <c r="S936">
        <v>0</v>
      </c>
    </row>
    <row r="937" spans="1:19" x14ac:dyDescent="0.2">
      <c r="A937" s="3" t="s">
        <v>54</v>
      </c>
      <c r="B937" s="3" t="s">
        <v>55</v>
      </c>
      <c r="C937">
        <v>39</v>
      </c>
      <c r="D937">
        <v>17000</v>
      </c>
      <c r="E937">
        <v>499</v>
      </c>
      <c r="F937">
        <v>1</v>
      </c>
      <c r="G937">
        <v>65872.258119671897</v>
      </c>
      <c r="H937">
        <v>6.4753907999999999E-2</v>
      </c>
      <c r="I937">
        <v>14215</v>
      </c>
      <c r="J937">
        <v>4765</v>
      </c>
      <c r="K937">
        <v>9450</v>
      </c>
      <c r="L937">
        <v>500</v>
      </c>
      <c r="M937">
        <v>499</v>
      </c>
      <c r="N937">
        <v>1</v>
      </c>
      <c r="O937">
        <v>9883.3329190340992</v>
      </c>
      <c r="P937" s="3" t="s">
        <v>51</v>
      </c>
      <c r="Q937">
        <v>50</v>
      </c>
      <c r="R937">
        <v>0.999</v>
      </c>
      <c r="S937">
        <v>0</v>
      </c>
    </row>
    <row r="938" spans="1:19" x14ac:dyDescent="0.2">
      <c r="A938" s="3" t="s">
        <v>54</v>
      </c>
      <c r="B938" s="3" t="s">
        <v>55</v>
      </c>
      <c r="C938">
        <v>33</v>
      </c>
      <c r="D938">
        <v>13000</v>
      </c>
      <c r="E938">
        <v>499</v>
      </c>
      <c r="F938">
        <v>1</v>
      </c>
      <c r="G938">
        <v>53044.701099550097</v>
      </c>
      <c r="H938">
        <v>6.4693361000000005E-2</v>
      </c>
      <c r="I938">
        <v>12615</v>
      </c>
      <c r="J938">
        <v>3691</v>
      </c>
      <c r="K938">
        <v>8924</v>
      </c>
      <c r="L938">
        <v>500</v>
      </c>
      <c r="M938">
        <v>499</v>
      </c>
      <c r="N938">
        <v>1</v>
      </c>
      <c r="O938">
        <v>1360.6289749319999</v>
      </c>
      <c r="P938" s="3" t="s">
        <v>50</v>
      </c>
      <c r="Q938">
        <v>50</v>
      </c>
      <c r="R938">
        <v>0.999</v>
      </c>
      <c r="S938">
        <v>0</v>
      </c>
    </row>
    <row r="939" spans="1:19" x14ac:dyDescent="0.2">
      <c r="A939" s="3" t="s">
        <v>54</v>
      </c>
      <c r="B939" s="3" t="s">
        <v>55</v>
      </c>
      <c r="C939">
        <v>50</v>
      </c>
      <c r="D939">
        <v>16000</v>
      </c>
      <c r="E939">
        <v>499</v>
      </c>
      <c r="F939">
        <v>1</v>
      </c>
      <c r="G939">
        <v>64781.839036288002</v>
      </c>
      <c r="H939">
        <v>6.4626746999999998E-2</v>
      </c>
      <c r="I939">
        <v>13818</v>
      </c>
      <c r="J939">
        <v>4750</v>
      </c>
      <c r="K939">
        <v>9068</v>
      </c>
      <c r="L939">
        <v>500</v>
      </c>
      <c r="M939">
        <v>499</v>
      </c>
      <c r="N939">
        <v>1</v>
      </c>
      <c r="O939">
        <v>8427.4486955345001</v>
      </c>
      <c r="P939" s="3" t="s">
        <v>51</v>
      </c>
      <c r="Q939">
        <v>50</v>
      </c>
      <c r="R939">
        <v>0.999</v>
      </c>
      <c r="S939">
        <v>0</v>
      </c>
    </row>
    <row r="940" spans="1:19" x14ac:dyDescent="0.2">
      <c r="A940" s="3" t="s">
        <v>54</v>
      </c>
      <c r="B940" s="3" t="s">
        <v>55</v>
      </c>
      <c r="C940">
        <v>11</v>
      </c>
      <c r="D940">
        <v>13000</v>
      </c>
      <c r="E940">
        <v>499</v>
      </c>
      <c r="F940">
        <v>1</v>
      </c>
      <c r="G940">
        <v>53044.701099550097</v>
      </c>
      <c r="H940">
        <v>6.4572948000000005E-2</v>
      </c>
      <c r="I940">
        <v>12618</v>
      </c>
      <c r="J940">
        <v>3622</v>
      </c>
      <c r="K940">
        <v>8996</v>
      </c>
      <c r="L940">
        <v>500</v>
      </c>
      <c r="M940">
        <v>499</v>
      </c>
      <c r="N940">
        <v>1</v>
      </c>
      <c r="O940">
        <v>1375.4507915371</v>
      </c>
      <c r="P940" s="3" t="s">
        <v>50</v>
      </c>
      <c r="Q940">
        <v>50</v>
      </c>
      <c r="R940">
        <v>0.999</v>
      </c>
      <c r="S940">
        <v>0</v>
      </c>
    </row>
    <row r="941" spans="1:19" x14ac:dyDescent="0.2">
      <c r="A941" s="3" t="s">
        <v>54</v>
      </c>
      <c r="B941" s="3" t="s">
        <v>55</v>
      </c>
      <c r="C941">
        <v>9</v>
      </c>
      <c r="D941">
        <v>13000</v>
      </c>
      <c r="E941">
        <v>499</v>
      </c>
      <c r="F941">
        <v>1</v>
      </c>
      <c r="G941">
        <v>53044.701099550097</v>
      </c>
      <c r="H941">
        <v>6.4565387000000002E-2</v>
      </c>
      <c r="I941">
        <v>12619</v>
      </c>
      <c r="J941">
        <v>3679</v>
      </c>
      <c r="K941">
        <v>8940</v>
      </c>
      <c r="L941">
        <v>500</v>
      </c>
      <c r="M941">
        <v>499</v>
      </c>
      <c r="N941">
        <v>1</v>
      </c>
      <c r="O941">
        <v>1346.6959883500999</v>
      </c>
      <c r="P941" s="3" t="s">
        <v>50</v>
      </c>
      <c r="Q941">
        <v>50</v>
      </c>
      <c r="R941">
        <v>0.999</v>
      </c>
      <c r="S941">
        <v>0</v>
      </c>
    </row>
    <row r="942" spans="1:19" x14ac:dyDescent="0.2">
      <c r="A942" s="3" t="s">
        <v>54</v>
      </c>
      <c r="B942" s="3" t="s">
        <v>55</v>
      </c>
      <c r="C942">
        <v>21</v>
      </c>
      <c r="D942">
        <v>17000</v>
      </c>
      <c r="E942">
        <v>499</v>
      </c>
      <c r="F942">
        <v>1</v>
      </c>
      <c r="G942">
        <v>65872.258119671897</v>
      </c>
      <c r="H942">
        <v>6.4535455000000005E-2</v>
      </c>
      <c r="I942">
        <v>14231</v>
      </c>
      <c r="J942">
        <v>4742</v>
      </c>
      <c r="K942">
        <v>9489</v>
      </c>
      <c r="L942">
        <v>500</v>
      </c>
      <c r="M942">
        <v>499</v>
      </c>
      <c r="N942">
        <v>1</v>
      </c>
      <c r="O942">
        <v>9811.1709003201995</v>
      </c>
      <c r="P942" s="3" t="s">
        <v>51</v>
      </c>
      <c r="Q942">
        <v>50</v>
      </c>
      <c r="R942">
        <v>0.999</v>
      </c>
      <c r="S942">
        <v>0</v>
      </c>
    </row>
    <row r="943" spans="1:19" x14ac:dyDescent="0.2">
      <c r="A943" s="3" t="s">
        <v>54</v>
      </c>
      <c r="B943" s="3" t="s">
        <v>55</v>
      </c>
      <c r="C943">
        <v>40</v>
      </c>
      <c r="D943">
        <v>17000</v>
      </c>
      <c r="E943">
        <v>499</v>
      </c>
      <c r="F943">
        <v>1</v>
      </c>
      <c r="G943">
        <v>65872.258119671897</v>
      </c>
      <c r="H943">
        <v>6.4213368000000007E-2</v>
      </c>
      <c r="I943">
        <v>14216</v>
      </c>
      <c r="J943">
        <v>4733</v>
      </c>
      <c r="K943">
        <v>9483</v>
      </c>
      <c r="L943">
        <v>500</v>
      </c>
      <c r="M943">
        <v>499</v>
      </c>
      <c r="N943">
        <v>1</v>
      </c>
      <c r="O943">
        <v>9893.8895776057998</v>
      </c>
      <c r="P943" s="3" t="s">
        <v>51</v>
      </c>
      <c r="Q943">
        <v>50</v>
      </c>
      <c r="R943">
        <v>0.999</v>
      </c>
      <c r="S943">
        <v>0</v>
      </c>
    </row>
    <row r="944" spans="1:19" x14ac:dyDescent="0.2">
      <c r="A944" s="3" t="s">
        <v>54</v>
      </c>
      <c r="B944" s="3" t="s">
        <v>55</v>
      </c>
      <c r="C944">
        <v>21</v>
      </c>
      <c r="D944">
        <v>13000</v>
      </c>
      <c r="E944">
        <v>499</v>
      </c>
      <c r="F944">
        <v>1</v>
      </c>
      <c r="G944">
        <v>53044.701099550097</v>
      </c>
      <c r="H944">
        <v>6.4190506999999994E-2</v>
      </c>
      <c r="I944">
        <v>12643</v>
      </c>
      <c r="J944">
        <v>3740</v>
      </c>
      <c r="K944">
        <v>8903</v>
      </c>
      <c r="L944">
        <v>500</v>
      </c>
      <c r="M944">
        <v>499</v>
      </c>
      <c r="N944">
        <v>1</v>
      </c>
      <c r="O944">
        <v>1318.4049137666</v>
      </c>
      <c r="P944" s="3" t="s">
        <v>50</v>
      </c>
      <c r="Q944">
        <v>50</v>
      </c>
      <c r="R944">
        <v>0.999</v>
      </c>
      <c r="S944">
        <v>0</v>
      </c>
    </row>
    <row r="945" spans="1:19" x14ac:dyDescent="0.2">
      <c r="A945" s="3" t="s">
        <v>54</v>
      </c>
      <c r="B945" s="3" t="s">
        <v>55</v>
      </c>
      <c r="C945">
        <v>32</v>
      </c>
      <c r="D945">
        <v>17000</v>
      </c>
      <c r="E945">
        <v>499</v>
      </c>
      <c r="F945">
        <v>1</v>
      </c>
      <c r="G945">
        <v>65872.258119671897</v>
      </c>
      <c r="H945">
        <v>6.4144160000000006E-2</v>
      </c>
      <c r="I945">
        <v>14216</v>
      </c>
      <c r="J945">
        <v>4731</v>
      </c>
      <c r="K945">
        <v>9485</v>
      </c>
      <c r="L945">
        <v>500</v>
      </c>
      <c r="M945">
        <v>499</v>
      </c>
      <c r="N945">
        <v>1</v>
      </c>
      <c r="O945">
        <v>9875.6073158648996</v>
      </c>
      <c r="P945" s="3" t="s">
        <v>51</v>
      </c>
      <c r="Q945">
        <v>50</v>
      </c>
      <c r="R945">
        <v>0.999</v>
      </c>
      <c r="S945">
        <v>0</v>
      </c>
    </row>
    <row r="946" spans="1:19" x14ac:dyDescent="0.2">
      <c r="A946" s="3" t="s">
        <v>54</v>
      </c>
      <c r="B946" s="3" t="s">
        <v>55</v>
      </c>
      <c r="C946">
        <v>38</v>
      </c>
      <c r="D946">
        <v>13000</v>
      </c>
      <c r="E946">
        <v>499</v>
      </c>
      <c r="F946">
        <v>1</v>
      </c>
      <c r="G946">
        <v>53044.701099550097</v>
      </c>
      <c r="H946">
        <v>6.4130346000000005E-2</v>
      </c>
      <c r="I946">
        <v>12624</v>
      </c>
      <c r="J946">
        <v>3684</v>
      </c>
      <c r="K946">
        <v>8940</v>
      </c>
      <c r="L946">
        <v>500</v>
      </c>
      <c r="M946">
        <v>499</v>
      </c>
      <c r="N946">
        <v>1</v>
      </c>
      <c r="O946">
        <v>1340.2302216235</v>
      </c>
      <c r="P946" s="3" t="s">
        <v>50</v>
      </c>
      <c r="Q946">
        <v>50</v>
      </c>
      <c r="R946">
        <v>0.999</v>
      </c>
      <c r="S946">
        <v>0</v>
      </c>
    </row>
    <row r="947" spans="1:19" x14ac:dyDescent="0.2">
      <c r="A947" s="3" t="s">
        <v>54</v>
      </c>
      <c r="B947" s="3" t="s">
        <v>55</v>
      </c>
      <c r="C947">
        <v>35</v>
      </c>
      <c r="D947">
        <v>13000</v>
      </c>
      <c r="E947">
        <v>499</v>
      </c>
      <c r="F947">
        <v>1</v>
      </c>
      <c r="G947">
        <v>53044.701099550097</v>
      </c>
      <c r="H947">
        <v>6.4034810999999997E-2</v>
      </c>
      <c r="I947">
        <v>12627</v>
      </c>
      <c r="J947">
        <v>3692</v>
      </c>
      <c r="K947">
        <v>8935</v>
      </c>
      <c r="L947">
        <v>500</v>
      </c>
      <c r="M947">
        <v>499</v>
      </c>
      <c r="N947">
        <v>1</v>
      </c>
      <c r="O947">
        <v>1356.2161814353001</v>
      </c>
      <c r="P947" s="3" t="s">
        <v>50</v>
      </c>
      <c r="Q947">
        <v>50</v>
      </c>
      <c r="R947">
        <v>0.999</v>
      </c>
      <c r="S947">
        <v>0</v>
      </c>
    </row>
    <row r="948" spans="1:19" x14ac:dyDescent="0.2">
      <c r="A948" s="3" t="s">
        <v>54</v>
      </c>
      <c r="B948" s="3" t="s">
        <v>55</v>
      </c>
      <c r="C948">
        <v>49</v>
      </c>
      <c r="D948">
        <v>19000</v>
      </c>
      <c r="E948">
        <v>499</v>
      </c>
      <c r="F948">
        <v>1</v>
      </c>
      <c r="G948">
        <v>84218.384375429901</v>
      </c>
      <c r="H948">
        <v>6.4015453999999999E-2</v>
      </c>
      <c r="I948">
        <v>15015</v>
      </c>
      <c r="J948">
        <v>4804</v>
      </c>
      <c r="K948">
        <v>10211</v>
      </c>
      <c r="L948">
        <v>500</v>
      </c>
      <c r="M948">
        <v>499</v>
      </c>
      <c r="N948">
        <v>1</v>
      </c>
      <c r="O948">
        <v>17736.876781245501</v>
      </c>
      <c r="P948" s="3" t="s">
        <v>51</v>
      </c>
      <c r="Q948">
        <v>50</v>
      </c>
      <c r="R948">
        <v>0.999</v>
      </c>
      <c r="S948">
        <v>0</v>
      </c>
    </row>
    <row r="949" spans="1:19" x14ac:dyDescent="0.2">
      <c r="A949" s="3" t="s">
        <v>54</v>
      </c>
      <c r="B949" s="3" t="s">
        <v>55</v>
      </c>
      <c r="C949">
        <v>12</v>
      </c>
      <c r="D949">
        <v>17000</v>
      </c>
      <c r="E949">
        <v>499</v>
      </c>
      <c r="F949">
        <v>1</v>
      </c>
      <c r="G949">
        <v>65872.258119671897</v>
      </c>
      <c r="H949">
        <v>6.3901997000000002E-2</v>
      </c>
      <c r="I949">
        <v>14267</v>
      </c>
      <c r="J949">
        <v>4749</v>
      </c>
      <c r="K949">
        <v>9518</v>
      </c>
      <c r="L949">
        <v>500</v>
      </c>
      <c r="M949">
        <v>499</v>
      </c>
      <c r="N949">
        <v>1</v>
      </c>
      <c r="O949">
        <v>9756.0049453611009</v>
      </c>
      <c r="P949" s="3" t="s">
        <v>51</v>
      </c>
      <c r="Q949">
        <v>50</v>
      </c>
      <c r="R949">
        <v>0.999</v>
      </c>
      <c r="S949">
        <v>0</v>
      </c>
    </row>
    <row r="950" spans="1:19" x14ac:dyDescent="0.2">
      <c r="A950" s="3" t="s">
        <v>54</v>
      </c>
      <c r="B950" s="3" t="s">
        <v>55</v>
      </c>
      <c r="C950">
        <v>44</v>
      </c>
      <c r="D950">
        <v>19000</v>
      </c>
      <c r="E950">
        <v>499</v>
      </c>
      <c r="F950">
        <v>1</v>
      </c>
      <c r="G950">
        <v>84218.384375429901</v>
      </c>
      <c r="H950">
        <v>6.3701806E-2</v>
      </c>
      <c r="I950">
        <v>15015</v>
      </c>
      <c r="J950">
        <v>4800</v>
      </c>
      <c r="K950">
        <v>10215</v>
      </c>
      <c r="L950">
        <v>500</v>
      </c>
      <c r="M950">
        <v>499</v>
      </c>
      <c r="N950">
        <v>1</v>
      </c>
      <c r="O950">
        <v>17746.963745111399</v>
      </c>
      <c r="P950" s="3" t="s">
        <v>51</v>
      </c>
      <c r="Q950">
        <v>50</v>
      </c>
      <c r="R950">
        <v>0.999</v>
      </c>
      <c r="S950">
        <v>0</v>
      </c>
    </row>
    <row r="951" spans="1:19" x14ac:dyDescent="0.2">
      <c r="A951" s="3" t="s">
        <v>54</v>
      </c>
      <c r="B951" s="3" t="s">
        <v>55</v>
      </c>
      <c r="C951">
        <v>44</v>
      </c>
      <c r="D951">
        <v>13000</v>
      </c>
      <c r="E951">
        <v>499</v>
      </c>
      <c r="F951">
        <v>1</v>
      </c>
      <c r="G951">
        <v>53044.701099550097</v>
      </c>
      <c r="H951">
        <v>6.3668100000000005E-2</v>
      </c>
      <c r="I951">
        <v>12604</v>
      </c>
      <c r="J951">
        <v>3703</v>
      </c>
      <c r="K951">
        <v>8901</v>
      </c>
      <c r="L951">
        <v>500</v>
      </c>
      <c r="M951">
        <v>499</v>
      </c>
      <c r="N951">
        <v>1</v>
      </c>
      <c r="O951">
        <v>1420.8814321865</v>
      </c>
      <c r="P951" s="3" t="s">
        <v>50</v>
      </c>
      <c r="Q951">
        <v>50</v>
      </c>
      <c r="R951">
        <v>0.999</v>
      </c>
      <c r="S951">
        <v>0</v>
      </c>
    </row>
    <row r="952" spans="1:19" x14ac:dyDescent="0.2">
      <c r="A952" s="3" t="s">
        <v>54</v>
      </c>
      <c r="B952" s="3" t="s">
        <v>55</v>
      </c>
      <c r="C952">
        <v>23</v>
      </c>
      <c r="D952">
        <v>13000</v>
      </c>
      <c r="E952">
        <v>499</v>
      </c>
      <c r="F952">
        <v>1</v>
      </c>
      <c r="G952">
        <v>53044.701099550097</v>
      </c>
      <c r="H952">
        <v>6.3647677E-2</v>
      </c>
      <c r="I952">
        <v>12605</v>
      </c>
      <c r="J952">
        <v>3709</v>
      </c>
      <c r="K952">
        <v>8896</v>
      </c>
      <c r="L952">
        <v>500</v>
      </c>
      <c r="M952">
        <v>499</v>
      </c>
      <c r="N952">
        <v>1</v>
      </c>
      <c r="O952">
        <v>1422.2086586288001</v>
      </c>
      <c r="P952" s="3" t="s">
        <v>50</v>
      </c>
      <c r="Q952">
        <v>50</v>
      </c>
      <c r="R952">
        <v>0.999</v>
      </c>
      <c r="S952">
        <v>0</v>
      </c>
    </row>
    <row r="953" spans="1:19" x14ac:dyDescent="0.2">
      <c r="A953" s="3" t="s">
        <v>54</v>
      </c>
      <c r="B953" s="3" t="s">
        <v>55</v>
      </c>
      <c r="C953">
        <v>50</v>
      </c>
      <c r="D953">
        <v>13000</v>
      </c>
      <c r="E953">
        <v>499</v>
      </c>
      <c r="F953">
        <v>1</v>
      </c>
      <c r="G953">
        <v>53044.701099550097</v>
      </c>
      <c r="H953">
        <v>6.3312287999999994E-2</v>
      </c>
      <c r="I953">
        <v>12626</v>
      </c>
      <c r="J953">
        <v>3687</v>
      </c>
      <c r="K953">
        <v>8939</v>
      </c>
      <c r="L953">
        <v>500</v>
      </c>
      <c r="M953">
        <v>499</v>
      </c>
      <c r="N953">
        <v>1</v>
      </c>
      <c r="O953">
        <v>1349.0355790916999</v>
      </c>
      <c r="P953" s="3" t="s">
        <v>50</v>
      </c>
      <c r="Q953">
        <v>50</v>
      </c>
      <c r="R953">
        <v>0.999</v>
      </c>
      <c r="S953">
        <v>0</v>
      </c>
    </row>
    <row r="954" spans="1:19" x14ac:dyDescent="0.2">
      <c r="A954" s="3" t="s">
        <v>54</v>
      </c>
      <c r="B954" s="3" t="s">
        <v>55</v>
      </c>
      <c r="C954">
        <v>7</v>
      </c>
      <c r="D954">
        <v>17000</v>
      </c>
      <c r="E954">
        <v>499</v>
      </c>
      <c r="F954">
        <v>1</v>
      </c>
      <c r="G954">
        <v>65872.258119671897</v>
      </c>
      <c r="H954">
        <v>6.3298796000000004E-2</v>
      </c>
      <c r="I954">
        <v>14219</v>
      </c>
      <c r="J954">
        <v>4756</v>
      </c>
      <c r="K954">
        <v>9463</v>
      </c>
      <c r="L954">
        <v>500</v>
      </c>
      <c r="M954">
        <v>499</v>
      </c>
      <c r="N954">
        <v>1</v>
      </c>
      <c r="O954">
        <v>9872.5629044017005</v>
      </c>
      <c r="P954" s="3" t="s">
        <v>51</v>
      </c>
      <c r="Q954">
        <v>50</v>
      </c>
      <c r="R954">
        <v>0.999</v>
      </c>
      <c r="S954">
        <v>0</v>
      </c>
    </row>
    <row r="955" spans="1:19" x14ac:dyDescent="0.2">
      <c r="A955" s="3" t="s">
        <v>54</v>
      </c>
      <c r="B955" s="3" t="s">
        <v>55</v>
      </c>
      <c r="C955">
        <v>28</v>
      </c>
      <c r="D955">
        <v>16000</v>
      </c>
      <c r="E955">
        <v>499</v>
      </c>
      <c r="F955">
        <v>1</v>
      </c>
      <c r="G955">
        <v>64781.839036288002</v>
      </c>
      <c r="H955">
        <v>6.3261522000000001E-2</v>
      </c>
      <c r="I955">
        <v>13824</v>
      </c>
      <c r="J955">
        <v>4731</v>
      </c>
      <c r="K955">
        <v>9093</v>
      </c>
      <c r="L955">
        <v>500</v>
      </c>
      <c r="M955">
        <v>499</v>
      </c>
      <c r="N955">
        <v>1</v>
      </c>
      <c r="O955">
        <v>8429.0942792522001</v>
      </c>
      <c r="P955" s="3" t="s">
        <v>51</v>
      </c>
      <c r="Q955">
        <v>50</v>
      </c>
      <c r="R955">
        <v>0.999</v>
      </c>
      <c r="S955">
        <v>0</v>
      </c>
    </row>
    <row r="956" spans="1:19" x14ac:dyDescent="0.2">
      <c r="A956" s="3" t="s">
        <v>54</v>
      </c>
      <c r="B956" s="3" t="s">
        <v>55</v>
      </c>
      <c r="C956">
        <v>36</v>
      </c>
      <c r="D956">
        <v>16000</v>
      </c>
      <c r="E956">
        <v>499</v>
      </c>
      <c r="F956">
        <v>1</v>
      </c>
      <c r="G956">
        <v>64781.839036288002</v>
      </c>
      <c r="H956">
        <v>6.3228815999999993E-2</v>
      </c>
      <c r="I956">
        <v>13826</v>
      </c>
      <c r="J956">
        <v>4760</v>
      </c>
      <c r="K956">
        <v>9066</v>
      </c>
      <c r="L956">
        <v>500</v>
      </c>
      <c r="M956">
        <v>499</v>
      </c>
      <c r="N956">
        <v>1</v>
      </c>
      <c r="O956">
        <v>8359.1990146765002</v>
      </c>
      <c r="P956" s="3" t="s">
        <v>51</v>
      </c>
      <c r="Q956">
        <v>50</v>
      </c>
      <c r="R956">
        <v>0.999</v>
      </c>
      <c r="S956">
        <v>0</v>
      </c>
    </row>
    <row r="957" spans="1:19" x14ac:dyDescent="0.2">
      <c r="A957" s="3" t="s">
        <v>54</v>
      </c>
      <c r="B957" s="3" t="s">
        <v>55</v>
      </c>
      <c r="C957">
        <v>29</v>
      </c>
      <c r="D957">
        <v>13000</v>
      </c>
      <c r="E957">
        <v>499</v>
      </c>
      <c r="F957">
        <v>1</v>
      </c>
      <c r="G957">
        <v>53044.701099550097</v>
      </c>
      <c r="H957">
        <v>6.3121330000000003E-2</v>
      </c>
      <c r="I957">
        <v>12621</v>
      </c>
      <c r="J957">
        <v>3716</v>
      </c>
      <c r="K957">
        <v>8905</v>
      </c>
      <c r="L957">
        <v>500</v>
      </c>
      <c r="M957">
        <v>499</v>
      </c>
      <c r="N957">
        <v>1</v>
      </c>
      <c r="O957">
        <v>1366.0667045179</v>
      </c>
      <c r="P957" s="3" t="s">
        <v>50</v>
      </c>
      <c r="Q957">
        <v>50</v>
      </c>
      <c r="R957">
        <v>0.999</v>
      </c>
      <c r="S957">
        <v>0</v>
      </c>
    </row>
    <row r="958" spans="1:19" x14ac:dyDescent="0.2">
      <c r="A958" s="3" t="s">
        <v>54</v>
      </c>
      <c r="B958" s="3" t="s">
        <v>55</v>
      </c>
      <c r="C958">
        <v>42</v>
      </c>
      <c r="D958">
        <v>19000</v>
      </c>
      <c r="E958">
        <v>499</v>
      </c>
      <c r="F958">
        <v>1</v>
      </c>
      <c r="G958">
        <v>84218.384375429901</v>
      </c>
      <c r="H958">
        <v>6.2959466000000006E-2</v>
      </c>
      <c r="I958">
        <v>15043</v>
      </c>
      <c r="J958">
        <v>4815</v>
      </c>
      <c r="K958">
        <v>10228</v>
      </c>
      <c r="L958">
        <v>500</v>
      </c>
      <c r="M958">
        <v>499</v>
      </c>
      <c r="N958">
        <v>1</v>
      </c>
      <c r="O958">
        <v>17677.263439087001</v>
      </c>
      <c r="P958" s="3" t="s">
        <v>51</v>
      </c>
      <c r="Q958">
        <v>50</v>
      </c>
      <c r="R958">
        <v>0.999</v>
      </c>
      <c r="S958">
        <v>0</v>
      </c>
    </row>
    <row r="959" spans="1:19" x14ac:dyDescent="0.2">
      <c r="A959" s="3" t="s">
        <v>54</v>
      </c>
      <c r="B959" s="3" t="s">
        <v>55</v>
      </c>
      <c r="C959">
        <v>21</v>
      </c>
      <c r="D959">
        <v>19000</v>
      </c>
      <c r="E959">
        <v>499</v>
      </c>
      <c r="F959">
        <v>1</v>
      </c>
      <c r="G959">
        <v>84218.384375429901</v>
      </c>
      <c r="H959">
        <v>6.2954963000000003E-2</v>
      </c>
      <c r="I959">
        <v>15056</v>
      </c>
      <c r="J959">
        <v>4815</v>
      </c>
      <c r="K959">
        <v>10241</v>
      </c>
      <c r="L959">
        <v>500</v>
      </c>
      <c r="M959">
        <v>499</v>
      </c>
      <c r="N959">
        <v>1</v>
      </c>
      <c r="O959">
        <v>17688.529353403901</v>
      </c>
      <c r="P959" s="3" t="s">
        <v>51</v>
      </c>
      <c r="Q959">
        <v>50</v>
      </c>
      <c r="R959">
        <v>0.999</v>
      </c>
      <c r="S959">
        <v>0</v>
      </c>
    </row>
    <row r="960" spans="1:19" x14ac:dyDescent="0.2">
      <c r="A960" s="3" t="s">
        <v>54</v>
      </c>
      <c r="B960" s="3" t="s">
        <v>55</v>
      </c>
      <c r="C960">
        <v>46</v>
      </c>
      <c r="D960">
        <v>16000</v>
      </c>
      <c r="E960">
        <v>499</v>
      </c>
      <c r="F960">
        <v>1</v>
      </c>
      <c r="G960">
        <v>64781.839036288002</v>
      </c>
      <c r="H960">
        <v>6.2879098999999994E-2</v>
      </c>
      <c r="I960">
        <v>13817</v>
      </c>
      <c r="J960">
        <v>4716</v>
      </c>
      <c r="K960">
        <v>9101</v>
      </c>
      <c r="L960">
        <v>500</v>
      </c>
      <c r="M960">
        <v>499</v>
      </c>
      <c r="N960">
        <v>1</v>
      </c>
      <c r="O960">
        <v>8404.7275894364993</v>
      </c>
      <c r="P960" s="3" t="s">
        <v>51</v>
      </c>
      <c r="Q960">
        <v>50</v>
      </c>
      <c r="R960">
        <v>0.999</v>
      </c>
      <c r="S960">
        <v>0</v>
      </c>
    </row>
    <row r="961" spans="1:19" x14ac:dyDescent="0.2">
      <c r="A961" s="3" t="s">
        <v>54</v>
      </c>
      <c r="B961" s="3" t="s">
        <v>55</v>
      </c>
      <c r="C961">
        <v>27</v>
      </c>
      <c r="D961">
        <v>19000</v>
      </c>
      <c r="E961">
        <v>499</v>
      </c>
      <c r="F961">
        <v>1</v>
      </c>
      <c r="G961">
        <v>84218.384375429901</v>
      </c>
      <c r="H961">
        <v>6.2808579000000003E-2</v>
      </c>
      <c r="I961">
        <v>15026</v>
      </c>
      <c r="J961">
        <v>4790</v>
      </c>
      <c r="K961">
        <v>10236</v>
      </c>
      <c r="L961">
        <v>500</v>
      </c>
      <c r="M961">
        <v>499</v>
      </c>
      <c r="N961">
        <v>1</v>
      </c>
      <c r="O961">
        <v>17798.400979878799</v>
      </c>
      <c r="P961" s="3" t="s">
        <v>51</v>
      </c>
      <c r="Q961">
        <v>50</v>
      </c>
      <c r="R961">
        <v>0.999</v>
      </c>
      <c r="S961">
        <v>0</v>
      </c>
    </row>
    <row r="962" spans="1:19" x14ac:dyDescent="0.2">
      <c r="A962" s="3" t="s">
        <v>54</v>
      </c>
      <c r="B962" s="3" t="s">
        <v>55</v>
      </c>
      <c r="C962">
        <v>8</v>
      </c>
      <c r="D962">
        <v>16000</v>
      </c>
      <c r="E962">
        <v>499</v>
      </c>
      <c r="F962">
        <v>1</v>
      </c>
      <c r="G962">
        <v>64781.839036288002</v>
      </c>
      <c r="H962">
        <v>6.2767936999999996E-2</v>
      </c>
      <c r="I962">
        <v>13819</v>
      </c>
      <c r="J962">
        <v>4703</v>
      </c>
      <c r="K962">
        <v>9116</v>
      </c>
      <c r="L962">
        <v>500</v>
      </c>
      <c r="M962">
        <v>499</v>
      </c>
      <c r="N962">
        <v>1</v>
      </c>
      <c r="O962">
        <v>8395.8064177934993</v>
      </c>
      <c r="P962" s="3" t="s">
        <v>51</v>
      </c>
      <c r="Q962">
        <v>50</v>
      </c>
      <c r="R962">
        <v>0.999</v>
      </c>
      <c r="S962">
        <v>0</v>
      </c>
    </row>
    <row r="963" spans="1:19" x14ac:dyDescent="0.2">
      <c r="A963" s="3" t="s">
        <v>54</v>
      </c>
      <c r="B963" s="3" t="s">
        <v>55</v>
      </c>
      <c r="C963">
        <v>16</v>
      </c>
      <c r="D963">
        <v>16000</v>
      </c>
      <c r="E963">
        <v>499</v>
      </c>
      <c r="F963">
        <v>1</v>
      </c>
      <c r="G963">
        <v>64781.839036288002</v>
      </c>
      <c r="H963">
        <v>6.2682696999999996E-2</v>
      </c>
      <c r="I963">
        <v>13806</v>
      </c>
      <c r="J963">
        <v>4732</v>
      </c>
      <c r="K963">
        <v>9074</v>
      </c>
      <c r="L963">
        <v>500</v>
      </c>
      <c r="M963">
        <v>499</v>
      </c>
      <c r="N963">
        <v>1</v>
      </c>
      <c r="O963">
        <v>8443.3740877054006</v>
      </c>
      <c r="P963" s="3" t="s">
        <v>51</v>
      </c>
      <c r="Q963">
        <v>50</v>
      </c>
      <c r="R963">
        <v>0.999</v>
      </c>
      <c r="S963">
        <v>0</v>
      </c>
    </row>
    <row r="964" spans="1:19" x14ac:dyDescent="0.2">
      <c r="A964" s="3" t="s">
        <v>54</v>
      </c>
      <c r="B964" s="3" t="s">
        <v>55</v>
      </c>
      <c r="C964">
        <v>1</v>
      </c>
      <c r="D964">
        <v>16000</v>
      </c>
      <c r="E964">
        <v>499</v>
      </c>
      <c r="F964">
        <v>1</v>
      </c>
      <c r="G964">
        <v>64781.839036288002</v>
      </c>
      <c r="H964">
        <v>6.2506999999999993E-2</v>
      </c>
      <c r="I964">
        <v>13828</v>
      </c>
      <c r="J964">
        <v>4736</v>
      </c>
      <c r="K964">
        <v>9092</v>
      </c>
      <c r="L964">
        <v>500</v>
      </c>
      <c r="M964">
        <v>499</v>
      </c>
      <c r="N964">
        <v>1</v>
      </c>
      <c r="O964">
        <v>8398.1558861948997</v>
      </c>
      <c r="P964" s="3" t="s">
        <v>51</v>
      </c>
      <c r="Q964">
        <v>50</v>
      </c>
      <c r="R964">
        <v>0.999</v>
      </c>
      <c r="S964">
        <v>0</v>
      </c>
    </row>
    <row r="965" spans="1:19" x14ac:dyDescent="0.2">
      <c r="A965" s="3" t="s">
        <v>54</v>
      </c>
      <c r="B965" s="3" t="s">
        <v>55</v>
      </c>
      <c r="C965">
        <v>12</v>
      </c>
      <c r="D965">
        <v>16000</v>
      </c>
      <c r="E965">
        <v>499</v>
      </c>
      <c r="F965">
        <v>1</v>
      </c>
      <c r="G965">
        <v>64781.839036288002</v>
      </c>
      <c r="H965">
        <v>6.2505221E-2</v>
      </c>
      <c r="I965">
        <v>13798</v>
      </c>
      <c r="J965">
        <v>4711</v>
      </c>
      <c r="K965">
        <v>9087</v>
      </c>
      <c r="L965">
        <v>500</v>
      </c>
      <c r="M965">
        <v>499</v>
      </c>
      <c r="N965">
        <v>1</v>
      </c>
      <c r="O965">
        <v>8489.2039933059004</v>
      </c>
      <c r="P965" s="3" t="s">
        <v>51</v>
      </c>
      <c r="Q965">
        <v>50</v>
      </c>
      <c r="R965">
        <v>0.999</v>
      </c>
      <c r="S965">
        <v>0</v>
      </c>
    </row>
    <row r="966" spans="1:19" x14ac:dyDescent="0.2">
      <c r="A966" s="3" t="s">
        <v>54</v>
      </c>
      <c r="B966" s="3" t="s">
        <v>55</v>
      </c>
      <c r="C966">
        <v>34</v>
      </c>
      <c r="D966">
        <v>16000</v>
      </c>
      <c r="E966">
        <v>499</v>
      </c>
      <c r="F966">
        <v>1</v>
      </c>
      <c r="G966">
        <v>64781.839036288002</v>
      </c>
      <c r="H966">
        <v>6.2385935000000003E-2</v>
      </c>
      <c r="I966">
        <v>13815</v>
      </c>
      <c r="J966">
        <v>4718</v>
      </c>
      <c r="K966">
        <v>9097</v>
      </c>
      <c r="L966">
        <v>500</v>
      </c>
      <c r="M966">
        <v>499</v>
      </c>
      <c r="N966">
        <v>1</v>
      </c>
      <c r="O966">
        <v>8513.8103426837006</v>
      </c>
      <c r="P966" s="3" t="s">
        <v>51</v>
      </c>
      <c r="Q966">
        <v>50</v>
      </c>
      <c r="R966">
        <v>0.999</v>
      </c>
      <c r="S966">
        <v>0</v>
      </c>
    </row>
    <row r="967" spans="1:19" x14ac:dyDescent="0.2">
      <c r="A967" s="3" t="s">
        <v>54</v>
      </c>
      <c r="B967" s="3" t="s">
        <v>55</v>
      </c>
      <c r="C967">
        <v>45</v>
      </c>
      <c r="D967">
        <v>13000</v>
      </c>
      <c r="E967">
        <v>499</v>
      </c>
      <c r="F967">
        <v>1</v>
      </c>
      <c r="G967">
        <v>53044.701099550097</v>
      </c>
      <c r="H967">
        <v>6.2290831999999997E-2</v>
      </c>
      <c r="I967">
        <v>12624</v>
      </c>
      <c r="J967">
        <v>3714</v>
      </c>
      <c r="K967">
        <v>8910</v>
      </c>
      <c r="L967">
        <v>500</v>
      </c>
      <c r="M967">
        <v>499</v>
      </c>
      <c r="N967">
        <v>1</v>
      </c>
      <c r="O967">
        <v>1326.6715837531001</v>
      </c>
      <c r="P967" s="3" t="s">
        <v>50</v>
      </c>
      <c r="Q967">
        <v>50</v>
      </c>
      <c r="R967">
        <v>0.999</v>
      </c>
      <c r="S967">
        <v>0</v>
      </c>
    </row>
    <row r="968" spans="1:19" x14ac:dyDescent="0.2">
      <c r="A968" s="3" t="s">
        <v>54</v>
      </c>
      <c r="B968" s="3" t="s">
        <v>55</v>
      </c>
      <c r="C968">
        <v>22</v>
      </c>
      <c r="D968">
        <v>19000</v>
      </c>
      <c r="E968">
        <v>499</v>
      </c>
      <c r="F968">
        <v>1</v>
      </c>
      <c r="G968">
        <v>84218.384375429901</v>
      </c>
      <c r="H968">
        <v>6.2242670999999999E-2</v>
      </c>
      <c r="I968">
        <v>15051</v>
      </c>
      <c r="J968">
        <v>4804</v>
      </c>
      <c r="K968">
        <v>10247</v>
      </c>
      <c r="L968">
        <v>500</v>
      </c>
      <c r="M968">
        <v>499</v>
      </c>
      <c r="N968">
        <v>1</v>
      </c>
      <c r="O968">
        <v>17706.082234657701</v>
      </c>
      <c r="P968" s="3" t="s">
        <v>51</v>
      </c>
      <c r="Q968">
        <v>50</v>
      </c>
      <c r="R968">
        <v>0.999</v>
      </c>
      <c r="S968">
        <v>0</v>
      </c>
    </row>
    <row r="969" spans="1:19" x14ac:dyDescent="0.2">
      <c r="A969" s="3" t="s">
        <v>54</v>
      </c>
      <c r="B969" s="3" t="s">
        <v>55</v>
      </c>
      <c r="C969">
        <v>7</v>
      </c>
      <c r="D969">
        <v>13000</v>
      </c>
      <c r="E969">
        <v>499</v>
      </c>
      <c r="F969">
        <v>1</v>
      </c>
      <c r="G969">
        <v>53044.701099550097</v>
      </c>
      <c r="H969">
        <v>6.2088762999999998E-2</v>
      </c>
      <c r="I969">
        <v>12635</v>
      </c>
      <c r="J969">
        <v>3657</v>
      </c>
      <c r="K969">
        <v>8978</v>
      </c>
      <c r="L969">
        <v>500</v>
      </c>
      <c r="M969">
        <v>499</v>
      </c>
      <c r="N969">
        <v>1</v>
      </c>
      <c r="O969">
        <v>1321.3678496002001</v>
      </c>
      <c r="P969" s="3" t="s">
        <v>50</v>
      </c>
      <c r="Q969">
        <v>50</v>
      </c>
      <c r="R969">
        <v>0.999</v>
      </c>
      <c r="S969">
        <v>0</v>
      </c>
    </row>
    <row r="970" spans="1:19" x14ac:dyDescent="0.2">
      <c r="A970" s="3" t="s">
        <v>54</v>
      </c>
      <c r="B970" s="3" t="s">
        <v>55</v>
      </c>
      <c r="C970">
        <v>8</v>
      </c>
      <c r="D970">
        <v>13000</v>
      </c>
      <c r="E970">
        <v>499</v>
      </c>
      <c r="F970">
        <v>1</v>
      </c>
      <c r="G970">
        <v>53044.701099550097</v>
      </c>
      <c r="H970">
        <v>6.2001477999999999E-2</v>
      </c>
      <c r="I970">
        <v>12613</v>
      </c>
      <c r="J970">
        <v>3690</v>
      </c>
      <c r="K970">
        <v>8923</v>
      </c>
      <c r="L970">
        <v>500</v>
      </c>
      <c r="M970">
        <v>499</v>
      </c>
      <c r="N970">
        <v>1</v>
      </c>
      <c r="O970">
        <v>1345.1520327465</v>
      </c>
      <c r="P970" s="3" t="s">
        <v>50</v>
      </c>
      <c r="Q970">
        <v>50</v>
      </c>
      <c r="R970">
        <v>0.999</v>
      </c>
      <c r="S970">
        <v>0</v>
      </c>
    </row>
    <row r="971" spans="1:19" x14ac:dyDescent="0.2">
      <c r="A971" s="3" t="s">
        <v>54</v>
      </c>
      <c r="B971" s="3" t="s">
        <v>55</v>
      </c>
      <c r="C971">
        <v>5</v>
      </c>
      <c r="D971">
        <v>16000</v>
      </c>
      <c r="E971">
        <v>499</v>
      </c>
      <c r="F971">
        <v>1</v>
      </c>
      <c r="G971">
        <v>64781.839036288002</v>
      </c>
      <c r="H971">
        <v>6.1958367E-2</v>
      </c>
      <c r="I971">
        <v>13835</v>
      </c>
      <c r="J971">
        <v>4726</v>
      </c>
      <c r="K971">
        <v>9109</v>
      </c>
      <c r="L971">
        <v>500</v>
      </c>
      <c r="M971">
        <v>499</v>
      </c>
      <c r="N971">
        <v>1</v>
      </c>
      <c r="O971">
        <v>8367.4047985476009</v>
      </c>
      <c r="P971" s="3" t="s">
        <v>51</v>
      </c>
      <c r="Q971">
        <v>50</v>
      </c>
      <c r="R971">
        <v>0.999</v>
      </c>
      <c r="S971">
        <v>0</v>
      </c>
    </row>
    <row r="972" spans="1:19" x14ac:dyDescent="0.2">
      <c r="A972" s="3" t="s">
        <v>54</v>
      </c>
      <c r="B972" s="3" t="s">
        <v>55</v>
      </c>
      <c r="C972">
        <v>19</v>
      </c>
      <c r="D972">
        <v>19000</v>
      </c>
      <c r="E972">
        <v>499</v>
      </c>
      <c r="F972">
        <v>1</v>
      </c>
      <c r="G972">
        <v>84218.384375429901</v>
      </c>
      <c r="H972">
        <v>6.1956422999999997E-2</v>
      </c>
      <c r="I972">
        <v>15019</v>
      </c>
      <c r="J972">
        <v>4786</v>
      </c>
      <c r="K972">
        <v>10233</v>
      </c>
      <c r="L972">
        <v>500</v>
      </c>
      <c r="M972">
        <v>499</v>
      </c>
      <c r="N972">
        <v>1</v>
      </c>
      <c r="O972">
        <v>17789.212082561899</v>
      </c>
      <c r="P972" s="3" t="s">
        <v>51</v>
      </c>
      <c r="Q972">
        <v>50</v>
      </c>
      <c r="R972">
        <v>0.999</v>
      </c>
      <c r="S972">
        <v>0</v>
      </c>
    </row>
    <row r="973" spans="1:19" x14ac:dyDescent="0.2">
      <c r="A973" s="3" t="s">
        <v>54</v>
      </c>
      <c r="B973" s="3" t="s">
        <v>55</v>
      </c>
      <c r="C973">
        <v>18</v>
      </c>
      <c r="D973">
        <v>13000</v>
      </c>
      <c r="E973">
        <v>499</v>
      </c>
      <c r="F973">
        <v>1</v>
      </c>
      <c r="G973">
        <v>53044.701099550097</v>
      </c>
      <c r="H973">
        <v>6.1798848000000003E-2</v>
      </c>
      <c r="I973">
        <v>12623</v>
      </c>
      <c r="J973">
        <v>3709</v>
      </c>
      <c r="K973">
        <v>8914</v>
      </c>
      <c r="L973">
        <v>500</v>
      </c>
      <c r="M973">
        <v>499</v>
      </c>
      <c r="N973">
        <v>1</v>
      </c>
      <c r="O973">
        <v>1352.8095509576001</v>
      </c>
      <c r="P973" s="3" t="s">
        <v>50</v>
      </c>
      <c r="Q973">
        <v>50</v>
      </c>
      <c r="R973">
        <v>0.999</v>
      </c>
      <c r="S973">
        <v>0</v>
      </c>
    </row>
    <row r="974" spans="1:19" x14ac:dyDescent="0.2">
      <c r="A974" s="3" t="s">
        <v>54</v>
      </c>
      <c r="B974" s="3" t="s">
        <v>55</v>
      </c>
      <c r="C974">
        <v>47</v>
      </c>
      <c r="D974">
        <v>13000</v>
      </c>
      <c r="E974">
        <v>499</v>
      </c>
      <c r="F974">
        <v>1</v>
      </c>
      <c r="G974">
        <v>53044.701099550097</v>
      </c>
      <c r="H974">
        <v>6.1693937999999997E-2</v>
      </c>
      <c r="I974">
        <v>12626</v>
      </c>
      <c r="J974">
        <v>3695</v>
      </c>
      <c r="K974">
        <v>8931</v>
      </c>
      <c r="L974">
        <v>500</v>
      </c>
      <c r="M974">
        <v>499</v>
      </c>
      <c r="N974">
        <v>1</v>
      </c>
      <c r="O974">
        <v>1317.5784696840999</v>
      </c>
      <c r="P974" s="3" t="s">
        <v>50</v>
      </c>
      <c r="Q974">
        <v>50</v>
      </c>
      <c r="R974">
        <v>0.999</v>
      </c>
      <c r="S974">
        <v>0</v>
      </c>
    </row>
    <row r="975" spans="1:19" x14ac:dyDescent="0.2">
      <c r="A975" s="3" t="s">
        <v>54</v>
      </c>
      <c r="B975" s="3" t="s">
        <v>55</v>
      </c>
      <c r="C975">
        <v>25</v>
      </c>
      <c r="D975">
        <v>16000</v>
      </c>
      <c r="E975">
        <v>499</v>
      </c>
      <c r="F975">
        <v>1</v>
      </c>
      <c r="G975">
        <v>64781.839036288002</v>
      </c>
      <c r="H975">
        <v>6.1548828999999999E-2</v>
      </c>
      <c r="I975">
        <v>13809</v>
      </c>
      <c r="J975">
        <v>4727</v>
      </c>
      <c r="K975">
        <v>9082</v>
      </c>
      <c r="L975">
        <v>500</v>
      </c>
      <c r="M975">
        <v>499</v>
      </c>
      <c r="N975">
        <v>1</v>
      </c>
      <c r="O975">
        <v>8394.6976093815992</v>
      </c>
      <c r="P975" s="3" t="s">
        <v>51</v>
      </c>
      <c r="Q975">
        <v>50</v>
      </c>
      <c r="R975">
        <v>0.999</v>
      </c>
      <c r="S975">
        <v>0</v>
      </c>
    </row>
    <row r="976" spans="1:19" x14ac:dyDescent="0.2">
      <c r="A976" s="3" t="s">
        <v>54</v>
      </c>
      <c r="B976" s="3" t="s">
        <v>55</v>
      </c>
      <c r="C976">
        <v>46</v>
      </c>
      <c r="D976">
        <v>19000</v>
      </c>
      <c r="E976">
        <v>499</v>
      </c>
      <c r="F976">
        <v>1</v>
      </c>
      <c r="G976">
        <v>19000</v>
      </c>
      <c r="H976">
        <v>6.1544539000000002E-2</v>
      </c>
      <c r="I976">
        <v>15206</v>
      </c>
      <c r="J976">
        <v>5385</v>
      </c>
      <c r="K976">
        <v>9821</v>
      </c>
      <c r="L976">
        <v>500</v>
      </c>
      <c r="M976">
        <v>499</v>
      </c>
      <c r="N976">
        <v>1</v>
      </c>
      <c r="O976">
        <v>3794</v>
      </c>
      <c r="P976" s="3" t="s">
        <v>51</v>
      </c>
      <c r="Q976">
        <v>50</v>
      </c>
      <c r="R976">
        <v>0.999</v>
      </c>
      <c r="S976">
        <v>1</v>
      </c>
    </row>
    <row r="977" spans="1:19" x14ac:dyDescent="0.2">
      <c r="A977" s="3" t="s">
        <v>54</v>
      </c>
      <c r="B977" s="3" t="s">
        <v>55</v>
      </c>
      <c r="C977">
        <v>47</v>
      </c>
      <c r="D977">
        <v>19000</v>
      </c>
      <c r="E977">
        <v>499</v>
      </c>
      <c r="F977">
        <v>1</v>
      </c>
      <c r="G977">
        <v>84218.384375429901</v>
      </c>
      <c r="H977">
        <v>6.1467457000000003E-2</v>
      </c>
      <c r="I977">
        <v>15094</v>
      </c>
      <c r="J977">
        <v>4825</v>
      </c>
      <c r="K977">
        <v>10269</v>
      </c>
      <c r="L977">
        <v>500</v>
      </c>
      <c r="M977">
        <v>499</v>
      </c>
      <c r="N977">
        <v>1</v>
      </c>
      <c r="O977">
        <v>17620.592950145299</v>
      </c>
      <c r="P977" s="3" t="s">
        <v>51</v>
      </c>
      <c r="Q977">
        <v>50</v>
      </c>
      <c r="R977">
        <v>0.999</v>
      </c>
      <c r="S977">
        <v>0</v>
      </c>
    </row>
    <row r="978" spans="1:19" x14ac:dyDescent="0.2">
      <c r="A978" s="3" t="s">
        <v>54</v>
      </c>
      <c r="B978" s="3" t="s">
        <v>55</v>
      </c>
      <c r="C978">
        <v>13</v>
      </c>
      <c r="D978">
        <v>13000</v>
      </c>
      <c r="E978">
        <v>499</v>
      </c>
      <c r="F978">
        <v>1</v>
      </c>
      <c r="G978">
        <v>53044.701099550097</v>
      </c>
      <c r="H978">
        <v>6.1411201999999998E-2</v>
      </c>
      <c r="I978">
        <v>12608</v>
      </c>
      <c r="J978">
        <v>3656</v>
      </c>
      <c r="K978">
        <v>8952</v>
      </c>
      <c r="L978">
        <v>500</v>
      </c>
      <c r="M978">
        <v>499</v>
      </c>
      <c r="N978">
        <v>1</v>
      </c>
      <c r="O978">
        <v>1403.8104597426</v>
      </c>
      <c r="P978" s="3" t="s">
        <v>50</v>
      </c>
      <c r="Q978">
        <v>50</v>
      </c>
      <c r="R978">
        <v>0.999</v>
      </c>
      <c r="S978">
        <v>0</v>
      </c>
    </row>
    <row r="979" spans="1:19" x14ac:dyDescent="0.2">
      <c r="A979" s="3" t="s">
        <v>54</v>
      </c>
      <c r="B979" s="3" t="s">
        <v>55</v>
      </c>
      <c r="C979">
        <v>9</v>
      </c>
      <c r="D979">
        <v>16000</v>
      </c>
      <c r="E979">
        <v>499</v>
      </c>
      <c r="F979">
        <v>1</v>
      </c>
      <c r="G979">
        <v>64781.839036288002</v>
      </c>
      <c r="H979">
        <v>6.1361831999999998E-2</v>
      </c>
      <c r="I979">
        <v>13829</v>
      </c>
      <c r="J979">
        <v>4730</v>
      </c>
      <c r="K979">
        <v>9099</v>
      </c>
      <c r="L979">
        <v>500</v>
      </c>
      <c r="M979">
        <v>499</v>
      </c>
      <c r="N979">
        <v>1</v>
      </c>
      <c r="O979">
        <v>8404.1713010355998</v>
      </c>
      <c r="P979" s="3" t="s">
        <v>51</v>
      </c>
      <c r="Q979">
        <v>50</v>
      </c>
      <c r="R979">
        <v>0.999</v>
      </c>
      <c r="S979">
        <v>0</v>
      </c>
    </row>
    <row r="980" spans="1:19" x14ac:dyDescent="0.2">
      <c r="A980" s="3" t="s">
        <v>54</v>
      </c>
      <c r="B980" s="3" t="s">
        <v>55</v>
      </c>
      <c r="C980">
        <v>25</v>
      </c>
      <c r="D980">
        <v>13000</v>
      </c>
      <c r="E980">
        <v>499</v>
      </c>
      <c r="F980">
        <v>1</v>
      </c>
      <c r="G980">
        <v>53044.701099550097</v>
      </c>
      <c r="H980">
        <v>6.1353241000000003E-2</v>
      </c>
      <c r="I980">
        <v>12629</v>
      </c>
      <c r="J980">
        <v>3702</v>
      </c>
      <c r="K980">
        <v>8927</v>
      </c>
      <c r="L980">
        <v>500</v>
      </c>
      <c r="M980">
        <v>499</v>
      </c>
      <c r="N980">
        <v>1</v>
      </c>
      <c r="O980">
        <v>1301.8747230654999</v>
      </c>
      <c r="P980" s="3" t="s">
        <v>50</v>
      </c>
      <c r="Q980">
        <v>50</v>
      </c>
      <c r="R980">
        <v>0.999</v>
      </c>
      <c r="S980">
        <v>0</v>
      </c>
    </row>
    <row r="981" spans="1:19" x14ac:dyDescent="0.2">
      <c r="A981" s="3" t="s">
        <v>54</v>
      </c>
      <c r="B981" s="3" t="s">
        <v>55</v>
      </c>
      <c r="C981">
        <v>13</v>
      </c>
      <c r="D981">
        <v>20000</v>
      </c>
      <c r="E981">
        <v>499</v>
      </c>
      <c r="F981">
        <v>1</v>
      </c>
      <c r="G981">
        <v>20000</v>
      </c>
      <c r="H981">
        <v>6.1313669000000001E-2</v>
      </c>
      <c r="I981">
        <v>15529</v>
      </c>
      <c r="J981">
        <v>5483</v>
      </c>
      <c r="K981">
        <v>10046</v>
      </c>
      <c r="L981">
        <v>500</v>
      </c>
      <c r="M981">
        <v>499</v>
      </c>
      <c r="N981">
        <v>1</v>
      </c>
      <c r="O981">
        <v>4471</v>
      </c>
      <c r="P981" s="3" t="s">
        <v>51</v>
      </c>
      <c r="Q981">
        <v>50</v>
      </c>
      <c r="R981">
        <v>0.999</v>
      </c>
      <c r="S981">
        <v>1</v>
      </c>
    </row>
    <row r="982" spans="1:19" x14ac:dyDescent="0.2">
      <c r="A982" s="3" t="s">
        <v>54</v>
      </c>
      <c r="B982" s="3" t="s">
        <v>55</v>
      </c>
      <c r="C982">
        <v>23</v>
      </c>
      <c r="D982">
        <v>19000</v>
      </c>
      <c r="E982">
        <v>499</v>
      </c>
      <c r="F982">
        <v>1</v>
      </c>
      <c r="G982">
        <v>84218.384375429901</v>
      </c>
      <c r="H982">
        <v>6.1251729999999997E-2</v>
      </c>
      <c r="I982">
        <v>15044</v>
      </c>
      <c r="J982">
        <v>4797</v>
      </c>
      <c r="K982">
        <v>10247</v>
      </c>
      <c r="L982">
        <v>500</v>
      </c>
      <c r="M982">
        <v>499</v>
      </c>
      <c r="N982">
        <v>1</v>
      </c>
      <c r="O982">
        <v>17703.612184019901</v>
      </c>
      <c r="P982" s="3" t="s">
        <v>51</v>
      </c>
      <c r="Q982">
        <v>50</v>
      </c>
      <c r="R982">
        <v>0.999</v>
      </c>
      <c r="S982">
        <v>0</v>
      </c>
    </row>
    <row r="983" spans="1:19" x14ac:dyDescent="0.2">
      <c r="A983" s="3" t="s">
        <v>54</v>
      </c>
      <c r="B983" s="3" t="s">
        <v>55</v>
      </c>
      <c r="C983">
        <v>44</v>
      </c>
      <c r="D983">
        <v>16000</v>
      </c>
      <c r="E983">
        <v>499</v>
      </c>
      <c r="F983">
        <v>1</v>
      </c>
      <c r="G983">
        <v>64781.839036288002</v>
      </c>
      <c r="H983">
        <v>6.1240206999999998E-2</v>
      </c>
      <c r="I983">
        <v>13826</v>
      </c>
      <c r="J983">
        <v>4733</v>
      </c>
      <c r="K983">
        <v>9093</v>
      </c>
      <c r="L983">
        <v>500</v>
      </c>
      <c r="M983">
        <v>499</v>
      </c>
      <c r="N983">
        <v>1</v>
      </c>
      <c r="O983">
        <v>8418.8782149379003</v>
      </c>
      <c r="P983" s="3" t="s">
        <v>51</v>
      </c>
      <c r="Q983">
        <v>50</v>
      </c>
      <c r="R983">
        <v>0.999</v>
      </c>
      <c r="S983">
        <v>0</v>
      </c>
    </row>
    <row r="984" spans="1:19" x14ac:dyDescent="0.2">
      <c r="A984" s="3" t="s">
        <v>54</v>
      </c>
      <c r="B984" s="3" t="s">
        <v>55</v>
      </c>
      <c r="C984">
        <v>30</v>
      </c>
      <c r="D984">
        <v>16000</v>
      </c>
      <c r="E984">
        <v>499</v>
      </c>
      <c r="F984">
        <v>1</v>
      </c>
      <c r="G984">
        <v>64781.839036288002</v>
      </c>
      <c r="H984">
        <v>6.1234624000000001E-2</v>
      </c>
      <c r="I984">
        <v>13806</v>
      </c>
      <c r="J984">
        <v>4713</v>
      </c>
      <c r="K984">
        <v>9093</v>
      </c>
      <c r="L984">
        <v>500</v>
      </c>
      <c r="M984">
        <v>499</v>
      </c>
      <c r="N984">
        <v>1</v>
      </c>
      <c r="O984">
        <v>8479.7874667057004</v>
      </c>
      <c r="P984" s="3" t="s">
        <v>51</v>
      </c>
      <c r="Q984">
        <v>50</v>
      </c>
      <c r="R984">
        <v>0.999</v>
      </c>
      <c r="S984">
        <v>0</v>
      </c>
    </row>
    <row r="985" spans="1:19" x14ac:dyDescent="0.2">
      <c r="A985" s="3" t="s">
        <v>54</v>
      </c>
      <c r="B985" s="3" t="s">
        <v>55</v>
      </c>
      <c r="C985">
        <v>40</v>
      </c>
      <c r="D985">
        <v>19000</v>
      </c>
      <c r="E985">
        <v>499</v>
      </c>
      <c r="F985">
        <v>1</v>
      </c>
      <c r="G985">
        <v>84218.384375429901</v>
      </c>
      <c r="H985">
        <v>6.1165617999999998E-2</v>
      </c>
      <c r="I985">
        <v>14994</v>
      </c>
      <c r="J985">
        <v>4773</v>
      </c>
      <c r="K985">
        <v>10221</v>
      </c>
      <c r="L985">
        <v>500</v>
      </c>
      <c r="M985">
        <v>499</v>
      </c>
      <c r="N985">
        <v>1</v>
      </c>
      <c r="O985">
        <v>17808.236347348498</v>
      </c>
      <c r="P985" s="3" t="s">
        <v>51</v>
      </c>
      <c r="Q985">
        <v>50</v>
      </c>
      <c r="R985">
        <v>0.999</v>
      </c>
      <c r="S985">
        <v>0</v>
      </c>
    </row>
    <row r="986" spans="1:19" x14ac:dyDescent="0.2">
      <c r="A986" s="3" t="s">
        <v>54</v>
      </c>
      <c r="B986" s="3" t="s">
        <v>55</v>
      </c>
      <c r="C986">
        <v>25</v>
      </c>
      <c r="D986">
        <v>19000</v>
      </c>
      <c r="E986">
        <v>499</v>
      </c>
      <c r="F986">
        <v>1</v>
      </c>
      <c r="G986">
        <v>84218.384375429901</v>
      </c>
      <c r="H986">
        <v>6.1089335000000002E-2</v>
      </c>
      <c r="I986">
        <v>15005</v>
      </c>
      <c r="J986">
        <v>4785</v>
      </c>
      <c r="K986">
        <v>10220</v>
      </c>
      <c r="L986">
        <v>500</v>
      </c>
      <c r="M986">
        <v>499</v>
      </c>
      <c r="N986">
        <v>1</v>
      </c>
      <c r="O986">
        <v>17857.4334410927</v>
      </c>
      <c r="P986" s="3" t="s">
        <v>51</v>
      </c>
      <c r="Q986">
        <v>50</v>
      </c>
      <c r="R986">
        <v>0.999</v>
      </c>
      <c r="S986">
        <v>0</v>
      </c>
    </row>
    <row r="987" spans="1:19" x14ac:dyDescent="0.2">
      <c r="A987" s="3" t="s">
        <v>54</v>
      </c>
      <c r="B987" s="3" t="s">
        <v>55</v>
      </c>
      <c r="C987">
        <v>41</v>
      </c>
      <c r="D987">
        <v>16000</v>
      </c>
      <c r="E987">
        <v>499</v>
      </c>
      <c r="F987">
        <v>1</v>
      </c>
      <c r="G987">
        <v>64781.839036288002</v>
      </c>
      <c r="H987">
        <v>6.1049762E-2</v>
      </c>
      <c r="I987">
        <v>13808</v>
      </c>
      <c r="J987">
        <v>4696</v>
      </c>
      <c r="K987">
        <v>9112</v>
      </c>
      <c r="L987">
        <v>500</v>
      </c>
      <c r="M987">
        <v>499</v>
      </c>
      <c r="N987">
        <v>1</v>
      </c>
      <c r="O987">
        <v>8409.0166157021995</v>
      </c>
      <c r="P987" s="3" t="s">
        <v>51</v>
      </c>
      <c r="Q987">
        <v>50</v>
      </c>
      <c r="R987">
        <v>0.999</v>
      </c>
      <c r="S987">
        <v>0</v>
      </c>
    </row>
    <row r="988" spans="1:19" x14ac:dyDescent="0.2">
      <c r="A988" s="3" t="s">
        <v>54</v>
      </c>
      <c r="B988" s="3" t="s">
        <v>55</v>
      </c>
      <c r="C988">
        <v>33</v>
      </c>
      <c r="D988">
        <v>19000</v>
      </c>
      <c r="E988">
        <v>499</v>
      </c>
      <c r="F988">
        <v>1</v>
      </c>
      <c r="G988">
        <v>84218.384375429901</v>
      </c>
      <c r="H988">
        <v>6.1004375999999999E-2</v>
      </c>
      <c r="I988">
        <v>14994</v>
      </c>
      <c r="J988">
        <v>4775</v>
      </c>
      <c r="K988">
        <v>10219</v>
      </c>
      <c r="L988">
        <v>500</v>
      </c>
      <c r="M988">
        <v>499</v>
      </c>
      <c r="N988">
        <v>1</v>
      </c>
      <c r="O988">
        <v>17844.832291104802</v>
      </c>
      <c r="P988" s="3" t="s">
        <v>51</v>
      </c>
      <c r="Q988">
        <v>50</v>
      </c>
      <c r="R988">
        <v>0.999</v>
      </c>
      <c r="S988">
        <v>0</v>
      </c>
    </row>
    <row r="989" spans="1:19" x14ac:dyDescent="0.2">
      <c r="A989" s="3" t="s">
        <v>54</v>
      </c>
      <c r="B989" s="3" t="s">
        <v>55</v>
      </c>
      <c r="C989">
        <v>10</v>
      </c>
      <c r="D989">
        <v>13000</v>
      </c>
      <c r="E989">
        <v>499</v>
      </c>
      <c r="F989">
        <v>1</v>
      </c>
      <c r="G989">
        <v>53044.701099550097</v>
      </c>
      <c r="H989">
        <v>6.0959204000000003E-2</v>
      </c>
      <c r="I989">
        <v>12641</v>
      </c>
      <c r="J989">
        <v>3697</v>
      </c>
      <c r="K989">
        <v>8944</v>
      </c>
      <c r="L989">
        <v>500</v>
      </c>
      <c r="M989">
        <v>499</v>
      </c>
      <c r="N989">
        <v>1</v>
      </c>
      <c r="O989">
        <v>1277.3982693684</v>
      </c>
      <c r="P989" s="3" t="s">
        <v>50</v>
      </c>
      <c r="Q989">
        <v>50</v>
      </c>
      <c r="R989">
        <v>0.999</v>
      </c>
      <c r="S989">
        <v>0</v>
      </c>
    </row>
    <row r="990" spans="1:19" x14ac:dyDescent="0.2">
      <c r="A990" s="3" t="s">
        <v>54</v>
      </c>
      <c r="B990" s="3" t="s">
        <v>55</v>
      </c>
      <c r="C990">
        <v>13</v>
      </c>
      <c r="D990">
        <v>16000</v>
      </c>
      <c r="E990">
        <v>499</v>
      </c>
      <c r="F990">
        <v>1</v>
      </c>
      <c r="G990">
        <v>64781.839036288002</v>
      </c>
      <c r="H990">
        <v>6.0910068999999997E-2</v>
      </c>
      <c r="I990">
        <v>13798</v>
      </c>
      <c r="J990">
        <v>4740</v>
      </c>
      <c r="K990">
        <v>9058</v>
      </c>
      <c r="L990">
        <v>500</v>
      </c>
      <c r="M990">
        <v>499</v>
      </c>
      <c r="N990">
        <v>1</v>
      </c>
      <c r="O990">
        <v>8384.7666600553002</v>
      </c>
      <c r="P990" s="3" t="s">
        <v>51</v>
      </c>
      <c r="Q990">
        <v>50</v>
      </c>
      <c r="R990">
        <v>0.999</v>
      </c>
      <c r="S990">
        <v>0</v>
      </c>
    </row>
    <row r="991" spans="1:19" x14ac:dyDescent="0.2">
      <c r="A991" s="3" t="s">
        <v>54</v>
      </c>
      <c r="B991" s="3" t="s">
        <v>55</v>
      </c>
      <c r="C991">
        <v>22</v>
      </c>
      <c r="D991">
        <v>16000</v>
      </c>
      <c r="E991">
        <v>499</v>
      </c>
      <c r="F991">
        <v>1</v>
      </c>
      <c r="G991">
        <v>64781.839036288002</v>
      </c>
      <c r="H991">
        <v>6.0876263E-2</v>
      </c>
      <c r="I991">
        <v>13797</v>
      </c>
      <c r="J991">
        <v>4720</v>
      </c>
      <c r="K991">
        <v>9077</v>
      </c>
      <c r="L991">
        <v>500</v>
      </c>
      <c r="M991">
        <v>499</v>
      </c>
      <c r="N991">
        <v>1</v>
      </c>
      <c r="O991">
        <v>8529.9907409496991</v>
      </c>
      <c r="P991" s="3" t="s">
        <v>51</v>
      </c>
      <c r="Q991">
        <v>50</v>
      </c>
      <c r="R991">
        <v>0.999</v>
      </c>
      <c r="S991">
        <v>0</v>
      </c>
    </row>
    <row r="992" spans="1:19" x14ac:dyDescent="0.2">
      <c r="A992" s="3" t="s">
        <v>54</v>
      </c>
      <c r="B992" s="3" t="s">
        <v>55</v>
      </c>
      <c r="C992">
        <v>33</v>
      </c>
      <c r="D992">
        <v>16000</v>
      </c>
      <c r="E992">
        <v>499</v>
      </c>
      <c r="F992">
        <v>1</v>
      </c>
      <c r="G992">
        <v>64781.839036288002</v>
      </c>
      <c r="H992">
        <v>6.0869782999999997E-2</v>
      </c>
      <c r="I992">
        <v>13791</v>
      </c>
      <c r="J992">
        <v>4703</v>
      </c>
      <c r="K992">
        <v>9088</v>
      </c>
      <c r="L992">
        <v>500</v>
      </c>
      <c r="M992">
        <v>499</v>
      </c>
      <c r="N992">
        <v>1</v>
      </c>
      <c r="O992">
        <v>8547.3982153873003</v>
      </c>
      <c r="P992" s="3" t="s">
        <v>51</v>
      </c>
      <c r="Q992">
        <v>50</v>
      </c>
      <c r="R992">
        <v>0.999</v>
      </c>
      <c r="S992">
        <v>0</v>
      </c>
    </row>
    <row r="993" spans="1:19" x14ac:dyDescent="0.2">
      <c r="A993" s="3" t="s">
        <v>54</v>
      </c>
      <c r="B993" s="3" t="s">
        <v>55</v>
      </c>
      <c r="C993">
        <v>37</v>
      </c>
      <c r="D993">
        <v>16000</v>
      </c>
      <c r="E993">
        <v>499</v>
      </c>
      <c r="F993">
        <v>1</v>
      </c>
      <c r="G993">
        <v>64781.839036288002</v>
      </c>
      <c r="H993">
        <v>6.0818696999999998E-2</v>
      </c>
      <c r="I993">
        <v>13829</v>
      </c>
      <c r="J993">
        <v>4717</v>
      </c>
      <c r="K993">
        <v>9112</v>
      </c>
      <c r="L993">
        <v>500</v>
      </c>
      <c r="M993">
        <v>499</v>
      </c>
      <c r="N993">
        <v>1</v>
      </c>
      <c r="O993">
        <v>8331.6586495383999</v>
      </c>
      <c r="P993" s="3" t="s">
        <v>51</v>
      </c>
      <c r="Q993">
        <v>50</v>
      </c>
      <c r="R993">
        <v>0.999</v>
      </c>
      <c r="S993">
        <v>0</v>
      </c>
    </row>
    <row r="994" spans="1:19" x14ac:dyDescent="0.2">
      <c r="A994" s="3" t="s">
        <v>54</v>
      </c>
      <c r="B994" s="3" t="s">
        <v>55</v>
      </c>
      <c r="C994">
        <v>39</v>
      </c>
      <c r="D994">
        <v>19000</v>
      </c>
      <c r="E994">
        <v>499</v>
      </c>
      <c r="F994">
        <v>1</v>
      </c>
      <c r="G994">
        <v>84218.384375429901</v>
      </c>
      <c r="H994">
        <v>6.0626940999999997E-2</v>
      </c>
      <c r="I994">
        <v>15045</v>
      </c>
      <c r="J994">
        <v>4808</v>
      </c>
      <c r="K994">
        <v>10237</v>
      </c>
      <c r="L994">
        <v>500</v>
      </c>
      <c r="M994">
        <v>499</v>
      </c>
      <c r="N994">
        <v>1</v>
      </c>
      <c r="O994">
        <v>17737.0712282963</v>
      </c>
      <c r="P994" s="3" t="s">
        <v>51</v>
      </c>
      <c r="Q994">
        <v>50</v>
      </c>
      <c r="R994">
        <v>0.999</v>
      </c>
      <c r="S994">
        <v>0</v>
      </c>
    </row>
    <row r="995" spans="1:19" x14ac:dyDescent="0.2">
      <c r="A995" s="3" t="s">
        <v>54</v>
      </c>
      <c r="B995" s="3" t="s">
        <v>55</v>
      </c>
      <c r="C995">
        <v>38</v>
      </c>
      <c r="D995">
        <v>19000</v>
      </c>
      <c r="E995">
        <v>499</v>
      </c>
      <c r="F995">
        <v>1</v>
      </c>
      <c r="G995">
        <v>84218.384375429901</v>
      </c>
      <c r="H995">
        <v>6.0610247999999999E-2</v>
      </c>
      <c r="I995">
        <v>15039</v>
      </c>
      <c r="J995">
        <v>4792</v>
      </c>
      <c r="K995">
        <v>10247</v>
      </c>
      <c r="L995">
        <v>500</v>
      </c>
      <c r="M995">
        <v>499</v>
      </c>
      <c r="N995">
        <v>1</v>
      </c>
      <c r="O995">
        <v>17814.8342051295</v>
      </c>
      <c r="P995" s="3" t="s">
        <v>51</v>
      </c>
      <c r="Q995">
        <v>50</v>
      </c>
      <c r="R995">
        <v>0.999</v>
      </c>
      <c r="S995">
        <v>0</v>
      </c>
    </row>
    <row r="996" spans="1:19" x14ac:dyDescent="0.2">
      <c r="A996" s="3" t="s">
        <v>54</v>
      </c>
      <c r="B996" s="3" t="s">
        <v>55</v>
      </c>
      <c r="C996">
        <v>15</v>
      </c>
      <c r="D996">
        <v>19000</v>
      </c>
      <c r="E996">
        <v>499</v>
      </c>
      <c r="F996">
        <v>1</v>
      </c>
      <c r="G996">
        <v>84218.384375429901</v>
      </c>
      <c r="H996">
        <v>6.0606207000000002E-2</v>
      </c>
      <c r="I996">
        <v>15038</v>
      </c>
      <c r="J996">
        <v>4771</v>
      </c>
      <c r="K996">
        <v>10267</v>
      </c>
      <c r="L996">
        <v>500</v>
      </c>
      <c r="M996">
        <v>499</v>
      </c>
      <c r="N996">
        <v>1</v>
      </c>
      <c r="O996">
        <v>17723.971585832998</v>
      </c>
      <c r="P996" s="3" t="s">
        <v>51</v>
      </c>
      <c r="Q996">
        <v>50</v>
      </c>
      <c r="R996">
        <v>0.999</v>
      </c>
      <c r="S996">
        <v>0</v>
      </c>
    </row>
    <row r="997" spans="1:19" x14ac:dyDescent="0.2">
      <c r="A997" s="3" t="s">
        <v>54</v>
      </c>
      <c r="B997" s="3" t="s">
        <v>55</v>
      </c>
      <c r="C997">
        <v>4</v>
      </c>
      <c r="D997">
        <v>16000</v>
      </c>
      <c r="E997">
        <v>499</v>
      </c>
      <c r="F997">
        <v>1</v>
      </c>
      <c r="G997">
        <v>64781.839036288002</v>
      </c>
      <c r="H997">
        <v>6.0534475999999997E-2</v>
      </c>
      <c r="I997">
        <v>13807</v>
      </c>
      <c r="J997">
        <v>4719</v>
      </c>
      <c r="K997">
        <v>9088</v>
      </c>
      <c r="L997">
        <v>500</v>
      </c>
      <c r="M997">
        <v>499</v>
      </c>
      <c r="N997">
        <v>1</v>
      </c>
      <c r="O997">
        <v>8434.3421136311008</v>
      </c>
      <c r="P997" s="3" t="s">
        <v>51</v>
      </c>
      <c r="Q997">
        <v>50</v>
      </c>
      <c r="R997">
        <v>0.999</v>
      </c>
      <c r="S997">
        <v>0</v>
      </c>
    </row>
    <row r="998" spans="1:19" x14ac:dyDescent="0.2">
      <c r="A998" s="3" t="s">
        <v>54</v>
      </c>
      <c r="B998" s="3" t="s">
        <v>55</v>
      </c>
      <c r="C998">
        <v>6</v>
      </c>
      <c r="D998">
        <v>16000</v>
      </c>
      <c r="E998">
        <v>499</v>
      </c>
      <c r="F998">
        <v>1</v>
      </c>
      <c r="G998">
        <v>64781.839036288002</v>
      </c>
      <c r="H998">
        <v>6.0477269E-2</v>
      </c>
      <c r="I998">
        <v>13825</v>
      </c>
      <c r="J998">
        <v>4719</v>
      </c>
      <c r="K998">
        <v>9106</v>
      </c>
      <c r="L998">
        <v>500</v>
      </c>
      <c r="M998">
        <v>499</v>
      </c>
      <c r="N998">
        <v>1</v>
      </c>
      <c r="O998">
        <v>8413.3268572398993</v>
      </c>
      <c r="P998" s="3" t="s">
        <v>51</v>
      </c>
      <c r="Q998">
        <v>50</v>
      </c>
      <c r="R998">
        <v>0.999</v>
      </c>
      <c r="S998">
        <v>0</v>
      </c>
    </row>
    <row r="999" spans="1:19" x14ac:dyDescent="0.2">
      <c r="A999" s="3" t="s">
        <v>54</v>
      </c>
      <c r="B999" s="3" t="s">
        <v>55</v>
      </c>
      <c r="C999">
        <v>30</v>
      </c>
      <c r="D999">
        <v>19000</v>
      </c>
      <c r="E999">
        <v>499</v>
      </c>
      <c r="F999">
        <v>1</v>
      </c>
      <c r="G999">
        <v>84218.384375429901</v>
      </c>
      <c r="H999">
        <v>6.0471694999999999E-2</v>
      </c>
      <c r="I999">
        <v>15038</v>
      </c>
      <c r="J999">
        <v>4782</v>
      </c>
      <c r="K999">
        <v>10256</v>
      </c>
      <c r="L999">
        <v>500</v>
      </c>
      <c r="M999">
        <v>499</v>
      </c>
      <c r="N999">
        <v>1</v>
      </c>
      <c r="O999">
        <v>17664.505682088798</v>
      </c>
      <c r="P999" s="3" t="s">
        <v>51</v>
      </c>
      <c r="Q999">
        <v>50</v>
      </c>
      <c r="R999">
        <v>0.999</v>
      </c>
      <c r="S999">
        <v>0</v>
      </c>
    </row>
    <row r="1000" spans="1:19" x14ac:dyDescent="0.2">
      <c r="A1000" s="3" t="s">
        <v>54</v>
      </c>
      <c r="B1000" s="3" t="s">
        <v>55</v>
      </c>
      <c r="C1000">
        <v>20</v>
      </c>
      <c r="D1000">
        <v>16000</v>
      </c>
      <c r="E1000">
        <v>499</v>
      </c>
      <c r="F1000">
        <v>1</v>
      </c>
      <c r="G1000">
        <v>64781.839036288002</v>
      </c>
      <c r="H1000">
        <v>6.0471255000000002E-2</v>
      </c>
      <c r="I1000">
        <v>13793</v>
      </c>
      <c r="J1000">
        <v>4691</v>
      </c>
      <c r="K1000">
        <v>9102</v>
      </c>
      <c r="L1000">
        <v>500</v>
      </c>
      <c r="M1000">
        <v>499</v>
      </c>
      <c r="N1000">
        <v>1</v>
      </c>
      <c r="O1000">
        <v>8485.1721117012003</v>
      </c>
      <c r="P1000" s="3" t="s">
        <v>51</v>
      </c>
      <c r="Q1000">
        <v>50</v>
      </c>
      <c r="R1000">
        <v>0.999</v>
      </c>
      <c r="S1000">
        <v>0</v>
      </c>
    </row>
    <row r="1001" spans="1:19" x14ac:dyDescent="0.2">
      <c r="A1001" s="3" t="s">
        <v>54</v>
      </c>
      <c r="B1001" s="3" t="s">
        <v>55</v>
      </c>
      <c r="C1001">
        <v>47</v>
      </c>
      <c r="D1001">
        <v>16000</v>
      </c>
      <c r="E1001">
        <v>499</v>
      </c>
      <c r="F1001">
        <v>1</v>
      </c>
      <c r="G1001">
        <v>64781.839036288002</v>
      </c>
      <c r="H1001">
        <v>6.0310901E-2</v>
      </c>
      <c r="I1001">
        <v>13793</v>
      </c>
      <c r="J1001">
        <v>4710</v>
      </c>
      <c r="K1001">
        <v>9083</v>
      </c>
      <c r="L1001">
        <v>500</v>
      </c>
      <c r="M1001">
        <v>499</v>
      </c>
      <c r="N1001">
        <v>1</v>
      </c>
      <c r="O1001">
        <v>8495.7535897393991</v>
      </c>
      <c r="P1001" s="3" t="s">
        <v>51</v>
      </c>
      <c r="Q1001">
        <v>50</v>
      </c>
      <c r="R1001">
        <v>0.999</v>
      </c>
      <c r="S1001">
        <v>0</v>
      </c>
    </row>
    <row r="1002" spans="1:19" x14ac:dyDescent="0.2">
      <c r="A1002" s="3" t="s">
        <v>54</v>
      </c>
      <c r="B1002" s="3" t="s">
        <v>55</v>
      </c>
      <c r="C1002">
        <v>3</v>
      </c>
      <c r="D1002">
        <v>13000</v>
      </c>
      <c r="E1002">
        <v>499</v>
      </c>
      <c r="F1002">
        <v>1</v>
      </c>
      <c r="G1002">
        <v>53044.701099550097</v>
      </c>
      <c r="H1002">
        <v>6.0208500999999998E-2</v>
      </c>
      <c r="I1002">
        <v>12609</v>
      </c>
      <c r="J1002">
        <v>3758</v>
      </c>
      <c r="K1002">
        <v>8851</v>
      </c>
      <c r="L1002">
        <v>500</v>
      </c>
      <c r="M1002">
        <v>499</v>
      </c>
      <c r="N1002">
        <v>1</v>
      </c>
      <c r="O1002">
        <v>1411.426347071</v>
      </c>
      <c r="P1002" s="3" t="s">
        <v>50</v>
      </c>
      <c r="Q1002">
        <v>50</v>
      </c>
      <c r="R1002">
        <v>0.999</v>
      </c>
      <c r="S1002">
        <v>0</v>
      </c>
    </row>
    <row r="1003" spans="1:19" x14ac:dyDescent="0.2">
      <c r="A1003" s="3" t="s">
        <v>54</v>
      </c>
      <c r="B1003" s="3" t="s">
        <v>55</v>
      </c>
      <c r="C1003">
        <v>37</v>
      </c>
      <c r="D1003">
        <v>19000</v>
      </c>
      <c r="E1003">
        <v>499</v>
      </c>
      <c r="F1003">
        <v>1</v>
      </c>
      <c r="G1003">
        <v>84218.384375429901</v>
      </c>
      <c r="H1003">
        <v>6.0207271999999999E-2</v>
      </c>
      <c r="I1003">
        <v>15041</v>
      </c>
      <c r="J1003">
        <v>4754</v>
      </c>
      <c r="K1003">
        <v>10287</v>
      </c>
      <c r="L1003">
        <v>500</v>
      </c>
      <c r="M1003">
        <v>499</v>
      </c>
      <c r="N1003">
        <v>1</v>
      </c>
      <c r="O1003">
        <v>17727.929926289598</v>
      </c>
      <c r="P1003" s="3" t="s">
        <v>51</v>
      </c>
      <c r="Q1003">
        <v>50</v>
      </c>
      <c r="R1003">
        <v>0.999</v>
      </c>
      <c r="S1003">
        <v>0</v>
      </c>
    </row>
    <row r="1004" spans="1:19" x14ac:dyDescent="0.2">
      <c r="A1004" s="3" t="s">
        <v>54</v>
      </c>
      <c r="B1004" s="3" t="s">
        <v>55</v>
      </c>
      <c r="C1004">
        <v>6</v>
      </c>
      <c r="D1004">
        <v>18000</v>
      </c>
      <c r="E1004">
        <v>499</v>
      </c>
      <c r="F1004">
        <v>1</v>
      </c>
      <c r="G1004">
        <v>18000</v>
      </c>
      <c r="H1004">
        <v>6.0201130999999998E-2</v>
      </c>
      <c r="I1004">
        <v>14750</v>
      </c>
      <c r="J1004">
        <v>5244</v>
      </c>
      <c r="K1004">
        <v>9506</v>
      </c>
      <c r="L1004">
        <v>500</v>
      </c>
      <c r="M1004">
        <v>499</v>
      </c>
      <c r="N1004">
        <v>1</v>
      </c>
      <c r="O1004">
        <v>3250</v>
      </c>
      <c r="P1004" s="3" t="s">
        <v>51</v>
      </c>
      <c r="Q1004">
        <v>50</v>
      </c>
      <c r="R1004">
        <v>0.999</v>
      </c>
      <c r="S1004">
        <v>1</v>
      </c>
    </row>
    <row r="1005" spans="1:19" x14ac:dyDescent="0.2">
      <c r="A1005" s="3" t="s">
        <v>54</v>
      </c>
      <c r="B1005" s="3" t="s">
        <v>55</v>
      </c>
      <c r="C1005">
        <v>31</v>
      </c>
      <c r="D1005">
        <v>19000</v>
      </c>
      <c r="E1005">
        <v>499</v>
      </c>
      <c r="F1005">
        <v>1</v>
      </c>
      <c r="G1005">
        <v>19000</v>
      </c>
      <c r="H1005">
        <v>6.0182323000000003E-2</v>
      </c>
      <c r="I1005">
        <v>15175</v>
      </c>
      <c r="J1005">
        <v>5381</v>
      </c>
      <c r="K1005">
        <v>9794</v>
      </c>
      <c r="L1005">
        <v>500</v>
      </c>
      <c r="M1005">
        <v>499</v>
      </c>
      <c r="N1005">
        <v>1</v>
      </c>
      <c r="O1005">
        <v>3825</v>
      </c>
      <c r="P1005" s="3" t="s">
        <v>51</v>
      </c>
      <c r="Q1005">
        <v>50</v>
      </c>
      <c r="R1005">
        <v>0.999</v>
      </c>
      <c r="S1005">
        <v>1</v>
      </c>
    </row>
    <row r="1006" spans="1:19" x14ac:dyDescent="0.2">
      <c r="A1006" s="3" t="s">
        <v>54</v>
      </c>
      <c r="B1006" s="3" t="s">
        <v>55</v>
      </c>
      <c r="C1006">
        <v>35</v>
      </c>
      <c r="D1006">
        <v>16000</v>
      </c>
      <c r="E1006">
        <v>499</v>
      </c>
      <c r="F1006">
        <v>1</v>
      </c>
      <c r="G1006">
        <v>64781.839036288002</v>
      </c>
      <c r="H1006">
        <v>6.0121659000000001E-2</v>
      </c>
      <c r="I1006">
        <v>13821</v>
      </c>
      <c r="J1006">
        <v>4718</v>
      </c>
      <c r="K1006">
        <v>9103</v>
      </c>
      <c r="L1006">
        <v>500</v>
      </c>
      <c r="M1006">
        <v>499</v>
      </c>
      <c r="N1006">
        <v>1</v>
      </c>
      <c r="O1006">
        <v>8320.7610910850999</v>
      </c>
      <c r="P1006" s="3" t="s">
        <v>51</v>
      </c>
      <c r="Q1006">
        <v>50</v>
      </c>
      <c r="R1006">
        <v>0.999</v>
      </c>
      <c r="S1006">
        <v>0</v>
      </c>
    </row>
    <row r="1007" spans="1:19" x14ac:dyDescent="0.2">
      <c r="A1007" s="3" t="s">
        <v>54</v>
      </c>
      <c r="B1007" s="3" t="s">
        <v>55</v>
      </c>
      <c r="C1007">
        <v>20</v>
      </c>
      <c r="D1007">
        <v>19000</v>
      </c>
      <c r="E1007">
        <v>499</v>
      </c>
      <c r="F1007">
        <v>1</v>
      </c>
      <c r="G1007">
        <v>84218.384375429901</v>
      </c>
      <c r="H1007">
        <v>6.0030256999999997E-2</v>
      </c>
      <c r="I1007">
        <v>15035</v>
      </c>
      <c r="J1007">
        <v>4801</v>
      </c>
      <c r="K1007">
        <v>10234</v>
      </c>
      <c r="L1007">
        <v>500</v>
      </c>
      <c r="M1007">
        <v>499</v>
      </c>
      <c r="N1007">
        <v>1</v>
      </c>
      <c r="O1007">
        <v>17725.0358935804</v>
      </c>
      <c r="P1007" s="3" t="s">
        <v>51</v>
      </c>
      <c r="Q1007">
        <v>50</v>
      </c>
      <c r="R1007">
        <v>0.999</v>
      </c>
      <c r="S1007">
        <v>0</v>
      </c>
    </row>
    <row r="1008" spans="1:19" x14ac:dyDescent="0.2">
      <c r="A1008" s="3" t="s">
        <v>54</v>
      </c>
      <c r="B1008" s="3" t="s">
        <v>55</v>
      </c>
      <c r="C1008">
        <v>9</v>
      </c>
      <c r="D1008">
        <v>19000</v>
      </c>
      <c r="E1008">
        <v>499</v>
      </c>
      <c r="F1008">
        <v>1</v>
      </c>
      <c r="G1008">
        <v>84218.384375429901</v>
      </c>
      <c r="H1008">
        <v>6.0002179000000003E-2</v>
      </c>
      <c r="I1008">
        <v>15067</v>
      </c>
      <c r="J1008">
        <v>4807</v>
      </c>
      <c r="K1008">
        <v>10260</v>
      </c>
      <c r="L1008">
        <v>500</v>
      </c>
      <c r="M1008">
        <v>499</v>
      </c>
      <c r="N1008">
        <v>1</v>
      </c>
      <c r="O1008">
        <v>17653.422690143001</v>
      </c>
      <c r="P1008" s="3" t="s">
        <v>51</v>
      </c>
      <c r="Q1008">
        <v>50</v>
      </c>
      <c r="R1008">
        <v>0.999</v>
      </c>
      <c r="S1008">
        <v>0</v>
      </c>
    </row>
    <row r="1009" spans="1:19" x14ac:dyDescent="0.2">
      <c r="A1009" s="3" t="s">
        <v>54</v>
      </c>
      <c r="B1009" s="3" t="s">
        <v>55</v>
      </c>
      <c r="C1009">
        <v>18</v>
      </c>
      <c r="D1009">
        <v>16000</v>
      </c>
      <c r="E1009">
        <v>499</v>
      </c>
      <c r="F1009">
        <v>1</v>
      </c>
      <c r="G1009">
        <v>64781.839036288002</v>
      </c>
      <c r="H1009">
        <v>5.995905E-2</v>
      </c>
      <c r="I1009">
        <v>13812</v>
      </c>
      <c r="J1009">
        <v>4709</v>
      </c>
      <c r="K1009">
        <v>9103</v>
      </c>
      <c r="L1009">
        <v>500</v>
      </c>
      <c r="M1009">
        <v>499</v>
      </c>
      <c r="N1009">
        <v>1</v>
      </c>
      <c r="O1009">
        <v>8467.0470159711003</v>
      </c>
      <c r="P1009" s="3" t="s">
        <v>51</v>
      </c>
      <c r="Q1009">
        <v>50</v>
      </c>
      <c r="R1009">
        <v>0.999</v>
      </c>
      <c r="S1009">
        <v>0</v>
      </c>
    </row>
    <row r="1010" spans="1:19" x14ac:dyDescent="0.2">
      <c r="A1010" s="3" t="s">
        <v>54</v>
      </c>
      <c r="B1010" s="3" t="s">
        <v>55</v>
      </c>
      <c r="C1010">
        <v>31</v>
      </c>
      <c r="D1010">
        <v>16000</v>
      </c>
      <c r="E1010">
        <v>499</v>
      </c>
      <c r="F1010">
        <v>1</v>
      </c>
      <c r="G1010">
        <v>64781.839036288002</v>
      </c>
      <c r="H1010">
        <v>5.9899503999999999E-2</v>
      </c>
      <c r="I1010">
        <v>13835</v>
      </c>
      <c r="J1010">
        <v>4727</v>
      </c>
      <c r="K1010">
        <v>9108</v>
      </c>
      <c r="L1010">
        <v>500</v>
      </c>
      <c r="M1010">
        <v>499</v>
      </c>
      <c r="N1010">
        <v>1</v>
      </c>
      <c r="O1010">
        <v>8443.8665435293005</v>
      </c>
      <c r="P1010" s="3" t="s">
        <v>51</v>
      </c>
      <c r="Q1010">
        <v>50</v>
      </c>
      <c r="R1010">
        <v>0.999</v>
      </c>
      <c r="S1010">
        <v>0</v>
      </c>
    </row>
    <row r="1011" spans="1:19" x14ac:dyDescent="0.2">
      <c r="A1011" s="3" t="s">
        <v>54</v>
      </c>
      <c r="B1011" s="3" t="s">
        <v>55</v>
      </c>
      <c r="C1011">
        <v>45</v>
      </c>
      <c r="D1011">
        <v>16000</v>
      </c>
      <c r="E1011">
        <v>499</v>
      </c>
      <c r="F1011">
        <v>1</v>
      </c>
      <c r="G1011">
        <v>64781.839036288002</v>
      </c>
      <c r="H1011">
        <v>5.9889181999999999E-2</v>
      </c>
      <c r="I1011">
        <v>13787</v>
      </c>
      <c r="J1011">
        <v>4692</v>
      </c>
      <c r="K1011">
        <v>9095</v>
      </c>
      <c r="L1011">
        <v>500</v>
      </c>
      <c r="M1011">
        <v>499</v>
      </c>
      <c r="N1011">
        <v>1</v>
      </c>
      <c r="O1011">
        <v>8473.6960858080001</v>
      </c>
      <c r="P1011" s="3" t="s">
        <v>51</v>
      </c>
      <c r="Q1011">
        <v>50</v>
      </c>
      <c r="R1011">
        <v>0.999</v>
      </c>
      <c r="S1011">
        <v>0</v>
      </c>
    </row>
    <row r="1012" spans="1:19" x14ac:dyDescent="0.2">
      <c r="A1012" s="3" t="s">
        <v>54</v>
      </c>
      <c r="B1012" s="3" t="s">
        <v>55</v>
      </c>
      <c r="C1012">
        <v>23</v>
      </c>
      <c r="D1012">
        <v>16000</v>
      </c>
      <c r="E1012">
        <v>499</v>
      </c>
      <c r="F1012">
        <v>1</v>
      </c>
      <c r="G1012">
        <v>64781.839036288002</v>
      </c>
      <c r="H1012">
        <v>5.9763929E-2</v>
      </c>
      <c r="I1012">
        <v>13814</v>
      </c>
      <c r="J1012">
        <v>4711</v>
      </c>
      <c r="K1012">
        <v>9103</v>
      </c>
      <c r="L1012">
        <v>500</v>
      </c>
      <c r="M1012">
        <v>499</v>
      </c>
      <c r="N1012">
        <v>1</v>
      </c>
      <c r="O1012">
        <v>8466.9196059028</v>
      </c>
      <c r="P1012" s="3" t="s">
        <v>51</v>
      </c>
      <c r="Q1012">
        <v>50</v>
      </c>
      <c r="R1012">
        <v>0.999</v>
      </c>
      <c r="S1012">
        <v>0</v>
      </c>
    </row>
    <row r="1013" spans="1:19" x14ac:dyDescent="0.2">
      <c r="A1013" s="3" t="s">
        <v>54</v>
      </c>
      <c r="B1013" s="3" t="s">
        <v>55</v>
      </c>
      <c r="C1013">
        <v>36</v>
      </c>
      <c r="D1013">
        <v>19000</v>
      </c>
      <c r="E1013">
        <v>499</v>
      </c>
      <c r="F1013">
        <v>1</v>
      </c>
      <c r="G1013">
        <v>84218.384375429901</v>
      </c>
      <c r="H1013">
        <v>5.9683521000000003E-2</v>
      </c>
      <c r="I1013">
        <v>15011</v>
      </c>
      <c r="J1013">
        <v>4771</v>
      </c>
      <c r="K1013">
        <v>10240</v>
      </c>
      <c r="L1013">
        <v>500</v>
      </c>
      <c r="M1013">
        <v>499</v>
      </c>
      <c r="N1013">
        <v>1</v>
      </c>
      <c r="O1013">
        <v>17789.959375209201</v>
      </c>
      <c r="P1013" s="3" t="s">
        <v>51</v>
      </c>
      <c r="Q1013">
        <v>50</v>
      </c>
      <c r="R1013">
        <v>0.999</v>
      </c>
      <c r="S1013">
        <v>0</v>
      </c>
    </row>
    <row r="1014" spans="1:19" x14ac:dyDescent="0.2">
      <c r="A1014" s="3" t="s">
        <v>54</v>
      </c>
      <c r="B1014" s="3" t="s">
        <v>55</v>
      </c>
      <c r="C1014">
        <v>48</v>
      </c>
      <c r="D1014">
        <v>19000</v>
      </c>
      <c r="E1014">
        <v>499</v>
      </c>
      <c r="F1014">
        <v>1</v>
      </c>
      <c r="G1014">
        <v>84218.384375429901</v>
      </c>
      <c r="H1014">
        <v>5.9475748000000002E-2</v>
      </c>
      <c r="I1014">
        <v>15035</v>
      </c>
      <c r="J1014">
        <v>4753</v>
      </c>
      <c r="K1014">
        <v>10282</v>
      </c>
      <c r="L1014">
        <v>500</v>
      </c>
      <c r="M1014">
        <v>499</v>
      </c>
      <c r="N1014">
        <v>1</v>
      </c>
      <c r="O1014">
        <v>17695.2635737374</v>
      </c>
      <c r="P1014" s="3" t="s">
        <v>51</v>
      </c>
      <c r="Q1014">
        <v>50</v>
      </c>
      <c r="R1014">
        <v>0.999</v>
      </c>
      <c r="S1014">
        <v>0</v>
      </c>
    </row>
    <row r="1015" spans="1:19" x14ac:dyDescent="0.2">
      <c r="A1015" s="3" t="s">
        <v>54</v>
      </c>
      <c r="B1015" s="3" t="s">
        <v>55</v>
      </c>
      <c r="C1015">
        <v>41</v>
      </c>
      <c r="D1015">
        <v>19000</v>
      </c>
      <c r="E1015">
        <v>499</v>
      </c>
      <c r="F1015">
        <v>1</v>
      </c>
      <c r="G1015">
        <v>84218.384375429901</v>
      </c>
      <c r="H1015">
        <v>5.9473995000000002E-2</v>
      </c>
      <c r="I1015">
        <v>15025</v>
      </c>
      <c r="J1015">
        <v>4782</v>
      </c>
      <c r="K1015">
        <v>10243</v>
      </c>
      <c r="L1015">
        <v>500</v>
      </c>
      <c r="M1015">
        <v>499</v>
      </c>
      <c r="N1015">
        <v>1</v>
      </c>
      <c r="O1015">
        <v>17720.083085510101</v>
      </c>
      <c r="P1015" s="3" t="s">
        <v>51</v>
      </c>
      <c r="Q1015">
        <v>50</v>
      </c>
      <c r="R1015">
        <v>0.999</v>
      </c>
      <c r="S1015">
        <v>0</v>
      </c>
    </row>
    <row r="1016" spans="1:19" x14ac:dyDescent="0.2">
      <c r="A1016" s="3" t="s">
        <v>54</v>
      </c>
      <c r="B1016" s="3" t="s">
        <v>55</v>
      </c>
      <c r="C1016">
        <v>49</v>
      </c>
      <c r="D1016">
        <v>16000</v>
      </c>
      <c r="E1016">
        <v>499</v>
      </c>
      <c r="F1016">
        <v>1</v>
      </c>
      <c r="G1016">
        <v>64781.839036288002</v>
      </c>
      <c r="H1016">
        <v>5.9449222000000003E-2</v>
      </c>
      <c r="I1016">
        <v>13816</v>
      </c>
      <c r="J1016">
        <v>4714</v>
      </c>
      <c r="K1016">
        <v>9102</v>
      </c>
      <c r="L1016">
        <v>500</v>
      </c>
      <c r="M1016">
        <v>499</v>
      </c>
      <c r="N1016">
        <v>1</v>
      </c>
      <c r="O1016">
        <v>8468.3997720457992</v>
      </c>
      <c r="P1016" s="3" t="s">
        <v>51</v>
      </c>
      <c r="Q1016">
        <v>50</v>
      </c>
      <c r="R1016">
        <v>0.999</v>
      </c>
      <c r="S1016">
        <v>0</v>
      </c>
    </row>
    <row r="1017" spans="1:19" x14ac:dyDescent="0.2">
      <c r="A1017" s="3" t="s">
        <v>54</v>
      </c>
      <c r="B1017" s="3" t="s">
        <v>55</v>
      </c>
      <c r="C1017">
        <v>43</v>
      </c>
      <c r="D1017">
        <v>16000</v>
      </c>
      <c r="E1017">
        <v>499</v>
      </c>
      <c r="F1017">
        <v>1</v>
      </c>
      <c r="G1017">
        <v>64781.839036288002</v>
      </c>
      <c r="H1017">
        <v>5.9291012999999997E-2</v>
      </c>
      <c r="I1017">
        <v>13814</v>
      </c>
      <c r="J1017">
        <v>4693</v>
      </c>
      <c r="K1017">
        <v>9121</v>
      </c>
      <c r="L1017">
        <v>500</v>
      </c>
      <c r="M1017">
        <v>499</v>
      </c>
      <c r="N1017">
        <v>1</v>
      </c>
      <c r="O1017">
        <v>8467.3607476571997</v>
      </c>
      <c r="P1017" s="3" t="s">
        <v>51</v>
      </c>
      <c r="Q1017">
        <v>50</v>
      </c>
      <c r="R1017">
        <v>0.999</v>
      </c>
      <c r="S1017">
        <v>0</v>
      </c>
    </row>
    <row r="1018" spans="1:19" x14ac:dyDescent="0.2">
      <c r="A1018" s="3" t="s">
        <v>54</v>
      </c>
      <c r="B1018" s="3" t="s">
        <v>55</v>
      </c>
      <c r="C1018">
        <v>20</v>
      </c>
      <c r="D1018">
        <v>18000</v>
      </c>
      <c r="E1018">
        <v>499</v>
      </c>
      <c r="F1018">
        <v>1</v>
      </c>
      <c r="G1018">
        <v>18000</v>
      </c>
      <c r="H1018">
        <v>5.9286660999999997E-2</v>
      </c>
      <c r="I1018">
        <v>14786</v>
      </c>
      <c r="J1018">
        <v>5242</v>
      </c>
      <c r="K1018">
        <v>9544</v>
      </c>
      <c r="L1018">
        <v>500</v>
      </c>
      <c r="M1018">
        <v>499</v>
      </c>
      <c r="N1018">
        <v>1</v>
      </c>
      <c r="O1018">
        <v>3214</v>
      </c>
      <c r="P1018" s="3" t="s">
        <v>51</v>
      </c>
      <c r="Q1018">
        <v>50</v>
      </c>
      <c r="R1018">
        <v>0.999</v>
      </c>
      <c r="S1018">
        <v>1</v>
      </c>
    </row>
    <row r="1019" spans="1:19" x14ac:dyDescent="0.2">
      <c r="A1019" s="3" t="s">
        <v>54</v>
      </c>
      <c r="B1019" s="3" t="s">
        <v>55</v>
      </c>
      <c r="C1019">
        <v>30</v>
      </c>
      <c r="D1019">
        <v>13000</v>
      </c>
      <c r="E1019">
        <v>499</v>
      </c>
      <c r="F1019">
        <v>1</v>
      </c>
      <c r="G1019">
        <v>53044.701099550097</v>
      </c>
      <c r="H1019">
        <v>5.9229176000000001E-2</v>
      </c>
      <c r="I1019">
        <v>12616</v>
      </c>
      <c r="J1019">
        <v>3681</v>
      </c>
      <c r="K1019">
        <v>8935</v>
      </c>
      <c r="L1019">
        <v>500</v>
      </c>
      <c r="M1019">
        <v>499</v>
      </c>
      <c r="N1019">
        <v>1</v>
      </c>
      <c r="O1019">
        <v>1362.6693966053999</v>
      </c>
      <c r="P1019" s="3" t="s">
        <v>50</v>
      </c>
      <c r="Q1019">
        <v>50</v>
      </c>
      <c r="R1019">
        <v>0.999</v>
      </c>
      <c r="S1019">
        <v>0</v>
      </c>
    </row>
    <row r="1020" spans="1:19" x14ac:dyDescent="0.2">
      <c r="A1020" s="3" t="s">
        <v>54</v>
      </c>
      <c r="B1020" s="3" t="s">
        <v>55</v>
      </c>
      <c r="C1020">
        <v>45</v>
      </c>
      <c r="D1020">
        <v>19000</v>
      </c>
      <c r="E1020">
        <v>499</v>
      </c>
      <c r="F1020">
        <v>1</v>
      </c>
      <c r="G1020">
        <v>84218.384375429901</v>
      </c>
      <c r="H1020">
        <v>5.9190520000000003E-2</v>
      </c>
      <c r="I1020">
        <v>15045</v>
      </c>
      <c r="J1020">
        <v>4818</v>
      </c>
      <c r="K1020">
        <v>10227</v>
      </c>
      <c r="L1020">
        <v>500</v>
      </c>
      <c r="M1020">
        <v>499</v>
      </c>
      <c r="N1020">
        <v>1</v>
      </c>
      <c r="O1020">
        <v>17610.499545943101</v>
      </c>
      <c r="P1020" s="3" t="s">
        <v>51</v>
      </c>
      <c r="Q1020">
        <v>50</v>
      </c>
      <c r="R1020">
        <v>0.999</v>
      </c>
      <c r="S1020">
        <v>0</v>
      </c>
    </row>
    <row r="1021" spans="1:19" x14ac:dyDescent="0.2">
      <c r="A1021" s="3" t="s">
        <v>54</v>
      </c>
      <c r="B1021" s="3" t="s">
        <v>55</v>
      </c>
      <c r="C1021">
        <v>15</v>
      </c>
      <c r="D1021">
        <v>20000</v>
      </c>
      <c r="E1021">
        <v>499</v>
      </c>
      <c r="F1021">
        <v>1</v>
      </c>
      <c r="G1021">
        <v>20000</v>
      </c>
      <c r="H1021">
        <v>5.9159534999999999E-2</v>
      </c>
      <c r="I1021">
        <v>15554</v>
      </c>
      <c r="J1021">
        <v>5505</v>
      </c>
      <c r="K1021">
        <v>10049</v>
      </c>
      <c r="L1021">
        <v>500</v>
      </c>
      <c r="M1021">
        <v>499</v>
      </c>
      <c r="N1021">
        <v>1</v>
      </c>
      <c r="O1021">
        <v>4446</v>
      </c>
      <c r="P1021" s="3" t="s">
        <v>51</v>
      </c>
      <c r="Q1021">
        <v>50</v>
      </c>
      <c r="R1021">
        <v>0.999</v>
      </c>
      <c r="S1021">
        <v>1</v>
      </c>
    </row>
    <row r="1022" spans="1:19" x14ac:dyDescent="0.2">
      <c r="A1022" s="3" t="s">
        <v>54</v>
      </c>
      <c r="B1022" s="3" t="s">
        <v>55</v>
      </c>
      <c r="C1022">
        <v>28</v>
      </c>
      <c r="D1022">
        <v>20000</v>
      </c>
      <c r="E1022">
        <v>499</v>
      </c>
      <c r="F1022">
        <v>1</v>
      </c>
      <c r="G1022">
        <v>20000</v>
      </c>
      <c r="H1022">
        <v>5.9075653999999998E-2</v>
      </c>
      <c r="I1022">
        <v>15546</v>
      </c>
      <c r="J1022">
        <v>5474</v>
      </c>
      <c r="K1022">
        <v>10072</v>
      </c>
      <c r="L1022">
        <v>500</v>
      </c>
      <c r="M1022">
        <v>499</v>
      </c>
      <c r="N1022">
        <v>1</v>
      </c>
      <c r="O1022">
        <v>4454</v>
      </c>
      <c r="P1022" s="3" t="s">
        <v>51</v>
      </c>
      <c r="Q1022">
        <v>50</v>
      </c>
      <c r="R1022">
        <v>0.999</v>
      </c>
      <c r="S1022">
        <v>1</v>
      </c>
    </row>
    <row r="1023" spans="1:19" x14ac:dyDescent="0.2">
      <c r="A1023" s="3" t="s">
        <v>54</v>
      </c>
      <c r="B1023" s="3" t="s">
        <v>55</v>
      </c>
      <c r="C1023">
        <v>43</v>
      </c>
      <c r="D1023">
        <v>19000</v>
      </c>
      <c r="E1023">
        <v>499</v>
      </c>
      <c r="F1023">
        <v>1</v>
      </c>
      <c r="G1023">
        <v>84218.384375429901</v>
      </c>
      <c r="H1023">
        <v>5.9032239E-2</v>
      </c>
      <c r="I1023">
        <v>15047</v>
      </c>
      <c r="J1023">
        <v>4828</v>
      </c>
      <c r="K1023">
        <v>10219</v>
      </c>
      <c r="L1023">
        <v>500</v>
      </c>
      <c r="M1023">
        <v>499</v>
      </c>
      <c r="N1023">
        <v>1</v>
      </c>
      <c r="O1023">
        <v>17699.752219344598</v>
      </c>
      <c r="P1023" s="3" t="s">
        <v>51</v>
      </c>
      <c r="Q1023">
        <v>50</v>
      </c>
      <c r="R1023">
        <v>0.999</v>
      </c>
      <c r="S1023">
        <v>0</v>
      </c>
    </row>
    <row r="1024" spans="1:19" x14ac:dyDescent="0.2">
      <c r="A1024" s="3" t="s">
        <v>54</v>
      </c>
      <c r="B1024" s="3" t="s">
        <v>55</v>
      </c>
      <c r="C1024">
        <v>3</v>
      </c>
      <c r="D1024">
        <v>16000</v>
      </c>
      <c r="E1024">
        <v>499</v>
      </c>
      <c r="F1024">
        <v>1</v>
      </c>
      <c r="G1024">
        <v>64781.839036288002</v>
      </c>
      <c r="H1024">
        <v>5.9017225E-2</v>
      </c>
      <c r="I1024">
        <v>13813</v>
      </c>
      <c r="J1024">
        <v>4702</v>
      </c>
      <c r="K1024">
        <v>9111</v>
      </c>
      <c r="L1024">
        <v>500</v>
      </c>
      <c r="M1024">
        <v>499</v>
      </c>
      <c r="N1024">
        <v>1</v>
      </c>
      <c r="O1024">
        <v>8475.8640795280007</v>
      </c>
      <c r="P1024" s="3" t="s">
        <v>51</v>
      </c>
      <c r="Q1024">
        <v>50</v>
      </c>
      <c r="R1024">
        <v>0.999</v>
      </c>
      <c r="S1024">
        <v>0</v>
      </c>
    </row>
    <row r="1025" spans="1:19" x14ac:dyDescent="0.2">
      <c r="A1025" s="3" t="s">
        <v>54</v>
      </c>
      <c r="B1025" s="3" t="s">
        <v>55</v>
      </c>
      <c r="C1025">
        <v>6</v>
      </c>
      <c r="D1025">
        <v>19000</v>
      </c>
      <c r="E1025">
        <v>499</v>
      </c>
      <c r="F1025">
        <v>1</v>
      </c>
      <c r="G1025">
        <v>84218.384375429901</v>
      </c>
      <c r="H1025">
        <v>5.8964609000000001E-2</v>
      </c>
      <c r="I1025">
        <v>15019</v>
      </c>
      <c r="J1025">
        <v>4793</v>
      </c>
      <c r="K1025">
        <v>10226</v>
      </c>
      <c r="L1025">
        <v>500</v>
      </c>
      <c r="M1025">
        <v>499</v>
      </c>
      <c r="N1025">
        <v>1</v>
      </c>
      <c r="O1025">
        <v>17821.472494834201</v>
      </c>
      <c r="P1025" s="3" t="s">
        <v>51</v>
      </c>
      <c r="Q1025">
        <v>50</v>
      </c>
      <c r="R1025">
        <v>0.999</v>
      </c>
      <c r="S1025">
        <v>0</v>
      </c>
    </row>
    <row r="1026" spans="1:19" x14ac:dyDescent="0.2">
      <c r="A1026" s="3" t="s">
        <v>54</v>
      </c>
      <c r="B1026" s="3" t="s">
        <v>55</v>
      </c>
      <c r="C1026">
        <v>19</v>
      </c>
      <c r="D1026">
        <v>19000</v>
      </c>
      <c r="E1026">
        <v>499</v>
      </c>
      <c r="F1026">
        <v>1</v>
      </c>
      <c r="G1026">
        <v>19000</v>
      </c>
      <c r="H1026">
        <v>5.8762694999999997E-2</v>
      </c>
      <c r="I1026">
        <v>15159</v>
      </c>
      <c r="J1026">
        <v>5378</v>
      </c>
      <c r="K1026">
        <v>9781</v>
      </c>
      <c r="L1026">
        <v>500</v>
      </c>
      <c r="M1026">
        <v>499</v>
      </c>
      <c r="N1026">
        <v>1</v>
      </c>
      <c r="O1026">
        <v>3841</v>
      </c>
      <c r="P1026" s="3" t="s">
        <v>51</v>
      </c>
      <c r="Q1026">
        <v>50</v>
      </c>
      <c r="R1026">
        <v>0.999</v>
      </c>
      <c r="S1026">
        <v>1</v>
      </c>
    </row>
    <row r="1027" spans="1:19" x14ac:dyDescent="0.2">
      <c r="A1027" s="3" t="s">
        <v>54</v>
      </c>
      <c r="B1027" s="3" t="s">
        <v>55</v>
      </c>
      <c r="C1027">
        <v>7</v>
      </c>
      <c r="D1027">
        <v>16000</v>
      </c>
      <c r="E1027">
        <v>499</v>
      </c>
      <c r="F1027">
        <v>1</v>
      </c>
      <c r="G1027">
        <v>64781.839036288002</v>
      </c>
      <c r="H1027">
        <v>5.8718300000000001E-2</v>
      </c>
      <c r="I1027">
        <v>13826</v>
      </c>
      <c r="J1027">
        <v>4732</v>
      </c>
      <c r="K1027">
        <v>9094</v>
      </c>
      <c r="L1027">
        <v>500</v>
      </c>
      <c r="M1027">
        <v>499</v>
      </c>
      <c r="N1027">
        <v>1</v>
      </c>
      <c r="O1027">
        <v>8370.7870537695999</v>
      </c>
      <c r="P1027" s="3" t="s">
        <v>51</v>
      </c>
      <c r="Q1027">
        <v>50</v>
      </c>
      <c r="R1027">
        <v>0.999</v>
      </c>
      <c r="S1027">
        <v>0</v>
      </c>
    </row>
    <row r="1028" spans="1:19" x14ac:dyDescent="0.2">
      <c r="A1028" s="3" t="s">
        <v>54</v>
      </c>
      <c r="B1028" s="3" t="s">
        <v>55</v>
      </c>
      <c r="C1028">
        <v>35</v>
      </c>
      <c r="D1028">
        <v>19000</v>
      </c>
      <c r="E1028">
        <v>499</v>
      </c>
      <c r="F1028">
        <v>1</v>
      </c>
      <c r="G1028">
        <v>84218.384375429901</v>
      </c>
      <c r="H1028">
        <v>5.8695327999999998E-2</v>
      </c>
      <c r="I1028">
        <v>15023</v>
      </c>
      <c r="J1028">
        <v>4797</v>
      </c>
      <c r="K1028">
        <v>10226</v>
      </c>
      <c r="L1028">
        <v>500</v>
      </c>
      <c r="M1028">
        <v>499</v>
      </c>
      <c r="N1028">
        <v>1</v>
      </c>
      <c r="O1028">
        <v>17742.024395413999</v>
      </c>
      <c r="P1028" s="3" t="s">
        <v>51</v>
      </c>
      <c r="Q1028">
        <v>50</v>
      </c>
      <c r="R1028">
        <v>0.999</v>
      </c>
      <c r="S1028">
        <v>0</v>
      </c>
    </row>
    <row r="1029" spans="1:19" x14ac:dyDescent="0.2">
      <c r="A1029" s="3" t="s">
        <v>54</v>
      </c>
      <c r="B1029" s="3" t="s">
        <v>55</v>
      </c>
      <c r="C1029">
        <v>39</v>
      </c>
      <c r="D1029">
        <v>13000</v>
      </c>
      <c r="E1029">
        <v>499</v>
      </c>
      <c r="F1029">
        <v>1</v>
      </c>
      <c r="G1029">
        <v>53044.701099550097</v>
      </c>
      <c r="H1029">
        <v>5.8685648999999999E-2</v>
      </c>
      <c r="I1029">
        <v>12620</v>
      </c>
      <c r="J1029">
        <v>3700</v>
      </c>
      <c r="K1029">
        <v>8920</v>
      </c>
      <c r="L1029">
        <v>500</v>
      </c>
      <c r="M1029">
        <v>499</v>
      </c>
      <c r="N1029">
        <v>1</v>
      </c>
      <c r="O1029">
        <v>1344.8077405065001</v>
      </c>
      <c r="P1029" s="3" t="s">
        <v>50</v>
      </c>
      <c r="Q1029">
        <v>50</v>
      </c>
      <c r="R1029">
        <v>0.999</v>
      </c>
      <c r="S1029">
        <v>0</v>
      </c>
    </row>
    <row r="1030" spans="1:19" x14ac:dyDescent="0.2">
      <c r="A1030" s="3" t="s">
        <v>54</v>
      </c>
      <c r="B1030" s="3" t="s">
        <v>55</v>
      </c>
      <c r="C1030">
        <v>26</v>
      </c>
      <c r="D1030">
        <v>16000</v>
      </c>
      <c r="E1030">
        <v>499</v>
      </c>
      <c r="F1030">
        <v>1</v>
      </c>
      <c r="G1030">
        <v>64781.839036288002</v>
      </c>
      <c r="H1030">
        <v>5.8576952000000002E-2</v>
      </c>
      <c r="I1030">
        <v>13846</v>
      </c>
      <c r="J1030">
        <v>4757</v>
      </c>
      <c r="K1030">
        <v>9089</v>
      </c>
      <c r="L1030">
        <v>500</v>
      </c>
      <c r="M1030">
        <v>499</v>
      </c>
      <c r="N1030">
        <v>1</v>
      </c>
      <c r="O1030">
        <v>8260.3961300928004</v>
      </c>
      <c r="P1030" s="3" t="s">
        <v>51</v>
      </c>
      <c r="Q1030">
        <v>50</v>
      </c>
      <c r="R1030">
        <v>0.999</v>
      </c>
      <c r="S1030">
        <v>0</v>
      </c>
    </row>
    <row r="1031" spans="1:19" x14ac:dyDescent="0.2">
      <c r="A1031" s="3" t="s">
        <v>54</v>
      </c>
      <c r="B1031" s="3" t="s">
        <v>55</v>
      </c>
      <c r="C1031">
        <v>14</v>
      </c>
      <c r="D1031">
        <v>19000</v>
      </c>
      <c r="E1031">
        <v>499</v>
      </c>
      <c r="F1031">
        <v>1</v>
      </c>
      <c r="G1031">
        <v>84218.384375429901</v>
      </c>
      <c r="H1031">
        <v>5.8467528999999997E-2</v>
      </c>
      <c r="I1031">
        <v>15028</v>
      </c>
      <c r="J1031">
        <v>4753</v>
      </c>
      <c r="K1031">
        <v>10275</v>
      </c>
      <c r="L1031">
        <v>500</v>
      </c>
      <c r="M1031">
        <v>499</v>
      </c>
      <c r="N1031">
        <v>1</v>
      </c>
      <c r="O1031">
        <v>17807.4301591113</v>
      </c>
      <c r="P1031" s="3" t="s">
        <v>51</v>
      </c>
      <c r="Q1031">
        <v>50</v>
      </c>
      <c r="R1031">
        <v>0.999</v>
      </c>
      <c r="S1031">
        <v>0</v>
      </c>
    </row>
    <row r="1032" spans="1:19" x14ac:dyDescent="0.2">
      <c r="A1032" s="3" t="s">
        <v>54</v>
      </c>
      <c r="B1032" s="3" t="s">
        <v>55</v>
      </c>
      <c r="C1032">
        <v>14</v>
      </c>
      <c r="D1032">
        <v>16000</v>
      </c>
      <c r="E1032">
        <v>499</v>
      </c>
      <c r="F1032">
        <v>1</v>
      </c>
      <c r="G1032">
        <v>64781.839036288002</v>
      </c>
      <c r="H1032">
        <v>5.8387357000000001E-2</v>
      </c>
      <c r="I1032">
        <v>13784</v>
      </c>
      <c r="J1032">
        <v>4694</v>
      </c>
      <c r="K1032">
        <v>9090</v>
      </c>
      <c r="L1032">
        <v>500</v>
      </c>
      <c r="M1032">
        <v>499</v>
      </c>
      <c r="N1032">
        <v>1</v>
      </c>
      <c r="O1032">
        <v>8519.8689744927997</v>
      </c>
      <c r="P1032" s="3" t="s">
        <v>51</v>
      </c>
      <c r="Q1032">
        <v>50</v>
      </c>
      <c r="R1032">
        <v>0.999</v>
      </c>
      <c r="S1032">
        <v>0</v>
      </c>
    </row>
    <row r="1033" spans="1:19" x14ac:dyDescent="0.2">
      <c r="A1033" s="3" t="s">
        <v>54</v>
      </c>
      <c r="B1033" s="3" t="s">
        <v>55</v>
      </c>
      <c r="C1033">
        <v>19</v>
      </c>
      <c r="D1033">
        <v>16000</v>
      </c>
      <c r="E1033">
        <v>499</v>
      </c>
      <c r="F1033">
        <v>1</v>
      </c>
      <c r="G1033">
        <v>64781.839036288002</v>
      </c>
      <c r="H1033">
        <v>5.8370132999999998E-2</v>
      </c>
      <c r="I1033">
        <v>13782</v>
      </c>
      <c r="J1033">
        <v>4701</v>
      </c>
      <c r="K1033">
        <v>9081</v>
      </c>
      <c r="L1033">
        <v>500</v>
      </c>
      <c r="M1033">
        <v>499</v>
      </c>
      <c r="N1033">
        <v>1</v>
      </c>
      <c r="O1033">
        <v>8457.9138529894008</v>
      </c>
      <c r="P1033" s="3" t="s">
        <v>51</v>
      </c>
      <c r="Q1033">
        <v>50</v>
      </c>
      <c r="R1033">
        <v>0.999</v>
      </c>
      <c r="S1033">
        <v>0</v>
      </c>
    </row>
    <row r="1034" spans="1:19" x14ac:dyDescent="0.2">
      <c r="A1034" s="3" t="s">
        <v>54</v>
      </c>
      <c r="B1034" s="3" t="s">
        <v>55</v>
      </c>
      <c r="C1034">
        <v>38</v>
      </c>
      <c r="D1034">
        <v>16000</v>
      </c>
      <c r="E1034">
        <v>499</v>
      </c>
      <c r="F1034">
        <v>1</v>
      </c>
      <c r="G1034">
        <v>64781.839036288002</v>
      </c>
      <c r="H1034">
        <v>5.8366319999999999E-2</v>
      </c>
      <c r="I1034">
        <v>13805</v>
      </c>
      <c r="J1034">
        <v>4706</v>
      </c>
      <c r="K1034">
        <v>9099</v>
      </c>
      <c r="L1034">
        <v>500</v>
      </c>
      <c r="M1034">
        <v>499</v>
      </c>
      <c r="N1034">
        <v>1</v>
      </c>
      <c r="O1034">
        <v>8468.7394685683994</v>
      </c>
      <c r="P1034" s="3" t="s">
        <v>51</v>
      </c>
      <c r="Q1034">
        <v>50</v>
      </c>
      <c r="R1034">
        <v>0.999</v>
      </c>
      <c r="S1034">
        <v>0</v>
      </c>
    </row>
    <row r="1035" spans="1:19" x14ac:dyDescent="0.2">
      <c r="A1035" s="3" t="s">
        <v>54</v>
      </c>
      <c r="B1035" s="3" t="s">
        <v>55</v>
      </c>
      <c r="C1035">
        <v>7</v>
      </c>
      <c r="D1035">
        <v>19000</v>
      </c>
      <c r="E1035">
        <v>499</v>
      </c>
      <c r="F1035">
        <v>1</v>
      </c>
      <c r="G1035">
        <v>84218.384375429901</v>
      </c>
      <c r="H1035">
        <v>5.8268585999999997E-2</v>
      </c>
      <c r="I1035">
        <v>14995</v>
      </c>
      <c r="J1035">
        <v>4751</v>
      </c>
      <c r="K1035">
        <v>10244</v>
      </c>
      <c r="L1035">
        <v>500</v>
      </c>
      <c r="M1035">
        <v>499</v>
      </c>
      <c r="N1035">
        <v>1</v>
      </c>
      <c r="O1035">
        <v>17880.753236350301</v>
      </c>
      <c r="P1035" s="3" t="s">
        <v>51</v>
      </c>
      <c r="Q1035">
        <v>50</v>
      </c>
      <c r="R1035">
        <v>0.999</v>
      </c>
      <c r="S1035">
        <v>0</v>
      </c>
    </row>
    <row r="1036" spans="1:19" x14ac:dyDescent="0.2">
      <c r="A1036" s="3" t="s">
        <v>54</v>
      </c>
      <c r="B1036" s="3" t="s">
        <v>55</v>
      </c>
      <c r="C1036">
        <v>10</v>
      </c>
      <c r="D1036">
        <v>19000</v>
      </c>
      <c r="E1036">
        <v>499</v>
      </c>
      <c r="F1036">
        <v>1</v>
      </c>
      <c r="G1036">
        <v>84218.384375429901</v>
      </c>
      <c r="H1036">
        <v>5.8238949999999998E-2</v>
      </c>
      <c r="I1036">
        <v>15027</v>
      </c>
      <c r="J1036">
        <v>4766</v>
      </c>
      <c r="K1036">
        <v>10261</v>
      </c>
      <c r="L1036">
        <v>500</v>
      </c>
      <c r="M1036">
        <v>499</v>
      </c>
      <c r="N1036">
        <v>1</v>
      </c>
      <c r="O1036">
        <v>17718.910377800901</v>
      </c>
      <c r="P1036" s="3" t="s">
        <v>51</v>
      </c>
      <c r="Q1036">
        <v>50</v>
      </c>
      <c r="R1036">
        <v>0.999</v>
      </c>
      <c r="S1036">
        <v>0</v>
      </c>
    </row>
    <row r="1037" spans="1:19" x14ac:dyDescent="0.2">
      <c r="A1037" s="3" t="s">
        <v>54</v>
      </c>
      <c r="B1037" s="3" t="s">
        <v>55</v>
      </c>
      <c r="C1037">
        <v>14</v>
      </c>
      <c r="D1037">
        <v>13000</v>
      </c>
      <c r="E1037">
        <v>499</v>
      </c>
      <c r="F1037">
        <v>1</v>
      </c>
      <c r="G1037">
        <v>53044.701099550097</v>
      </c>
      <c r="H1037">
        <v>5.8183958000000001E-2</v>
      </c>
      <c r="I1037">
        <v>12658</v>
      </c>
      <c r="J1037">
        <v>3767</v>
      </c>
      <c r="K1037">
        <v>8891</v>
      </c>
      <c r="L1037">
        <v>500</v>
      </c>
      <c r="M1037">
        <v>499</v>
      </c>
      <c r="N1037">
        <v>1</v>
      </c>
      <c r="O1037">
        <v>1220.5241691639999</v>
      </c>
      <c r="P1037" s="3" t="s">
        <v>50</v>
      </c>
      <c r="Q1037">
        <v>50</v>
      </c>
      <c r="R1037">
        <v>0.999</v>
      </c>
      <c r="S1037">
        <v>0</v>
      </c>
    </row>
    <row r="1038" spans="1:19" x14ac:dyDescent="0.2">
      <c r="A1038" s="3" t="s">
        <v>54</v>
      </c>
      <c r="B1038" s="3" t="s">
        <v>55</v>
      </c>
      <c r="C1038">
        <v>21</v>
      </c>
      <c r="D1038">
        <v>16000</v>
      </c>
      <c r="E1038">
        <v>499</v>
      </c>
      <c r="F1038">
        <v>1</v>
      </c>
      <c r="G1038">
        <v>64781.839036288002</v>
      </c>
      <c r="H1038">
        <v>5.8132159000000003E-2</v>
      </c>
      <c r="I1038">
        <v>13809</v>
      </c>
      <c r="J1038">
        <v>4734</v>
      </c>
      <c r="K1038">
        <v>9075</v>
      </c>
      <c r="L1038">
        <v>500</v>
      </c>
      <c r="M1038">
        <v>499</v>
      </c>
      <c r="N1038">
        <v>1</v>
      </c>
      <c r="O1038">
        <v>8330.3730461819996</v>
      </c>
      <c r="P1038" s="3" t="s">
        <v>51</v>
      </c>
      <c r="Q1038">
        <v>50</v>
      </c>
      <c r="R1038">
        <v>0.999</v>
      </c>
      <c r="S1038">
        <v>0</v>
      </c>
    </row>
    <row r="1039" spans="1:19" x14ac:dyDescent="0.2">
      <c r="A1039" s="3" t="s">
        <v>54</v>
      </c>
      <c r="B1039" s="3" t="s">
        <v>55</v>
      </c>
      <c r="C1039">
        <v>18</v>
      </c>
      <c r="D1039">
        <v>19000</v>
      </c>
      <c r="E1039">
        <v>499</v>
      </c>
      <c r="F1039">
        <v>1</v>
      </c>
      <c r="G1039">
        <v>84218.384375429901</v>
      </c>
      <c r="H1039">
        <v>5.8084023999999998E-2</v>
      </c>
      <c r="I1039">
        <v>15030</v>
      </c>
      <c r="J1039">
        <v>4755</v>
      </c>
      <c r="K1039">
        <v>10275</v>
      </c>
      <c r="L1039">
        <v>500</v>
      </c>
      <c r="M1039">
        <v>499</v>
      </c>
      <c r="N1039">
        <v>1</v>
      </c>
      <c r="O1039">
        <v>17789.200836573698</v>
      </c>
      <c r="P1039" s="3" t="s">
        <v>51</v>
      </c>
      <c r="Q1039">
        <v>50</v>
      </c>
      <c r="R1039">
        <v>0.999</v>
      </c>
      <c r="S1039">
        <v>0</v>
      </c>
    </row>
    <row r="1040" spans="1:19" x14ac:dyDescent="0.2">
      <c r="A1040" s="3" t="s">
        <v>54</v>
      </c>
      <c r="B1040" s="3" t="s">
        <v>55</v>
      </c>
      <c r="C1040">
        <v>8</v>
      </c>
      <c r="D1040">
        <v>19000</v>
      </c>
      <c r="E1040">
        <v>499</v>
      </c>
      <c r="F1040">
        <v>1</v>
      </c>
      <c r="G1040">
        <v>84218.384375429901</v>
      </c>
      <c r="H1040">
        <v>5.8080761000000002E-2</v>
      </c>
      <c r="I1040">
        <v>15021</v>
      </c>
      <c r="J1040">
        <v>4821</v>
      </c>
      <c r="K1040">
        <v>10200</v>
      </c>
      <c r="L1040">
        <v>500</v>
      </c>
      <c r="M1040">
        <v>499</v>
      </c>
      <c r="N1040">
        <v>1</v>
      </c>
      <c r="O1040">
        <v>17763.577283914801</v>
      </c>
      <c r="P1040" s="3" t="s">
        <v>51</v>
      </c>
      <c r="Q1040">
        <v>50</v>
      </c>
      <c r="R1040">
        <v>0.999</v>
      </c>
      <c r="S1040">
        <v>0</v>
      </c>
    </row>
    <row r="1041" spans="1:19" x14ac:dyDescent="0.2">
      <c r="A1041" s="3" t="s">
        <v>54</v>
      </c>
      <c r="B1041" s="3" t="s">
        <v>55</v>
      </c>
      <c r="C1041">
        <v>34</v>
      </c>
      <c r="D1041">
        <v>19000</v>
      </c>
      <c r="E1041">
        <v>499</v>
      </c>
      <c r="F1041">
        <v>1</v>
      </c>
      <c r="G1041">
        <v>84218.384375429901</v>
      </c>
      <c r="H1041">
        <v>5.7934407E-2</v>
      </c>
      <c r="I1041">
        <v>15001</v>
      </c>
      <c r="J1041">
        <v>4762</v>
      </c>
      <c r="K1041">
        <v>10239</v>
      </c>
      <c r="L1041">
        <v>500</v>
      </c>
      <c r="M1041">
        <v>499</v>
      </c>
      <c r="N1041">
        <v>1</v>
      </c>
      <c r="O1041">
        <v>17875.665998635901</v>
      </c>
      <c r="P1041" s="3" t="s">
        <v>51</v>
      </c>
      <c r="Q1041">
        <v>50</v>
      </c>
      <c r="R1041">
        <v>0.999</v>
      </c>
      <c r="S1041">
        <v>0</v>
      </c>
    </row>
    <row r="1042" spans="1:19" x14ac:dyDescent="0.2">
      <c r="A1042" s="3" t="s">
        <v>54</v>
      </c>
      <c r="B1042" s="3" t="s">
        <v>55</v>
      </c>
      <c r="C1042">
        <v>50</v>
      </c>
      <c r="D1042">
        <v>19000</v>
      </c>
      <c r="E1042">
        <v>499</v>
      </c>
      <c r="F1042">
        <v>1</v>
      </c>
      <c r="G1042">
        <v>84218.384375429901</v>
      </c>
      <c r="H1042">
        <v>5.7923737000000003E-2</v>
      </c>
      <c r="I1042">
        <v>15033</v>
      </c>
      <c r="J1042">
        <v>4790</v>
      </c>
      <c r="K1042">
        <v>10243</v>
      </c>
      <c r="L1042">
        <v>500</v>
      </c>
      <c r="M1042">
        <v>499</v>
      </c>
      <c r="N1042">
        <v>1</v>
      </c>
      <c r="O1042">
        <v>17807.770390924899</v>
      </c>
      <c r="P1042" s="3" t="s">
        <v>51</v>
      </c>
      <c r="Q1042">
        <v>50</v>
      </c>
      <c r="R1042">
        <v>0.999</v>
      </c>
      <c r="S1042">
        <v>0</v>
      </c>
    </row>
    <row r="1043" spans="1:19" x14ac:dyDescent="0.2">
      <c r="A1043" s="3" t="s">
        <v>54</v>
      </c>
      <c r="B1043" s="3" t="s">
        <v>55</v>
      </c>
      <c r="C1043">
        <v>45</v>
      </c>
      <c r="D1043">
        <v>14000</v>
      </c>
      <c r="E1043">
        <v>499</v>
      </c>
      <c r="F1043">
        <v>1</v>
      </c>
      <c r="G1043">
        <v>58565.0323707059</v>
      </c>
      <c r="H1043">
        <v>5.7905832999999997E-2</v>
      </c>
      <c r="I1043">
        <v>12879</v>
      </c>
      <c r="J1043">
        <v>4102</v>
      </c>
      <c r="K1043">
        <v>8777</v>
      </c>
      <c r="L1043">
        <v>500</v>
      </c>
      <c r="M1043">
        <v>499</v>
      </c>
      <c r="N1043">
        <v>1</v>
      </c>
      <c r="O1043">
        <v>4103.5880451839002</v>
      </c>
      <c r="P1043" s="3" t="s">
        <v>51</v>
      </c>
      <c r="Q1043">
        <v>50</v>
      </c>
      <c r="R1043">
        <v>0.999</v>
      </c>
      <c r="S1043">
        <v>0</v>
      </c>
    </row>
    <row r="1044" spans="1:19" x14ac:dyDescent="0.2">
      <c r="A1044" s="3" t="s">
        <v>54</v>
      </c>
      <c r="B1044" s="3" t="s">
        <v>55</v>
      </c>
      <c r="C1044">
        <v>24</v>
      </c>
      <c r="D1044">
        <v>16000</v>
      </c>
      <c r="E1044">
        <v>499</v>
      </c>
      <c r="F1044">
        <v>1</v>
      </c>
      <c r="G1044">
        <v>64781.839036288002</v>
      </c>
      <c r="H1044">
        <v>5.7889600999999999E-2</v>
      </c>
      <c r="I1044">
        <v>13805</v>
      </c>
      <c r="J1044">
        <v>4694</v>
      </c>
      <c r="K1044">
        <v>9111</v>
      </c>
      <c r="L1044">
        <v>500</v>
      </c>
      <c r="M1044">
        <v>499</v>
      </c>
      <c r="N1044">
        <v>1</v>
      </c>
      <c r="O1044">
        <v>8471.4495318042991</v>
      </c>
      <c r="P1044" s="3" t="s">
        <v>51</v>
      </c>
      <c r="Q1044">
        <v>50</v>
      </c>
      <c r="R1044">
        <v>0.999</v>
      </c>
      <c r="S1044">
        <v>0</v>
      </c>
    </row>
    <row r="1045" spans="1:19" x14ac:dyDescent="0.2">
      <c r="A1045" s="3" t="s">
        <v>54</v>
      </c>
      <c r="B1045" s="3" t="s">
        <v>55</v>
      </c>
      <c r="C1045">
        <v>17</v>
      </c>
      <c r="D1045">
        <v>19000</v>
      </c>
      <c r="E1045">
        <v>499</v>
      </c>
      <c r="F1045">
        <v>1</v>
      </c>
      <c r="G1045">
        <v>84218.384375429901</v>
      </c>
      <c r="H1045">
        <v>5.7762358E-2</v>
      </c>
      <c r="I1045">
        <v>15020</v>
      </c>
      <c r="J1045">
        <v>4761</v>
      </c>
      <c r="K1045">
        <v>10259</v>
      </c>
      <c r="L1045">
        <v>500</v>
      </c>
      <c r="M1045">
        <v>499</v>
      </c>
      <c r="N1045">
        <v>1</v>
      </c>
      <c r="O1045">
        <v>17878.587273948</v>
      </c>
      <c r="P1045" s="3" t="s">
        <v>51</v>
      </c>
      <c r="Q1045">
        <v>50</v>
      </c>
      <c r="R1045">
        <v>0.999</v>
      </c>
      <c r="S1045">
        <v>0</v>
      </c>
    </row>
    <row r="1046" spans="1:19" x14ac:dyDescent="0.2">
      <c r="A1046" s="3" t="s">
        <v>54</v>
      </c>
      <c r="B1046" s="3" t="s">
        <v>55</v>
      </c>
      <c r="C1046">
        <v>27</v>
      </c>
      <c r="D1046">
        <v>16000</v>
      </c>
      <c r="E1046">
        <v>499</v>
      </c>
      <c r="F1046">
        <v>1</v>
      </c>
      <c r="G1046">
        <v>64781.839036288002</v>
      </c>
      <c r="H1046">
        <v>5.7545171999999999E-2</v>
      </c>
      <c r="I1046">
        <v>13826</v>
      </c>
      <c r="J1046">
        <v>4727</v>
      </c>
      <c r="K1046">
        <v>9099</v>
      </c>
      <c r="L1046">
        <v>500</v>
      </c>
      <c r="M1046">
        <v>499</v>
      </c>
      <c r="N1046">
        <v>1</v>
      </c>
      <c r="O1046">
        <v>8424.1646179282998</v>
      </c>
      <c r="P1046" s="3" t="s">
        <v>51</v>
      </c>
      <c r="Q1046">
        <v>50</v>
      </c>
      <c r="R1046">
        <v>0.999</v>
      </c>
      <c r="S1046">
        <v>0</v>
      </c>
    </row>
    <row r="1047" spans="1:19" x14ac:dyDescent="0.2">
      <c r="A1047" s="3" t="s">
        <v>54</v>
      </c>
      <c r="B1047" s="3" t="s">
        <v>55</v>
      </c>
      <c r="C1047">
        <v>40</v>
      </c>
      <c r="D1047">
        <v>16000</v>
      </c>
      <c r="E1047">
        <v>499</v>
      </c>
      <c r="F1047">
        <v>1</v>
      </c>
      <c r="G1047">
        <v>64781.839036288002</v>
      </c>
      <c r="H1047">
        <v>5.750769E-2</v>
      </c>
      <c r="I1047">
        <v>13791</v>
      </c>
      <c r="J1047">
        <v>4711</v>
      </c>
      <c r="K1047">
        <v>9080</v>
      </c>
      <c r="L1047">
        <v>500</v>
      </c>
      <c r="M1047">
        <v>499</v>
      </c>
      <c r="N1047">
        <v>1</v>
      </c>
      <c r="O1047">
        <v>8420.0699028716008</v>
      </c>
      <c r="P1047" s="3" t="s">
        <v>51</v>
      </c>
      <c r="Q1047">
        <v>50</v>
      </c>
      <c r="R1047">
        <v>0.999</v>
      </c>
      <c r="S1047">
        <v>0</v>
      </c>
    </row>
    <row r="1048" spans="1:19" x14ac:dyDescent="0.2">
      <c r="A1048" s="3" t="s">
        <v>54</v>
      </c>
      <c r="B1048" s="3" t="s">
        <v>55</v>
      </c>
      <c r="C1048">
        <v>4</v>
      </c>
      <c r="D1048">
        <v>19000</v>
      </c>
      <c r="E1048">
        <v>499</v>
      </c>
      <c r="F1048">
        <v>1</v>
      </c>
      <c r="G1048">
        <v>84218.384375429901</v>
      </c>
      <c r="H1048">
        <v>5.7475945000000001E-2</v>
      </c>
      <c r="I1048">
        <v>15055</v>
      </c>
      <c r="J1048">
        <v>4827</v>
      </c>
      <c r="K1048">
        <v>10228</v>
      </c>
      <c r="L1048">
        <v>500</v>
      </c>
      <c r="M1048">
        <v>499</v>
      </c>
      <c r="N1048">
        <v>1</v>
      </c>
      <c r="O1048">
        <v>17736.544238491701</v>
      </c>
      <c r="P1048" s="3" t="s">
        <v>51</v>
      </c>
      <c r="Q1048">
        <v>50</v>
      </c>
      <c r="R1048">
        <v>0.999</v>
      </c>
      <c r="S1048">
        <v>0</v>
      </c>
    </row>
    <row r="1049" spans="1:19" x14ac:dyDescent="0.2">
      <c r="A1049" s="3" t="s">
        <v>54</v>
      </c>
      <c r="B1049" s="3" t="s">
        <v>55</v>
      </c>
      <c r="C1049">
        <v>28</v>
      </c>
      <c r="D1049">
        <v>18000</v>
      </c>
      <c r="E1049">
        <v>499</v>
      </c>
      <c r="F1049">
        <v>1</v>
      </c>
      <c r="G1049">
        <v>18000</v>
      </c>
      <c r="H1049">
        <v>5.7402623E-2</v>
      </c>
      <c r="I1049">
        <v>14763</v>
      </c>
      <c r="J1049">
        <v>5248</v>
      </c>
      <c r="K1049">
        <v>9515</v>
      </c>
      <c r="L1049">
        <v>500</v>
      </c>
      <c r="M1049">
        <v>499</v>
      </c>
      <c r="N1049">
        <v>1</v>
      </c>
      <c r="O1049">
        <v>3237</v>
      </c>
      <c r="P1049" s="3" t="s">
        <v>51</v>
      </c>
      <c r="Q1049">
        <v>50</v>
      </c>
      <c r="R1049">
        <v>0.999</v>
      </c>
      <c r="S1049">
        <v>1</v>
      </c>
    </row>
    <row r="1050" spans="1:19" x14ac:dyDescent="0.2">
      <c r="A1050" s="3" t="s">
        <v>54</v>
      </c>
      <c r="B1050" s="3" t="s">
        <v>55</v>
      </c>
      <c r="C1050">
        <v>46</v>
      </c>
      <c r="D1050">
        <v>19000</v>
      </c>
      <c r="E1050">
        <v>499</v>
      </c>
      <c r="F1050">
        <v>1</v>
      </c>
      <c r="G1050">
        <v>84218.384375429901</v>
      </c>
      <c r="H1050">
        <v>5.7384224999999997E-2</v>
      </c>
      <c r="I1050">
        <v>15023</v>
      </c>
      <c r="J1050">
        <v>4756</v>
      </c>
      <c r="K1050">
        <v>10267</v>
      </c>
      <c r="L1050">
        <v>500</v>
      </c>
      <c r="M1050">
        <v>499</v>
      </c>
      <c r="N1050">
        <v>1</v>
      </c>
      <c r="O1050">
        <v>17859.820856171798</v>
      </c>
      <c r="P1050" s="3" t="s">
        <v>51</v>
      </c>
      <c r="Q1050">
        <v>50</v>
      </c>
      <c r="R1050">
        <v>0.999</v>
      </c>
      <c r="S1050">
        <v>0</v>
      </c>
    </row>
    <row r="1051" spans="1:19" x14ac:dyDescent="0.2">
      <c r="A1051" s="3" t="s">
        <v>54</v>
      </c>
      <c r="B1051" s="3" t="s">
        <v>55</v>
      </c>
      <c r="C1051">
        <v>32</v>
      </c>
      <c r="D1051">
        <v>19000</v>
      </c>
      <c r="E1051">
        <v>499</v>
      </c>
      <c r="F1051">
        <v>1</v>
      </c>
      <c r="G1051">
        <v>84218.384375429901</v>
      </c>
      <c r="H1051">
        <v>5.7374965999999999E-2</v>
      </c>
      <c r="I1051">
        <v>15035</v>
      </c>
      <c r="J1051">
        <v>4774</v>
      </c>
      <c r="K1051">
        <v>10261</v>
      </c>
      <c r="L1051">
        <v>500</v>
      </c>
      <c r="M1051">
        <v>499</v>
      </c>
      <c r="N1051">
        <v>1</v>
      </c>
      <c r="O1051">
        <v>17836.9147825502</v>
      </c>
      <c r="P1051" s="3" t="s">
        <v>51</v>
      </c>
      <c r="Q1051">
        <v>50</v>
      </c>
      <c r="R1051">
        <v>0.999</v>
      </c>
      <c r="S1051">
        <v>0</v>
      </c>
    </row>
    <row r="1052" spans="1:19" x14ac:dyDescent="0.2">
      <c r="A1052" s="3" t="s">
        <v>54</v>
      </c>
      <c r="B1052" s="3" t="s">
        <v>55</v>
      </c>
      <c r="C1052">
        <v>12</v>
      </c>
      <c r="D1052">
        <v>19000</v>
      </c>
      <c r="E1052">
        <v>499</v>
      </c>
      <c r="F1052">
        <v>1</v>
      </c>
      <c r="G1052">
        <v>84218.384375429901</v>
      </c>
      <c r="H1052">
        <v>5.7326666999999998E-2</v>
      </c>
      <c r="I1052">
        <v>15003</v>
      </c>
      <c r="J1052">
        <v>4751</v>
      </c>
      <c r="K1052">
        <v>10252</v>
      </c>
      <c r="L1052">
        <v>500</v>
      </c>
      <c r="M1052">
        <v>499</v>
      </c>
      <c r="N1052">
        <v>1</v>
      </c>
      <c r="O1052">
        <v>17893.8039840282</v>
      </c>
      <c r="P1052" s="3" t="s">
        <v>51</v>
      </c>
      <c r="Q1052">
        <v>50</v>
      </c>
      <c r="R1052">
        <v>0.999</v>
      </c>
      <c r="S1052">
        <v>0</v>
      </c>
    </row>
    <row r="1053" spans="1:19" x14ac:dyDescent="0.2">
      <c r="A1053" s="3" t="s">
        <v>54</v>
      </c>
      <c r="B1053" s="3" t="s">
        <v>55</v>
      </c>
      <c r="C1053">
        <v>42</v>
      </c>
      <c r="D1053">
        <v>16000</v>
      </c>
      <c r="E1053">
        <v>499</v>
      </c>
      <c r="F1053">
        <v>1</v>
      </c>
      <c r="G1053">
        <v>64781.839036288002</v>
      </c>
      <c r="H1053">
        <v>5.7268817E-2</v>
      </c>
      <c r="I1053">
        <v>13792</v>
      </c>
      <c r="J1053">
        <v>4715</v>
      </c>
      <c r="K1053">
        <v>9077</v>
      </c>
      <c r="L1053">
        <v>500</v>
      </c>
      <c r="M1053">
        <v>499</v>
      </c>
      <c r="N1053">
        <v>1</v>
      </c>
      <c r="O1053">
        <v>8516.7695146545993</v>
      </c>
      <c r="P1053" s="3" t="s">
        <v>51</v>
      </c>
      <c r="Q1053">
        <v>50</v>
      </c>
      <c r="R1053">
        <v>0.999</v>
      </c>
      <c r="S1053">
        <v>0</v>
      </c>
    </row>
    <row r="1054" spans="1:19" x14ac:dyDescent="0.2">
      <c r="A1054" s="3" t="s">
        <v>54</v>
      </c>
      <c r="B1054" s="3" t="s">
        <v>55</v>
      </c>
      <c r="C1054">
        <v>31</v>
      </c>
      <c r="D1054">
        <v>19000</v>
      </c>
      <c r="E1054">
        <v>499</v>
      </c>
      <c r="F1054">
        <v>1</v>
      </c>
      <c r="G1054">
        <v>84218.384375429901</v>
      </c>
      <c r="H1054">
        <v>5.6990938999999997E-2</v>
      </c>
      <c r="I1054">
        <v>15025</v>
      </c>
      <c r="J1054">
        <v>4796</v>
      </c>
      <c r="K1054">
        <v>10229</v>
      </c>
      <c r="L1054">
        <v>500</v>
      </c>
      <c r="M1054">
        <v>499</v>
      </c>
      <c r="N1054">
        <v>1</v>
      </c>
      <c r="O1054">
        <v>17764.5013019543</v>
      </c>
      <c r="P1054" s="3" t="s">
        <v>51</v>
      </c>
      <c r="Q1054">
        <v>50</v>
      </c>
      <c r="R1054">
        <v>0.999</v>
      </c>
      <c r="S1054">
        <v>0</v>
      </c>
    </row>
    <row r="1055" spans="1:19" x14ac:dyDescent="0.2">
      <c r="A1055" s="3" t="s">
        <v>54</v>
      </c>
      <c r="B1055" s="3" t="s">
        <v>55</v>
      </c>
      <c r="C1055">
        <v>2</v>
      </c>
      <c r="D1055">
        <v>19000</v>
      </c>
      <c r="E1055">
        <v>499</v>
      </c>
      <c r="F1055">
        <v>1</v>
      </c>
      <c r="G1055">
        <v>84218.384375429901</v>
      </c>
      <c r="H1055">
        <v>5.6988667999999999E-2</v>
      </c>
      <c r="I1055">
        <v>15026</v>
      </c>
      <c r="J1055">
        <v>4754</v>
      </c>
      <c r="K1055">
        <v>10272</v>
      </c>
      <c r="L1055">
        <v>500</v>
      </c>
      <c r="M1055">
        <v>499</v>
      </c>
      <c r="N1055">
        <v>1</v>
      </c>
      <c r="O1055">
        <v>17868.691754274601</v>
      </c>
      <c r="P1055" s="3" t="s">
        <v>51</v>
      </c>
      <c r="Q1055">
        <v>50</v>
      </c>
      <c r="R1055">
        <v>0.999</v>
      </c>
      <c r="S1055">
        <v>0</v>
      </c>
    </row>
    <row r="1056" spans="1:19" x14ac:dyDescent="0.2">
      <c r="A1056" s="3" t="s">
        <v>54</v>
      </c>
      <c r="B1056" s="3" t="s">
        <v>55</v>
      </c>
      <c r="C1056">
        <v>26</v>
      </c>
      <c r="D1056">
        <v>19000</v>
      </c>
      <c r="E1056">
        <v>499</v>
      </c>
      <c r="F1056">
        <v>1</v>
      </c>
      <c r="G1056">
        <v>84218.384375429901</v>
      </c>
      <c r="H1056">
        <v>5.6889993999999999E-2</v>
      </c>
      <c r="I1056">
        <v>15058</v>
      </c>
      <c r="J1056">
        <v>4797</v>
      </c>
      <c r="K1056">
        <v>10261</v>
      </c>
      <c r="L1056">
        <v>500</v>
      </c>
      <c r="M1056">
        <v>499</v>
      </c>
      <c r="N1056">
        <v>1</v>
      </c>
      <c r="O1056">
        <v>17669.5501447397</v>
      </c>
      <c r="P1056" s="3" t="s">
        <v>51</v>
      </c>
      <c r="Q1056">
        <v>50</v>
      </c>
      <c r="R1056">
        <v>0.999</v>
      </c>
      <c r="S1056">
        <v>0</v>
      </c>
    </row>
    <row r="1057" spans="1:19" x14ac:dyDescent="0.2">
      <c r="A1057" s="3" t="s">
        <v>54</v>
      </c>
      <c r="B1057" s="3" t="s">
        <v>55</v>
      </c>
      <c r="C1057">
        <v>15</v>
      </c>
      <c r="D1057">
        <v>16000</v>
      </c>
      <c r="E1057">
        <v>499</v>
      </c>
      <c r="F1057">
        <v>1</v>
      </c>
      <c r="G1057">
        <v>64781.839036288002</v>
      </c>
      <c r="H1057">
        <v>5.6856271999999999E-2</v>
      </c>
      <c r="I1057">
        <v>13802</v>
      </c>
      <c r="J1057">
        <v>4722</v>
      </c>
      <c r="K1057">
        <v>9080</v>
      </c>
      <c r="L1057">
        <v>500</v>
      </c>
      <c r="M1057">
        <v>499</v>
      </c>
      <c r="N1057">
        <v>1</v>
      </c>
      <c r="O1057">
        <v>8398.6714555430008</v>
      </c>
      <c r="P1057" s="3" t="s">
        <v>51</v>
      </c>
      <c r="Q1057">
        <v>50</v>
      </c>
      <c r="R1057">
        <v>0.999</v>
      </c>
      <c r="S1057">
        <v>0</v>
      </c>
    </row>
    <row r="1058" spans="1:19" x14ac:dyDescent="0.2">
      <c r="A1058" s="3" t="s">
        <v>54</v>
      </c>
      <c r="B1058" s="3" t="s">
        <v>55</v>
      </c>
      <c r="C1058">
        <v>11</v>
      </c>
      <c r="D1058">
        <v>19000</v>
      </c>
      <c r="E1058">
        <v>499</v>
      </c>
      <c r="F1058">
        <v>1</v>
      </c>
      <c r="G1058">
        <v>84218.384375429901</v>
      </c>
      <c r="H1058">
        <v>5.6825564000000002E-2</v>
      </c>
      <c r="I1058">
        <v>14991</v>
      </c>
      <c r="J1058">
        <v>4775</v>
      </c>
      <c r="K1058">
        <v>10216</v>
      </c>
      <c r="L1058">
        <v>500</v>
      </c>
      <c r="M1058">
        <v>499</v>
      </c>
      <c r="N1058">
        <v>1</v>
      </c>
      <c r="O1058">
        <v>17806.393894548099</v>
      </c>
      <c r="P1058" s="3" t="s">
        <v>51</v>
      </c>
      <c r="Q1058">
        <v>50</v>
      </c>
      <c r="R1058">
        <v>0.999</v>
      </c>
      <c r="S1058">
        <v>0</v>
      </c>
    </row>
    <row r="1059" spans="1:19" x14ac:dyDescent="0.2">
      <c r="A1059" s="3" t="s">
        <v>54</v>
      </c>
      <c r="B1059" s="3" t="s">
        <v>55</v>
      </c>
      <c r="C1059">
        <v>24</v>
      </c>
      <c r="D1059">
        <v>19000</v>
      </c>
      <c r="E1059">
        <v>499</v>
      </c>
      <c r="F1059">
        <v>1</v>
      </c>
      <c r="G1059">
        <v>84218.384375429901</v>
      </c>
      <c r="H1059">
        <v>5.6810228999999997E-2</v>
      </c>
      <c r="I1059">
        <v>15011</v>
      </c>
      <c r="J1059">
        <v>4790</v>
      </c>
      <c r="K1059">
        <v>10221</v>
      </c>
      <c r="L1059">
        <v>500</v>
      </c>
      <c r="M1059">
        <v>499</v>
      </c>
      <c r="N1059">
        <v>1</v>
      </c>
      <c r="O1059">
        <v>17701.2779615941</v>
      </c>
      <c r="P1059" s="3" t="s">
        <v>51</v>
      </c>
      <c r="Q1059">
        <v>50</v>
      </c>
      <c r="R1059">
        <v>0.999</v>
      </c>
      <c r="S1059">
        <v>0</v>
      </c>
    </row>
    <row r="1060" spans="1:19" x14ac:dyDescent="0.2">
      <c r="A1060" s="3" t="s">
        <v>54</v>
      </c>
      <c r="B1060" s="3" t="s">
        <v>55</v>
      </c>
      <c r="C1060">
        <v>29</v>
      </c>
      <c r="D1060">
        <v>16000</v>
      </c>
      <c r="E1060">
        <v>499</v>
      </c>
      <c r="F1060">
        <v>1</v>
      </c>
      <c r="G1060">
        <v>64781.839036288002</v>
      </c>
      <c r="H1060">
        <v>5.6793765000000003E-2</v>
      </c>
      <c r="I1060">
        <v>13804</v>
      </c>
      <c r="J1060">
        <v>4744</v>
      </c>
      <c r="K1060">
        <v>9060</v>
      </c>
      <c r="L1060">
        <v>500</v>
      </c>
      <c r="M1060">
        <v>499</v>
      </c>
      <c r="N1060">
        <v>1</v>
      </c>
      <c r="O1060">
        <v>8398.9436364055</v>
      </c>
      <c r="P1060" s="3" t="s">
        <v>51</v>
      </c>
      <c r="Q1060">
        <v>50</v>
      </c>
      <c r="R1060">
        <v>0.999</v>
      </c>
      <c r="S1060">
        <v>0</v>
      </c>
    </row>
    <row r="1061" spans="1:19" x14ac:dyDescent="0.2">
      <c r="A1061" s="3" t="s">
        <v>54</v>
      </c>
      <c r="B1061" s="3" t="s">
        <v>55</v>
      </c>
      <c r="C1061">
        <v>31</v>
      </c>
      <c r="D1061">
        <v>20000</v>
      </c>
      <c r="E1061">
        <v>499</v>
      </c>
      <c r="F1061">
        <v>1</v>
      </c>
      <c r="G1061">
        <v>20000</v>
      </c>
      <c r="H1061">
        <v>5.6553223999999999E-2</v>
      </c>
      <c r="I1061">
        <v>15538</v>
      </c>
      <c r="J1061">
        <v>5500</v>
      </c>
      <c r="K1061">
        <v>10038</v>
      </c>
      <c r="L1061">
        <v>500</v>
      </c>
      <c r="M1061">
        <v>499</v>
      </c>
      <c r="N1061">
        <v>1</v>
      </c>
      <c r="O1061">
        <v>4462</v>
      </c>
      <c r="P1061" s="3" t="s">
        <v>51</v>
      </c>
      <c r="Q1061">
        <v>50</v>
      </c>
      <c r="R1061">
        <v>0.999</v>
      </c>
      <c r="S1061">
        <v>1</v>
      </c>
    </row>
    <row r="1062" spans="1:19" x14ac:dyDescent="0.2">
      <c r="A1062" s="3" t="s">
        <v>54</v>
      </c>
      <c r="B1062" s="3" t="s">
        <v>55</v>
      </c>
      <c r="C1062">
        <v>1</v>
      </c>
      <c r="D1062">
        <v>19000</v>
      </c>
      <c r="E1062">
        <v>499</v>
      </c>
      <c r="F1062">
        <v>1</v>
      </c>
      <c r="G1062">
        <v>84218.384375429901</v>
      </c>
      <c r="H1062">
        <v>5.6411701000000002E-2</v>
      </c>
      <c r="I1062">
        <v>15052</v>
      </c>
      <c r="J1062">
        <v>4774</v>
      </c>
      <c r="K1062">
        <v>10278</v>
      </c>
      <c r="L1062">
        <v>500</v>
      </c>
      <c r="M1062">
        <v>499</v>
      </c>
      <c r="N1062">
        <v>1</v>
      </c>
      <c r="O1062">
        <v>17725.141129005198</v>
      </c>
      <c r="P1062" s="3" t="s">
        <v>51</v>
      </c>
      <c r="Q1062">
        <v>50</v>
      </c>
      <c r="R1062">
        <v>0.999</v>
      </c>
      <c r="S1062">
        <v>0</v>
      </c>
    </row>
    <row r="1063" spans="1:19" x14ac:dyDescent="0.2">
      <c r="A1063" s="3" t="s">
        <v>54</v>
      </c>
      <c r="B1063" s="3" t="s">
        <v>55</v>
      </c>
      <c r="C1063">
        <v>12</v>
      </c>
      <c r="D1063">
        <v>20000</v>
      </c>
      <c r="E1063">
        <v>499</v>
      </c>
      <c r="F1063">
        <v>1</v>
      </c>
      <c r="G1063">
        <v>20000</v>
      </c>
      <c r="H1063">
        <v>5.6380762000000001E-2</v>
      </c>
      <c r="I1063">
        <v>15500</v>
      </c>
      <c r="J1063">
        <v>5467</v>
      </c>
      <c r="K1063">
        <v>10033</v>
      </c>
      <c r="L1063">
        <v>500</v>
      </c>
      <c r="M1063">
        <v>499</v>
      </c>
      <c r="N1063">
        <v>1</v>
      </c>
      <c r="O1063">
        <v>4500</v>
      </c>
      <c r="P1063" s="3" t="s">
        <v>51</v>
      </c>
      <c r="Q1063">
        <v>50</v>
      </c>
      <c r="R1063">
        <v>0.999</v>
      </c>
      <c r="S1063">
        <v>1</v>
      </c>
    </row>
    <row r="1064" spans="1:19" x14ac:dyDescent="0.2">
      <c r="A1064" s="3" t="s">
        <v>54</v>
      </c>
      <c r="B1064" s="3" t="s">
        <v>55</v>
      </c>
      <c r="C1064">
        <v>17</v>
      </c>
      <c r="D1064">
        <v>16000</v>
      </c>
      <c r="E1064">
        <v>499</v>
      </c>
      <c r="F1064">
        <v>1</v>
      </c>
      <c r="G1064">
        <v>64781.839036288002</v>
      </c>
      <c r="H1064">
        <v>5.6299894000000003E-2</v>
      </c>
      <c r="I1064">
        <v>13775</v>
      </c>
      <c r="J1064">
        <v>4685</v>
      </c>
      <c r="K1064">
        <v>9090</v>
      </c>
      <c r="L1064">
        <v>500</v>
      </c>
      <c r="M1064">
        <v>499</v>
      </c>
      <c r="N1064">
        <v>1</v>
      </c>
      <c r="O1064">
        <v>8469.2359533689996</v>
      </c>
      <c r="P1064" s="3" t="s">
        <v>51</v>
      </c>
      <c r="Q1064">
        <v>50</v>
      </c>
      <c r="R1064">
        <v>0.999</v>
      </c>
      <c r="S1064">
        <v>0</v>
      </c>
    </row>
    <row r="1065" spans="1:19" x14ac:dyDescent="0.2">
      <c r="A1065" s="3" t="s">
        <v>54</v>
      </c>
      <c r="B1065" s="3" t="s">
        <v>55</v>
      </c>
      <c r="C1065">
        <v>15</v>
      </c>
      <c r="D1065">
        <v>19000</v>
      </c>
      <c r="E1065">
        <v>499</v>
      </c>
      <c r="F1065">
        <v>1</v>
      </c>
      <c r="G1065">
        <v>19000</v>
      </c>
      <c r="H1065">
        <v>5.6283092E-2</v>
      </c>
      <c r="I1065">
        <v>15210</v>
      </c>
      <c r="J1065">
        <v>5397</v>
      </c>
      <c r="K1065">
        <v>9813</v>
      </c>
      <c r="L1065">
        <v>500</v>
      </c>
      <c r="M1065">
        <v>499</v>
      </c>
      <c r="N1065">
        <v>1</v>
      </c>
      <c r="O1065">
        <v>3790</v>
      </c>
      <c r="P1065" s="3" t="s">
        <v>51</v>
      </c>
      <c r="Q1065">
        <v>50</v>
      </c>
      <c r="R1065">
        <v>0.999</v>
      </c>
      <c r="S1065">
        <v>1</v>
      </c>
    </row>
    <row r="1066" spans="1:19" x14ac:dyDescent="0.2">
      <c r="A1066" s="3" t="s">
        <v>54</v>
      </c>
      <c r="B1066" s="3" t="s">
        <v>55</v>
      </c>
      <c r="C1066">
        <v>48</v>
      </c>
      <c r="D1066">
        <v>16000</v>
      </c>
      <c r="E1066">
        <v>499</v>
      </c>
      <c r="F1066">
        <v>1</v>
      </c>
      <c r="G1066">
        <v>64781.839036288002</v>
      </c>
      <c r="H1066">
        <v>5.6200545999999997E-2</v>
      </c>
      <c r="I1066">
        <v>13802</v>
      </c>
      <c r="J1066">
        <v>4691</v>
      </c>
      <c r="K1066">
        <v>9111</v>
      </c>
      <c r="L1066">
        <v>500</v>
      </c>
      <c r="M1066">
        <v>499</v>
      </c>
      <c r="N1066">
        <v>1</v>
      </c>
      <c r="O1066">
        <v>8463.8486417390995</v>
      </c>
      <c r="P1066" s="3" t="s">
        <v>51</v>
      </c>
      <c r="Q1066">
        <v>50</v>
      </c>
      <c r="R1066">
        <v>0.999</v>
      </c>
      <c r="S1066">
        <v>0</v>
      </c>
    </row>
    <row r="1067" spans="1:19" x14ac:dyDescent="0.2">
      <c r="A1067" s="3" t="s">
        <v>54</v>
      </c>
      <c r="B1067" s="3" t="s">
        <v>55</v>
      </c>
      <c r="C1067">
        <v>2</v>
      </c>
      <c r="D1067">
        <v>16000</v>
      </c>
      <c r="E1067">
        <v>499</v>
      </c>
      <c r="F1067">
        <v>1</v>
      </c>
      <c r="G1067">
        <v>64781.839036288002</v>
      </c>
      <c r="H1067">
        <v>5.6175311999999998E-2</v>
      </c>
      <c r="I1067">
        <v>13785</v>
      </c>
      <c r="J1067">
        <v>4728</v>
      </c>
      <c r="K1067">
        <v>9057</v>
      </c>
      <c r="L1067">
        <v>500</v>
      </c>
      <c r="M1067">
        <v>499</v>
      </c>
      <c r="N1067">
        <v>1</v>
      </c>
      <c r="O1067">
        <v>8452.1364326158</v>
      </c>
      <c r="P1067" s="3" t="s">
        <v>51</v>
      </c>
      <c r="Q1067">
        <v>50</v>
      </c>
      <c r="R1067">
        <v>0.999</v>
      </c>
      <c r="S1067">
        <v>0</v>
      </c>
    </row>
    <row r="1068" spans="1:19" x14ac:dyDescent="0.2">
      <c r="A1068" s="3" t="s">
        <v>54</v>
      </c>
      <c r="B1068" s="3" t="s">
        <v>55</v>
      </c>
      <c r="C1068">
        <v>4</v>
      </c>
      <c r="D1068">
        <v>20000</v>
      </c>
      <c r="E1068">
        <v>499</v>
      </c>
      <c r="F1068">
        <v>1</v>
      </c>
      <c r="G1068">
        <v>20000</v>
      </c>
      <c r="H1068">
        <v>5.6146270999999998E-2</v>
      </c>
      <c r="I1068">
        <v>15503</v>
      </c>
      <c r="J1068">
        <v>5482</v>
      </c>
      <c r="K1068">
        <v>10021</v>
      </c>
      <c r="L1068">
        <v>500</v>
      </c>
      <c r="M1068">
        <v>499</v>
      </c>
      <c r="N1068">
        <v>1</v>
      </c>
      <c r="O1068">
        <v>4497</v>
      </c>
      <c r="P1068" s="3" t="s">
        <v>51</v>
      </c>
      <c r="Q1068">
        <v>50</v>
      </c>
      <c r="R1068">
        <v>0.999</v>
      </c>
      <c r="S1068">
        <v>1</v>
      </c>
    </row>
    <row r="1069" spans="1:19" x14ac:dyDescent="0.2">
      <c r="A1069" s="3" t="s">
        <v>54</v>
      </c>
      <c r="B1069" s="3" t="s">
        <v>55</v>
      </c>
      <c r="C1069">
        <v>3</v>
      </c>
      <c r="D1069">
        <v>19000</v>
      </c>
      <c r="E1069">
        <v>499</v>
      </c>
      <c r="F1069">
        <v>1</v>
      </c>
      <c r="G1069">
        <v>84218.384375429901</v>
      </c>
      <c r="H1069">
        <v>5.6107533000000001E-2</v>
      </c>
      <c r="I1069">
        <v>15036</v>
      </c>
      <c r="J1069">
        <v>4798</v>
      </c>
      <c r="K1069">
        <v>10238</v>
      </c>
      <c r="L1069">
        <v>500</v>
      </c>
      <c r="M1069">
        <v>499</v>
      </c>
      <c r="N1069">
        <v>1</v>
      </c>
      <c r="O1069">
        <v>17804.436984661199</v>
      </c>
      <c r="P1069" s="3" t="s">
        <v>51</v>
      </c>
      <c r="Q1069">
        <v>50</v>
      </c>
      <c r="R1069">
        <v>0.999</v>
      </c>
      <c r="S1069">
        <v>0</v>
      </c>
    </row>
    <row r="1070" spans="1:19" x14ac:dyDescent="0.2">
      <c r="A1070" s="3" t="s">
        <v>54</v>
      </c>
      <c r="B1070" s="3" t="s">
        <v>55</v>
      </c>
      <c r="C1070">
        <v>11</v>
      </c>
      <c r="D1070">
        <v>16000</v>
      </c>
      <c r="E1070">
        <v>499</v>
      </c>
      <c r="F1070">
        <v>1</v>
      </c>
      <c r="G1070">
        <v>64781.839036288002</v>
      </c>
      <c r="H1070">
        <v>5.6010694999999999E-2</v>
      </c>
      <c r="I1070">
        <v>13784</v>
      </c>
      <c r="J1070">
        <v>4662</v>
      </c>
      <c r="K1070">
        <v>9122</v>
      </c>
      <c r="L1070">
        <v>500</v>
      </c>
      <c r="M1070">
        <v>499</v>
      </c>
      <c r="N1070">
        <v>1</v>
      </c>
      <c r="O1070">
        <v>8562.9399518611008</v>
      </c>
      <c r="P1070" s="3" t="s">
        <v>51</v>
      </c>
      <c r="Q1070">
        <v>50</v>
      </c>
      <c r="R1070">
        <v>0.999</v>
      </c>
      <c r="S1070">
        <v>0</v>
      </c>
    </row>
    <row r="1071" spans="1:19" x14ac:dyDescent="0.2">
      <c r="A1071" s="3" t="s">
        <v>54</v>
      </c>
      <c r="B1071" s="3" t="s">
        <v>55</v>
      </c>
      <c r="C1071">
        <v>6</v>
      </c>
      <c r="D1071">
        <v>19000</v>
      </c>
      <c r="E1071">
        <v>499</v>
      </c>
      <c r="F1071">
        <v>1</v>
      </c>
      <c r="G1071">
        <v>19000</v>
      </c>
      <c r="H1071">
        <v>5.5905033E-2</v>
      </c>
      <c r="I1071">
        <v>15198</v>
      </c>
      <c r="J1071">
        <v>5398</v>
      </c>
      <c r="K1071">
        <v>9800</v>
      </c>
      <c r="L1071">
        <v>500</v>
      </c>
      <c r="M1071">
        <v>499</v>
      </c>
      <c r="N1071">
        <v>1</v>
      </c>
      <c r="O1071">
        <v>3802</v>
      </c>
      <c r="P1071" s="3" t="s">
        <v>51</v>
      </c>
      <c r="Q1071">
        <v>50</v>
      </c>
      <c r="R1071">
        <v>0.999</v>
      </c>
      <c r="S1071">
        <v>1</v>
      </c>
    </row>
    <row r="1072" spans="1:19" x14ac:dyDescent="0.2">
      <c r="A1072" s="3" t="s">
        <v>54</v>
      </c>
      <c r="B1072" s="3" t="s">
        <v>55</v>
      </c>
      <c r="C1072">
        <v>28</v>
      </c>
      <c r="D1072">
        <v>19000</v>
      </c>
      <c r="E1072">
        <v>499</v>
      </c>
      <c r="F1072">
        <v>1</v>
      </c>
      <c r="G1072">
        <v>84218.384375429901</v>
      </c>
      <c r="H1072">
        <v>5.5798781999999998E-2</v>
      </c>
      <c r="I1072">
        <v>14979</v>
      </c>
      <c r="J1072">
        <v>4759</v>
      </c>
      <c r="K1072">
        <v>10220</v>
      </c>
      <c r="L1072">
        <v>500</v>
      </c>
      <c r="M1072">
        <v>499</v>
      </c>
      <c r="N1072">
        <v>1</v>
      </c>
      <c r="O1072">
        <v>17873.384786544098</v>
      </c>
      <c r="P1072" s="3" t="s">
        <v>51</v>
      </c>
      <c r="Q1072">
        <v>50</v>
      </c>
      <c r="R1072">
        <v>0.999</v>
      </c>
      <c r="S1072">
        <v>0</v>
      </c>
    </row>
    <row r="1073" spans="1:19" x14ac:dyDescent="0.2">
      <c r="A1073" s="3" t="s">
        <v>54</v>
      </c>
      <c r="B1073" s="3" t="s">
        <v>55</v>
      </c>
      <c r="C1073">
        <v>10</v>
      </c>
      <c r="D1073">
        <v>20000</v>
      </c>
      <c r="E1073">
        <v>499</v>
      </c>
      <c r="F1073">
        <v>1</v>
      </c>
      <c r="G1073">
        <v>20000</v>
      </c>
      <c r="H1073">
        <v>5.5619703E-2</v>
      </c>
      <c r="I1073">
        <v>15556</v>
      </c>
      <c r="J1073">
        <v>5500</v>
      </c>
      <c r="K1073">
        <v>10056</v>
      </c>
      <c r="L1073">
        <v>500</v>
      </c>
      <c r="M1073">
        <v>499</v>
      </c>
      <c r="N1073">
        <v>1</v>
      </c>
      <c r="O1073">
        <v>4444</v>
      </c>
      <c r="P1073" s="3" t="s">
        <v>51</v>
      </c>
      <c r="Q1073">
        <v>50</v>
      </c>
      <c r="R1073">
        <v>0.999</v>
      </c>
      <c r="S1073">
        <v>1</v>
      </c>
    </row>
    <row r="1074" spans="1:19" x14ac:dyDescent="0.2">
      <c r="A1074" s="3" t="s">
        <v>54</v>
      </c>
      <c r="B1074" s="3" t="s">
        <v>55</v>
      </c>
      <c r="C1074">
        <v>4</v>
      </c>
      <c r="D1074">
        <v>19000</v>
      </c>
      <c r="E1074">
        <v>499</v>
      </c>
      <c r="F1074">
        <v>1</v>
      </c>
      <c r="G1074">
        <v>19000</v>
      </c>
      <c r="H1074">
        <v>5.5566984999999999E-2</v>
      </c>
      <c r="I1074">
        <v>15180</v>
      </c>
      <c r="J1074">
        <v>5382</v>
      </c>
      <c r="K1074">
        <v>9798</v>
      </c>
      <c r="L1074">
        <v>500</v>
      </c>
      <c r="M1074">
        <v>499</v>
      </c>
      <c r="N1074">
        <v>1</v>
      </c>
      <c r="O1074">
        <v>3820</v>
      </c>
      <c r="P1074" s="3" t="s">
        <v>51</v>
      </c>
      <c r="Q1074">
        <v>50</v>
      </c>
      <c r="R1074">
        <v>0.999</v>
      </c>
      <c r="S1074">
        <v>1</v>
      </c>
    </row>
    <row r="1075" spans="1:19" x14ac:dyDescent="0.2">
      <c r="A1075" s="3" t="s">
        <v>54</v>
      </c>
      <c r="B1075" s="3" t="s">
        <v>55</v>
      </c>
      <c r="C1075">
        <v>3</v>
      </c>
      <c r="D1075">
        <v>20000</v>
      </c>
      <c r="E1075">
        <v>499</v>
      </c>
      <c r="F1075">
        <v>1</v>
      </c>
      <c r="G1075">
        <v>20000</v>
      </c>
      <c r="H1075">
        <v>5.5510298999999999E-2</v>
      </c>
      <c r="I1075">
        <v>15537</v>
      </c>
      <c r="J1075">
        <v>5486</v>
      </c>
      <c r="K1075">
        <v>10051</v>
      </c>
      <c r="L1075">
        <v>500</v>
      </c>
      <c r="M1075">
        <v>499</v>
      </c>
      <c r="N1075">
        <v>1</v>
      </c>
      <c r="O1075">
        <v>4463</v>
      </c>
      <c r="P1075" s="3" t="s">
        <v>51</v>
      </c>
      <c r="Q1075">
        <v>50</v>
      </c>
      <c r="R1075">
        <v>0.999</v>
      </c>
      <c r="S1075">
        <v>1</v>
      </c>
    </row>
    <row r="1076" spans="1:19" x14ac:dyDescent="0.2">
      <c r="A1076" s="3" t="s">
        <v>54</v>
      </c>
      <c r="B1076" s="3" t="s">
        <v>55</v>
      </c>
      <c r="C1076">
        <v>6</v>
      </c>
      <c r="D1076">
        <v>20000</v>
      </c>
      <c r="E1076">
        <v>499</v>
      </c>
      <c r="F1076">
        <v>1</v>
      </c>
      <c r="G1076">
        <v>20000</v>
      </c>
      <c r="H1076">
        <v>5.5489828999999997E-2</v>
      </c>
      <c r="I1076">
        <v>15544</v>
      </c>
      <c r="J1076">
        <v>5477</v>
      </c>
      <c r="K1076">
        <v>10067</v>
      </c>
      <c r="L1076">
        <v>500</v>
      </c>
      <c r="M1076">
        <v>499</v>
      </c>
      <c r="N1076">
        <v>1</v>
      </c>
      <c r="O1076">
        <v>4456</v>
      </c>
      <c r="P1076" s="3" t="s">
        <v>51</v>
      </c>
      <c r="Q1076">
        <v>50</v>
      </c>
      <c r="R1076">
        <v>0.999</v>
      </c>
      <c r="S1076">
        <v>1</v>
      </c>
    </row>
    <row r="1077" spans="1:19" x14ac:dyDescent="0.2">
      <c r="A1077" s="3" t="s">
        <v>54</v>
      </c>
      <c r="B1077" s="3" t="s">
        <v>55</v>
      </c>
      <c r="C1077">
        <v>48</v>
      </c>
      <c r="D1077">
        <v>20000</v>
      </c>
      <c r="E1077">
        <v>499</v>
      </c>
      <c r="F1077">
        <v>1</v>
      </c>
      <c r="G1077">
        <v>20000</v>
      </c>
      <c r="H1077">
        <v>5.5102365E-2</v>
      </c>
      <c r="I1077">
        <v>15583</v>
      </c>
      <c r="J1077">
        <v>5534</v>
      </c>
      <c r="K1077">
        <v>10049</v>
      </c>
      <c r="L1077">
        <v>500</v>
      </c>
      <c r="M1077">
        <v>499</v>
      </c>
      <c r="N1077">
        <v>1</v>
      </c>
      <c r="O1077">
        <v>4417</v>
      </c>
      <c r="P1077" s="3" t="s">
        <v>51</v>
      </c>
      <c r="Q1077">
        <v>50</v>
      </c>
      <c r="R1077">
        <v>0.999</v>
      </c>
      <c r="S1077">
        <v>1</v>
      </c>
    </row>
    <row r="1078" spans="1:19" x14ac:dyDescent="0.2">
      <c r="A1078" s="3" t="s">
        <v>54</v>
      </c>
      <c r="B1078" s="3" t="s">
        <v>55</v>
      </c>
      <c r="C1078">
        <v>37</v>
      </c>
      <c r="D1078">
        <v>20000</v>
      </c>
      <c r="E1078">
        <v>499</v>
      </c>
      <c r="F1078">
        <v>1</v>
      </c>
      <c r="G1078">
        <v>20000</v>
      </c>
      <c r="H1078">
        <v>5.4896674999999999E-2</v>
      </c>
      <c r="I1078">
        <v>15540</v>
      </c>
      <c r="J1078">
        <v>5486</v>
      </c>
      <c r="K1078">
        <v>10054</v>
      </c>
      <c r="L1078">
        <v>500</v>
      </c>
      <c r="M1078">
        <v>499</v>
      </c>
      <c r="N1078">
        <v>1</v>
      </c>
      <c r="O1078">
        <v>4460</v>
      </c>
      <c r="P1078" s="3" t="s">
        <v>51</v>
      </c>
      <c r="Q1078">
        <v>50</v>
      </c>
      <c r="R1078">
        <v>0.999</v>
      </c>
      <c r="S1078">
        <v>1</v>
      </c>
    </row>
    <row r="1079" spans="1:19" x14ac:dyDescent="0.2">
      <c r="A1079" s="3" t="s">
        <v>54</v>
      </c>
      <c r="B1079" s="3" t="s">
        <v>55</v>
      </c>
      <c r="C1079">
        <v>13</v>
      </c>
      <c r="D1079">
        <v>19000</v>
      </c>
      <c r="E1079">
        <v>499</v>
      </c>
      <c r="F1079">
        <v>1</v>
      </c>
      <c r="G1079">
        <v>84218.384375429901</v>
      </c>
      <c r="H1079">
        <v>5.4837118999999997E-2</v>
      </c>
      <c r="I1079">
        <v>14995</v>
      </c>
      <c r="J1079">
        <v>4741</v>
      </c>
      <c r="K1079">
        <v>10254</v>
      </c>
      <c r="L1079">
        <v>500</v>
      </c>
      <c r="M1079">
        <v>499</v>
      </c>
      <c r="N1079">
        <v>1</v>
      </c>
      <c r="O1079">
        <v>17943.102730523598</v>
      </c>
      <c r="P1079" s="3" t="s">
        <v>51</v>
      </c>
      <c r="Q1079">
        <v>50</v>
      </c>
      <c r="R1079">
        <v>0.999</v>
      </c>
      <c r="S1079">
        <v>0</v>
      </c>
    </row>
    <row r="1080" spans="1:19" x14ac:dyDescent="0.2">
      <c r="A1080" s="3" t="s">
        <v>54</v>
      </c>
      <c r="B1080" s="3" t="s">
        <v>55</v>
      </c>
      <c r="C1080">
        <v>1</v>
      </c>
      <c r="D1080">
        <v>20000</v>
      </c>
      <c r="E1080">
        <v>499</v>
      </c>
      <c r="F1080">
        <v>1</v>
      </c>
      <c r="G1080">
        <v>20000</v>
      </c>
      <c r="H1080">
        <v>5.4813551000000002E-2</v>
      </c>
      <c r="I1080">
        <v>15579</v>
      </c>
      <c r="J1080">
        <v>5533</v>
      </c>
      <c r="K1080">
        <v>10046</v>
      </c>
      <c r="L1080">
        <v>500</v>
      </c>
      <c r="M1080">
        <v>499</v>
      </c>
      <c r="N1080">
        <v>1</v>
      </c>
      <c r="O1080">
        <v>4421</v>
      </c>
      <c r="P1080" s="3" t="s">
        <v>51</v>
      </c>
      <c r="Q1080">
        <v>50</v>
      </c>
      <c r="R1080">
        <v>0.999</v>
      </c>
      <c r="S1080">
        <v>1</v>
      </c>
    </row>
    <row r="1081" spans="1:19" x14ac:dyDescent="0.2">
      <c r="A1081" s="3" t="s">
        <v>54</v>
      </c>
      <c r="B1081" s="3" t="s">
        <v>55</v>
      </c>
      <c r="C1081">
        <v>34</v>
      </c>
      <c r="D1081">
        <v>18000</v>
      </c>
      <c r="E1081">
        <v>499</v>
      </c>
      <c r="F1081">
        <v>1</v>
      </c>
      <c r="G1081">
        <v>18000</v>
      </c>
      <c r="H1081">
        <v>5.4809021999999999E-2</v>
      </c>
      <c r="I1081">
        <v>14765</v>
      </c>
      <c r="J1081">
        <v>5257</v>
      </c>
      <c r="K1081">
        <v>9508</v>
      </c>
      <c r="L1081">
        <v>500</v>
      </c>
      <c r="M1081">
        <v>499</v>
      </c>
      <c r="N1081">
        <v>1</v>
      </c>
      <c r="O1081">
        <v>3235</v>
      </c>
      <c r="P1081" s="3" t="s">
        <v>51</v>
      </c>
      <c r="Q1081">
        <v>50</v>
      </c>
      <c r="R1081">
        <v>0.999</v>
      </c>
      <c r="S1081">
        <v>1</v>
      </c>
    </row>
    <row r="1082" spans="1:19" x14ac:dyDescent="0.2">
      <c r="A1082" s="3" t="s">
        <v>54</v>
      </c>
      <c r="B1082" s="3" t="s">
        <v>55</v>
      </c>
      <c r="C1082">
        <v>11</v>
      </c>
      <c r="D1082">
        <v>19000</v>
      </c>
      <c r="E1082">
        <v>499</v>
      </c>
      <c r="F1082">
        <v>1</v>
      </c>
      <c r="G1082">
        <v>19000</v>
      </c>
      <c r="H1082">
        <v>5.4794832000000002E-2</v>
      </c>
      <c r="I1082">
        <v>15181</v>
      </c>
      <c r="J1082">
        <v>5373</v>
      </c>
      <c r="K1082">
        <v>9808</v>
      </c>
      <c r="L1082">
        <v>500</v>
      </c>
      <c r="M1082">
        <v>499</v>
      </c>
      <c r="N1082">
        <v>1</v>
      </c>
      <c r="O1082">
        <v>3819</v>
      </c>
      <c r="P1082" s="3" t="s">
        <v>51</v>
      </c>
      <c r="Q1082">
        <v>50</v>
      </c>
      <c r="R1082">
        <v>0.999</v>
      </c>
      <c r="S1082">
        <v>1</v>
      </c>
    </row>
    <row r="1083" spans="1:19" x14ac:dyDescent="0.2">
      <c r="A1083" s="3" t="s">
        <v>54</v>
      </c>
      <c r="B1083" s="3" t="s">
        <v>55</v>
      </c>
      <c r="C1083">
        <v>50</v>
      </c>
      <c r="D1083">
        <v>20000</v>
      </c>
      <c r="E1083">
        <v>499</v>
      </c>
      <c r="F1083">
        <v>1</v>
      </c>
      <c r="G1083">
        <v>20000</v>
      </c>
      <c r="H1083">
        <v>5.4791265999999998E-2</v>
      </c>
      <c r="I1083">
        <v>15542</v>
      </c>
      <c r="J1083">
        <v>5504</v>
      </c>
      <c r="K1083">
        <v>10038</v>
      </c>
      <c r="L1083">
        <v>500</v>
      </c>
      <c r="M1083">
        <v>499</v>
      </c>
      <c r="N1083">
        <v>1</v>
      </c>
      <c r="O1083">
        <v>4458</v>
      </c>
      <c r="P1083" s="3" t="s">
        <v>51</v>
      </c>
      <c r="Q1083">
        <v>50</v>
      </c>
      <c r="R1083">
        <v>0.999</v>
      </c>
      <c r="S1083">
        <v>1</v>
      </c>
    </row>
    <row r="1084" spans="1:19" x14ac:dyDescent="0.2">
      <c r="A1084" s="3" t="s">
        <v>54</v>
      </c>
      <c r="B1084" s="3" t="s">
        <v>55</v>
      </c>
      <c r="C1084">
        <v>8</v>
      </c>
      <c r="D1084">
        <v>20000</v>
      </c>
      <c r="E1084">
        <v>499</v>
      </c>
      <c r="F1084">
        <v>1</v>
      </c>
      <c r="G1084">
        <v>20000</v>
      </c>
      <c r="H1084">
        <v>5.4786381000000002E-2</v>
      </c>
      <c r="I1084">
        <v>15557</v>
      </c>
      <c r="J1084">
        <v>5514</v>
      </c>
      <c r="K1084">
        <v>10043</v>
      </c>
      <c r="L1084">
        <v>500</v>
      </c>
      <c r="M1084">
        <v>499</v>
      </c>
      <c r="N1084">
        <v>1</v>
      </c>
      <c r="O1084">
        <v>4443</v>
      </c>
      <c r="P1084" s="3" t="s">
        <v>51</v>
      </c>
      <c r="Q1084">
        <v>50</v>
      </c>
      <c r="R1084">
        <v>0.999</v>
      </c>
      <c r="S1084">
        <v>1</v>
      </c>
    </row>
    <row r="1085" spans="1:19" x14ac:dyDescent="0.2">
      <c r="A1085" s="3" t="s">
        <v>54</v>
      </c>
      <c r="B1085" s="3" t="s">
        <v>55</v>
      </c>
      <c r="C1085">
        <v>42</v>
      </c>
      <c r="D1085">
        <v>20000</v>
      </c>
      <c r="E1085">
        <v>499</v>
      </c>
      <c r="F1085">
        <v>1</v>
      </c>
      <c r="G1085">
        <v>20000</v>
      </c>
      <c r="H1085">
        <v>5.4728731000000003E-2</v>
      </c>
      <c r="I1085">
        <v>15526</v>
      </c>
      <c r="J1085">
        <v>5488</v>
      </c>
      <c r="K1085">
        <v>10038</v>
      </c>
      <c r="L1085">
        <v>500</v>
      </c>
      <c r="M1085">
        <v>499</v>
      </c>
      <c r="N1085">
        <v>1</v>
      </c>
      <c r="O1085">
        <v>4474</v>
      </c>
      <c r="P1085" s="3" t="s">
        <v>51</v>
      </c>
      <c r="Q1085">
        <v>50</v>
      </c>
      <c r="R1085">
        <v>0.999</v>
      </c>
      <c r="S1085">
        <v>1</v>
      </c>
    </row>
    <row r="1086" spans="1:19" x14ac:dyDescent="0.2">
      <c r="A1086" s="3" t="s">
        <v>54</v>
      </c>
      <c r="B1086" s="3" t="s">
        <v>55</v>
      </c>
      <c r="C1086">
        <v>24</v>
      </c>
      <c r="D1086">
        <v>20000</v>
      </c>
      <c r="E1086">
        <v>499</v>
      </c>
      <c r="F1086">
        <v>1</v>
      </c>
      <c r="G1086">
        <v>20000</v>
      </c>
      <c r="H1086">
        <v>5.4715925999999998E-2</v>
      </c>
      <c r="I1086">
        <v>15558</v>
      </c>
      <c r="J1086">
        <v>5519</v>
      </c>
      <c r="K1086">
        <v>10039</v>
      </c>
      <c r="L1086">
        <v>500</v>
      </c>
      <c r="M1086">
        <v>499</v>
      </c>
      <c r="N1086">
        <v>1</v>
      </c>
      <c r="O1086">
        <v>4442</v>
      </c>
      <c r="P1086" s="3" t="s">
        <v>51</v>
      </c>
      <c r="Q1086">
        <v>50</v>
      </c>
      <c r="R1086">
        <v>0.999</v>
      </c>
      <c r="S1086">
        <v>1</v>
      </c>
    </row>
    <row r="1087" spans="1:19" x14ac:dyDescent="0.2">
      <c r="A1087" s="3" t="s">
        <v>54</v>
      </c>
      <c r="B1087" s="3" t="s">
        <v>55</v>
      </c>
      <c r="C1087">
        <v>41</v>
      </c>
      <c r="D1087">
        <v>20000</v>
      </c>
      <c r="E1087">
        <v>499</v>
      </c>
      <c r="F1087">
        <v>1</v>
      </c>
      <c r="G1087">
        <v>20000</v>
      </c>
      <c r="H1087">
        <v>5.4706101E-2</v>
      </c>
      <c r="I1087">
        <v>15533</v>
      </c>
      <c r="J1087">
        <v>5488</v>
      </c>
      <c r="K1087">
        <v>10045</v>
      </c>
      <c r="L1087">
        <v>500</v>
      </c>
      <c r="M1087">
        <v>499</v>
      </c>
      <c r="N1087">
        <v>1</v>
      </c>
      <c r="O1087">
        <v>4467</v>
      </c>
      <c r="P1087" s="3" t="s">
        <v>51</v>
      </c>
      <c r="Q1087">
        <v>50</v>
      </c>
      <c r="R1087">
        <v>0.999</v>
      </c>
      <c r="S1087">
        <v>1</v>
      </c>
    </row>
    <row r="1088" spans="1:19" x14ac:dyDescent="0.2">
      <c r="A1088" s="3" t="s">
        <v>54</v>
      </c>
      <c r="B1088" s="3" t="s">
        <v>55</v>
      </c>
      <c r="C1088">
        <v>10</v>
      </c>
      <c r="D1088">
        <v>19000</v>
      </c>
      <c r="E1088">
        <v>499</v>
      </c>
      <c r="F1088">
        <v>1</v>
      </c>
      <c r="G1088">
        <v>19000</v>
      </c>
      <c r="H1088">
        <v>5.4678498999999998E-2</v>
      </c>
      <c r="I1088">
        <v>15210</v>
      </c>
      <c r="J1088">
        <v>5397</v>
      </c>
      <c r="K1088">
        <v>9813</v>
      </c>
      <c r="L1088">
        <v>500</v>
      </c>
      <c r="M1088">
        <v>499</v>
      </c>
      <c r="N1088">
        <v>1</v>
      </c>
      <c r="O1088">
        <v>3790</v>
      </c>
      <c r="P1088" s="3" t="s">
        <v>51</v>
      </c>
      <c r="Q1088">
        <v>50</v>
      </c>
      <c r="R1088">
        <v>0.999</v>
      </c>
      <c r="S1088">
        <v>1</v>
      </c>
    </row>
    <row r="1089" spans="1:19" x14ac:dyDescent="0.2">
      <c r="A1089" s="3" t="s">
        <v>54</v>
      </c>
      <c r="B1089" s="3" t="s">
        <v>55</v>
      </c>
      <c r="C1089">
        <v>5</v>
      </c>
      <c r="D1089">
        <v>20000</v>
      </c>
      <c r="E1089">
        <v>499</v>
      </c>
      <c r="F1089">
        <v>1</v>
      </c>
      <c r="G1089">
        <v>20000</v>
      </c>
      <c r="H1089">
        <v>5.4602820000000003E-2</v>
      </c>
      <c r="I1089">
        <v>15497</v>
      </c>
      <c r="J1089">
        <v>5472</v>
      </c>
      <c r="K1089">
        <v>10025</v>
      </c>
      <c r="L1089">
        <v>500</v>
      </c>
      <c r="M1089">
        <v>499</v>
      </c>
      <c r="N1089">
        <v>1</v>
      </c>
      <c r="O1089">
        <v>4503</v>
      </c>
      <c r="P1089" s="3" t="s">
        <v>51</v>
      </c>
      <c r="Q1089">
        <v>50</v>
      </c>
      <c r="R1089">
        <v>0.999</v>
      </c>
      <c r="S1089">
        <v>1</v>
      </c>
    </row>
    <row r="1090" spans="1:19" x14ac:dyDescent="0.2">
      <c r="A1090" s="3" t="s">
        <v>54</v>
      </c>
      <c r="B1090" s="3" t="s">
        <v>55</v>
      </c>
      <c r="C1090">
        <v>32</v>
      </c>
      <c r="D1090">
        <v>20000</v>
      </c>
      <c r="E1090">
        <v>499</v>
      </c>
      <c r="F1090">
        <v>1</v>
      </c>
      <c r="G1090">
        <v>20000</v>
      </c>
      <c r="H1090">
        <v>5.4527836000000003E-2</v>
      </c>
      <c r="I1090">
        <v>15511</v>
      </c>
      <c r="J1090">
        <v>5473</v>
      </c>
      <c r="K1090">
        <v>10038</v>
      </c>
      <c r="L1090">
        <v>500</v>
      </c>
      <c r="M1090">
        <v>499</v>
      </c>
      <c r="N1090">
        <v>1</v>
      </c>
      <c r="O1090">
        <v>4489</v>
      </c>
      <c r="P1090" s="3" t="s">
        <v>51</v>
      </c>
      <c r="Q1090">
        <v>50</v>
      </c>
      <c r="R1090">
        <v>0.999</v>
      </c>
      <c r="S1090">
        <v>1</v>
      </c>
    </row>
    <row r="1091" spans="1:19" x14ac:dyDescent="0.2">
      <c r="A1091" s="3" t="s">
        <v>54</v>
      </c>
      <c r="B1091" s="3" t="s">
        <v>55</v>
      </c>
      <c r="C1091">
        <v>7</v>
      </c>
      <c r="D1091">
        <v>20000</v>
      </c>
      <c r="E1091">
        <v>499</v>
      </c>
      <c r="F1091">
        <v>1</v>
      </c>
      <c r="G1091">
        <v>20000</v>
      </c>
      <c r="H1091">
        <v>5.4519842999999998E-2</v>
      </c>
      <c r="I1091">
        <v>15536</v>
      </c>
      <c r="J1091">
        <v>5493</v>
      </c>
      <c r="K1091">
        <v>10043</v>
      </c>
      <c r="L1091">
        <v>500</v>
      </c>
      <c r="M1091">
        <v>499</v>
      </c>
      <c r="N1091">
        <v>1</v>
      </c>
      <c r="O1091">
        <v>4464</v>
      </c>
      <c r="P1091" s="3" t="s">
        <v>51</v>
      </c>
      <c r="Q1091">
        <v>50</v>
      </c>
      <c r="R1091">
        <v>0.999</v>
      </c>
      <c r="S1091">
        <v>1</v>
      </c>
    </row>
    <row r="1092" spans="1:19" x14ac:dyDescent="0.2">
      <c r="A1092" s="3" t="s">
        <v>54</v>
      </c>
      <c r="B1092" s="3" t="s">
        <v>55</v>
      </c>
      <c r="C1092">
        <v>16</v>
      </c>
      <c r="D1092">
        <v>20000</v>
      </c>
      <c r="E1092">
        <v>499</v>
      </c>
      <c r="F1092">
        <v>1</v>
      </c>
      <c r="G1092">
        <v>20000</v>
      </c>
      <c r="H1092">
        <v>5.4496403999999998E-2</v>
      </c>
      <c r="I1092">
        <v>15597</v>
      </c>
      <c r="J1092">
        <v>5502</v>
      </c>
      <c r="K1092">
        <v>10095</v>
      </c>
      <c r="L1092">
        <v>500</v>
      </c>
      <c r="M1092">
        <v>499</v>
      </c>
      <c r="N1092">
        <v>1</v>
      </c>
      <c r="O1092">
        <v>4403</v>
      </c>
      <c r="P1092" s="3" t="s">
        <v>51</v>
      </c>
      <c r="Q1092">
        <v>50</v>
      </c>
      <c r="R1092">
        <v>0.999</v>
      </c>
      <c r="S1092">
        <v>1</v>
      </c>
    </row>
    <row r="1093" spans="1:19" x14ac:dyDescent="0.2">
      <c r="A1093" s="3" t="s">
        <v>54</v>
      </c>
      <c r="B1093" s="3" t="s">
        <v>55</v>
      </c>
      <c r="C1093">
        <v>2</v>
      </c>
      <c r="D1093">
        <v>20000</v>
      </c>
      <c r="E1093">
        <v>499</v>
      </c>
      <c r="F1093">
        <v>1</v>
      </c>
      <c r="G1093">
        <v>20000</v>
      </c>
      <c r="H1093">
        <v>5.4446749000000003E-2</v>
      </c>
      <c r="I1093">
        <v>15537</v>
      </c>
      <c r="J1093">
        <v>5507</v>
      </c>
      <c r="K1093">
        <v>10030</v>
      </c>
      <c r="L1093">
        <v>500</v>
      </c>
      <c r="M1093">
        <v>499</v>
      </c>
      <c r="N1093">
        <v>1</v>
      </c>
      <c r="O1093">
        <v>4463</v>
      </c>
      <c r="P1093" s="3" t="s">
        <v>51</v>
      </c>
      <c r="Q1093">
        <v>50</v>
      </c>
      <c r="R1093">
        <v>0.999</v>
      </c>
      <c r="S1093">
        <v>1</v>
      </c>
    </row>
    <row r="1094" spans="1:19" x14ac:dyDescent="0.2">
      <c r="A1094" s="3" t="s">
        <v>54</v>
      </c>
      <c r="B1094" s="3" t="s">
        <v>55</v>
      </c>
      <c r="C1094">
        <v>44</v>
      </c>
      <c r="D1094">
        <v>20000</v>
      </c>
      <c r="E1094">
        <v>499</v>
      </c>
      <c r="F1094">
        <v>1</v>
      </c>
      <c r="G1094">
        <v>20000</v>
      </c>
      <c r="H1094">
        <v>5.4444988E-2</v>
      </c>
      <c r="I1094">
        <v>15551</v>
      </c>
      <c r="J1094">
        <v>5495</v>
      </c>
      <c r="K1094">
        <v>10056</v>
      </c>
      <c r="L1094">
        <v>500</v>
      </c>
      <c r="M1094">
        <v>499</v>
      </c>
      <c r="N1094">
        <v>1</v>
      </c>
      <c r="O1094">
        <v>4449</v>
      </c>
      <c r="P1094" s="3" t="s">
        <v>51</v>
      </c>
      <c r="Q1094">
        <v>50</v>
      </c>
      <c r="R1094">
        <v>0.999</v>
      </c>
      <c r="S1094">
        <v>1</v>
      </c>
    </row>
    <row r="1095" spans="1:19" x14ac:dyDescent="0.2">
      <c r="A1095" s="3" t="s">
        <v>54</v>
      </c>
      <c r="B1095" s="3" t="s">
        <v>55</v>
      </c>
      <c r="C1095">
        <v>25</v>
      </c>
      <c r="D1095">
        <v>20000</v>
      </c>
      <c r="E1095">
        <v>499</v>
      </c>
      <c r="F1095">
        <v>1</v>
      </c>
      <c r="G1095">
        <v>20000</v>
      </c>
      <c r="H1095">
        <v>5.4423593999999999E-2</v>
      </c>
      <c r="I1095">
        <v>15536</v>
      </c>
      <c r="J1095">
        <v>5487</v>
      </c>
      <c r="K1095">
        <v>10049</v>
      </c>
      <c r="L1095">
        <v>500</v>
      </c>
      <c r="M1095">
        <v>499</v>
      </c>
      <c r="N1095">
        <v>1</v>
      </c>
      <c r="O1095">
        <v>4464</v>
      </c>
      <c r="P1095" s="3" t="s">
        <v>51</v>
      </c>
      <c r="Q1095">
        <v>50</v>
      </c>
      <c r="R1095">
        <v>0.999</v>
      </c>
      <c r="S1095">
        <v>1</v>
      </c>
    </row>
    <row r="1096" spans="1:19" x14ac:dyDescent="0.2">
      <c r="A1096" s="3" t="s">
        <v>54</v>
      </c>
      <c r="B1096" s="3" t="s">
        <v>55</v>
      </c>
      <c r="C1096">
        <v>11</v>
      </c>
      <c r="D1096">
        <v>20000</v>
      </c>
      <c r="E1096">
        <v>499</v>
      </c>
      <c r="F1096">
        <v>1</v>
      </c>
      <c r="G1096">
        <v>20000</v>
      </c>
      <c r="H1096">
        <v>5.4299990999999999E-2</v>
      </c>
      <c r="I1096">
        <v>15554</v>
      </c>
      <c r="J1096">
        <v>5500</v>
      </c>
      <c r="K1096">
        <v>10054</v>
      </c>
      <c r="L1096">
        <v>500</v>
      </c>
      <c r="M1096">
        <v>499</v>
      </c>
      <c r="N1096">
        <v>1</v>
      </c>
      <c r="O1096">
        <v>4446</v>
      </c>
      <c r="P1096" s="3" t="s">
        <v>51</v>
      </c>
      <c r="Q1096">
        <v>50</v>
      </c>
      <c r="R1096">
        <v>0.999</v>
      </c>
      <c r="S1096">
        <v>1</v>
      </c>
    </row>
    <row r="1097" spans="1:19" x14ac:dyDescent="0.2">
      <c r="A1097" s="3" t="s">
        <v>54</v>
      </c>
      <c r="B1097" s="3" t="s">
        <v>55</v>
      </c>
      <c r="C1097">
        <v>14</v>
      </c>
      <c r="D1097">
        <v>20000</v>
      </c>
      <c r="E1097">
        <v>499</v>
      </c>
      <c r="F1097">
        <v>1</v>
      </c>
      <c r="G1097">
        <v>20000</v>
      </c>
      <c r="H1097">
        <v>5.4290273999999999E-2</v>
      </c>
      <c r="I1097">
        <v>15546</v>
      </c>
      <c r="J1097">
        <v>5503</v>
      </c>
      <c r="K1097">
        <v>10043</v>
      </c>
      <c r="L1097">
        <v>500</v>
      </c>
      <c r="M1097">
        <v>499</v>
      </c>
      <c r="N1097">
        <v>1</v>
      </c>
      <c r="O1097">
        <v>4454</v>
      </c>
      <c r="P1097" s="3" t="s">
        <v>51</v>
      </c>
      <c r="Q1097">
        <v>50</v>
      </c>
      <c r="R1097">
        <v>0.999</v>
      </c>
      <c r="S1097">
        <v>1</v>
      </c>
    </row>
    <row r="1098" spans="1:19" x14ac:dyDescent="0.2">
      <c r="A1098" s="3" t="s">
        <v>54</v>
      </c>
      <c r="B1098" s="3" t="s">
        <v>55</v>
      </c>
      <c r="C1098">
        <v>38</v>
      </c>
      <c r="D1098">
        <v>20000</v>
      </c>
      <c r="E1098">
        <v>499</v>
      </c>
      <c r="F1098">
        <v>1</v>
      </c>
      <c r="G1098">
        <v>20000</v>
      </c>
      <c r="H1098">
        <v>5.4283379999999999E-2</v>
      </c>
      <c r="I1098">
        <v>15551</v>
      </c>
      <c r="J1098">
        <v>5508</v>
      </c>
      <c r="K1098">
        <v>10043</v>
      </c>
      <c r="L1098">
        <v>500</v>
      </c>
      <c r="M1098">
        <v>499</v>
      </c>
      <c r="N1098">
        <v>1</v>
      </c>
      <c r="O1098">
        <v>4449</v>
      </c>
      <c r="P1098" s="3" t="s">
        <v>51</v>
      </c>
      <c r="Q1098">
        <v>50</v>
      </c>
      <c r="R1098">
        <v>0.999</v>
      </c>
      <c r="S1098">
        <v>1</v>
      </c>
    </row>
    <row r="1099" spans="1:19" x14ac:dyDescent="0.2">
      <c r="A1099" s="3" t="s">
        <v>54</v>
      </c>
      <c r="B1099" s="3" t="s">
        <v>55</v>
      </c>
      <c r="C1099">
        <v>49</v>
      </c>
      <c r="D1099">
        <v>20000</v>
      </c>
      <c r="E1099">
        <v>499</v>
      </c>
      <c r="F1099">
        <v>1</v>
      </c>
      <c r="G1099">
        <v>20000</v>
      </c>
      <c r="H1099">
        <v>5.4278860999999998E-2</v>
      </c>
      <c r="I1099">
        <v>15543</v>
      </c>
      <c r="J1099">
        <v>5469</v>
      </c>
      <c r="K1099">
        <v>10074</v>
      </c>
      <c r="L1099">
        <v>500</v>
      </c>
      <c r="M1099">
        <v>499</v>
      </c>
      <c r="N1099">
        <v>1</v>
      </c>
      <c r="O1099">
        <v>4457</v>
      </c>
      <c r="P1099" s="3" t="s">
        <v>51</v>
      </c>
      <c r="Q1099">
        <v>50</v>
      </c>
      <c r="R1099">
        <v>0.999</v>
      </c>
      <c r="S1099">
        <v>1</v>
      </c>
    </row>
    <row r="1100" spans="1:19" x14ac:dyDescent="0.2">
      <c r="A1100" s="3" t="s">
        <v>54</v>
      </c>
      <c r="B1100" s="3" t="s">
        <v>55</v>
      </c>
      <c r="C1100">
        <v>29</v>
      </c>
      <c r="D1100">
        <v>20000</v>
      </c>
      <c r="E1100">
        <v>499</v>
      </c>
      <c r="F1100">
        <v>1</v>
      </c>
      <c r="G1100">
        <v>20000</v>
      </c>
      <c r="H1100">
        <v>5.4249134999999997E-2</v>
      </c>
      <c r="I1100">
        <v>15551</v>
      </c>
      <c r="J1100">
        <v>5499</v>
      </c>
      <c r="K1100">
        <v>10052</v>
      </c>
      <c r="L1100">
        <v>500</v>
      </c>
      <c r="M1100">
        <v>499</v>
      </c>
      <c r="N1100">
        <v>1</v>
      </c>
      <c r="O1100">
        <v>4449</v>
      </c>
      <c r="P1100" s="3" t="s">
        <v>51</v>
      </c>
      <c r="Q1100">
        <v>50</v>
      </c>
      <c r="R1100">
        <v>0.999</v>
      </c>
      <c r="S1100">
        <v>1</v>
      </c>
    </row>
    <row r="1101" spans="1:19" x14ac:dyDescent="0.2">
      <c r="A1101" s="3" t="s">
        <v>54</v>
      </c>
      <c r="B1101" s="3" t="s">
        <v>55</v>
      </c>
      <c r="C1101">
        <v>46</v>
      </c>
      <c r="D1101">
        <v>20000</v>
      </c>
      <c r="E1101">
        <v>499</v>
      </c>
      <c r="F1101">
        <v>1</v>
      </c>
      <c r="G1101">
        <v>20000</v>
      </c>
      <c r="H1101">
        <v>5.4224888999999998E-2</v>
      </c>
      <c r="I1101">
        <v>15541</v>
      </c>
      <c r="J1101">
        <v>5497</v>
      </c>
      <c r="K1101">
        <v>10044</v>
      </c>
      <c r="L1101">
        <v>500</v>
      </c>
      <c r="M1101">
        <v>499</v>
      </c>
      <c r="N1101">
        <v>1</v>
      </c>
      <c r="O1101">
        <v>4459</v>
      </c>
      <c r="P1101" s="3" t="s">
        <v>51</v>
      </c>
      <c r="Q1101">
        <v>50</v>
      </c>
      <c r="R1101">
        <v>0.999</v>
      </c>
      <c r="S1101">
        <v>1</v>
      </c>
    </row>
    <row r="1102" spans="1:19" x14ac:dyDescent="0.2">
      <c r="A1102" s="3" t="s">
        <v>54</v>
      </c>
      <c r="B1102" s="3" t="s">
        <v>55</v>
      </c>
      <c r="C1102">
        <v>35</v>
      </c>
      <c r="D1102">
        <v>20000</v>
      </c>
      <c r="E1102">
        <v>499</v>
      </c>
      <c r="F1102">
        <v>1</v>
      </c>
      <c r="G1102">
        <v>20000</v>
      </c>
      <c r="H1102">
        <v>5.4168945000000003E-2</v>
      </c>
      <c r="I1102">
        <v>15557</v>
      </c>
      <c r="J1102">
        <v>5518</v>
      </c>
      <c r="K1102">
        <v>10039</v>
      </c>
      <c r="L1102">
        <v>500</v>
      </c>
      <c r="M1102">
        <v>499</v>
      </c>
      <c r="N1102">
        <v>1</v>
      </c>
      <c r="O1102">
        <v>4443</v>
      </c>
      <c r="P1102" s="3" t="s">
        <v>51</v>
      </c>
      <c r="Q1102">
        <v>50</v>
      </c>
      <c r="R1102">
        <v>0.999</v>
      </c>
      <c r="S1102">
        <v>1</v>
      </c>
    </row>
    <row r="1103" spans="1:19" x14ac:dyDescent="0.2">
      <c r="A1103" s="3" t="s">
        <v>54</v>
      </c>
      <c r="B1103" s="3" t="s">
        <v>55</v>
      </c>
      <c r="C1103">
        <v>20</v>
      </c>
      <c r="D1103">
        <v>20000</v>
      </c>
      <c r="E1103">
        <v>499</v>
      </c>
      <c r="F1103">
        <v>1</v>
      </c>
      <c r="G1103">
        <v>20000</v>
      </c>
      <c r="H1103">
        <v>5.4129113999999999E-2</v>
      </c>
      <c r="I1103">
        <v>15517</v>
      </c>
      <c r="J1103">
        <v>5526</v>
      </c>
      <c r="K1103">
        <v>9991</v>
      </c>
      <c r="L1103">
        <v>500</v>
      </c>
      <c r="M1103">
        <v>499</v>
      </c>
      <c r="N1103">
        <v>1</v>
      </c>
      <c r="O1103">
        <v>4483</v>
      </c>
      <c r="P1103" s="3" t="s">
        <v>51</v>
      </c>
      <c r="Q1103">
        <v>50</v>
      </c>
      <c r="R1103">
        <v>0.999</v>
      </c>
      <c r="S1103">
        <v>1</v>
      </c>
    </row>
    <row r="1104" spans="1:19" x14ac:dyDescent="0.2">
      <c r="A1104" s="3" t="s">
        <v>54</v>
      </c>
      <c r="B1104" s="3" t="s">
        <v>55</v>
      </c>
      <c r="C1104">
        <v>45</v>
      </c>
      <c r="D1104">
        <v>20000</v>
      </c>
      <c r="E1104">
        <v>499</v>
      </c>
      <c r="F1104">
        <v>1</v>
      </c>
      <c r="G1104">
        <v>20000</v>
      </c>
      <c r="H1104">
        <v>5.4025156999999997E-2</v>
      </c>
      <c r="I1104">
        <v>15559</v>
      </c>
      <c r="J1104">
        <v>5480</v>
      </c>
      <c r="K1104">
        <v>10079</v>
      </c>
      <c r="L1104">
        <v>500</v>
      </c>
      <c r="M1104">
        <v>499</v>
      </c>
      <c r="N1104">
        <v>1</v>
      </c>
      <c r="O1104">
        <v>4441</v>
      </c>
      <c r="P1104" s="3" t="s">
        <v>51</v>
      </c>
      <c r="Q1104">
        <v>50</v>
      </c>
      <c r="R1104">
        <v>0.999</v>
      </c>
      <c r="S1104">
        <v>1</v>
      </c>
    </row>
    <row r="1105" spans="1:19" x14ac:dyDescent="0.2">
      <c r="A1105" s="3" t="s">
        <v>54</v>
      </c>
      <c r="B1105" s="3" t="s">
        <v>55</v>
      </c>
      <c r="C1105">
        <v>19</v>
      </c>
      <c r="D1105">
        <v>20000</v>
      </c>
      <c r="E1105">
        <v>499</v>
      </c>
      <c r="F1105">
        <v>1</v>
      </c>
      <c r="G1105">
        <v>20000</v>
      </c>
      <c r="H1105">
        <v>5.4020454000000002E-2</v>
      </c>
      <c r="I1105">
        <v>15549</v>
      </c>
      <c r="J1105">
        <v>5503</v>
      </c>
      <c r="K1105">
        <v>10046</v>
      </c>
      <c r="L1105">
        <v>500</v>
      </c>
      <c r="M1105">
        <v>499</v>
      </c>
      <c r="N1105">
        <v>1</v>
      </c>
      <c r="O1105">
        <v>4451</v>
      </c>
      <c r="P1105" s="3" t="s">
        <v>51</v>
      </c>
      <c r="Q1105">
        <v>50</v>
      </c>
      <c r="R1105">
        <v>0.999</v>
      </c>
      <c r="S1105">
        <v>1</v>
      </c>
    </row>
    <row r="1106" spans="1:19" x14ac:dyDescent="0.2">
      <c r="A1106" s="3" t="s">
        <v>54</v>
      </c>
      <c r="B1106" s="3" t="s">
        <v>55</v>
      </c>
      <c r="C1106">
        <v>22</v>
      </c>
      <c r="D1106">
        <v>20000</v>
      </c>
      <c r="E1106">
        <v>499</v>
      </c>
      <c r="F1106">
        <v>1</v>
      </c>
      <c r="G1106">
        <v>20000</v>
      </c>
      <c r="H1106">
        <v>5.4003660000000002E-2</v>
      </c>
      <c r="I1106">
        <v>15529</v>
      </c>
      <c r="J1106">
        <v>5481</v>
      </c>
      <c r="K1106">
        <v>10048</v>
      </c>
      <c r="L1106">
        <v>500</v>
      </c>
      <c r="M1106">
        <v>499</v>
      </c>
      <c r="N1106">
        <v>1</v>
      </c>
      <c r="O1106">
        <v>4471</v>
      </c>
      <c r="P1106" s="3" t="s">
        <v>51</v>
      </c>
      <c r="Q1106">
        <v>50</v>
      </c>
      <c r="R1106">
        <v>0.999</v>
      </c>
      <c r="S1106">
        <v>1</v>
      </c>
    </row>
    <row r="1107" spans="1:19" x14ac:dyDescent="0.2">
      <c r="A1107" s="3" t="s">
        <v>54</v>
      </c>
      <c r="B1107" s="3" t="s">
        <v>55</v>
      </c>
      <c r="C1107">
        <v>21</v>
      </c>
      <c r="D1107">
        <v>20000</v>
      </c>
      <c r="E1107">
        <v>499</v>
      </c>
      <c r="F1107">
        <v>1</v>
      </c>
      <c r="G1107">
        <v>20000</v>
      </c>
      <c r="H1107">
        <v>5.3980590000000002E-2</v>
      </c>
      <c r="I1107">
        <v>15537</v>
      </c>
      <c r="J1107">
        <v>5498</v>
      </c>
      <c r="K1107">
        <v>10039</v>
      </c>
      <c r="L1107">
        <v>500</v>
      </c>
      <c r="M1107">
        <v>499</v>
      </c>
      <c r="N1107">
        <v>1</v>
      </c>
      <c r="O1107">
        <v>4463</v>
      </c>
      <c r="P1107" s="3" t="s">
        <v>51</v>
      </c>
      <c r="Q1107">
        <v>50</v>
      </c>
      <c r="R1107">
        <v>0.999</v>
      </c>
      <c r="S1107">
        <v>1</v>
      </c>
    </row>
    <row r="1108" spans="1:19" x14ac:dyDescent="0.2">
      <c r="A1108" s="3" t="s">
        <v>54</v>
      </c>
      <c r="B1108" s="3" t="s">
        <v>55</v>
      </c>
      <c r="C1108">
        <v>43</v>
      </c>
      <c r="D1108">
        <v>20000</v>
      </c>
      <c r="E1108">
        <v>499</v>
      </c>
      <c r="F1108">
        <v>1</v>
      </c>
      <c r="G1108">
        <v>20000</v>
      </c>
      <c r="H1108">
        <v>5.3953940999999998E-2</v>
      </c>
      <c r="I1108">
        <v>15497</v>
      </c>
      <c r="J1108">
        <v>5462</v>
      </c>
      <c r="K1108">
        <v>10035</v>
      </c>
      <c r="L1108">
        <v>500</v>
      </c>
      <c r="M1108">
        <v>499</v>
      </c>
      <c r="N1108">
        <v>1</v>
      </c>
      <c r="O1108">
        <v>4503</v>
      </c>
      <c r="P1108" s="3" t="s">
        <v>51</v>
      </c>
      <c r="Q1108">
        <v>50</v>
      </c>
      <c r="R1108">
        <v>0.999</v>
      </c>
      <c r="S1108">
        <v>1</v>
      </c>
    </row>
    <row r="1109" spans="1:19" x14ac:dyDescent="0.2">
      <c r="A1109" s="3" t="s">
        <v>54</v>
      </c>
      <c r="B1109" s="3" t="s">
        <v>55</v>
      </c>
      <c r="C1109">
        <v>33</v>
      </c>
      <c r="D1109">
        <v>20000</v>
      </c>
      <c r="E1109">
        <v>499</v>
      </c>
      <c r="F1109">
        <v>1</v>
      </c>
      <c r="G1109">
        <v>20000</v>
      </c>
      <c r="H1109">
        <v>5.3946444000000003E-2</v>
      </c>
      <c r="I1109">
        <v>15529</v>
      </c>
      <c r="J1109">
        <v>5489</v>
      </c>
      <c r="K1109">
        <v>10040</v>
      </c>
      <c r="L1109">
        <v>500</v>
      </c>
      <c r="M1109">
        <v>499</v>
      </c>
      <c r="N1109">
        <v>1</v>
      </c>
      <c r="O1109">
        <v>4471</v>
      </c>
      <c r="P1109" s="3" t="s">
        <v>51</v>
      </c>
      <c r="Q1109">
        <v>50</v>
      </c>
      <c r="R1109">
        <v>0.999</v>
      </c>
      <c r="S1109">
        <v>1</v>
      </c>
    </row>
    <row r="1110" spans="1:19" x14ac:dyDescent="0.2">
      <c r="A1110" s="3" t="s">
        <v>54</v>
      </c>
      <c r="B1110" s="3" t="s">
        <v>55</v>
      </c>
      <c r="C1110">
        <v>9</v>
      </c>
      <c r="D1110">
        <v>20000</v>
      </c>
      <c r="E1110">
        <v>499</v>
      </c>
      <c r="F1110">
        <v>1</v>
      </c>
      <c r="G1110">
        <v>20000</v>
      </c>
      <c r="H1110">
        <v>5.3938513E-2</v>
      </c>
      <c r="I1110">
        <v>15538</v>
      </c>
      <c r="J1110">
        <v>5487</v>
      </c>
      <c r="K1110">
        <v>10051</v>
      </c>
      <c r="L1110">
        <v>500</v>
      </c>
      <c r="M1110">
        <v>499</v>
      </c>
      <c r="N1110">
        <v>1</v>
      </c>
      <c r="O1110">
        <v>4462</v>
      </c>
      <c r="P1110" s="3" t="s">
        <v>51</v>
      </c>
      <c r="Q1110">
        <v>50</v>
      </c>
      <c r="R1110">
        <v>0.999</v>
      </c>
      <c r="S1110">
        <v>1</v>
      </c>
    </row>
    <row r="1111" spans="1:19" x14ac:dyDescent="0.2">
      <c r="A1111" s="3" t="s">
        <v>54</v>
      </c>
      <c r="B1111" s="3" t="s">
        <v>55</v>
      </c>
      <c r="C1111">
        <v>32</v>
      </c>
      <c r="D1111">
        <v>17000</v>
      </c>
      <c r="E1111">
        <v>499</v>
      </c>
      <c r="F1111">
        <v>1</v>
      </c>
      <c r="G1111">
        <v>17000</v>
      </c>
      <c r="H1111">
        <v>5.3920685000000003E-2</v>
      </c>
      <c r="I1111">
        <v>14351</v>
      </c>
      <c r="J1111">
        <v>5165</v>
      </c>
      <c r="K1111">
        <v>9186</v>
      </c>
      <c r="L1111">
        <v>500</v>
      </c>
      <c r="M1111">
        <v>499</v>
      </c>
      <c r="N1111">
        <v>1</v>
      </c>
      <c r="O1111">
        <v>2649</v>
      </c>
      <c r="P1111" s="3" t="s">
        <v>51</v>
      </c>
      <c r="Q1111">
        <v>50</v>
      </c>
      <c r="R1111">
        <v>0.999</v>
      </c>
      <c r="S1111">
        <v>1</v>
      </c>
    </row>
    <row r="1112" spans="1:19" x14ac:dyDescent="0.2">
      <c r="A1112" s="3" t="s">
        <v>54</v>
      </c>
      <c r="B1112" s="3" t="s">
        <v>55</v>
      </c>
      <c r="C1112">
        <v>29</v>
      </c>
      <c r="D1112">
        <v>18000</v>
      </c>
      <c r="E1112">
        <v>499</v>
      </c>
      <c r="F1112">
        <v>1</v>
      </c>
      <c r="G1112">
        <v>18000</v>
      </c>
      <c r="H1112">
        <v>5.3917340000000001E-2</v>
      </c>
      <c r="I1112">
        <v>14821</v>
      </c>
      <c r="J1112">
        <v>5270</v>
      </c>
      <c r="K1112">
        <v>9551</v>
      </c>
      <c r="L1112">
        <v>500</v>
      </c>
      <c r="M1112">
        <v>499</v>
      </c>
      <c r="N1112">
        <v>1</v>
      </c>
      <c r="O1112">
        <v>3179</v>
      </c>
      <c r="P1112" s="3" t="s">
        <v>51</v>
      </c>
      <c r="Q1112">
        <v>50</v>
      </c>
      <c r="R1112">
        <v>0.999</v>
      </c>
      <c r="S1112">
        <v>1</v>
      </c>
    </row>
    <row r="1113" spans="1:19" x14ac:dyDescent="0.2">
      <c r="A1113" s="3" t="s">
        <v>54</v>
      </c>
      <c r="B1113" s="3" t="s">
        <v>55</v>
      </c>
      <c r="C1113">
        <v>36</v>
      </c>
      <c r="D1113">
        <v>20000</v>
      </c>
      <c r="E1113">
        <v>499</v>
      </c>
      <c r="F1113">
        <v>1</v>
      </c>
      <c r="G1113">
        <v>20000</v>
      </c>
      <c r="H1113">
        <v>5.3889544999999997E-2</v>
      </c>
      <c r="I1113">
        <v>15575</v>
      </c>
      <c r="J1113">
        <v>5501</v>
      </c>
      <c r="K1113">
        <v>10074</v>
      </c>
      <c r="L1113">
        <v>500</v>
      </c>
      <c r="M1113">
        <v>499</v>
      </c>
      <c r="N1113">
        <v>1</v>
      </c>
      <c r="O1113">
        <v>4425</v>
      </c>
      <c r="P1113" s="3" t="s">
        <v>51</v>
      </c>
      <c r="Q1113">
        <v>50</v>
      </c>
      <c r="R1113">
        <v>0.999</v>
      </c>
      <c r="S1113">
        <v>1</v>
      </c>
    </row>
    <row r="1114" spans="1:19" x14ac:dyDescent="0.2">
      <c r="A1114" s="3" t="s">
        <v>54</v>
      </c>
      <c r="B1114" s="3" t="s">
        <v>55</v>
      </c>
      <c r="C1114">
        <v>23</v>
      </c>
      <c r="D1114">
        <v>20000</v>
      </c>
      <c r="E1114">
        <v>499</v>
      </c>
      <c r="F1114">
        <v>1</v>
      </c>
      <c r="G1114">
        <v>20000</v>
      </c>
      <c r="H1114">
        <v>5.3878756E-2</v>
      </c>
      <c r="I1114">
        <v>15567</v>
      </c>
      <c r="J1114">
        <v>5496</v>
      </c>
      <c r="K1114">
        <v>10071</v>
      </c>
      <c r="L1114">
        <v>500</v>
      </c>
      <c r="M1114">
        <v>499</v>
      </c>
      <c r="N1114">
        <v>1</v>
      </c>
      <c r="O1114">
        <v>4433</v>
      </c>
      <c r="P1114" s="3" t="s">
        <v>51</v>
      </c>
      <c r="Q1114">
        <v>50</v>
      </c>
      <c r="R1114">
        <v>0.999</v>
      </c>
      <c r="S1114">
        <v>1</v>
      </c>
    </row>
    <row r="1115" spans="1:19" x14ac:dyDescent="0.2">
      <c r="A1115" s="3" t="s">
        <v>54</v>
      </c>
      <c r="B1115" s="3" t="s">
        <v>55</v>
      </c>
      <c r="C1115">
        <v>14</v>
      </c>
      <c r="D1115">
        <v>18000</v>
      </c>
      <c r="E1115">
        <v>499</v>
      </c>
      <c r="F1115">
        <v>1</v>
      </c>
      <c r="G1115">
        <v>18000</v>
      </c>
      <c r="H1115">
        <v>5.3837883000000003E-2</v>
      </c>
      <c r="I1115">
        <v>14795</v>
      </c>
      <c r="J1115">
        <v>5267</v>
      </c>
      <c r="K1115">
        <v>9528</v>
      </c>
      <c r="L1115">
        <v>500</v>
      </c>
      <c r="M1115">
        <v>499</v>
      </c>
      <c r="N1115">
        <v>1</v>
      </c>
      <c r="O1115">
        <v>3205</v>
      </c>
      <c r="P1115" s="3" t="s">
        <v>51</v>
      </c>
      <c r="Q1115">
        <v>50</v>
      </c>
      <c r="R1115">
        <v>0.999</v>
      </c>
      <c r="S1115">
        <v>1</v>
      </c>
    </row>
    <row r="1116" spans="1:19" x14ac:dyDescent="0.2">
      <c r="A1116" s="3" t="s">
        <v>54</v>
      </c>
      <c r="B1116" s="3" t="s">
        <v>55</v>
      </c>
      <c r="C1116">
        <v>40</v>
      </c>
      <c r="D1116">
        <v>20000</v>
      </c>
      <c r="E1116">
        <v>499</v>
      </c>
      <c r="F1116">
        <v>1</v>
      </c>
      <c r="G1116">
        <v>20000</v>
      </c>
      <c r="H1116">
        <v>5.3810978000000002E-2</v>
      </c>
      <c r="I1116">
        <v>15548</v>
      </c>
      <c r="J1116">
        <v>5504</v>
      </c>
      <c r="K1116">
        <v>10044</v>
      </c>
      <c r="L1116">
        <v>500</v>
      </c>
      <c r="M1116">
        <v>499</v>
      </c>
      <c r="N1116">
        <v>1</v>
      </c>
      <c r="O1116">
        <v>4452</v>
      </c>
      <c r="P1116" s="3" t="s">
        <v>51</v>
      </c>
      <c r="Q1116">
        <v>50</v>
      </c>
      <c r="R1116">
        <v>0.999</v>
      </c>
      <c r="S1116">
        <v>1</v>
      </c>
    </row>
    <row r="1117" spans="1:19" x14ac:dyDescent="0.2">
      <c r="A1117" s="3" t="s">
        <v>54</v>
      </c>
      <c r="B1117" s="3" t="s">
        <v>55</v>
      </c>
      <c r="C1117">
        <v>17</v>
      </c>
      <c r="D1117">
        <v>20000</v>
      </c>
      <c r="E1117">
        <v>499</v>
      </c>
      <c r="F1117">
        <v>1</v>
      </c>
      <c r="G1117">
        <v>20000</v>
      </c>
      <c r="H1117">
        <v>5.3781287999999997E-2</v>
      </c>
      <c r="I1117">
        <v>15552</v>
      </c>
      <c r="J1117">
        <v>5497</v>
      </c>
      <c r="K1117">
        <v>10055</v>
      </c>
      <c r="L1117">
        <v>500</v>
      </c>
      <c r="M1117">
        <v>499</v>
      </c>
      <c r="N1117">
        <v>1</v>
      </c>
      <c r="O1117">
        <v>4448</v>
      </c>
      <c r="P1117" s="3" t="s">
        <v>51</v>
      </c>
      <c r="Q1117">
        <v>50</v>
      </c>
      <c r="R1117">
        <v>0.999</v>
      </c>
      <c r="S1117">
        <v>1</v>
      </c>
    </row>
    <row r="1118" spans="1:19" x14ac:dyDescent="0.2">
      <c r="A1118" s="3" t="s">
        <v>54</v>
      </c>
      <c r="B1118" s="3" t="s">
        <v>55</v>
      </c>
      <c r="C1118">
        <v>17</v>
      </c>
      <c r="D1118">
        <v>18000</v>
      </c>
      <c r="E1118">
        <v>499</v>
      </c>
      <c r="F1118">
        <v>1</v>
      </c>
      <c r="G1118">
        <v>18000</v>
      </c>
      <c r="H1118">
        <v>5.3763420999999999E-2</v>
      </c>
      <c r="I1118">
        <v>14789</v>
      </c>
      <c r="J1118">
        <v>5245</v>
      </c>
      <c r="K1118">
        <v>9544</v>
      </c>
      <c r="L1118">
        <v>500</v>
      </c>
      <c r="M1118">
        <v>499</v>
      </c>
      <c r="N1118">
        <v>1</v>
      </c>
      <c r="O1118">
        <v>3211</v>
      </c>
      <c r="P1118" s="3" t="s">
        <v>51</v>
      </c>
      <c r="Q1118">
        <v>50</v>
      </c>
      <c r="R1118">
        <v>0.999</v>
      </c>
      <c r="S1118">
        <v>1</v>
      </c>
    </row>
    <row r="1119" spans="1:19" x14ac:dyDescent="0.2">
      <c r="A1119" s="3" t="s">
        <v>54</v>
      </c>
      <c r="B1119" s="3" t="s">
        <v>55</v>
      </c>
      <c r="C1119">
        <v>47</v>
      </c>
      <c r="D1119">
        <v>20000</v>
      </c>
      <c r="E1119">
        <v>499</v>
      </c>
      <c r="F1119">
        <v>1</v>
      </c>
      <c r="G1119">
        <v>20000</v>
      </c>
      <c r="H1119">
        <v>5.3692719E-2</v>
      </c>
      <c r="I1119">
        <v>15548</v>
      </c>
      <c r="J1119">
        <v>5502</v>
      </c>
      <c r="K1119">
        <v>10046</v>
      </c>
      <c r="L1119">
        <v>500</v>
      </c>
      <c r="M1119">
        <v>499</v>
      </c>
      <c r="N1119">
        <v>1</v>
      </c>
      <c r="O1119">
        <v>4452</v>
      </c>
      <c r="P1119" s="3" t="s">
        <v>51</v>
      </c>
      <c r="Q1119">
        <v>50</v>
      </c>
      <c r="R1119">
        <v>0.999</v>
      </c>
      <c r="S1119">
        <v>1</v>
      </c>
    </row>
    <row r="1120" spans="1:19" x14ac:dyDescent="0.2">
      <c r="A1120" s="3" t="s">
        <v>54</v>
      </c>
      <c r="B1120" s="3" t="s">
        <v>55</v>
      </c>
      <c r="C1120">
        <v>26</v>
      </c>
      <c r="D1120">
        <v>20000</v>
      </c>
      <c r="E1120">
        <v>499</v>
      </c>
      <c r="F1120">
        <v>1</v>
      </c>
      <c r="G1120">
        <v>20000</v>
      </c>
      <c r="H1120">
        <v>5.3678694999999998E-2</v>
      </c>
      <c r="I1120">
        <v>15546</v>
      </c>
      <c r="J1120">
        <v>5500</v>
      </c>
      <c r="K1120">
        <v>10046</v>
      </c>
      <c r="L1120">
        <v>500</v>
      </c>
      <c r="M1120">
        <v>499</v>
      </c>
      <c r="N1120">
        <v>1</v>
      </c>
      <c r="O1120">
        <v>4454</v>
      </c>
      <c r="P1120" s="3" t="s">
        <v>51</v>
      </c>
      <c r="Q1120">
        <v>50</v>
      </c>
      <c r="R1120">
        <v>0.999</v>
      </c>
      <c r="S1120">
        <v>1</v>
      </c>
    </row>
    <row r="1121" spans="1:19" x14ac:dyDescent="0.2">
      <c r="A1121" s="3" t="s">
        <v>54</v>
      </c>
      <c r="B1121" s="3" t="s">
        <v>55</v>
      </c>
      <c r="C1121">
        <v>43</v>
      </c>
      <c r="D1121">
        <v>18000</v>
      </c>
      <c r="E1121">
        <v>499</v>
      </c>
      <c r="F1121">
        <v>1</v>
      </c>
      <c r="G1121">
        <v>18000</v>
      </c>
      <c r="H1121">
        <v>5.3655174E-2</v>
      </c>
      <c r="I1121">
        <v>14794</v>
      </c>
      <c r="J1121">
        <v>5247</v>
      </c>
      <c r="K1121">
        <v>9547</v>
      </c>
      <c r="L1121">
        <v>500</v>
      </c>
      <c r="M1121">
        <v>499</v>
      </c>
      <c r="N1121">
        <v>1</v>
      </c>
      <c r="O1121">
        <v>3206</v>
      </c>
      <c r="P1121" s="3" t="s">
        <v>51</v>
      </c>
      <c r="Q1121">
        <v>50</v>
      </c>
      <c r="R1121">
        <v>0.999</v>
      </c>
      <c r="S1121">
        <v>1</v>
      </c>
    </row>
    <row r="1122" spans="1:19" x14ac:dyDescent="0.2">
      <c r="A1122" s="3" t="s">
        <v>54</v>
      </c>
      <c r="B1122" s="3" t="s">
        <v>55</v>
      </c>
      <c r="C1122">
        <v>3</v>
      </c>
      <c r="D1122">
        <v>19000</v>
      </c>
      <c r="E1122">
        <v>499</v>
      </c>
      <c r="F1122">
        <v>1</v>
      </c>
      <c r="G1122">
        <v>19000</v>
      </c>
      <c r="H1122">
        <v>5.3560444999999998E-2</v>
      </c>
      <c r="I1122">
        <v>15197</v>
      </c>
      <c r="J1122">
        <v>5389</v>
      </c>
      <c r="K1122">
        <v>9808</v>
      </c>
      <c r="L1122">
        <v>500</v>
      </c>
      <c r="M1122">
        <v>499</v>
      </c>
      <c r="N1122">
        <v>1</v>
      </c>
      <c r="O1122">
        <v>3803</v>
      </c>
      <c r="P1122" s="3" t="s">
        <v>51</v>
      </c>
      <c r="Q1122">
        <v>50</v>
      </c>
      <c r="R1122">
        <v>0.999</v>
      </c>
      <c r="S1122">
        <v>1</v>
      </c>
    </row>
    <row r="1123" spans="1:19" x14ac:dyDescent="0.2">
      <c r="A1123" s="3" t="s">
        <v>54</v>
      </c>
      <c r="B1123" s="3" t="s">
        <v>55</v>
      </c>
      <c r="C1123">
        <v>27</v>
      </c>
      <c r="D1123">
        <v>20000</v>
      </c>
      <c r="E1123">
        <v>499</v>
      </c>
      <c r="F1123">
        <v>1</v>
      </c>
      <c r="G1123">
        <v>20000</v>
      </c>
      <c r="H1123">
        <v>5.3555971000000001E-2</v>
      </c>
      <c r="I1123">
        <v>15590</v>
      </c>
      <c r="J1123">
        <v>5512</v>
      </c>
      <c r="K1123">
        <v>10078</v>
      </c>
      <c r="L1123">
        <v>500</v>
      </c>
      <c r="M1123">
        <v>499</v>
      </c>
      <c r="N1123">
        <v>1</v>
      </c>
      <c r="O1123">
        <v>4410</v>
      </c>
      <c r="P1123" s="3" t="s">
        <v>51</v>
      </c>
      <c r="Q1123">
        <v>50</v>
      </c>
      <c r="R1123">
        <v>0.999</v>
      </c>
      <c r="S1123">
        <v>1</v>
      </c>
    </row>
    <row r="1124" spans="1:19" x14ac:dyDescent="0.2">
      <c r="A1124" s="3" t="s">
        <v>54</v>
      </c>
      <c r="B1124" s="3" t="s">
        <v>55</v>
      </c>
      <c r="C1124">
        <v>39</v>
      </c>
      <c r="D1124">
        <v>20000</v>
      </c>
      <c r="E1124">
        <v>499</v>
      </c>
      <c r="F1124">
        <v>1</v>
      </c>
      <c r="G1124">
        <v>20000</v>
      </c>
      <c r="H1124">
        <v>5.3555182999999999E-2</v>
      </c>
      <c r="I1124">
        <v>15570</v>
      </c>
      <c r="J1124">
        <v>5493</v>
      </c>
      <c r="K1124">
        <v>10077</v>
      </c>
      <c r="L1124">
        <v>500</v>
      </c>
      <c r="M1124">
        <v>499</v>
      </c>
      <c r="N1124">
        <v>1</v>
      </c>
      <c r="O1124">
        <v>4430</v>
      </c>
      <c r="P1124" s="3" t="s">
        <v>51</v>
      </c>
      <c r="Q1124">
        <v>50</v>
      </c>
      <c r="R1124">
        <v>0.999</v>
      </c>
      <c r="S1124">
        <v>1</v>
      </c>
    </row>
    <row r="1125" spans="1:19" x14ac:dyDescent="0.2">
      <c r="A1125" s="3" t="s">
        <v>54</v>
      </c>
      <c r="B1125" s="3" t="s">
        <v>55</v>
      </c>
      <c r="C1125">
        <v>34</v>
      </c>
      <c r="D1125">
        <v>20000</v>
      </c>
      <c r="E1125">
        <v>499</v>
      </c>
      <c r="F1125">
        <v>1</v>
      </c>
      <c r="G1125">
        <v>20000</v>
      </c>
      <c r="H1125">
        <v>5.3512082000000002E-2</v>
      </c>
      <c r="I1125">
        <v>15516</v>
      </c>
      <c r="J1125">
        <v>5482</v>
      </c>
      <c r="K1125">
        <v>10034</v>
      </c>
      <c r="L1125">
        <v>500</v>
      </c>
      <c r="M1125">
        <v>499</v>
      </c>
      <c r="N1125">
        <v>1</v>
      </c>
      <c r="O1125">
        <v>4484</v>
      </c>
      <c r="P1125" s="3" t="s">
        <v>51</v>
      </c>
      <c r="Q1125">
        <v>50</v>
      </c>
      <c r="R1125">
        <v>0.999</v>
      </c>
      <c r="S1125">
        <v>1</v>
      </c>
    </row>
    <row r="1126" spans="1:19" x14ac:dyDescent="0.2">
      <c r="A1126" s="3" t="s">
        <v>54</v>
      </c>
      <c r="B1126" s="3" t="s">
        <v>55</v>
      </c>
      <c r="C1126">
        <v>37</v>
      </c>
      <c r="D1126">
        <v>19000</v>
      </c>
      <c r="E1126">
        <v>499</v>
      </c>
      <c r="F1126">
        <v>1</v>
      </c>
      <c r="G1126">
        <v>19000</v>
      </c>
      <c r="H1126">
        <v>5.3351719999999998E-2</v>
      </c>
      <c r="I1126">
        <v>15196</v>
      </c>
      <c r="J1126">
        <v>5397</v>
      </c>
      <c r="K1126">
        <v>9799</v>
      </c>
      <c r="L1126">
        <v>500</v>
      </c>
      <c r="M1126">
        <v>499</v>
      </c>
      <c r="N1126">
        <v>1</v>
      </c>
      <c r="O1126">
        <v>3804</v>
      </c>
      <c r="P1126" s="3" t="s">
        <v>51</v>
      </c>
      <c r="Q1126">
        <v>50</v>
      </c>
      <c r="R1126">
        <v>0.999</v>
      </c>
      <c r="S1126">
        <v>1</v>
      </c>
    </row>
    <row r="1127" spans="1:19" x14ac:dyDescent="0.2">
      <c r="A1127" s="3" t="s">
        <v>54</v>
      </c>
      <c r="B1127" s="3" t="s">
        <v>55</v>
      </c>
      <c r="C1127">
        <v>14</v>
      </c>
      <c r="D1127">
        <v>19000</v>
      </c>
      <c r="E1127">
        <v>499</v>
      </c>
      <c r="F1127">
        <v>1</v>
      </c>
      <c r="G1127">
        <v>19000</v>
      </c>
      <c r="H1127">
        <v>5.3329674000000001E-2</v>
      </c>
      <c r="I1127">
        <v>15208</v>
      </c>
      <c r="J1127">
        <v>5397</v>
      </c>
      <c r="K1127">
        <v>9811</v>
      </c>
      <c r="L1127">
        <v>500</v>
      </c>
      <c r="M1127">
        <v>499</v>
      </c>
      <c r="N1127">
        <v>1</v>
      </c>
      <c r="O1127">
        <v>3792</v>
      </c>
      <c r="P1127" s="3" t="s">
        <v>51</v>
      </c>
      <c r="Q1127">
        <v>50</v>
      </c>
      <c r="R1127">
        <v>0.999</v>
      </c>
      <c r="S1127">
        <v>1</v>
      </c>
    </row>
    <row r="1128" spans="1:19" x14ac:dyDescent="0.2">
      <c r="A1128" s="3" t="s">
        <v>54</v>
      </c>
      <c r="B1128" s="3" t="s">
        <v>55</v>
      </c>
      <c r="C1128">
        <v>26</v>
      </c>
      <c r="D1128">
        <v>19000</v>
      </c>
      <c r="E1128">
        <v>499</v>
      </c>
      <c r="F1128">
        <v>1</v>
      </c>
      <c r="G1128">
        <v>19000</v>
      </c>
      <c r="H1128">
        <v>5.3109684999999997E-2</v>
      </c>
      <c r="I1128">
        <v>15183</v>
      </c>
      <c r="J1128">
        <v>5387</v>
      </c>
      <c r="K1128">
        <v>9796</v>
      </c>
      <c r="L1128">
        <v>500</v>
      </c>
      <c r="M1128">
        <v>499</v>
      </c>
      <c r="N1128">
        <v>1</v>
      </c>
      <c r="O1128">
        <v>3817</v>
      </c>
      <c r="P1128" s="3" t="s">
        <v>51</v>
      </c>
      <c r="Q1128">
        <v>50</v>
      </c>
      <c r="R1128">
        <v>0.999</v>
      </c>
      <c r="S1128">
        <v>1</v>
      </c>
    </row>
    <row r="1129" spans="1:19" x14ac:dyDescent="0.2">
      <c r="A1129" s="3" t="s">
        <v>54</v>
      </c>
      <c r="B1129" s="3" t="s">
        <v>55</v>
      </c>
      <c r="C1129">
        <v>38</v>
      </c>
      <c r="D1129">
        <v>18000</v>
      </c>
      <c r="E1129">
        <v>499</v>
      </c>
      <c r="F1129">
        <v>1</v>
      </c>
      <c r="G1129">
        <v>18000</v>
      </c>
      <c r="H1129">
        <v>5.2921164999999999E-2</v>
      </c>
      <c r="I1129">
        <v>14784</v>
      </c>
      <c r="J1129">
        <v>5246</v>
      </c>
      <c r="K1129">
        <v>9538</v>
      </c>
      <c r="L1129">
        <v>500</v>
      </c>
      <c r="M1129">
        <v>499</v>
      </c>
      <c r="N1129">
        <v>1</v>
      </c>
      <c r="O1129">
        <v>3216</v>
      </c>
      <c r="P1129" s="3" t="s">
        <v>51</v>
      </c>
      <c r="Q1129">
        <v>50</v>
      </c>
      <c r="R1129">
        <v>0.999</v>
      </c>
      <c r="S1129">
        <v>1</v>
      </c>
    </row>
    <row r="1130" spans="1:19" x14ac:dyDescent="0.2">
      <c r="A1130" s="3" t="s">
        <v>54</v>
      </c>
      <c r="B1130" s="3" t="s">
        <v>55</v>
      </c>
      <c r="C1130">
        <v>41</v>
      </c>
      <c r="D1130">
        <v>19000</v>
      </c>
      <c r="E1130">
        <v>499</v>
      </c>
      <c r="F1130">
        <v>1</v>
      </c>
      <c r="G1130">
        <v>19000</v>
      </c>
      <c r="H1130">
        <v>5.2918686999999999E-2</v>
      </c>
      <c r="I1130">
        <v>15185</v>
      </c>
      <c r="J1130">
        <v>5389</v>
      </c>
      <c r="K1130">
        <v>9796</v>
      </c>
      <c r="L1130">
        <v>500</v>
      </c>
      <c r="M1130">
        <v>499</v>
      </c>
      <c r="N1130">
        <v>1</v>
      </c>
      <c r="O1130">
        <v>3815</v>
      </c>
      <c r="P1130" s="3" t="s">
        <v>51</v>
      </c>
      <c r="Q1130">
        <v>50</v>
      </c>
      <c r="R1130">
        <v>0.999</v>
      </c>
      <c r="S1130">
        <v>1</v>
      </c>
    </row>
    <row r="1131" spans="1:19" x14ac:dyDescent="0.2">
      <c r="A1131" s="3" t="s">
        <v>54</v>
      </c>
      <c r="B1131" s="3" t="s">
        <v>55</v>
      </c>
      <c r="C1131">
        <v>47</v>
      </c>
      <c r="D1131">
        <v>18000</v>
      </c>
      <c r="E1131">
        <v>499</v>
      </c>
      <c r="F1131">
        <v>1</v>
      </c>
      <c r="G1131">
        <v>18000</v>
      </c>
      <c r="H1131">
        <v>5.2857647000000001E-2</v>
      </c>
      <c r="I1131">
        <v>14777</v>
      </c>
      <c r="J1131">
        <v>5260</v>
      </c>
      <c r="K1131">
        <v>9517</v>
      </c>
      <c r="L1131">
        <v>500</v>
      </c>
      <c r="M1131">
        <v>499</v>
      </c>
      <c r="N1131">
        <v>1</v>
      </c>
      <c r="O1131">
        <v>3223</v>
      </c>
      <c r="P1131" s="3" t="s">
        <v>51</v>
      </c>
      <c r="Q1131">
        <v>50</v>
      </c>
      <c r="R1131">
        <v>0.999</v>
      </c>
      <c r="S1131">
        <v>1</v>
      </c>
    </row>
    <row r="1132" spans="1:19" x14ac:dyDescent="0.2">
      <c r="A1132" s="3" t="s">
        <v>54</v>
      </c>
      <c r="B1132" s="3" t="s">
        <v>55</v>
      </c>
      <c r="C1132">
        <v>35</v>
      </c>
      <c r="D1132">
        <v>18000</v>
      </c>
      <c r="E1132">
        <v>499</v>
      </c>
      <c r="F1132">
        <v>1</v>
      </c>
      <c r="G1132">
        <v>18000</v>
      </c>
      <c r="H1132">
        <v>5.2791546000000002E-2</v>
      </c>
      <c r="I1132">
        <v>14773</v>
      </c>
      <c r="J1132">
        <v>5253</v>
      </c>
      <c r="K1132">
        <v>9520</v>
      </c>
      <c r="L1132">
        <v>500</v>
      </c>
      <c r="M1132">
        <v>499</v>
      </c>
      <c r="N1132">
        <v>1</v>
      </c>
      <c r="O1132">
        <v>3227</v>
      </c>
      <c r="P1132" s="3" t="s">
        <v>51</v>
      </c>
      <c r="Q1132">
        <v>50</v>
      </c>
      <c r="R1132">
        <v>0.999</v>
      </c>
      <c r="S1132">
        <v>1</v>
      </c>
    </row>
    <row r="1133" spans="1:19" x14ac:dyDescent="0.2">
      <c r="A1133" s="3" t="s">
        <v>54</v>
      </c>
      <c r="B1133" s="3" t="s">
        <v>55</v>
      </c>
      <c r="C1133">
        <v>48</v>
      </c>
      <c r="D1133">
        <v>19000</v>
      </c>
      <c r="E1133">
        <v>499</v>
      </c>
      <c r="F1133">
        <v>1</v>
      </c>
      <c r="G1133">
        <v>19000</v>
      </c>
      <c r="H1133">
        <v>5.2776386000000002E-2</v>
      </c>
      <c r="I1133">
        <v>15194</v>
      </c>
      <c r="J1133">
        <v>5392</v>
      </c>
      <c r="K1133">
        <v>9802</v>
      </c>
      <c r="L1133">
        <v>500</v>
      </c>
      <c r="M1133">
        <v>499</v>
      </c>
      <c r="N1133">
        <v>1</v>
      </c>
      <c r="O1133">
        <v>3806</v>
      </c>
      <c r="P1133" s="3" t="s">
        <v>51</v>
      </c>
      <c r="Q1133">
        <v>50</v>
      </c>
      <c r="R1133">
        <v>0.999</v>
      </c>
      <c r="S1133">
        <v>1</v>
      </c>
    </row>
    <row r="1134" spans="1:19" x14ac:dyDescent="0.2">
      <c r="A1134" s="3" t="s">
        <v>54</v>
      </c>
      <c r="B1134" s="3" t="s">
        <v>55</v>
      </c>
      <c r="C1134">
        <v>32</v>
      </c>
      <c r="D1134">
        <v>19000</v>
      </c>
      <c r="E1134">
        <v>499</v>
      </c>
      <c r="F1134">
        <v>1</v>
      </c>
      <c r="G1134">
        <v>19000</v>
      </c>
      <c r="H1134">
        <v>5.2774553000000002E-2</v>
      </c>
      <c r="I1134">
        <v>15187</v>
      </c>
      <c r="J1134">
        <v>5370</v>
      </c>
      <c r="K1134">
        <v>9817</v>
      </c>
      <c r="L1134">
        <v>500</v>
      </c>
      <c r="M1134">
        <v>499</v>
      </c>
      <c r="N1134">
        <v>1</v>
      </c>
      <c r="O1134">
        <v>3813</v>
      </c>
      <c r="P1134" s="3" t="s">
        <v>51</v>
      </c>
      <c r="Q1134">
        <v>50</v>
      </c>
      <c r="R1134">
        <v>0.999</v>
      </c>
      <c r="S1134">
        <v>1</v>
      </c>
    </row>
    <row r="1135" spans="1:19" x14ac:dyDescent="0.2">
      <c r="A1135" s="3" t="s">
        <v>54</v>
      </c>
      <c r="B1135" s="3" t="s">
        <v>55</v>
      </c>
      <c r="C1135">
        <v>44</v>
      </c>
      <c r="D1135">
        <v>18000</v>
      </c>
      <c r="E1135">
        <v>499</v>
      </c>
      <c r="F1135">
        <v>1</v>
      </c>
      <c r="G1135">
        <v>18000</v>
      </c>
      <c r="H1135">
        <v>5.2730984000000002E-2</v>
      </c>
      <c r="I1135">
        <v>14761</v>
      </c>
      <c r="J1135">
        <v>5241</v>
      </c>
      <c r="K1135">
        <v>9520</v>
      </c>
      <c r="L1135">
        <v>500</v>
      </c>
      <c r="M1135">
        <v>499</v>
      </c>
      <c r="N1135">
        <v>1</v>
      </c>
      <c r="O1135">
        <v>3239</v>
      </c>
      <c r="P1135" s="3" t="s">
        <v>51</v>
      </c>
      <c r="Q1135">
        <v>50</v>
      </c>
      <c r="R1135">
        <v>0.999</v>
      </c>
      <c r="S1135">
        <v>1</v>
      </c>
    </row>
    <row r="1136" spans="1:19" x14ac:dyDescent="0.2">
      <c r="A1136" s="3" t="s">
        <v>54</v>
      </c>
      <c r="B1136" s="3" t="s">
        <v>55</v>
      </c>
      <c r="C1136">
        <v>13</v>
      </c>
      <c r="D1136">
        <v>19000</v>
      </c>
      <c r="E1136">
        <v>499</v>
      </c>
      <c r="F1136">
        <v>1</v>
      </c>
      <c r="G1136">
        <v>19000</v>
      </c>
      <c r="H1136">
        <v>5.2708149000000003E-2</v>
      </c>
      <c r="I1136">
        <v>15206</v>
      </c>
      <c r="J1136">
        <v>5380</v>
      </c>
      <c r="K1136">
        <v>9826</v>
      </c>
      <c r="L1136">
        <v>500</v>
      </c>
      <c r="M1136">
        <v>499</v>
      </c>
      <c r="N1136">
        <v>1</v>
      </c>
      <c r="O1136">
        <v>3794</v>
      </c>
      <c r="P1136" s="3" t="s">
        <v>51</v>
      </c>
      <c r="Q1136">
        <v>50</v>
      </c>
      <c r="R1136">
        <v>0.999</v>
      </c>
      <c r="S1136">
        <v>1</v>
      </c>
    </row>
    <row r="1137" spans="1:19" x14ac:dyDescent="0.2">
      <c r="A1137" s="3" t="s">
        <v>54</v>
      </c>
      <c r="B1137" s="3" t="s">
        <v>55</v>
      </c>
      <c r="C1137">
        <v>30</v>
      </c>
      <c r="D1137">
        <v>18000</v>
      </c>
      <c r="E1137">
        <v>499</v>
      </c>
      <c r="F1137">
        <v>1</v>
      </c>
      <c r="G1137">
        <v>18000</v>
      </c>
      <c r="H1137">
        <v>5.2643423000000002E-2</v>
      </c>
      <c r="I1137">
        <v>14793</v>
      </c>
      <c r="J1137">
        <v>5269</v>
      </c>
      <c r="K1137">
        <v>9524</v>
      </c>
      <c r="L1137">
        <v>500</v>
      </c>
      <c r="M1137">
        <v>499</v>
      </c>
      <c r="N1137">
        <v>1</v>
      </c>
      <c r="O1137">
        <v>3207</v>
      </c>
      <c r="P1137" s="3" t="s">
        <v>51</v>
      </c>
      <c r="Q1137">
        <v>50</v>
      </c>
      <c r="R1137">
        <v>0.999</v>
      </c>
      <c r="S1137">
        <v>1</v>
      </c>
    </row>
    <row r="1138" spans="1:19" x14ac:dyDescent="0.2">
      <c r="A1138" s="3" t="s">
        <v>54</v>
      </c>
      <c r="B1138" s="3" t="s">
        <v>55</v>
      </c>
      <c r="C1138">
        <v>12</v>
      </c>
      <c r="D1138">
        <v>15000</v>
      </c>
      <c r="E1138">
        <v>499</v>
      </c>
      <c r="F1138">
        <v>1</v>
      </c>
      <c r="G1138">
        <v>60572.237308582698</v>
      </c>
      <c r="H1138">
        <v>5.2637968E-2</v>
      </c>
      <c r="I1138">
        <v>13414</v>
      </c>
      <c r="J1138">
        <v>4198</v>
      </c>
      <c r="K1138">
        <v>9216</v>
      </c>
      <c r="L1138">
        <v>500</v>
      </c>
      <c r="M1138">
        <v>499</v>
      </c>
      <c r="N1138">
        <v>1</v>
      </c>
      <c r="O1138">
        <v>5789.8095014521996</v>
      </c>
      <c r="P1138" s="3" t="s">
        <v>51</v>
      </c>
      <c r="Q1138">
        <v>50</v>
      </c>
      <c r="R1138">
        <v>0.999</v>
      </c>
      <c r="S1138">
        <v>0</v>
      </c>
    </row>
    <row r="1139" spans="1:19" x14ac:dyDescent="0.2">
      <c r="A1139" s="3" t="s">
        <v>54</v>
      </c>
      <c r="B1139" s="3" t="s">
        <v>55</v>
      </c>
      <c r="C1139">
        <v>19</v>
      </c>
      <c r="D1139">
        <v>18000</v>
      </c>
      <c r="E1139">
        <v>499</v>
      </c>
      <c r="F1139">
        <v>1</v>
      </c>
      <c r="G1139">
        <v>18000</v>
      </c>
      <c r="H1139">
        <v>5.2621187999999999E-2</v>
      </c>
      <c r="I1139">
        <v>14788</v>
      </c>
      <c r="J1139">
        <v>5240</v>
      </c>
      <c r="K1139">
        <v>9548</v>
      </c>
      <c r="L1139">
        <v>500</v>
      </c>
      <c r="M1139">
        <v>499</v>
      </c>
      <c r="N1139">
        <v>1</v>
      </c>
      <c r="O1139">
        <v>3212</v>
      </c>
      <c r="P1139" s="3" t="s">
        <v>51</v>
      </c>
      <c r="Q1139">
        <v>50</v>
      </c>
      <c r="R1139">
        <v>0.999</v>
      </c>
      <c r="S1139">
        <v>1</v>
      </c>
    </row>
    <row r="1140" spans="1:19" x14ac:dyDescent="0.2">
      <c r="A1140" s="3" t="s">
        <v>54</v>
      </c>
      <c r="B1140" s="3" t="s">
        <v>55</v>
      </c>
      <c r="C1140">
        <v>25</v>
      </c>
      <c r="D1140">
        <v>18000</v>
      </c>
      <c r="E1140">
        <v>499</v>
      </c>
      <c r="F1140">
        <v>1</v>
      </c>
      <c r="G1140">
        <v>18000</v>
      </c>
      <c r="H1140">
        <v>5.2554334000000001E-2</v>
      </c>
      <c r="I1140">
        <v>14800</v>
      </c>
      <c r="J1140">
        <v>5252</v>
      </c>
      <c r="K1140">
        <v>9548</v>
      </c>
      <c r="L1140">
        <v>500</v>
      </c>
      <c r="M1140">
        <v>499</v>
      </c>
      <c r="N1140">
        <v>1</v>
      </c>
      <c r="O1140">
        <v>3200</v>
      </c>
      <c r="P1140" s="3" t="s">
        <v>51</v>
      </c>
      <c r="Q1140">
        <v>50</v>
      </c>
      <c r="R1140">
        <v>0.999</v>
      </c>
      <c r="S1140">
        <v>1</v>
      </c>
    </row>
    <row r="1141" spans="1:19" x14ac:dyDescent="0.2">
      <c r="A1141" s="3" t="s">
        <v>54</v>
      </c>
      <c r="B1141" s="3" t="s">
        <v>55</v>
      </c>
      <c r="C1141">
        <v>9</v>
      </c>
      <c r="D1141">
        <v>19000</v>
      </c>
      <c r="E1141">
        <v>499</v>
      </c>
      <c r="F1141">
        <v>1</v>
      </c>
      <c r="G1141">
        <v>19000</v>
      </c>
      <c r="H1141">
        <v>5.2176163999999997E-2</v>
      </c>
      <c r="I1141">
        <v>15208</v>
      </c>
      <c r="J1141">
        <v>5394</v>
      </c>
      <c r="K1141">
        <v>9814</v>
      </c>
      <c r="L1141">
        <v>500</v>
      </c>
      <c r="M1141">
        <v>499</v>
      </c>
      <c r="N1141">
        <v>1</v>
      </c>
      <c r="O1141">
        <v>3792</v>
      </c>
      <c r="P1141" s="3" t="s">
        <v>51</v>
      </c>
      <c r="Q1141">
        <v>50</v>
      </c>
      <c r="R1141">
        <v>0.999</v>
      </c>
      <c r="S1141">
        <v>1</v>
      </c>
    </row>
    <row r="1142" spans="1:19" x14ac:dyDescent="0.2">
      <c r="A1142" s="3" t="s">
        <v>54</v>
      </c>
      <c r="B1142" s="3" t="s">
        <v>55</v>
      </c>
      <c r="C1142">
        <v>42</v>
      </c>
      <c r="D1142">
        <v>19000</v>
      </c>
      <c r="E1142">
        <v>499</v>
      </c>
      <c r="F1142">
        <v>1</v>
      </c>
      <c r="G1142">
        <v>19000</v>
      </c>
      <c r="H1142">
        <v>5.2156226E-2</v>
      </c>
      <c r="I1142">
        <v>15202</v>
      </c>
      <c r="J1142">
        <v>5386</v>
      </c>
      <c r="K1142">
        <v>9816</v>
      </c>
      <c r="L1142">
        <v>500</v>
      </c>
      <c r="M1142">
        <v>499</v>
      </c>
      <c r="N1142">
        <v>1</v>
      </c>
      <c r="O1142">
        <v>3798</v>
      </c>
      <c r="P1142" s="3" t="s">
        <v>51</v>
      </c>
      <c r="Q1142">
        <v>50</v>
      </c>
      <c r="R1142">
        <v>0.999</v>
      </c>
      <c r="S1142">
        <v>1</v>
      </c>
    </row>
    <row r="1143" spans="1:19" x14ac:dyDescent="0.2">
      <c r="A1143" s="3" t="s">
        <v>54</v>
      </c>
      <c r="B1143" s="3" t="s">
        <v>55</v>
      </c>
      <c r="C1143">
        <v>1</v>
      </c>
      <c r="D1143">
        <v>19000</v>
      </c>
      <c r="E1143">
        <v>499</v>
      </c>
      <c r="F1143">
        <v>1</v>
      </c>
      <c r="G1143">
        <v>19000</v>
      </c>
      <c r="H1143">
        <v>5.2053559999999999E-2</v>
      </c>
      <c r="I1143">
        <v>15180</v>
      </c>
      <c r="J1143">
        <v>5371</v>
      </c>
      <c r="K1143">
        <v>9809</v>
      </c>
      <c r="L1143">
        <v>500</v>
      </c>
      <c r="M1143">
        <v>499</v>
      </c>
      <c r="N1143">
        <v>1</v>
      </c>
      <c r="O1143">
        <v>3820</v>
      </c>
      <c r="P1143" s="3" t="s">
        <v>51</v>
      </c>
      <c r="Q1143">
        <v>50</v>
      </c>
      <c r="R1143">
        <v>0.999</v>
      </c>
      <c r="S1143">
        <v>1</v>
      </c>
    </row>
    <row r="1144" spans="1:19" x14ac:dyDescent="0.2">
      <c r="A1144" s="3" t="s">
        <v>54</v>
      </c>
      <c r="B1144" s="3" t="s">
        <v>55</v>
      </c>
      <c r="C1144">
        <v>8</v>
      </c>
      <c r="D1144">
        <v>18000</v>
      </c>
      <c r="E1144">
        <v>499</v>
      </c>
      <c r="F1144">
        <v>1</v>
      </c>
      <c r="G1144">
        <v>18000</v>
      </c>
      <c r="H1144">
        <v>5.1911788E-2</v>
      </c>
      <c r="I1144">
        <v>14786</v>
      </c>
      <c r="J1144">
        <v>5237</v>
      </c>
      <c r="K1144">
        <v>9549</v>
      </c>
      <c r="L1144">
        <v>500</v>
      </c>
      <c r="M1144">
        <v>499</v>
      </c>
      <c r="N1144">
        <v>1</v>
      </c>
      <c r="O1144">
        <v>3214</v>
      </c>
      <c r="P1144" s="3" t="s">
        <v>51</v>
      </c>
      <c r="Q1144">
        <v>50</v>
      </c>
      <c r="R1144">
        <v>0.999</v>
      </c>
      <c r="S1144">
        <v>1</v>
      </c>
    </row>
    <row r="1145" spans="1:19" x14ac:dyDescent="0.2">
      <c r="A1145" s="3" t="s">
        <v>54</v>
      </c>
      <c r="B1145" s="3" t="s">
        <v>55</v>
      </c>
      <c r="C1145">
        <v>49</v>
      </c>
      <c r="D1145">
        <v>19000</v>
      </c>
      <c r="E1145">
        <v>499</v>
      </c>
      <c r="F1145">
        <v>1</v>
      </c>
      <c r="G1145">
        <v>19000</v>
      </c>
      <c r="H1145">
        <v>5.1858833E-2</v>
      </c>
      <c r="I1145">
        <v>15195</v>
      </c>
      <c r="J1145">
        <v>5381</v>
      </c>
      <c r="K1145">
        <v>9814</v>
      </c>
      <c r="L1145">
        <v>500</v>
      </c>
      <c r="M1145">
        <v>499</v>
      </c>
      <c r="N1145">
        <v>1</v>
      </c>
      <c r="O1145">
        <v>3805</v>
      </c>
      <c r="P1145" s="3" t="s">
        <v>51</v>
      </c>
      <c r="Q1145">
        <v>50</v>
      </c>
      <c r="R1145">
        <v>0.999</v>
      </c>
      <c r="S1145">
        <v>1</v>
      </c>
    </row>
    <row r="1146" spans="1:19" x14ac:dyDescent="0.2">
      <c r="A1146" s="3" t="s">
        <v>54</v>
      </c>
      <c r="B1146" s="3" t="s">
        <v>55</v>
      </c>
      <c r="C1146">
        <v>16</v>
      </c>
      <c r="D1146">
        <v>19000</v>
      </c>
      <c r="E1146">
        <v>499</v>
      </c>
      <c r="F1146">
        <v>1</v>
      </c>
      <c r="G1146">
        <v>19000</v>
      </c>
      <c r="H1146">
        <v>5.1844359E-2</v>
      </c>
      <c r="I1146">
        <v>15182</v>
      </c>
      <c r="J1146">
        <v>5381</v>
      </c>
      <c r="K1146">
        <v>9801</v>
      </c>
      <c r="L1146">
        <v>500</v>
      </c>
      <c r="M1146">
        <v>499</v>
      </c>
      <c r="N1146">
        <v>1</v>
      </c>
      <c r="O1146">
        <v>3818</v>
      </c>
      <c r="P1146" s="3" t="s">
        <v>51</v>
      </c>
      <c r="Q1146">
        <v>50</v>
      </c>
      <c r="R1146">
        <v>0.999</v>
      </c>
      <c r="S1146">
        <v>1</v>
      </c>
    </row>
    <row r="1147" spans="1:19" x14ac:dyDescent="0.2">
      <c r="A1147" s="3" t="s">
        <v>54</v>
      </c>
      <c r="B1147" s="3" t="s">
        <v>55</v>
      </c>
      <c r="C1147">
        <v>12</v>
      </c>
      <c r="D1147">
        <v>19000</v>
      </c>
      <c r="E1147">
        <v>499</v>
      </c>
      <c r="F1147">
        <v>1</v>
      </c>
      <c r="G1147">
        <v>19000</v>
      </c>
      <c r="H1147">
        <v>5.1826585000000001E-2</v>
      </c>
      <c r="I1147">
        <v>15179</v>
      </c>
      <c r="J1147">
        <v>5383</v>
      </c>
      <c r="K1147">
        <v>9796</v>
      </c>
      <c r="L1147">
        <v>500</v>
      </c>
      <c r="M1147">
        <v>499</v>
      </c>
      <c r="N1147">
        <v>1</v>
      </c>
      <c r="O1147">
        <v>3821</v>
      </c>
      <c r="P1147" s="3" t="s">
        <v>51</v>
      </c>
      <c r="Q1147">
        <v>50</v>
      </c>
      <c r="R1147">
        <v>0.999</v>
      </c>
      <c r="S1147">
        <v>1</v>
      </c>
    </row>
    <row r="1148" spans="1:19" x14ac:dyDescent="0.2">
      <c r="A1148" s="3" t="s">
        <v>54</v>
      </c>
      <c r="B1148" s="3" t="s">
        <v>55</v>
      </c>
      <c r="C1148">
        <v>31</v>
      </c>
      <c r="D1148">
        <v>18000</v>
      </c>
      <c r="E1148">
        <v>499</v>
      </c>
      <c r="F1148">
        <v>1</v>
      </c>
      <c r="G1148">
        <v>18000</v>
      </c>
      <c r="H1148">
        <v>5.1723259000000001E-2</v>
      </c>
      <c r="I1148">
        <v>14800</v>
      </c>
      <c r="J1148">
        <v>5251</v>
      </c>
      <c r="K1148">
        <v>9549</v>
      </c>
      <c r="L1148">
        <v>500</v>
      </c>
      <c r="M1148">
        <v>499</v>
      </c>
      <c r="N1148">
        <v>1</v>
      </c>
      <c r="O1148">
        <v>3200</v>
      </c>
      <c r="P1148" s="3" t="s">
        <v>51</v>
      </c>
      <c r="Q1148">
        <v>50</v>
      </c>
      <c r="R1148">
        <v>0.999</v>
      </c>
      <c r="S1148">
        <v>1</v>
      </c>
    </row>
    <row r="1149" spans="1:19" x14ac:dyDescent="0.2">
      <c r="A1149" s="3" t="s">
        <v>54</v>
      </c>
      <c r="B1149" s="3" t="s">
        <v>55</v>
      </c>
      <c r="C1149">
        <v>3</v>
      </c>
      <c r="D1149">
        <v>18000</v>
      </c>
      <c r="E1149">
        <v>499</v>
      </c>
      <c r="F1149">
        <v>1</v>
      </c>
      <c r="G1149">
        <v>18000</v>
      </c>
      <c r="H1149">
        <v>5.1702167E-2</v>
      </c>
      <c r="I1149">
        <v>14815</v>
      </c>
      <c r="J1149">
        <v>5254</v>
      </c>
      <c r="K1149">
        <v>9561</v>
      </c>
      <c r="L1149">
        <v>500</v>
      </c>
      <c r="M1149">
        <v>499</v>
      </c>
      <c r="N1149">
        <v>1</v>
      </c>
      <c r="O1149">
        <v>3185</v>
      </c>
      <c r="P1149" s="3" t="s">
        <v>51</v>
      </c>
      <c r="Q1149">
        <v>50</v>
      </c>
      <c r="R1149">
        <v>0.999</v>
      </c>
      <c r="S1149">
        <v>1</v>
      </c>
    </row>
    <row r="1150" spans="1:19" x14ac:dyDescent="0.2">
      <c r="A1150" s="3" t="s">
        <v>54</v>
      </c>
      <c r="B1150" s="3" t="s">
        <v>55</v>
      </c>
      <c r="C1150">
        <v>43</v>
      </c>
      <c r="D1150">
        <v>19000</v>
      </c>
      <c r="E1150">
        <v>499</v>
      </c>
      <c r="F1150">
        <v>1</v>
      </c>
      <c r="G1150">
        <v>19000</v>
      </c>
      <c r="H1150">
        <v>5.1646652000000001E-2</v>
      </c>
      <c r="I1150">
        <v>15175</v>
      </c>
      <c r="J1150">
        <v>5382</v>
      </c>
      <c r="K1150">
        <v>9793</v>
      </c>
      <c r="L1150">
        <v>500</v>
      </c>
      <c r="M1150">
        <v>499</v>
      </c>
      <c r="N1150">
        <v>1</v>
      </c>
      <c r="O1150">
        <v>3825</v>
      </c>
      <c r="P1150" s="3" t="s">
        <v>51</v>
      </c>
      <c r="Q1150">
        <v>50</v>
      </c>
      <c r="R1150">
        <v>0.999</v>
      </c>
      <c r="S1150">
        <v>1</v>
      </c>
    </row>
    <row r="1151" spans="1:19" x14ac:dyDescent="0.2">
      <c r="A1151" s="3" t="s">
        <v>54</v>
      </c>
      <c r="B1151" s="3" t="s">
        <v>55</v>
      </c>
      <c r="C1151">
        <v>5</v>
      </c>
      <c r="D1151">
        <v>19000</v>
      </c>
      <c r="E1151">
        <v>499</v>
      </c>
      <c r="F1151">
        <v>1</v>
      </c>
      <c r="G1151">
        <v>19000</v>
      </c>
      <c r="H1151">
        <v>5.1633251999999998E-2</v>
      </c>
      <c r="I1151">
        <v>15185</v>
      </c>
      <c r="J1151">
        <v>5366</v>
      </c>
      <c r="K1151">
        <v>9819</v>
      </c>
      <c r="L1151">
        <v>500</v>
      </c>
      <c r="M1151">
        <v>499</v>
      </c>
      <c r="N1151">
        <v>1</v>
      </c>
      <c r="O1151">
        <v>3815</v>
      </c>
      <c r="P1151" s="3" t="s">
        <v>51</v>
      </c>
      <c r="Q1151">
        <v>50</v>
      </c>
      <c r="R1151">
        <v>0.999</v>
      </c>
      <c r="S1151">
        <v>1</v>
      </c>
    </row>
    <row r="1152" spans="1:19" x14ac:dyDescent="0.2">
      <c r="A1152" s="3" t="s">
        <v>54</v>
      </c>
      <c r="B1152" s="3" t="s">
        <v>55</v>
      </c>
      <c r="C1152">
        <v>17</v>
      </c>
      <c r="D1152">
        <v>19000</v>
      </c>
      <c r="E1152">
        <v>499</v>
      </c>
      <c r="F1152">
        <v>1</v>
      </c>
      <c r="G1152">
        <v>19000</v>
      </c>
      <c r="H1152">
        <v>5.1457253000000001E-2</v>
      </c>
      <c r="I1152">
        <v>15227</v>
      </c>
      <c r="J1152">
        <v>5404</v>
      </c>
      <c r="K1152">
        <v>9823</v>
      </c>
      <c r="L1152">
        <v>500</v>
      </c>
      <c r="M1152">
        <v>499</v>
      </c>
      <c r="N1152">
        <v>1</v>
      </c>
      <c r="O1152">
        <v>3773</v>
      </c>
      <c r="P1152" s="3" t="s">
        <v>51</v>
      </c>
      <c r="Q1152">
        <v>50</v>
      </c>
      <c r="R1152">
        <v>0.999</v>
      </c>
      <c r="S1152">
        <v>1</v>
      </c>
    </row>
    <row r="1153" spans="1:19" x14ac:dyDescent="0.2">
      <c r="A1153" s="3" t="s">
        <v>54</v>
      </c>
      <c r="B1153" s="3" t="s">
        <v>55</v>
      </c>
      <c r="C1153">
        <v>25</v>
      </c>
      <c r="D1153">
        <v>19000</v>
      </c>
      <c r="E1153">
        <v>499</v>
      </c>
      <c r="F1153">
        <v>1</v>
      </c>
      <c r="G1153">
        <v>19000</v>
      </c>
      <c r="H1153">
        <v>5.1421210000000002E-2</v>
      </c>
      <c r="I1153">
        <v>15174</v>
      </c>
      <c r="J1153">
        <v>5378</v>
      </c>
      <c r="K1153">
        <v>9796</v>
      </c>
      <c r="L1153">
        <v>500</v>
      </c>
      <c r="M1153">
        <v>499</v>
      </c>
      <c r="N1153">
        <v>1</v>
      </c>
      <c r="O1153">
        <v>3826</v>
      </c>
      <c r="P1153" s="3" t="s">
        <v>51</v>
      </c>
      <c r="Q1153">
        <v>50</v>
      </c>
      <c r="R1153">
        <v>0.999</v>
      </c>
      <c r="S1153">
        <v>1</v>
      </c>
    </row>
    <row r="1154" spans="1:19" x14ac:dyDescent="0.2">
      <c r="A1154" s="3" t="s">
        <v>54</v>
      </c>
      <c r="B1154" s="3" t="s">
        <v>55</v>
      </c>
      <c r="C1154">
        <v>17</v>
      </c>
      <c r="D1154">
        <v>15000</v>
      </c>
      <c r="E1154">
        <v>499</v>
      </c>
      <c r="F1154">
        <v>1</v>
      </c>
      <c r="G1154">
        <v>60572.237308582698</v>
      </c>
      <c r="H1154">
        <v>5.1268420000000002E-2</v>
      </c>
      <c r="I1154">
        <v>13384</v>
      </c>
      <c r="J1154">
        <v>4203</v>
      </c>
      <c r="K1154">
        <v>9181</v>
      </c>
      <c r="L1154">
        <v>500</v>
      </c>
      <c r="M1154">
        <v>499</v>
      </c>
      <c r="N1154">
        <v>1</v>
      </c>
      <c r="O1154">
        <v>5856.1162928481999</v>
      </c>
      <c r="P1154" s="3" t="s">
        <v>51</v>
      </c>
      <c r="Q1154">
        <v>50</v>
      </c>
      <c r="R1154">
        <v>0.999</v>
      </c>
      <c r="S1154">
        <v>0</v>
      </c>
    </row>
    <row r="1155" spans="1:19" x14ac:dyDescent="0.2">
      <c r="A1155" s="3" t="s">
        <v>54</v>
      </c>
      <c r="B1155" s="3" t="s">
        <v>55</v>
      </c>
      <c r="C1155">
        <v>26</v>
      </c>
      <c r="D1155">
        <v>18000</v>
      </c>
      <c r="E1155">
        <v>499</v>
      </c>
      <c r="F1155">
        <v>1</v>
      </c>
      <c r="G1155">
        <v>18000</v>
      </c>
      <c r="H1155">
        <v>5.1257785E-2</v>
      </c>
      <c r="I1155">
        <v>14764</v>
      </c>
      <c r="J1155">
        <v>5241</v>
      </c>
      <c r="K1155">
        <v>9523</v>
      </c>
      <c r="L1155">
        <v>500</v>
      </c>
      <c r="M1155">
        <v>499</v>
      </c>
      <c r="N1155">
        <v>1</v>
      </c>
      <c r="O1155">
        <v>3236</v>
      </c>
      <c r="P1155" s="3" t="s">
        <v>51</v>
      </c>
      <c r="Q1155">
        <v>50</v>
      </c>
      <c r="R1155">
        <v>0.999</v>
      </c>
      <c r="S1155">
        <v>1</v>
      </c>
    </row>
    <row r="1156" spans="1:19" x14ac:dyDescent="0.2">
      <c r="A1156" s="3" t="s">
        <v>54</v>
      </c>
      <c r="B1156" s="3" t="s">
        <v>55</v>
      </c>
      <c r="C1156">
        <v>15</v>
      </c>
      <c r="D1156">
        <v>18000</v>
      </c>
      <c r="E1156">
        <v>499</v>
      </c>
      <c r="F1156">
        <v>1</v>
      </c>
      <c r="G1156">
        <v>18000</v>
      </c>
      <c r="H1156">
        <v>5.1156238E-2</v>
      </c>
      <c r="I1156">
        <v>14788</v>
      </c>
      <c r="J1156">
        <v>5274</v>
      </c>
      <c r="K1156">
        <v>9514</v>
      </c>
      <c r="L1156">
        <v>500</v>
      </c>
      <c r="M1156">
        <v>499</v>
      </c>
      <c r="N1156">
        <v>1</v>
      </c>
      <c r="O1156">
        <v>3212</v>
      </c>
      <c r="P1156" s="3" t="s">
        <v>51</v>
      </c>
      <c r="Q1156">
        <v>50</v>
      </c>
      <c r="R1156">
        <v>0.999</v>
      </c>
      <c r="S1156">
        <v>1</v>
      </c>
    </row>
    <row r="1157" spans="1:19" x14ac:dyDescent="0.2">
      <c r="A1157" s="3" t="s">
        <v>54</v>
      </c>
      <c r="B1157" s="3" t="s">
        <v>55</v>
      </c>
      <c r="C1157">
        <v>2</v>
      </c>
      <c r="D1157">
        <v>19000</v>
      </c>
      <c r="E1157">
        <v>499</v>
      </c>
      <c r="F1157">
        <v>1</v>
      </c>
      <c r="G1157">
        <v>19000</v>
      </c>
      <c r="H1157">
        <v>5.1121514999999999E-2</v>
      </c>
      <c r="I1157">
        <v>15172</v>
      </c>
      <c r="J1157">
        <v>5392</v>
      </c>
      <c r="K1157">
        <v>9780</v>
      </c>
      <c r="L1157">
        <v>500</v>
      </c>
      <c r="M1157">
        <v>499</v>
      </c>
      <c r="N1157">
        <v>1</v>
      </c>
      <c r="O1157">
        <v>3828</v>
      </c>
      <c r="P1157" s="3" t="s">
        <v>51</v>
      </c>
      <c r="Q1157">
        <v>50</v>
      </c>
      <c r="R1157">
        <v>0.999</v>
      </c>
      <c r="S1157">
        <v>1</v>
      </c>
    </row>
    <row r="1158" spans="1:19" x14ac:dyDescent="0.2">
      <c r="A1158" s="3" t="s">
        <v>54</v>
      </c>
      <c r="B1158" s="3" t="s">
        <v>55</v>
      </c>
      <c r="C1158">
        <v>27</v>
      </c>
      <c r="D1158">
        <v>19000</v>
      </c>
      <c r="E1158">
        <v>499</v>
      </c>
      <c r="F1158">
        <v>1</v>
      </c>
      <c r="G1158">
        <v>19000</v>
      </c>
      <c r="H1158">
        <v>5.1083015000000002E-2</v>
      </c>
      <c r="I1158">
        <v>15194</v>
      </c>
      <c r="J1158">
        <v>5380</v>
      </c>
      <c r="K1158">
        <v>9814</v>
      </c>
      <c r="L1158">
        <v>500</v>
      </c>
      <c r="M1158">
        <v>499</v>
      </c>
      <c r="N1158">
        <v>1</v>
      </c>
      <c r="O1158">
        <v>3806</v>
      </c>
      <c r="P1158" s="3" t="s">
        <v>51</v>
      </c>
      <c r="Q1158">
        <v>50</v>
      </c>
      <c r="R1158">
        <v>0.999</v>
      </c>
      <c r="S1158">
        <v>1</v>
      </c>
    </row>
    <row r="1159" spans="1:19" x14ac:dyDescent="0.2">
      <c r="A1159" s="3" t="s">
        <v>54</v>
      </c>
      <c r="B1159" s="3" t="s">
        <v>55</v>
      </c>
      <c r="C1159">
        <v>30</v>
      </c>
      <c r="D1159">
        <v>19000</v>
      </c>
      <c r="E1159">
        <v>499</v>
      </c>
      <c r="F1159">
        <v>1</v>
      </c>
      <c r="G1159">
        <v>19000</v>
      </c>
      <c r="H1159">
        <v>5.1057770000000002E-2</v>
      </c>
      <c r="I1159">
        <v>15247</v>
      </c>
      <c r="J1159">
        <v>5415</v>
      </c>
      <c r="K1159">
        <v>9832</v>
      </c>
      <c r="L1159">
        <v>500</v>
      </c>
      <c r="M1159">
        <v>499</v>
      </c>
      <c r="N1159">
        <v>1</v>
      </c>
      <c r="O1159">
        <v>3753</v>
      </c>
      <c r="P1159" s="3" t="s">
        <v>51</v>
      </c>
      <c r="Q1159">
        <v>50</v>
      </c>
      <c r="R1159">
        <v>0.999</v>
      </c>
      <c r="S1159">
        <v>1</v>
      </c>
    </row>
    <row r="1160" spans="1:19" x14ac:dyDescent="0.2">
      <c r="A1160" s="3" t="s">
        <v>54</v>
      </c>
      <c r="B1160" s="3" t="s">
        <v>55</v>
      </c>
      <c r="C1160">
        <v>33</v>
      </c>
      <c r="D1160">
        <v>19000</v>
      </c>
      <c r="E1160">
        <v>499</v>
      </c>
      <c r="F1160">
        <v>1</v>
      </c>
      <c r="G1160">
        <v>19000</v>
      </c>
      <c r="H1160">
        <v>5.1055853999999998E-2</v>
      </c>
      <c r="I1160">
        <v>15212</v>
      </c>
      <c r="J1160">
        <v>5402</v>
      </c>
      <c r="K1160">
        <v>9810</v>
      </c>
      <c r="L1160">
        <v>500</v>
      </c>
      <c r="M1160">
        <v>499</v>
      </c>
      <c r="N1160">
        <v>1</v>
      </c>
      <c r="O1160">
        <v>3788</v>
      </c>
      <c r="P1160" s="3" t="s">
        <v>51</v>
      </c>
      <c r="Q1160">
        <v>50</v>
      </c>
      <c r="R1160">
        <v>0.999</v>
      </c>
      <c r="S1160">
        <v>1</v>
      </c>
    </row>
    <row r="1161" spans="1:19" x14ac:dyDescent="0.2">
      <c r="A1161" s="3" t="s">
        <v>54</v>
      </c>
      <c r="B1161" s="3" t="s">
        <v>55</v>
      </c>
      <c r="C1161">
        <v>18</v>
      </c>
      <c r="D1161">
        <v>18000</v>
      </c>
      <c r="E1161">
        <v>499</v>
      </c>
      <c r="F1161">
        <v>1</v>
      </c>
      <c r="G1161">
        <v>18000</v>
      </c>
      <c r="H1161">
        <v>5.1035659999999997E-2</v>
      </c>
      <c r="I1161">
        <v>14770</v>
      </c>
      <c r="J1161">
        <v>5261</v>
      </c>
      <c r="K1161">
        <v>9509</v>
      </c>
      <c r="L1161">
        <v>500</v>
      </c>
      <c r="M1161">
        <v>499</v>
      </c>
      <c r="N1161">
        <v>1</v>
      </c>
      <c r="O1161">
        <v>3230</v>
      </c>
      <c r="P1161" s="3" t="s">
        <v>51</v>
      </c>
      <c r="Q1161">
        <v>50</v>
      </c>
      <c r="R1161">
        <v>0.999</v>
      </c>
      <c r="S1161">
        <v>1</v>
      </c>
    </row>
    <row r="1162" spans="1:19" x14ac:dyDescent="0.2">
      <c r="A1162" s="3" t="s">
        <v>54</v>
      </c>
      <c r="B1162" s="3" t="s">
        <v>55</v>
      </c>
      <c r="C1162">
        <v>16</v>
      </c>
      <c r="D1162">
        <v>18000</v>
      </c>
      <c r="E1162">
        <v>499</v>
      </c>
      <c r="F1162">
        <v>1</v>
      </c>
      <c r="G1162">
        <v>18000</v>
      </c>
      <c r="H1162">
        <v>5.1034020999999999E-2</v>
      </c>
      <c r="I1162">
        <v>14791</v>
      </c>
      <c r="J1162">
        <v>5249</v>
      </c>
      <c r="K1162">
        <v>9542</v>
      </c>
      <c r="L1162">
        <v>500</v>
      </c>
      <c r="M1162">
        <v>499</v>
      </c>
      <c r="N1162">
        <v>1</v>
      </c>
      <c r="O1162">
        <v>3209</v>
      </c>
      <c r="P1162" s="3" t="s">
        <v>51</v>
      </c>
      <c r="Q1162">
        <v>50</v>
      </c>
      <c r="R1162">
        <v>0.999</v>
      </c>
      <c r="S1162">
        <v>1</v>
      </c>
    </row>
    <row r="1163" spans="1:19" x14ac:dyDescent="0.2">
      <c r="A1163" s="3" t="s">
        <v>54</v>
      </c>
      <c r="B1163" s="3" t="s">
        <v>55</v>
      </c>
      <c r="C1163">
        <v>40</v>
      </c>
      <c r="D1163">
        <v>19000</v>
      </c>
      <c r="E1163">
        <v>499</v>
      </c>
      <c r="F1163">
        <v>1</v>
      </c>
      <c r="G1163">
        <v>19000</v>
      </c>
      <c r="H1163">
        <v>5.1014357000000003E-2</v>
      </c>
      <c r="I1163">
        <v>15180</v>
      </c>
      <c r="J1163">
        <v>5388</v>
      </c>
      <c r="K1163">
        <v>9792</v>
      </c>
      <c r="L1163">
        <v>500</v>
      </c>
      <c r="M1163">
        <v>499</v>
      </c>
      <c r="N1163">
        <v>1</v>
      </c>
      <c r="O1163">
        <v>3820</v>
      </c>
      <c r="P1163" s="3" t="s">
        <v>51</v>
      </c>
      <c r="Q1163">
        <v>50</v>
      </c>
      <c r="R1163">
        <v>0.999</v>
      </c>
      <c r="S1163">
        <v>1</v>
      </c>
    </row>
    <row r="1164" spans="1:19" x14ac:dyDescent="0.2">
      <c r="A1164" s="3" t="s">
        <v>54</v>
      </c>
      <c r="B1164" s="3" t="s">
        <v>55</v>
      </c>
      <c r="C1164">
        <v>44</v>
      </c>
      <c r="D1164">
        <v>19000</v>
      </c>
      <c r="E1164">
        <v>499</v>
      </c>
      <c r="F1164">
        <v>1</v>
      </c>
      <c r="G1164">
        <v>19000</v>
      </c>
      <c r="H1164">
        <v>5.0980359000000003E-2</v>
      </c>
      <c r="I1164">
        <v>15182</v>
      </c>
      <c r="J1164">
        <v>5381</v>
      </c>
      <c r="K1164">
        <v>9801</v>
      </c>
      <c r="L1164">
        <v>500</v>
      </c>
      <c r="M1164">
        <v>499</v>
      </c>
      <c r="N1164">
        <v>1</v>
      </c>
      <c r="O1164">
        <v>3818</v>
      </c>
      <c r="P1164" s="3" t="s">
        <v>51</v>
      </c>
      <c r="Q1164">
        <v>50</v>
      </c>
      <c r="R1164">
        <v>0.999</v>
      </c>
      <c r="S1164">
        <v>1</v>
      </c>
    </row>
    <row r="1165" spans="1:19" x14ac:dyDescent="0.2">
      <c r="A1165" s="3" t="s">
        <v>54</v>
      </c>
      <c r="B1165" s="3" t="s">
        <v>55</v>
      </c>
      <c r="C1165">
        <v>22</v>
      </c>
      <c r="D1165">
        <v>19000</v>
      </c>
      <c r="E1165">
        <v>499</v>
      </c>
      <c r="F1165">
        <v>1</v>
      </c>
      <c r="G1165">
        <v>19000</v>
      </c>
      <c r="H1165">
        <v>5.0963875999999998E-2</v>
      </c>
      <c r="I1165">
        <v>15198</v>
      </c>
      <c r="J1165">
        <v>5366</v>
      </c>
      <c r="K1165">
        <v>9832</v>
      </c>
      <c r="L1165">
        <v>500</v>
      </c>
      <c r="M1165">
        <v>499</v>
      </c>
      <c r="N1165">
        <v>1</v>
      </c>
      <c r="O1165">
        <v>3802</v>
      </c>
      <c r="P1165" s="3" t="s">
        <v>51</v>
      </c>
      <c r="Q1165">
        <v>50</v>
      </c>
      <c r="R1165">
        <v>0.999</v>
      </c>
      <c r="S1165">
        <v>1</v>
      </c>
    </row>
    <row r="1166" spans="1:19" x14ac:dyDescent="0.2">
      <c r="A1166" s="3" t="s">
        <v>54</v>
      </c>
      <c r="B1166" s="3" t="s">
        <v>55</v>
      </c>
      <c r="C1166">
        <v>18</v>
      </c>
      <c r="D1166">
        <v>19000</v>
      </c>
      <c r="E1166">
        <v>499</v>
      </c>
      <c r="F1166">
        <v>1</v>
      </c>
      <c r="G1166">
        <v>19000</v>
      </c>
      <c r="H1166">
        <v>5.0960704000000003E-2</v>
      </c>
      <c r="I1166">
        <v>15201</v>
      </c>
      <c r="J1166">
        <v>5396</v>
      </c>
      <c r="K1166">
        <v>9805</v>
      </c>
      <c r="L1166">
        <v>500</v>
      </c>
      <c r="M1166">
        <v>499</v>
      </c>
      <c r="N1166">
        <v>1</v>
      </c>
      <c r="O1166">
        <v>3799</v>
      </c>
      <c r="P1166" s="3" t="s">
        <v>51</v>
      </c>
      <c r="Q1166">
        <v>50</v>
      </c>
      <c r="R1166">
        <v>0.999</v>
      </c>
      <c r="S1166">
        <v>1</v>
      </c>
    </row>
    <row r="1167" spans="1:19" x14ac:dyDescent="0.2">
      <c r="A1167" s="3" t="s">
        <v>54</v>
      </c>
      <c r="B1167" s="3" t="s">
        <v>55</v>
      </c>
      <c r="C1167">
        <v>48</v>
      </c>
      <c r="D1167">
        <v>18000</v>
      </c>
      <c r="E1167">
        <v>499</v>
      </c>
      <c r="F1167">
        <v>1</v>
      </c>
      <c r="G1167">
        <v>18000</v>
      </c>
      <c r="H1167">
        <v>5.0940061000000002E-2</v>
      </c>
      <c r="I1167">
        <v>14768</v>
      </c>
      <c r="J1167">
        <v>5229</v>
      </c>
      <c r="K1167">
        <v>9539</v>
      </c>
      <c r="L1167">
        <v>500</v>
      </c>
      <c r="M1167">
        <v>499</v>
      </c>
      <c r="N1167">
        <v>1</v>
      </c>
      <c r="O1167">
        <v>3232</v>
      </c>
      <c r="P1167" s="3" t="s">
        <v>51</v>
      </c>
      <c r="Q1167">
        <v>50</v>
      </c>
      <c r="R1167">
        <v>0.999</v>
      </c>
      <c r="S1167">
        <v>1</v>
      </c>
    </row>
    <row r="1168" spans="1:19" x14ac:dyDescent="0.2">
      <c r="A1168" s="3" t="s">
        <v>54</v>
      </c>
      <c r="B1168" s="3" t="s">
        <v>55</v>
      </c>
      <c r="C1168">
        <v>36</v>
      </c>
      <c r="D1168">
        <v>19000</v>
      </c>
      <c r="E1168">
        <v>499</v>
      </c>
      <c r="F1168">
        <v>1</v>
      </c>
      <c r="G1168">
        <v>19000</v>
      </c>
      <c r="H1168">
        <v>5.0920684000000001E-2</v>
      </c>
      <c r="I1168">
        <v>15222</v>
      </c>
      <c r="J1168">
        <v>5414</v>
      </c>
      <c r="K1168">
        <v>9808</v>
      </c>
      <c r="L1168">
        <v>500</v>
      </c>
      <c r="M1168">
        <v>499</v>
      </c>
      <c r="N1168">
        <v>1</v>
      </c>
      <c r="O1168">
        <v>3778</v>
      </c>
      <c r="P1168" s="3" t="s">
        <v>51</v>
      </c>
      <c r="Q1168">
        <v>50</v>
      </c>
      <c r="R1168">
        <v>0.999</v>
      </c>
      <c r="S1168">
        <v>1</v>
      </c>
    </row>
    <row r="1169" spans="1:19" x14ac:dyDescent="0.2">
      <c r="A1169" s="3" t="s">
        <v>54</v>
      </c>
      <c r="B1169" s="3" t="s">
        <v>55</v>
      </c>
      <c r="C1169">
        <v>8</v>
      </c>
      <c r="D1169">
        <v>19000</v>
      </c>
      <c r="E1169">
        <v>499</v>
      </c>
      <c r="F1169">
        <v>1</v>
      </c>
      <c r="G1169">
        <v>19000</v>
      </c>
      <c r="H1169">
        <v>5.0915246999999997E-2</v>
      </c>
      <c r="I1169">
        <v>15234</v>
      </c>
      <c r="J1169">
        <v>5414</v>
      </c>
      <c r="K1169">
        <v>9820</v>
      </c>
      <c r="L1169">
        <v>500</v>
      </c>
      <c r="M1169">
        <v>499</v>
      </c>
      <c r="N1169">
        <v>1</v>
      </c>
      <c r="O1169">
        <v>3766</v>
      </c>
      <c r="P1169" s="3" t="s">
        <v>51</v>
      </c>
      <c r="Q1169">
        <v>50</v>
      </c>
      <c r="R1169">
        <v>0.999</v>
      </c>
      <c r="S1169">
        <v>1</v>
      </c>
    </row>
    <row r="1170" spans="1:19" x14ac:dyDescent="0.2">
      <c r="A1170" s="3" t="s">
        <v>54</v>
      </c>
      <c r="B1170" s="3" t="s">
        <v>55</v>
      </c>
      <c r="C1170">
        <v>39</v>
      </c>
      <c r="D1170">
        <v>19000</v>
      </c>
      <c r="E1170">
        <v>499</v>
      </c>
      <c r="F1170">
        <v>1</v>
      </c>
      <c r="G1170">
        <v>19000</v>
      </c>
      <c r="H1170">
        <v>5.0892539000000001E-2</v>
      </c>
      <c r="I1170">
        <v>15180</v>
      </c>
      <c r="J1170">
        <v>5349</v>
      </c>
      <c r="K1170">
        <v>9831</v>
      </c>
      <c r="L1170">
        <v>500</v>
      </c>
      <c r="M1170">
        <v>499</v>
      </c>
      <c r="N1170">
        <v>1</v>
      </c>
      <c r="O1170">
        <v>3820</v>
      </c>
      <c r="P1170" s="3" t="s">
        <v>51</v>
      </c>
      <c r="Q1170">
        <v>50</v>
      </c>
      <c r="R1170">
        <v>0.999</v>
      </c>
      <c r="S1170">
        <v>1</v>
      </c>
    </row>
    <row r="1171" spans="1:19" x14ac:dyDescent="0.2">
      <c r="A1171" s="3" t="s">
        <v>54</v>
      </c>
      <c r="B1171" s="3" t="s">
        <v>55</v>
      </c>
      <c r="C1171">
        <v>24</v>
      </c>
      <c r="D1171">
        <v>19000</v>
      </c>
      <c r="E1171">
        <v>499</v>
      </c>
      <c r="F1171">
        <v>1</v>
      </c>
      <c r="G1171">
        <v>19000</v>
      </c>
      <c r="H1171">
        <v>5.0860651E-2</v>
      </c>
      <c r="I1171">
        <v>15214</v>
      </c>
      <c r="J1171">
        <v>5418</v>
      </c>
      <c r="K1171">
        <v>9796</v>
      </c>
      <c r="L1171">
        <v>500</v>
      </c>
      <c r="M1171">
        <v>499</v>
      </c>
      <c r="N1171">
        <v>1</v>
      </c>
      <c r="O1171">
        <v>3786</v>
      </c>
      <c r="P1171" s="3" t="s">
        <v>51</v>
      </c>
      <c r="Q1171">
        <v>50</v>
      </c>
      <c r="R1171">
        <v>0.999</v>
      </c>
      <c r="S1171">
        <v>1</v>
      </c>
    </row>
    <row r="1172" spans="1:19" x14ac:dyDescent="0.2">
      <c r="A1172" s="3" t="s">
        <v>54</v>
      </c>
      <c r="B1172" s="3" t="s">
        <v>55</v>
      </c>
      <c r="C1172">
        <v>50</v>
      </c>
      <c r="D1172">
        <v>18000</v>
      </c>
      <c r="E1172">
        <v>499</v>
      </c>
      <c r="F1172">
        <v>1</v>
      </c>
      <c r="G1172">
        <v>18000</v>
      </c>
      <c r="H1172">
        <v>5.0837229999999997E-2</v>
      </c>
      <c r="I1172">
        <v>14764</v>
      </c>
      <c r="J1172">
        <v>5235</v>
      </c>
      <c r="K1172">
        <v>9529</v>
      </c>
      <c r="L1172">
        <v>500</v>
      </c>
      <c r="M1172">
        <v>499</v>
      </c>
      <c r="N1172">
        <v>1</v>
      </c>
      <c r="O1172">
        <v>3236</v>
      </c>
      <c r="P1172" s="3" t="s">
        <v>51</v>
      </c>
      <c r="Q1172">
        <v>50</v>
      </c>
      <c r="R1172">
        <v>0.999</v>
      </c>
      <c r="S1172">
        <v>1</v>
      </c>
    </row>
    <row r="1173" spans="1:19" x14ac:dyDescent="0.2">
      <c r="A1173" s="3" t="s">
        <v>54</v>
      </c>
      <c r="B1173" s="3" t="s">
        <v>55</v>
      </c>
      <c r="C1173">
        <v>50</v>
      </c>
      <c r="D1173">
        <v>19000</v>
      </c>
      <c r="E1173">
        <v>499</v>
      </c>
      <c r="F1173">
        <v>1</v>
      </c>
      <c r="G1173">
        <v>19000</v>
      </c>
      <c r="H1173">
        <v>5.0826844000000003E-2</v>
      </c>
      <c r="I1173">
        <v>15247</v>
      </c>
      <c r="J1173">
        <v>5410</v>
      </c>
      <c r="K1173">
        <v>9837</v>
      </c>
      <c r="L1173">
        <v>500</v>
      </c>
      <c r="M1173">
        <v>499</v>
      </c>
      <c r="N1173">
        <v>1</v>
      </c>
      <c r="O1173">
        <v>3753</v>
      </c>
      <c r="P1173" s="3" t="s">
        <v>51</v>
      </c>
      <c r="Q1173">
        <v>50</v>
      </c>
      <c r="R1173">
        <v>0.999</v>
      </c>
      <c r="S1173">
        <v>1</v>
      </c>
    </row>
    <row r="1174" spans="1:19" x14ac:dyDescent="0.2">
      <c r="A1174" s="3" t="s">
        <v>54</v>
      </c>
      <c r="B1174" s="3" t="s">
        <v>55</v>
      </c>
      <c r="C1174">
        <v>20</v>
      </c>
      <c r="D1174">
        <v>19000</v>
      </c>
      <c r="E1174">
        <v>499</v>
      </c>
      <c r="F1174">
        <v>1</v>
      </c>
      <c r="G1174">
        <v>19000</v>
      </c>
      <c r="H1174">
        <v>5.0822866000000001E-2</v>
      </c>
      <c r="I1174">
        <v>15181</v>
      </c>
      <c r="J1174">
        <v>5376</v>
      </c>
      <c r="K1174">
        <v>9805</v>
      </c>
      <c r="L1174">
        <v>500</v>
      </c>
      <c r="M1174">
        <v>499</v>
      </c>
      <c r="N1174">
        <v>1</v>
      </c>
      <c r="O1174">
        <v>3819</v>
      </c>
      <c r="P1174" s="3" t="s">
        <v>51</v>
      </c>
      <c r="Q1174">
        <v>50</v>
      </c>
      <c r="R1174">
        <v>0.999</v>
      </c>
      <c r="S1174">
        <v>1</v>
      </c>
    </row>
    <row r="1175" spans="1:19" x14ac:dyDescent="0.2">
      <c r="A1175" s="3" t="s">
        <v>54</v>
      </c>
      <c r="B1175" s="3" t="s">
        <v>55</v>
      </c>
      <c r="C1175">
        <v>29</v>
      </c>
      <c r="D1175">
        <v>19000</v>
      </c>
      <c r="E1175">
        <v>499</v>
      </c>
      <c r="F1175">
        <v>1</v>
      </c>
      <c r="G1175">
        <v>19000</v>
      </c>
      <c r="H1175">
        <v>5.0792480000000001E-2</v>
      </c>
      <c r="I1175">
        <v>15205</v>
      </c>
      <c r="J1175">
        <v>5408</v>
      </c>
      <c r="K1175">
        <v>9797</v>
      </c>
      <c r="L1175">
        <v>500</v>
      </c>
      <c r="M1175">
        <v>499</v>
      </c>
      <c r="N1175">
        <v>1</v>
      </c>
      <c r="O1175">
        <v>3795</v>
      </c>
      <c r="P1175" s="3" t="s">
        <v>51</v>
      </c>
      <c r="Q1175">
        <v>50</v>
      </c>
      <c r="R1175">
        <v>0.999</v>
      </c>
      <c r="S1175">
        <v>1</v>
      </c>
    </row>
    <row r="1176" spans="1:19" x14ac:dyDescent="0.2">
      <c r="A1176" s="3" t="s">
        <v>54</v>
      </c>
      <c r="B1176" s="3" t="s">
        <v>55</v>
      </c>
      <c r="C1176">
        <v>35</v>
      </c>
      <c r="D1176">
        <v>19000</v>
      </c>
      <c r="E1176">
        <v>499</v>
      </c>
      <c r="F1176">
        <v>1</v>
      </c>
      <c r="G1176">
        <v>19000</v>
      </c>
      <c r="H1176">
        <v>5.0785813999999999E-2</v>
      </c>
      <c r="I1176">
        <v>15202</v>
      </c>
      <c r="J1176">
        <v>5391</v>
      </c>
      <c r="K1176">
        <v>9811</v>
      </c>
      <c r="L1176">
        <v>500</v>
      </c>
      <c r="M1176">
        <v>499</v>
      </c>
      <c r="N1176">
        <v>1</v>
      </c>
      <c r="O1176">
        <v>3798</v>
      </c>
      <c r="P1176" s="3" t="s">
        <v>51</v>
      </c>
      <c r="Q1176">
        <v>50</v>
      </c>
      <c r="R1176">
        <v>0.999</v>
      </c>
      <c r="S1176">
        <v>1</v>
      </c>
    </row>
    <row r="1177" spans="1:19" x14ac:dyDescent="0.2">
      <c r="A1177" s="3" t="s">
        <v>54</v>
      </c>
      <c r="B1177" s="3" t="s">
        <v>55</v>
      </c>
      <c r="C1177">
        <v>21</v>
      </c>
      <c r="D1177">
        <v>19000</v>
      </c>
      <c r="E1177">
        <v>499</v>
      </c>
      <c r="F1177">
        <v>1</v>
      </c>
      <c r="G1177">
        <v>19000</v>
      </c>
      <c r="H1177">
        <v>5.0749844000000002E-2</v>
      </c>
      <c r="I1177">
        <v>15178</v>
      </c>
      <c r="J1177">
        <v>5362</v>
      </c>
      <c r="K1177">
        <v>9816</v>
      </c>
      <c r="L1177">
        <v>500</v>
      </c>
      <c r="M1177">
        <v>499</v>
      </c>
      <c r="N1177">
        <v>1</v>
      </c>
      <c r="O1177">
        <v>3822</v>
      </c>
      <c r="P1177" s="3" t="s">
        <v>51</v>
      </c>
      <c r="Q1177">
        <v>50</v>
      </c>
      <c r="R1177">
        <v>0.999</v>
      </c>
      <c r="S1177">
        <v>1</v>
      </c>
    </row>
    <row r="1178" spans="1:19" x14ac:dyDescent="0.2">
      <c r="A1178" s="3" t="s">
        <v>54</v>
      </c>
      <c r="B1178" s="3" t="s">
        <v>55</v>
      </c>
      <c r="C1178">
        <v>28</v>
      </c>
      <c r="D1178">
        <v>19000</v>
      </c>
      <c r="E1178">
        <v>499</v>
      </c>
      <c r="F1178">
        <v>1</v>
      </c>
      <c r="G1178">
        <v>19000</v>
      </c>
      <c r="H1178">
        <v>5.0714743999999999E-2</v>
      </c>
      <c r="I1178">
        <v>15150</v>
      </c>
      <c r="J1178">
        <v>5365</v>
      </c>
      <c r="K1178">
        <v>9785</v>
      </c>
      <c r="L1178">
        <v>500</v>
      </c>
      <c r="M1178">
        <v>499</v>
      </c>
      <c r="N1178">
        <v>1</v>
      </c>
      <c r="O1178">
        <v>3850</v>
      </c>
      <c r="P1178" s="3" t="s">
        <v>51</v>
      </c>
      <c r="Q1178">
        <v>50</v>
      </c>
      <c r="R1178">
        <v>0.999</v>
      </c>
      <c r="S1178">
        <v>1</v>
      </c>
    </row>
    <row r="1179" spans="1:19" x14ac:dyDescent="0.2">
      <c r="A1179" s="3" t="s">
        <v>54</v>
      </c>
      <c r="B1179" s="3" t="s">
        <v>55</v>
      </c>
      <c r="C1179">
        <v>22</v>
      </c>
      <c r="D1179">
        <v>18000</v>
      </c>
      <c r="E1179">
        <v>499</v>
      </c>
      <c r="F1179">
        <v>1</v>
      </c>
      <c r="G1179">
        <v>18000</v>
      </c>
      <c r="H1179">
        <v>5.0611152999999999E-2</v>
      </c>
      <c r="I1179">
        <v>14788</v>
      </c>
      <c r="J1179">
        <v>5247</v>
      </c>
      <c r="K1179">
        <v>9541</v>
      </c>
      <c r="L1179">
        <v>500</v>
      </c>
      <c r="M1179">
        <v>499</v>
      </c>
      <c r="N1179">
        <v>1</v>
      </c>
      <c r="O1179">
        <v>3212</v>
      </c>
      <c r="P1179" s="3" t="s">
        <v>51</v>
      </c>
      <c r="Q1179">
        <v>50</v>
      </c>
      <c r="R1179">
        <v>0.999</v>
      </c>
      <c r="S1179">
        <v>1</v>
      </c>
    </row>
    <row r="1180" spans="1:19" x14ac:dyDescent="0.2">
      <c r="A1180" s="3" t="s">
        <v>54</v>
      </c>
      <c r="B1180" s="3" t="s">
        <v>55</v>
      </c>
      <c r="C1180">
        <v>23</v>
      </c>
      <c r="D1180">
        <v>19000</v>
      </c>
      <c r="E1180">
        <v>499</v>
      </c>
      <c r="F1180">
        <v>1</v>
      </c>
      <c r="G1180">
        <v>19000</v>
      </c>
      <c r="H1180">
        <v>5.0545695000000002E-2</v>
      </c>
      <c r="I1180">
        <v>15172</v>
      </c>
      <c r="J1180">
        <v>5374</v>
      </c>
      <c r="K1180">
        <v>9798</v>
      </c>
      <c r="L1180">
        <v>500</v>
      </c>
      <c r="M1180">
        <v>499</v>
      </c>
      <c r="N1180">
        <v>1</v>
      </c>
      <c r="O1180">
        <v>3828</v>
      </c>
      <c r="P1180" s="3" t="s">
        <v>51</v>
      </c>
      <c r="Q1180">
        <v>50</v>
      </c>
      <c r="R1180">
        <v>0.999</v>
      </c>
      <c r="S1180">
        <v>1</v>
      </c>
    </row>
    <row r="1181" spans="1:19" x14ac:dyDescent="0.2">
      <c r="A1181" s="3" t="s">
        <v>54</v>
      </c>
      <c r="B1181" s="3" t="s">
        <v>55</v>
      </c>
      <c r="C1181">
        <v>49</v>
      </c>
      <c r="D1181">
        <v>18000</v>
      </c>
      <c r="E1181">
        <v>499</v>
      </c>
      <c r="F1181">
        <v>1</v>
      </c>
      <c r="G1181">
        <v>18000</v>
      </c>
      <c r="H1181">
        <v>5.0536272E-2</v>
      </c>
      <c r="I1181">
        <v>14770</v>
      </c>
      <c r="J1181">
        <v>5262</v>
      </c>
      <c r="K1181">
        <v>9508</v>
      </c>
      <c r="L1181">
        <v>500</v>
      </c>
      <c r="M1181">
        <v>499</v>
      </c>
      <c r="N1181">
        <v>1</v>
      </c>
      <c r="O1181">
        <v>3230</v>
      </c>
      <c r="P1181" s="3" t="s">
        <v>51</v>
      </c>
      <c r="Q1181">
        <v>50</v>
      </c>
      <c r="R1181">
        <v>0.999</v>
      </c>
      <c r="S1181">
        <v>1</v>
      </c>
    </row>
    <row r="1182" spans="1:19" x14ac:dyDescent="0.2">
      <c r="A1182" s="3" t="s">
        <v>54</v>
      </c>
      <c r="B1182" s="3" t="s">
        <v>55</v>
      </c>
      <c r="C1182">
        <v>45</v>
      </c>
      <c r="D1182">
        <v>19000</v>
      </c>
      <c r="E1182">
        <v>499</v>
      </c>
      <c r="F1182">
        <v>1</v>
      </c>
      <c r="G1182">
        <v>19000</v>
      </c>
      <c r="H1182">
        <v>5.0531881000000001E-2</v>
      </c>
      <c r="I1182">
        <v>15205</v>
      </c>
      <c r="J1182">
        <v>5369</v>
      </c>
      <c r="K1182">
        <v>9836</v>
      </c>
      <c r="L1182">
        <v>500</v>
      </c>
      <c r="M1182">
        <v>499</v>
      </c>
      <c r="N1182">
        <v>1</v>
      </c>
      <c r="O1182">
        <v>3795</v>
      </c>
      <c r="P1182" s="3" t="s">
        <v>51</v>
      </c>
      <c r="Q1182">
        <v>50</v>
      </c>
      <c r="R1182">
        <v>0.999</v>
      </c>
      <c r="S1182">
        <v>1</v>
      </c>
    </row>
    <row r="1183" spans="1:19" x14ac:dyDescent="0.2">
      <c r="A1183" s="3" t="s">
        <v>54</v>
      </c>
      <c r="B1183" s="3" t="s">
        <v>55</v>
      </c>
      <c r="C1183">
        <v>38</v>
      </c>
      <c r="D1183">
        <v>19000</v>
      </c>
      <c r="E1183">
        <v>499</v>
      </c>
      <c r="F1183">
        <v>1</v>
      </c>
      <c r="G1183">
        <v>19000</v>
      </c>
      <c r="H1183">
        <v>5.0522062E-2</v>
      </c>
      <c r="I1183">
        <v>15200</v>
      </c>
      <c r="J1183">
        <v>5394</v>
      </c>
      <c r="K1183">
        <v>9806</v>
      </c>
      <c r="L1183">
        <v>500</v>
      </c>
      <c r="M1183">
        <v>499</v>
      </c>
      <c r="N1183">
        <v>1</v>
      </c>
      <c r="O1183">
        <v>3800</v>
      </c>
      <c r="P1183" s="3" t="s">
        <v>51</v>
      </c>
      <c r="Q1183">
        <v>50</v>
      </c>
      <c r="R1183">
        <v>0.999</v>
      </c>
      <c r="S1183">
        <v>1</v>
      </c>
    </row>
    <row r="1184" spans="1:19" x14ac:dyDescent="0.2">
      <c r="A1184" s="3" t="s">
        <v>54</v>
      </c>
      <c r="B1184" s="3" t="s">
        <v>55</v>
      </c>
      <c r="C1184">
        <v>34</v>
      </c>
      <c r="D1184">
        <v>19000</v>
      </c>
      <c r="E1184">
        <v>499</v>
      </c>
      <c r="F1184">
        <v>1</v>
      </c>
      <c r="G1184">
        <v>19000</v>
      </c>
      <c r="H1184">
        <v>5.0510494000000003E-2</v>
      </c>
      <c r="I1184">
        <v>15189</v>
      </c>
      <c r="J1184">
        <v>5381</v>
      </c>
      <c r="K1184">
        <v>9808</v>
      </c>
      <c r="L1184">
        <v>500</v>
      </c>
      <c r="M1184">
        <v>499</v>
      </c>
      <c r="N1184">
        <v>1</v>
      </c>
      <c r="O1184">
        <v>3811</v>
      </c>
      <c r="P1184" s="3" t="s">
        <v>51</v>
      </c>
      <c r="Q1184">
        <v>50</v>
      </c>
      <c r="R1184">
        <v>0.999</v>
      </c>
      <c r="S1184">
        <v>1</v>
      </c>
    </row>
    <row r="1185" spans="1:19" x14ac:dyDescent="0.2">
      <c r="A1185" s="3" t="s">
        <v>54</v>
      </c>
      <c r="B1185" s="3" t="s">
        <v>55</v>
      </c>
      <c r="C1185">
        <v>1</v>
      </c>
      <c r="D1185">
        <v>18000</v>
      </c>
      <c r="E1185">
        <v>499</v>
      </c>
      <c r="F1185">
        <v>1</v>
      </c>
      <c r="G1185">
        <v>18000</v>
      </c>
      <c r="H1185">
        <v>5.0504069999999998E-2</v>
      </c>
      <c r="I1185">
        <v>14768</v>
      </c>
      <c r="J1185">
        <v>5246</v>
      </c>
      <c r="K1185">
        <v>9522</v>
      </c>
      <c r="L1185">
        <v>500</v>
      </c>
      <c r="M1185">
        <v>499</v>
      </c>
      <c r="N1185">
        <v>1</v>
      </c>
      <c r="O1185">
        <v>3232</v>
      </c>
      <c r="P1185" s="3" t="s">
        <v>51</v>
      </c>
      <c r="Q1185">
        <v>50</v>
      </c>
      <c r="R1185">
        <v>0.999</v>
      </c>
      <c r="S1185">
        <v>1</v>
      </c>
    </row>
    <row r="1186" spans="1:19" x14ac:dyDescent="0.2">
      <c r="A1186" s="3" t="s">
        <v>54</v>
      </c>
      <c r="B1186" s="3" t="s">
        <v>55</v>
      </c>
      <c r="C1186">
        <v>44</v>
      </c>
      <c r="D1186">
        <v>15000</v>
      </c>
      <c r="E1186">
        <v>499</v>
      </c>
      <c r="F1186">
        <v>1</v>
      </c>
      <c r="G1186">
        <v>60572.237308582698</v>
      </c>
      <c r="H1186">
        <v>5.0431689000000002E-2</v>
      </c>
      <c r="I1186">
        <v>13386</v>
      </c>
      <c r="J1186">
        <v>4196</v>
      </c>
      <c r="K1186">
        <v>9190</v>
      </c>
      <c r="L1186">
        <v>500</v>
      </c>
      <c r="M1186">
        <v>499</v>
      </c>
      <c r="N1186">
        <v>1</v>
      </c>
      <c r="O1186">
        <v>5852.8039911247997</v>
      </c>
      <c r="P1186" s="3" t="s">
        <v>51</v>
      </c>
      <c r="Q1186">
        <v>50</v>
      </c>
      <c r="R1186">
        <v>0.999</v>
      </c>
      <c r="S1186">
        <v>0</v>
      </c>
    </row>
    <row r="1187" spans="1:19" x14ac:dyDescent="0.2">
      <c r="A1187" s="3" t="s">
        <v>54</v>
      </c>
      <c r="B1187" s="3" t="s">
        <v>55</v>
      </c>
      <c r="C1187">
        <v>47</v>
      </c>
      <c r="D1187">
        <v>19000</v>
      </c>
      <c r="E1187">
        <v>499</v>
      </c>
      <c r="F1187">
        <v>1</v>
      </c>
      <c r="G1187">
        <v>19000</v>
      </c>
      <c r="H1187">
        <v>5.0381163E-2</v>
      </c>
      <c r="I1187">
        <v>15195</v>
      </c>
      <c r="J1187">
        <v>5385</v>
      </c>
      <c r="K1187">
        <v>9810</v>
      </c>
      <c r="L1187">
        <v>500</v>
      </c>
      <c r="M1187">
        <v>499</v>
      </c>
      <c r="N1187">
        <v>1</v>
      </c>
      <c r="O1187">
        <v>3805</v>
      </c>
      <c r="P1187" s="3" t="s">
        <v>51</v>
      </c>
      <c r="Q1187">
        <v>50</v>
      </c>
      <c r="R1187">
        <v>0.999</v>
      </c>
      <c r="S1187">
        <v>1</v>
      </c>
    </row>
    <row r="1188" spans="1:19" x14ac:dyDescent="0.2">
      <c r="A1188" s="3" t="s">
        <v>54</v>
      </c>
      <c r="B1188" s="3" t="s">
        <v>55</v>
      </c>
      <c r="C1188">
        <v>21</v>
      </c>
      <c r="D1188">
        <v>16000</v>
      </c>
      <c r="E1188">
        <v>499</v>
      </c>
      <c r="F1188">
        <v>1</v>
      </c>
      <c r="G1188">
        <v>16000</v>
      </c>
      <c r="H1188">
        <v>5.0316912999999998E-2</v>
      </c>
      <c r="I1188">
        <v>13972</v>
      </c>
      <c r="J1188">
        <v>5115</v>
      </c>
      <c r="K1188">
        <v>8857</v>
      </c>
      <c r="L1188">
        <v>500</v>
      </c>
      <c r="M1188">
        <v>499</v>
      </c>
      <c r="N1188">
        <v>1</v>
      </c>
      <c r="O1188">
        <v>2028</v>
      </c>
      <c r="P1188" s="3" t="s">
        <v>51</v>
      </c>
      <c r="Q1188">
        <v>50</v>
      </c>
      <c r="R1188">
        <v>0.999</v>
      </c>
      <c r="S1188">
        <v>1</v>
      </c>
    </row>
    <row r="1189" spans="1:19" x14ac:dyDescent="0.2">
      <c r="A1189" s="3" t="s">
        <v>54</v>
      </c>
      <c r="B1189" s="3" t="s">
        <v>55</v>
      </c>
      <c r="C1189">
        <v>37</v>
      </c>
      <c r="D1189">
        <v>18000</v>
      </c>
      <c r="E1189">
        <v>499</v>
      </c>
      <c r="F1189">
        <v>1</v>
      </c>
      <c r="G1189">
        <v>18000</v>
      </c>
      <c r="H1189">
        <v>4.9967883999999997E-2</v>
      </c>
      <c r="I1189">
        <v>14759</v>
      </c>
      <c r="J1189">
        <v>5224</v>
      </c>
      <c r="K1189">
        <v>9535</v>
      </c>
      <c r="L1189">
        <v>500</v>
      </c>
      <c r="M1189">
        <v>499</v>
      </c>
      <c r="N1189">
        <v>1</v>
      </c>
      <c r="O1189">
        <v>3241</v>
      </c>
      <c r="P1189" s="3" t="s">
        <v>51</v>
      </c>
      <c r="Q1189">
        <v>50</v>
      </c>
      <c r="R1189">
        <v>0.999</v>
      </c>
      <c r="S1189">
        <v>1</v>
      </c>
    </row>
    <row r="1190" spans="1:19" x14ac:dyDescent="0.2">
      <c r="A1190" s="3" t="s">
        <v>54</v>
      </c>
      <c r="B1190" s="3" t="s">
        <v>55</v>
      </c>
      <c r="C1190">
        <v>46</v>
      </c>
      <c r="D1190">
        <v>18000</v>
      </c>
      <c r="E1190">
        <v>499</v>
      </c>
      <c r="F1190">
        <v>1</v>
      </c>
      <c r="G1190">
        <v>18000</v>
      </c>
      <c r="H1190">
        <v>4.9906908999999999E-2</v>
      </c>
      <c r="I1190">
        <v>14809</v>
      </c>
      <c r="J1190">
        <v>5225</v>
      </c>
      <c r="K1190">
        <v>9584</v>
      </c>
      <c r="L1190">
        <v>500</v>
      </c>
      <c r="M1190">
        <v>499</v>
      </c>
      <c r="N1190">
        <v>1</v>
      </c>
      <c r="O1190">
        <v>3191</v>
      </c>
      <c r="P1190" s="3" t="s">
        <v>51</v>
      </c>
      <c r="Q1190">
        <v>50</v>
      </c>
      <c r="R1190">
        <v>0.999</v>
      </c>
      <c r="S1190">
        <v>1</v>
      </c>
    </row>
    <row r="1191" spans="1:19" x14ac:dyDescent="0.2">
      <c r="A1191" s="3" t="s">
        <v>54</v>
      </c>
      <c r="B1191" s="3" t="s">
        <v>55</v>
      </c>
      <c r="C1191">
        <v>42</v>
      </c>
      <c r="D1191">
        <v>18000</v>
      </c>
      <c r="E1191">
        <v>499</v>
      </c>
      <c r="F1191">
        <v>1</v>
      </c>
      <c r="G1191">
        <v>18000</v>
      </c>
      <c r="H1191">
        <v>4.9894854000000002E-2</v>
      </c>
      <c r="I1191">
        <v>14805</v>
      </c>
      <c r="J1191">
        <v>5266</v>
      </c>
      <c r="K1191">
        <v>9539</v>
      </c>
      <c r="L1191">
        <v>500</v>
      </c>
      <c r="M1191">
        <v>499</v>
      </c>
      <c r="N1191">
        <v>1</v>
      </c>
      <c r="O1191">
        <v>3195</v>
      </c>
      <c r="P1191" s="3" t="s">
        <v>51</v>
      </c>
      <c r="Q1191">
        <v>50</v>
      </c>
      <c r="R1191">
        <v>0.999</v>
      </c>
      <c r="S1191">
        <v>1</v>
      </c>
    </row>
    <row r="1192" spans="1:19" x14ac:dyDescent="0.2">
      <c r="A1192" s="3" t="s">
        <v>54</v>
      </c>
      <c r="B1192" s="3" t="s">
        <v>55</v>
      </c>
      <c r="C1192">
        <v>37</v>
      </c>
      <c r="D1192">
        <v>15000</v>
      </c>
      <c r="E1192">
        <v>499</v>
      </c>
      <c r="F1192">
        <v>1</v>
      </c>
      <c r="G1192">
        <v>60572.237308582698</v>
      </c>
      <c r="H1192">
        <v>4.9698111000000003E-2</v>
      </c>
      <c r="I1192">
        <v>13417</v>
      </c>
      <c r="J1192">
        <v>4234</v>
      </c>
      <c r="K1192">
        <v>9183</v>
      </c>
      <c r="L1192">
        <v>500</v>
      </c>
      <c r="M1192">
        <v>499</v>
      </c>
      <c r="N1192">
        <v>1</v>
      </c>
      <c r="O1192">
        <v>5797.7895028817002</v>
      </c>
      <c r="P1192" s="3" t="s">
        <v>51</v>
      </c>
      <c r="Q1192">
        <v>50</v>
      </c>
      <c r="R1192">
        <v>0.999</v>
      </c>
      <c r="S1192">
        <v>0</v>
      </c>
    </row>
    <row r="1193" spans="1:19" x14ac:dyDescent="0.2">
      <c r="A1193" s="3" t="s">
        <v>54</v>
      </c>
      <c r="B1193" s="3" t="s">
        <v>55</v>
      </c>
      <c r="C1193">
        <v>13</v>
      </c>
      <c r="D1193">
        <v>18000</v>
      </c>
      <c r="E1193">
        <v>499</v>
      </c>
      <c r="F1193">
        <v>1</v>
      </c>
      <c r="G1193">
        <v>18000</v>
      </c>
      <c r="H1193">
        <v>4.9673095E-2</v>
      </c>
      <c r="I1193">
        <v>14786</v>
      </c>
      <c r="J1193">
        <v>5249</v>
      </c>
      <c r="K1193">
        <v>9537</v>
      </c>
      <c r="L1193">
        <v>500</v>
      </c>
      <c r="M1193">
        <v>499</v>
      </c>
      <c r="N1193">
        <v>1</v>
      </c>
      <c r="O1193">
        <v>3214</v>
      </c>
      <c r="P1193" s="3" t="s">
        <v>51</v>
      </c>
      <c r="Q1193">
        <v>50</v>
      </c>
      <c r="R1193">
        <v>0.999</v>
      </c>
      <c r="S1193">
        <v>1</v>
      </c>
    </row>
    <row r="1194" spans="1:19" x14ac:dyDescent="0.2">
      <c r="A1194" s="3" t="s">
        <v>54</v>
      </c>
      <c r="B1194" s="3" t="s">
        <v>55</v>
      </c>
      <c r="C1194">
        <v>33</v>
      </c>
      <c r="D1194">
        <v>18000</v>
      </c>
      <c r="E1194">
        <v>499</v>
      </c>
      <c r="F1194">
        <v>1</v>
      </c>
      <c r="G1194">
        <v>18000</v>
      </c>
      <c r="H1194">
        <v>4.9669875000000002E-2</v>
      </c>
      <c r="I1194">
        <v>14778</v>
      </c>
      <c r="J1194">
        <v>5233</v>
      </c>
      <c r="K1194">
        <v>9545</v>
      </c>
      <c r="L1194">
        <v>500</v>
      </c>
      <c r="M1194">
        <v>499</v>
      </c>
      <c r="N1194">
        <v>1</v>
      </c>
      <c r="O1194">
        <v>3222</v>
      </c>
      <c r="P1194" s="3" t="s">
        <v>51</v>
      </c>
      <c r="Q1194">
        <v>50</v>
      </c>
      <c r="R1194">
        <v>0.999</v>
      </c>
      <c r="S1194">
        <v>1</v>
      </c>
    </row>
    <row r="1195" spans="1:19" x14ac:dyDescent="0.2">
      <c r="A1195" s="3" t="s">
        <v>54</v>
      </c>
      <c r="B1195" s="3" t="s">
        <v>55</v>
      </c>
      <c r="C1195">
        <v>9</v>
      </c>
      <c r="D1195">
        <v>18000</v>
      </c>
      <c r="E1195">
        <v>499</v>
      </c>
      <c r="F1195">
        <v>1</v>
      </c>
      <c r="G1195">
        <v>18000</v>
      </c>
      <c r="H1195">
        <v>4.9622603000000001E-2</v>
      </c>
      <c r="I1195">
        <v>14768</v>
      </c>
      <c r="J1195">
        <v>5250</v>
      </c>
      <c r="K1195">
        <v>9518</v>
      </c>
      <c r="L1195">
        <v>500</v>
      </c>
      <c r="M1195">
        <v>499</v>
      </c>
      <c r="N1195">
        <v>1</v>
      </c>
      <c r="O1195">
        <v>3232</v>
      </c>
      <c r="P1195" s="3" t="s">
        <v>51</v>
      </c>
      <c r="Q1195">
        <v>50</v>
      </c>
      <c r="R1195">
        <v>0.999</v>
      </c>
      <c r="S1195">
        <v>1</v>
      </c>
    </row>
    <row r="1196" spans="1:19" x14ac:dyDescent="0.2">
      <c r="A1196" s="3" t="s">
        <v>54</v>
      </c>
      <c r="B1196" s="3" t="s">
        <v>55</v>
      </c>
      <c r="C1196">
        <v>4</v>
      </c>
      <c r="D1196">
        <v>18000</v>
      </c>
      <c r="E1196">
        <v>499</v>
      </c>
      <c r="F1196">
        <v>1</v>
      </c>
      <c r="G1196">
        <v>18000</v>
      </c>
      <c r="H1196">
        <v>4.9615337000000002E-2</v>
      </c>
      <c r="I1196">
        <v>14788</v>
      </c>
      <c r="J1196">
        <v>5265</v>
      </c>
      <c r="K1196">
        <v>9523</v>
      </c>
      <c r="L1196">
        <v>500</v>
      </c>
      <c r="M1196">
        <v>499</v>
      </c>
      <c r="N1196">
        <v>1</v>
      </c>
      <c r="O1196">
        <v>3212</v>
      </c>
      <c r="P1196" s="3" t="s">
        <v>51</v>
      </c>
      <c r="Q1196">
        <v>50</v>
      </c>
      <c r="R1196">
        <v>0.999</v>
      </c>
      <c r="S1196">
        <v>1</v>
      </c>
    </row>
    <row r="1197" spans="1:19" x14ac:dyDescent="0.2">
      <c r="A1197" s="3" t="s">
        <v>54</v>
      </c>
      <c r="B1197" s="3" t="s">
        <v>55</v>
      </c>
      <c r="C1197">
        <v>24</v>
      </c>
      <c r="D1197">
        <v>16000</v>
      </c>
      <c r="E1197">
        <v>499</v>
      </c>
      <c r="F1197">
        <v>1</v>
      </c>
      <c r="G1197">
        <v>16000</v>
      </c>
      <c r="H1197">
        <v>4.9540022000000003E-2</v>
      </c>
      <c r="I1197">
        <v>13988</v>
      </c>
      <c r="J1197">
        <v>5123</v>
      </c>
      <c r="K1197">
        <v>8865</v>
      </c>
      <c r="L1197">
        <v>500</v>
      </c>
      <c r="M1197">
        <v>499</v>
      </c>
      <c r="N1197">
        <v>1</v>
      </c>
      <c r="O1197">
        <v>2012</v>
      </c>
      <c r="P1197" s="3" t="s">
        <v>51</v>
      </c>
      <c r="Q1197">
        <v>50</v>
      </c>
      <c r="R1197">
        <v>0.999</v>
      </c>
      <c r="S1197">
        <v>1</v>
      </c>
    </row>
    <row r="1198" spans="1:19" x14ac:dyDescent="0.2">
      <c r="A1198" s="3" t="s">
        <v>54</v>
      </c>
      <c r="B1198" s="3" t="s">
        <v>55</v>
      </c>
      <c r="C1198">
        <v>45</v>
      </c>
      <c r="D1198">
        <v>15000</v>
      </c>
      <c r="E1198">
        <v>499</v>
      </c>
      <c r="F1198">
        <v>1</v>
      </c>
      <c r="G1198">
        <v>60572.237308582698</v>
      </c>
      <c r="H1198">
        <v>4.9528252000000002E-2</v>
      </c>
      <c r="I1198">
        <v>13399</v>
      </c>
      <c r="J1198">
        <v>4200</v>
      </c>
      <c r="K1198">
        <v>9199</v>
      </c>
      <c r="L1198">
        <v>500</v>
      </c>
      <c r="M1198">
        <v>499</v>
      </c>
      <c r="N1198">
        <v>1</v>
      </c>
      <c r="O1198">
        <v>5802.6864258871001</v>
      </c>
      <c r="P1198" s="3" t="s">
        <v>51</v>
      </c>
      <c r="Q1198">
        <v>50</v>
      </c>
      <c r="R1198">
        <v>0.999</v>
      </c>
      <c r="S1198">
        <v>0</v>
      </c>
    </row>
    <row r="1199" spans="1:19" x14ac:dyDescent="0.2">
      <c r="A1199" s="3" t="s">
        <v>54</v>
      </c>
      <c r="B1199" s="3" t="s">
        <v>55</v>
      </c>
      <c r="C1199">
        <v>36</v>
      </c>
      <c r="D1199">
        <v>18000</v>
      </c>
      <c r="E1199">
        <v>499</v>
      </c>
      <c r="F1199">
        <v>1</v>
      </c>
      <c r="G1199">
        <v>18000</v>
      </c>
      <c r="H1199">
        <v>4.9524432E-2</v>
      </c>
      <c r="I1199">
        <v>14785</v>
      </c>
      <c r="J1199">
        <v>5253</v>
      </c>
      <c r="K1199">
        <v>9532</v>
      </c>
      <c r="L1199">
        <v>500</v>
      </c>
      <c r="M1199">
        <v>499</v>
      </c>
      <c r="N1199">
        <v>1</v>
      </c>
      <c r="O1199">
        <v>3215</v>
      </c>
      <c r="P1199" s="3" t="s">
        <v>51</v>
      </c>
      <c r="Q1199">
        <v>50</v>
      </c>
      <c r="R1199">
        <v>0.999</v>
      </c>
      <c r="S1199">
        <v>1</v>
      </c>
    </row>
    <row r="1200" spans="1:19" x14ac:dyDescent="0.2">
      <c r="A1200" s="3" t="s">
        <v>54</v>
      </c>
      <c r="B1200" s="3" t="s">
        <v>55</v>
      </c>
      <c r="C1200">
        <v>12</v>
      </c>
      <c r="D1200">
        <v>18000</v>
      </c>
      <c r="E1200">
        <v>499</v>
      </c>
      <c r="F1200">
        <v>1</v>
      </c>
      <c r="G1200">
        <v>18000</v>
      </c>
      <c r="H1200">
        <v>4.9462526999999999E-2</v>
      </c>
      <c r="I1200">
        <v>14766</v>
      </c>
      <c r="J1200">
        <v>5235</v>
      </c>
      <c r="K1200">
        <v>9531</v>
      </c>
      <c r="L1200">
        <v>500</v>
      </c>
      <c r="M1200">
        <v>499</v>
      </c>
      <c r="N1200">
        <v>1</v>
      </c>
      <c r="O1200">
        <v>3234</v>
      </c>
      <c r="P1200" s="3" t="s">
        <v>51</v>
      </c>
      <c r="Q1200">
        <v>50</v>
      </c>
      <c r="R1200">
        <v>0.999</v>
      </c>
      <c r="S1200">
        <v>1</v>
      </c>
    </row>
    <row r="1201" spans="1:19" x14ac:dyDescent="0.2">
      <c r="A1201" s="3" t="s">
        <v>54</v>
      </c>
      <c r="B1201" s="3" t="s">
        <v>55</v>
      </c>
      <c r="C1201">
        <v>1</v>
      </c>
      <c r="D1201">
        <v>15000</v>
      </c>
      <c r="E1201">
        <v>499</v>
      </c>
      <c r="F1201">
        <v>1</v>
      </c>
      <c r="G1201">
        <v>60572.237308582698</v>
      </c>
      <c r="H1201">
        <v>4.9356983E-2</v>
      </c>
      <c r="I1201">
        <v>13409</v>
      </c>
      <c r="J1201">
        <v>4209</v>
      </c>
      <c r="K1201">
        <v>9200</v>
      </c>
      <c r="L1201">
        <v>500</v>
      </c>
      <c r="M1201">
        <v>499</v>
      </c>
      <c r="N1201">
        <v>1</v>
      </c>
      <c r="O1201">
        <v>5824.4124719021002</v>
      </c>
      <c r="P1201" s="3" t="s">
        <v>51</v>
      </c>
      <c r="Q1201">
        <v>50</v>
      </c>
      <c r="R1201">
        <v>0.999</v>
      </c>
      <c r="S1201">
        <v>0</v>
      </c>
    </row>
    <row r="1202" spans="1:19" x14ac:dyDescent="0.2">
      <c r="A1202" s="3" t="s">
        <v>54</v>
      </c>
      <c r="B1202" s="3" t="s">
        <v>55</v>
      </c>
      <c r="C1202">
        <v>5</v>
      </c>
      <c r="D1202">
        <v>18000</v>
      </c>
      <c r="E1202">
        <v>499</v>
      </c>
      <c r="F1202">
        <v>1</v>
      </c>
      <c r="G1202">
        <v>18000</v>
      </c>
      <c r="H1202">
        <v>4.9353793E-2</v>
      </c>
      <c r="I1202">
        <v>14793</v>
      </c>
      <c r="J1202">
        <v>5253</v>
      </c>
      <c r="K1202">
        <v>9540</v>
      </c>
      <c r="L1202">
        <v>500</v>
      </c>
      <c r="M1202">
        <v>499</v>
      </c>
      <c r="N1202">
        <v>1</v>
      </c>
      <c r="O1202">
        <v>3207</v>
      </c>
      <c r="P1202" s="3" t="s">
        <v>51</v>
      </c>
      <c r="Q1202">
        <v>50</v>
      </c>
      <c r="R1202">
        <v>0.999</v>
      </c>
      <c r="S1202">
        <v>1</v>
      </c>
    </row>
    <row r="1203" spans="1:19" x14ac:dyDescent="0.2">
      <c r="A1203" s="3" t="s">
        <v>54</v>
      </c>
      <c r="B1203" s="3" t="s">
        <v>55</v>
      </c>
      <c r="C1203">
        <v>27</v>
      </c>
      <c r="D1203">
        <v>18000</v>
      </c>
      <c r="E1203">
        <v>499</v>
      </c>
      <c r="F1203">
        <v>1</v>
      </c>
      <c r="G1203">
        <v>18000</v>
      </c>
      <c r="H1203">
        <v>4.9123051000000001E-2</v>
      </c>
      <c r="I1203">
        <v>14781</v>
      </c>
      <c r="J1203">
        <v>5233</v>
      </c>
      <c r="K1203">
        <v>9548</v>
      </c>
      <c r="L1203">
        <v>500</v>
      </c>
      <c r="M1203">
        <v>499</v>
      </c>
      <c r="N1203">
        <v>1</v>
      </c>
      <c r="O1203">
        <v>3219</v>
      </c>
      <c r="P1203" s="3" t="s">
        <v>51</v>
      </c>
      <c r="Q1203">
        <v>50</v>
      </c>
      <c r="R1203">
        <v>0.999</v>
      </c>
      <c r="S1203">
        <v>1</v>
      </c>
    </row>
    <row r="1204" spans="1:19" x14ac:dyDescent="0.2">
      <c r="A1204" s="3" t="s">
        <v>54</v>
      </c>
      <c r="B1204" s="3" t="s">
        <v>55</v>
      </c>
      <c r="C1204">
        <v>41</v>
      </c>
      <c r="D1204">
        <v>18000</v>
      </c>
      <c r="E1204">
        <v>499</v>
      </c>
      <c r="F1204">
        <v>1</v>
      </c>
      <c r="G1204">
        <v>18000</v>
      </c>
      <c r="H1204">
        <v>4.9051431E-2</v>
      </c>
      <c r="I1204">
        <v>14799</v>
      </c>
      <c r="J1204">
        <v>5228</v>
      </c>
      <c r="K1204">
        <v>9571</v>
      </c>
      <c r="L1204">
        <v>500</v>
      </c>
      <c r="M1204">
        <v>499</v>
      </c>
      <c r="N1204">
        <v>1</v>
      </c>
      <c r="O1204">
        <v>3201</v>
      </c>
      <c r="P1204" s="3" t="s">
        <v>51</v>
      </c>
      <c r="Q1204">
        <v>50</v>
      </c>
      <c r="R1204">
        <v>0.999</v>
      </c>
      <c r="S1204">
        <v>1</v>
      </c>
    </row>
    <row r="1205" spans="1:19" x14ac:dyDescent="0.2">
      <c r="A1205" s="3" t="s">
        <v>54</v>
      </c>
      <c r="B1205" s="3" t="s">
        <v>55</v>
      </c>
      <c r="C1205">
        <v>7</v>
      </c>
      <c r="D1205">
        <v>15000</v>
      </c>
      <c r="E1205">
        <v>499</v>
      </c>
      <c r="F1205">
        <v>1</v>
      </c>
      <c r="G1205">
        <v>60572.237308582698</v>
      </c>
      <c r="H1205">
        <v>4.9027001000000001E-2</v>
      </c>
      <c r="I1205">
        <v>13416</v>
      </c>
      <c r="J1205">
        <v>4210</v>
      </c>
      <c r="K1205">
        <v>9206</v>
      </c>
      <c r="L1205">
        <v>500</v>
      </c>
      <c r="M1205">
        <v>499</v>
      </c>
      <c r="N1205">
        <v>1</v>
      </c>
      <c r="O1205">
        <v>5825.1694897699999</v>
      </c>
      <c r="P1205" s="3" t="s">
        <v>51</v>
      </c>
      <c r="Q1205">
        <v>50</v>
      </c>
      <c r="R1205">
        <v>0.999</v>
      </c>
      <c r="S1205">
        <v>0</v>
      </c>
    </row>
    <row r="1206" spans="1:19" x14ac:dyDescent="0.2">
      <c r="A1206" s="3" t="s">
        <v>54</v>
      </c>
      <c r="B1206" s="3" t="s">
        <v>55</v>
      </c>
      <c r="C1206">
        <v>45</v>
      </c>
      <c r="D1206">
        <v>18000</v>
      </c>
      <c r="E1206">
        <v>499</v>
      </c>
      <c r="F1206">
        <v>1</v>
      </c>
      <c r="G1206">
        <v>18000</v>
      </c>
      <c r="H1206">
        <v>4.9024638000000002E-2</v>
      </c>
      <c r="I1206">
        <v>14773</v>
      </c>
      <c r="J1206">
        <v>5243</v>
      </c>
      <c r="K1206">
        <v>9530</v>
      </c>
      <c r="L1206">
        <v>500</v>
      </c>
      <c r="M1206">
        <v>499</v>
      </c>
      <c r="N1206">
        <v>1</v>
      </c>
      <c r="O1206">
        <v>3227</v>
      </c>
      <c r="P1206" s="3" t="s">
        <v>51</v>
      </c>
      <c r="Q1206">
        <v>50</v>
      </c>
      <c r="R1206">
        <v>0.999</v>
      </c>
      <c r="S1206">
        <v>1</v>
      </c>
    </row>
    <row r="1207" spans="1:19" x14ac:dyDescent="0.2">
      <c r="A1207" s="3" t="s">
        <v>54</v>
      </c>
      <c r="B1207" s="3" t="s">
        <v>55</v>
      </c>
      <c r="C1207">
        <v>31</v>
      </c>
      <c r="D1207">
        <v>15000</v>
      </c>
      <c r="E1207">
        <v>499</v>
      </c>
      <c r="F1207">
        <v>1</v>
      </c>
      <c r="G1207">
        <v>60572.237308582698</v>
      </c>
      <c r="H1207">
        <v>4.8969968000000003E-2</v>
      </c>
      <c r="I1207">
        <v>13397</v>
      </c>
      <c r="J1207">
        <v>4204</v>
      </c>
      <c r="K1207">
        <v>9193</v>
      </c>
      <c r="L1207">
        <v>500</v>
      </c>
      <c r="M1207">
        <v>499</v>
      </c>
      <c r="N1207">
        <v>1</v>
      </c>
      <c r="O1207">
        <v>5818.1070640824</v>
      </c>
      <c r="P1207" s="3" t="s">
        <v>51</v>
      </c>
      <c r="Q1207">
        <v>50</v>
      </c>
      <c r="R1207">
        <v>0.999</v>
      </c>
      <c r="S1207">
        <v>0</v>
      </c>
    </row>
    <row r="1208" spans="1:19" x14ac:dyDescent="0.2">
      <c r="A1208" s="3" t="s">
        <v>54</v>
      </c>
      <c r="B1208" s="3" t="s">
        <v>55</v>
      </c>
      <c r="C1208">
        <v>40</v>
      </c>
      <c r="D1208">
        <v>18000</v>
      </c>
      <c r="E1208">
        <v>499</v>
      </c>
      <c r="F1208">
        <v>1</v>
      </c>
      <c r="G1208">
        <v>18000</v>
      </c>
      <c r="H1208">
        <v>4.8942028999999998E-2</v>
      </c>
      <c r="I1208">
        <v>14768</v>
      </c>
      <c r="J1208">
        <v>5245</v>
      </c>
      <c r="K1208">
        <v>9523</v>
      </c>
      <c r="L1208">
        <v>500</v>
      </c>
      <c r="M1208">
        <v>499</v>
      </c>
      <c r="N1208">
        <v>1</v>
      </c>
      <c r="O1208">
        <v>3232</v>
      </c>
      <c r="P1208" s="3" t="s">
        <v>51</v>
      </c>
      <c r="Q1208">
        <v>50</v>
      </c>
      <c r="R1208">
        <v>0.999</v>
      </c>
      <c r="S1208">
        <v>1</v>
      </c>
    </row>
    <row r="1209" spans="1:19" x14ac:dyDescent="0.2">
      <c r="A1209" s="3" t="s">
        <v>54</v>
      </c>
      <c r="B1209" s="3" t="s">
        <v>55</v>
      </c>
      <c r="C1209">
        <v>15</v>
      </c>
      <c r="D1209">
        <v>15000</v>
      </c>
      <c r="E1209">
        <v>499</v>
      </c>
      <c r="F1209">
        <v>1</v>
      </c>
      <c r="G1209">
        <v>60572.237308582698</v>
      </c>
      <c r="H1209">
        <v>4.8866853000000002E-2</v>
      </c>
      <c r="I1209">
        <v>13385</v>
      </c>
      <c r="J1209">
        <v>4194</v>
      </c>
      <c r="K1209">
        <v>9191</v>
      </c>
      <c r="L1209">
        <v>500</v>
      </c>
      <c r="M1209">
        <v>499</v>
      </c>
      <c r="N1209">
        <v>1</v>
      </c>
      <c r="O1209">
        <v>5865.1385704316999</v>
      </c>
      <c r="P1209" s="3" t="s">
        <v>51</v>
      </c>
      <c r="Q1209">
        <v>50</v>
      </c>
      <c r="R1209">
        <v>0.999</v>
      </c>
      <c r="S1209">
        <v>0</v>
      </c>
    </row>
    <row r="1210" spans="1:19" x14ac:dyDescent="0.2">
      <c r="A1210" s="3" t="s">
        <v>54</v>
      </c>
      <c r="B1210" s="3" t="s">
        <v>55</v>
      </c>
      <c r="C1210">
        <v>24</v>
      </c>
      <c r="D1210">
        <v>15000</v>
      </c>
      <c r="E1210">
        <v>499</v>
      </c>
      <c r="F1210">
        <v>1</v>
      </c>
      <c r="G1210">
        <v>60572.237308582698</v>
      </c>
      <c r="H1210">
        <v>4.8701835999999998E-2</v>
      </c>
      <c r="I1210">
        <v>13393</v>
      </c>
      <c r="J1210">
        <v>4209</v>
      </c>
      <c r="K1210">
        <v>9184</v>
      </c>
      <c r="L1210">
        <v>500</v>
      </c>
      <c r="M1210">
        <v>499</v>
      </c>
      <c r="N1210">
        <v>1</v>
      </c>
      <c r="O1210">
        <v>5793.7930336317004</v>
      </c>
      <c r="P1210" s="3" t="s">
        <v>51</v>
      </c>
      <c r="Q1210">
        <v>50</v>
      </c>
      <c r="R1210">
        <v>0.999</v>
      </c>
      <c r="S1210">
        <v>0</v>
      </c>
    </row>
    <row r="1211" spans="1:19" x14ac:dyDescent="0.2">
      <c r="A1211" s="3" t="s">
        <v>54</v>
      </c>
      <c r="B1211" s="3" t="s">
        <v>55</v>
      </c>
      <c r="C1211">
        <v>28</v>
      </c>
      <c r="D1211">
        <v>15000</v>
      </c>
      <c r="E1211">
        <v>499</v>
      </c>
      <c r="F1211">
        <v>1</v>
      </c>
      <c r="G1211">
        <v>60572.237308582698</v>
      </c>
      <c r="H1211">
        <v>4.8664480000000003E-2</v>
      </c>
      <c r="I1211">
        <v>13375</v>
      </c>
      <c r="J1211">
        <v>4185</v>
      </c>
      <c r="K1211">
        <v>9190</v>
      </c>
      <c r="L1211">
        <v>500</v>
      </c>
      <c r="M1211">
        <v>499</v>
      </c>
      <c r="N1211">
        <v>1</v>
      </c>
      <c r="O1211">
        <v>5883.3740308369997</v>
      </c>
      <c r="P1211" s="3" t="s">
        <v>51</v>
      </c>
      <c r="Q1211">
        <v>50</v>
      </c>
      <c r="R1211">
        <v>0.999</v>
      </c>
      <c r="S1211">
        <v>0</v>
      </c>
    </row>
    <row r="1212" spans="1:19" x14ac:dyDescent="0.2">
      <c r="A1212" s="3" t="s">
        <v>54</v>
      </c>
      <c r="B1212" s="3" t="s">
        <v>55</v>
      </c>
      <c r="C1212">
        <v>7</v>
      </c>
      <c r="D1212">
        <v>18000</v>
      </c>
      <c r="E1212">
        <v>499</v>
      </c>
      <c r="F1212">
        <v>1</v>
      </c>
      <c r="G1212">
        <v>18000</v>
      </c>
      <c r="H1212">
        <v>4.8613402999999999E-2</v>
      </c>
      <c r="I1212">
        <v>14791</v>
      </c>
      <c r="J1212">
        <v>5262</v>
      </c>
      <c r="K1212">
        <v>9529</v>
      </c>
      <c r="L1212">
        <v>500</v>
      </c>
      <c r="M1212">
        <v>499</v>
      </c>
      <c r="N1212">
        <v>1</v>
      </c>
      <c r="O1212">
        <v>3209</v>
      </c>
      <c r="P1212" s="3" t="s">
        <v>51</v>
      </c>
      <c r="Q1212">
        <v>50</v>
      </c>
      <c r="R1212">
        <v>0.999</v>
      </c>
      <c r="S1212">
        <v>1</v>
      </c>
    </row>
    <row r="1213" spans="1:19" x14ac:dyDescent="0.2">
      <c r="A1213" s="3" t="s">
        <v>54</v>
      </c>
      <c r="B1213" s="3" t="s">
        <v>55</v>
      </c>
      <c r="C1213">
        <v>11</v>
      </c>
      <c r="D1213">
        <v>14000</v>
      </c>
      <c r="E1213">
        <v>499</v>
      </c>
      <c r="F1213">
        <v>1</v>
      </c>
      <c r="G1213">
        <v>14000</v>
      </c>
      <c r="H1213">
        <v>4.8520755999999998E-2</v>
      </c>
      <c r="I1213">
        <v>13042</v>
      </c>
      <c r="J1213">
        <v>4852</v>
      </c>
      <c r="K1213">
        <v>8190</v>
      </c>
      <c r="L1213">
        <v>500</v>
      </c>
      <c r="M1213">
        <v>499</v>
      </c>
      <c r="N1213">
        <v>1</v>
      </c>
      <c r="O1213">
        <v>958</v>
      </c>
      <c r="P1213" s="3" t="s">
        <v>51</v>
      </c>
      <c r="Q1213">
        <v>50</v>
      </c>
      <c r="R1213">
        <v>0.999</v>
      </c>
      <c r="S1213">
        <v>1</v>
      </c>
    </row>
    <row r="1214" spans="1:19" x14ac:dyDescent="0.2">
      <c r="A1214" s="3" t="s">
        <v>54</v>
      </c>
      <c r="B1214" s="3" t="s">
        <v>55</v>
      </c>
      <c r="C1214">
        <v>21</v>
      </c>
      <c r="D1214">
        <v>18000</v>
      </c>
      <c r="E1214">
        <v>499</v>
      </c>
      <c r="F1214">
        <v>1</v>
      </c>
      <c r="G1214">
        <v>18000</v>
      </c>
      <c r="H1214">
        <v>4.8520628000000003E-2</v>
      </c>
      <c r="I1214">
        <v>14802</v>
      </c>
      <c r="J1214">
        <v>5215</v>
      </c>
      <c r="K1214">
        <v>9587</v>
      </c>
      <c r="L1214">
        <v>500</v>
      </c>
      <c r="M1214">
        <v>499</v>
      </c>
      <c r="N1214">
        <v>1</v>
      </c>
      <c r="O1214">
        <v>3198</v>
      </c>
      <c r="P1214" s="3" t="s">
        <v>51</v>
      </c>
      <c r="Q1214">
        <v>50</v>
      </c>
      <c r="R1214">
        <v>0.999</v>
      </c>
      <c r="S1214">
        <v>1</v>
      </c>
    </row>
    <row r="1215" spans="1:19" x14ac:dyDescent="0.2">
      <c r="A1215" s="3" t="s">
        <v>54</v>
      </c>
      <c r="B1215" s="3" t="s">
        <v>55</v>
      </c>
      <c r="C1215">
        <v>32</v>
      </c>
      <c r="D1215">
        <v>15000</v>
      </c>
      <c r="E1215">
        <v>499</v>
      </c>
      <c r="F1215">
        <v>1</v>
      </c>
      <c r="G1215">
        <v>60572.237308582698</v>
      </c>
      <c r="H1215">
        <v>4.8483567999999998E-2</v>
      </c>
      <c r="I1215">
        <v>13397</v>
      </c>
      <c r="J1215">
        <v>4168</v>
      </c>
      <c r="K1215">
        <v>9229</v>
      </c>
      <c r="L1215">
        <v>500</v>
      </c>
      <c r="M1215">
        <v>499</v>
      </c>
      <c r="N1215">
        <v>1</v>
      </c>
      <c r="O1215">
        <v>5887.7184610981003</v>
      </c>
      <c r="P1215" s="3" t="s">
        <v>51</v>
      </c>
      <c r="Q1215">
        <v>50</v>
      </c>
      <c r="R1215">
        <v>0.999</v>
      </c>
      <c r="S1215">
        <v>0</v>
      </c>
    </row>
    <row r="1216" spans="1:19" x14ac:dyDescent="0.2">
      <c r="A1216" s="3" t="s">
        <v>54</v>
      </c>
      <c r="B1216" s="3" t="s">
        <v>55</v>
      </c>
      <c r="C1216">
        <v>11</v>
      </c>
      <c r="D1216">
        <v>15000</v>
      </c>
      <c r="E1216">
        <v>499</v>
      </c>
      <c r="F1216">
        <v>1</v>
      </c>
      <c r="G1216">
        <v>60572.237308582698</v>
      </c>
      <c r="H1216">
        <v>4.8465207000000003E-2</v>
      </c>
      <c r="I1216">
        <v>13396</v>
      </c>
      <c r="J1216">
        <v>4219</v>
      </c>
      <c r="K1216">
        <v>9177</v>
      </c>
      <c r="L1216">
        <v>500</v>
      </c>
      <c r="M1216">
        <v>499</v>
      </c>
      <c r="N1216">
        <v>1</v>
      </c>
      <c r="O1216">
        <v>5764.8528355122999</v>
      </c>
      <c r="P1216" s="3" t="s">
        <v>51</v>
      </c>
      <c r="Q1216">
        <v>50</v>
      </c>
      <c r="R1216">
        <v>0.999</v>
      </c>
      <c r="S1216">
        <v>0</v>
      </c>
    </row>
    <row r="1217" spans="1:19" x14ac:dyDescent="0.2">
      <c r="A1217" s="3" t="s">
        <v>54</v>
      </c>
      <c r="B1217" s="3" t="s">
        <v>55</v>
      </c>
      <c r="C1217">
        <v>48</v>
      </c>
      <c r="D1217">
        <v>14000</v>
      </c>
      <c r="E1217">
        <v>499</v>
      </c>
      <c r="F1217">
        <v>1</v>
      </c>
      <c r="G1217">
        <v>58565.0323707059</v>
      </c>
      <c r="H1217">
        <v>4.8454070000000002E-2</v>
      </c>
      <c r="I1217">
        <v>12865</v>
      </c>
      <c r="J1217">
        <v>4076</v>
      </c>
      <c r="K1217">
        <v>8789</v>
      </c>
      <c r="L1217">
        <v>500</v>
      </c>
      <c r="M1217">
        <v>499</v>
      </c>
      <c r="N1217">
        <v>1</v>
      </c>
      <c r="O1217">
        <v>4214.3525451154001</v>
      </c>
      <c r="P1217" s="3" t="s">
        <v>51</v>
      </c>
      <c r="Q1217">
        <v>50</v>
      </c>
      <c r="R1217">
        <v>0.999</v>
      </c>
      <c r="S1217">
        <v>0</v>
      </c>
    </row>
    <row r="1218" spans="1:19" x14ac:dyDescent="0.2">
      <c r="A1218" s="3" t="s">
        <v>54</v>
      </c>
      <c r="B1218" s="3" t="s">
        <v>55</v>
      </c>
      <c r="C1218">
        <v>24</v>
      </c>
      <c r="D1218">
        <v>18000</v>
      </c>
      <c r="E1218">
        <v>499</v>
      </c>
      <c r="F1218">
        <v>1</v>
      </c>
      <c r="G1218">
        <v>18000</v>
      </c>
      <c r="H1218">
        <v>4.8420749999999999E-2</v>
      </c>
      <c r="I1218">
        <v>14802</v>
      </c>
      <c r="J1218">
        <v>5240</v>
      </c>
      <c r="K1218">
        <v>9562</v>
      </c>
      <c r="L1218">
        <v>500</v>
      </c>
      <c r="M1218">
        <v>499</v>
      </c>
      <c r="N1218">
        <v>1</v>
      </c>
      <c r="O1218">
        <v>3198</v>
      </c>
      <c r="P1218" s="3" t="s">
        <v>51</v>
      </c>
      <c r="Q1218">
        <v>50</v>
      </c>
      <c r="R1218">
        <v>0.999</v>
      </c>
      <c r="S1218">
        <v>1</v>
      </c>
    </row>
    <row r="1219" spans="1:19" x14ac:dyDescent="0.2">
      <c r="A1219" s="3" t="s">
        <v>54</v>
      </c>
      <c r="B1219" s="3" t="s">
        <v>55</v>
      </c>
      <c r="C1219">
        <v>4</v>
      </c>
      <c r="D1219">
        <v>15000</v>
      </c>
      <c r="E1219">
        <v>499</v>
      </c>
      <c r="F1219">
        <v>1</v>
      </c>
      <c r="G1219">
        <v>60572.237308582698</v>
      </c>
      <c r="H1219">
        <v>4.8390305000000002E-2</v>
      </c>
      <c r="I1219">
        <v>13400</v>
      </c>
      <c r="J1219">
        <v>4160</v>
      </c>
      <c r="K1219">
        <v>9240</v>
      </c>
      <c r="L1219">
        <v>500</v>
      </c>
      <c r="M1219">
        <v>499</v>
      </c>
      <c r="N1219">
        <v>1</v>
      </c>
      <c r="O1219">
        <v>5868.6344774900999</v>
      </c>
      <c r="P1219" s="3" t="s">
        <v>51</v>
      </c>
      <c r="Q1219">
        <v>50</v>
      </c>
      <c r="R1219">
        <v>0.999</v>
      </c>
      <c r="S1219">
        <v>0</v>
      </c>
    </row>
    <row r="1220" spans="1:19" x14ac:dyDescent="0.2">
      <c r="A1220" s="3" t="s">
        <v>54</v>
      </c>
      <c r="B1220" s="3" t="s">
        <v>55</v>
      </c>
      <c r="C1220">
        <v>23</v>
      </c>
      <c r="D1220">
        <v>18000</v>
      </c>
      <c r="E1220">
        <v>499</v>
      </c>
      <c r="F1220">
        <v>1</v>
      </c>
      <c r="G1220">
        <v>18000</v>
      </c>
      <c r="H1220">
        <v>4.8376756999999999E-2</v>
      </c>
      <c r="I1220">
        <v>14784</v>
      </c>
      <c r="J1220">
        <v>5252</v>
      </c>
      <c r="K1220">
        <v>9532</v>
      </c>
      <c r="L1220">
        <v>500</v>
      </c>
      <c r="M1220">
        <v>499</v>
      </c>
      <c r="N1220">
        <v>1</v>
      </c>
      <c r="O1220">
        <v>3216</v>
      </c>
      <c r="P1220" s="3" t="s">
        <v>51</v>
      </c>
      <c r="Q1220">
        <v>50</v>
      </c>
      <c r="R1220">
        <v>0.999</v>
      </c>
      <c r="S1220">
        <v>1</v>
      </c>
    </row>
    <row r="1221" spans="1:19" x14ac:dyDescent="0.2">
      <c r="A1221" s="3" t="s">
        <v>54</v>
      </c>
      <c r="B1221" s="3" t="s">
        <v>55</v>
      </c>
      <c r="C1221">
        <v>36</v>
      </c>
      <c r="D1221">
        <v>15000</v>
      </c>
      <c r="E1221">
        <v>499</v>
      </c>
      <c r="F1221">
        <v>1</v>
      </c>
      <c r="G1221">
        <v>60572.237308582698</v>
      </c>
      <c r="H1221">
        <v>4.8353695000000002E-2</v>
      </c>
      <c r="I1221">
        <v>13388</v>
      </c>
      <c r="J1221">
        <v>4192</v>
      </c>
      <c r="K1221">
        <v>9196</v>
      </c>
      <c r="L1221">
        <v>500</v>
      </c>
      <c r="M1221">
        <v>499</v>
      </c>
      <c r="N1221">
        <v>1</v>
      </c>
      <c r="O1221">
        <v>5914.9371446218001</v>
      </c>
      <c r="P1221" s="3" t="s">
        <v>51</v>
      </c>
      <c r="Q1221">
        <v>50</v>
      </c>
      <c r="R1221">
        <v>0.999</v>
      </c>
      <c r="S1221">
        <v>0</v>
      </c>
    </row>
    <row r="1222" spans="1:19" x14ac:dyDescent="0.2">
      <c r="A1222" s="3" t="s">
        <v>54</v>
      </c>
      <c r="B1222" s="3" t="s">
        <v>55</v>
      </c>
      <c r="C1222">
        <v>39</v>
      </c>
      <c r="D1222">
        <v>18000</v>
      </c>
      <c r="E1222">
        <v>499</v>
      </c>
      <c r="F1222">
        <v>1</v>
      </c>
      <c r="G1222">
        <v>18000</v>
      </c>
      <c r="H1222">
        <v>4.8261624000000003E-2</v>
      </c>
      <c r="I1222">
        <v>14761</v>
      </c>
      <c r="J1222">
        <v>5247</v>
      </c>
      <c r="K1222">
        <v>9514</v>
      </c>
      <c r="L1222">
        <v>500</v>
      </c>
      <c r="M1222">
        <v>499</v>
      </c>
      <c r="N1222">
        <v>1</v>
      </c>
      <c r="O1222">
        <v>3239</v>
      </c>
      <c r="P1222" s="3" t="s">
        <v>51</v>
      </c>
      <c r="Q1222">
        <v>50</v>
      </c>
      <c r="R1222">
        <v>0.999</v>
      </c>
      <c r="S1222">
        <v>1</v>
      </c>
    </row>
    <row r="1223" spans="1:19" x14ac:dyDescent="0.2">
      <c r="A1223" s="3" t="s">
        <v>54</v>
      </c>
      <c r="B1223" s="3" t="s">
        <v>55</v>
      </c>
      <c r="C1223">
        <v>11</v>
      </c>
      <c r="D1223">
        <v>18000</v>
      </c>
      <c r="E1223">
        <v>499</v>
      </c>
      <c r="F1223">
        <v>1</v>
      </c>
      <c r="G1223">
        <v>18000</v>
      </c>
      <c r="H1223">
        <v>4.8144301E-2</v>
      </c>
      <c r="I1223">
        <v>14781</v>
      </c>
      <c r="J1223">
        <v>5232</v>
      </c>
      <c r="K1223">
        <v>9549</v>
      </c>
      <c r="L1223">
        <v>500</v>
      </c>
      <c r="M1223">
        <v>499</v>
      </c>
      <c r="N1223">
        <v>1</v>
      </c>
      <c r="O1223">
        <v>3219</v>
      </c>
      <c r="P1223" s="3" t="s">
        <v>51</v>
      </c>
      <c r="Q1223">
        <v>50</v>
      </c>
      <c r="R1223">
        <v>0.999</v>
      </c>
      <c r="S1223">
        <v>1</v>
      </c>
    </row>
    <row r="1224" spans="1:19" x14ac:dyDescent="0.2">
      <c r="A1224" s="3" t="s">
        <v>54</v>
      </c>
      <c r="B1224" s="3" t="s">
        <v>55</v>
      </c>
      <c r="C1224">
        <v>21</v>
      </c>
      <c r="D1224">
        <v>15000</v>
      </c>
      <c r="E1224">
        <v>499</v>
      </c>
      <c r="F1224">
        <v>1</v>
      </c>
      <c r="G1224">
        <v>60572.237308582698</v>
      </c>
      <c r="H1224">
        <v>4.8075891000000003E-2</v>
      </c>
      <c r="I1224">
        <v>13404</v>
      </c>
      <c r="J1224">
        <v>4211</v>
      </c>
      <c r="K1224">
        <v>9193</v>
      </c>
      <c r="L1224">
        <v>500</v>
      </c>
      <c r="M1224">
        <v>499</v>
      </c>
      <c r="N1224">
        <v>1</v>
      </c>
      <c r="O1224">
        <v>5840.3057479549998</v>
      </c>
      <c r="P1224" s="3" t="s">
        <v>51</v>
      </c>
      <c r="Q1224">
        <v>50</v>
      </c>
      <c r="R1224">
        <v>0.999</v>
      </c>
      <c r="S1224">
        <v>0</v>
      </c>
    </row>
    <row r="1225" spans="1:19" x14ac:dyDescent="0.2">
      <c r="A1225" s="3" t="s">
        <v>54</v>
      </c>
      <c r="B1225" s="3" t="s">
        <v>55</v>
      </c>
      <c r="C1225">
        <v>35</v>
      </c>
      <c r="D1225">
        <v>15000</v>
      </c>
      <c r="E1225">
        <v>499</v>
      </c>
      <c r="F1225">
        <v>1</v>
      </c>
      <c r="G1225">
        <v>60572.237308582698</v>
      </c>
      <c r="H1225">
        <v>4.8075202999999997E-2</v>
      </c>
      <c r="I1225">
        <v>13359</v>
      </c>
      <c r="J1225">
        <v>4174</v>
      </c>
      <c r="K1225">
        <v>9185</v>
      </c>
      <c r="L1225">
        <v>500</v>
      </c>
      <c r="M1225">
        <v>499</v>
      </c>
      <c r="N1225">
        <v>1</v>
      </c>
      <c r="O1225">
        <v>6002.6330622180003</v>
      </c>
      <c r="P1225" s="3" t="s">
        <v>51</v>
      </c>
      <c r="Q1225">
        <v>50</v>
      </c>
      <c r="R1225">
        <v>0.999</v>
      </c>
      <c r="S1225">
        <v>0</v>
      </c>
    </row>
    <row r="1226" spans="1:19" x14ac:dyDescent="0.2">
      <c r="A1226" s="3" t="s">
        <v>54</v>
      </c>
      <c r="B1226" s="3" t="s">
        <v>55</v>
      </c>
      <c r="C1226">
        <v>39</v>
      </c>
      <c r="D1226">
        <v>15000</v>
      </c>
      <c r="E1226">
        <v>499</v>
      </c>
      <c r="F1226">
        <v>1</v>
      </c>
      <c r="G1226">
        <v>60572.237308582698</v>
      </c>
      <c r="H1226">
        <v>4.8019698999999999E-2</v>
      </c>
      <c r="I1226">
        <v>13390</v>
      </c>
      <c r="J1226">
        <v>4219</v>
      </c>
      <c r="K1226">
        <v>9171</v>
      </c>
      <c r="L1226">
        <v>500</v>
      </c>
      <c r="M1226">
        <v>499</v>
      </c>
      <c r="N1226">
        <v>1</v>
      </c>
      <c r="O1226">
        <v>5809.6505267725997</v>
      </c>
      <c r="P1226" s="3" t="s">
        <v>51</v>
      </c>
      <c r="Q1226">
        <v>50</v>
      </c>
      <c r="R1226">
        <v>0.999</v>
      </c>
      <c r="S1226">
        <v>0</v>
      </c>
    </row>
    <row r="1227" spans="1:19" x14ac:dyDescent="0.2">
      <c r="A1227" s="3" t="s">
        <v>54</v>
      </c>
      <c r="B1227" s="3" t="s">
        <v>55</v>
      </c>
      <c r="C1227">
        <v>49</v>
      </c>
      <c r="D1227">
        <v>15000</v>
      </c>
      <c r="E1227">
        <v>499</v>
      </c>
      <c r="F1227">
        <v>1</v>
      </c>
      <c r="G1227">
        <v>60572.237308582698</v>
      </c>
      <c r="H1227">
        <v>4.7970252999999997E-2</v>
      </c>
      <c r="I1227">
        <v>13391</v>
      </c>
      <c r="J1227">
        <v>4200</v>
      </c>
      <c r="K1227">
        <v>9191</v>
      </c>
      <c r="L1227">
        <v>500</v>
      </c>
      <c r="M1227">
        <v>499</v>
      </c>
      <c r="N1227">
        <v>1</v>
      </c>
      <c r="O1227">
        <v>5857.9175289762998</v>
      </c>
      <c r="P1227" s="3" t="s">
        <v>51</v>
      </c>
      <c r="Q1227">
        <v>50</v>
      </c>
      <c r="R1227">
        <v>0.999</v>
      </c>
      <c r="S1227">
        <v>0</v>
      </c>
    </row>
    <row r="1228" spans="1:19" x14ac:dyDescent="0.2">
      <c r="A1228" s="3" t="s">
        <v>54</v>
      </c>
      <c r="B1228" s="3" t="s">
        <v>55</v>
      </c>
      <c r="C1228">
        <v>42</v>
      </c>
      <c r="D1228">
        <v>14000</v>
      </c>
      <c r="E1228">
        <v>499</v>
      </c>
      <c r="F1228">
        <v>1</v>
      </c>
      <c r="G1228">
        <v>58565.0323707059</v>
      </c>
      <c r="H1228">
        <v>4.7949336000000002E-2</v>
      </c>
      <c r="I1228">
        <v>12851</v>
      </c>
      <c r="J1228">
        <v>4088</v>
      </c>
      <c r="K1228">
        <v>8763</v>
      </c>
      <c r="L1228">
        <v>500</v>
      </c>
      <c r="M1228">
        <v>499</v>
      </c>
      <c r="N1228">
        <v>1</v>
      </c>
      <c r="O1228">
        <v>4251.6681143596998</v>
      </c>
      <c r="P1228" s="3" t="s">
        <v>51</v>
      </c>
      <c r="Q1228">
        <v>50</v>
      </c>
      <c r="R1228">
        <v>0.999</v>
      </c>
      <c r="S1228">
        <v>0</v>
      </c>
    </row>
    <row r="1229" spans="1:19" x14ac:dyDescent="0.2">
      <c r="A1229" s="3" t="s">
        <v>54</v>
      </c>
      <c r="B1229" s="3" t="s">
        <v>55</v>
      </c>
      <c r="C1229">
        <v>39</v>
      </c>
      <c r="D1229">
        <v>14000</v>
      </c>
      <c r="E1229">
        <v>499</v>
      </c>
      <c r="F1229">
        <v>1</v>
      </c>
      <c r="G1229">
        <v>58565.0323707059</v>
      </c>
      <c r="H1229">
        <v>4.7898928E-2</v>
      </c>
      <c r="I1229">
        <v>12858</v>
      </c>
      <c r="J1229">
        <v>4093</v>
      </c>
      <c r="K1229">
        <v>8765</v>
      </c>
      <c r="L1229">
        <v>500</v>
      </c>
      <c r="M1229">
        <v>499</v>
      </c>
      <c r="N1229">
        <v>1</v>
      </c>
      <c r="O1229">
        <v>4237.1498913923997</v>
      </c>
      <c r="P1229" s="3" t="s">
        <v>51</v>
      </c>
      <c r="Q1229">
        <v>50</v>
      </c>
      <c r="R1229">
        <v>0.999</v>
      </c>
      <c r="S1229">
        <v>0</v>
      </c>
    </row>
    <row r="1230" spans="1:19" x14ac:dyDescent="0.2">
      <c r="A1230" s="3" t="s">
        <v>54</v>
      </c>
      <c r="B1230" s="3" t="s">
        <v>55</v>
      </c>
      <c r="C1230">
        <v>12</v>
      </c>
      <c r="D1230">
        <v>17000</v>
      </c>
      <c r="E1230">
        <v>499</v>
      </c>
      <c r="F1230">
        <v>1</v>
      </c>
      <c r="G1230">
        <v>17000</v>
      </c>
      <c r="H1230">
        <v>4.7856998999999997E-2</v>
      </c>
      <c r="I1230">
        <v>14380</v>
      </c>
      <c r="J1230">
        <v>5179</v>
      </c>
      <c r="K1230">
        <v>9201</v>
      </c>
      <c r="L1230">
        <v>500</v>
      </c>
      <c r="M1230">
        <v>499</v>
      </c>
      <c r="N1230">
        <v>1</v>
      </c>
      <c r="O1230">
        <v>2620</v>
      </c>
      <c r="P1230" s="3" t="s">
        <v>51</v>
      </c>
      <c r="Q1230">
        <v>50</v>
      </c>
      <c r="R1230">
        <v>0.999</v>
      </c>
      <c r="S1230">
        <v>1</v>
      </c>
    </row>
    <row r="1231" spans="1:19" x14ac:dyDescent="0.2">
      <c r="A1231" s="3" t="s">
        <v>54</v>
      </c>
      <c r="B1231" s="3" t="s">
        <v>55</v>
      </c>
      <c r="C1231">
        <v>2</v>
      </c>
      <c r="D1231">
        <v>18000</v>
      </c>
      <c r="E1231">
        <v>499</v>
      </c>
      <c r="F1231">
        <v>1</v>
      </c>
      <c r="G1231">
        <v>18000</v>
      </c>
      <c r="H1231">
        <v>4.7761338E-2</v>
      </c>
      <c r="I1231">
        <v>14789</v>
      </c>
      <c r="J1231">
        <v>5263</v>
      </c>
      <c r="K1231">
        <v>9526</v>
      </c>
      <c r="L1231">
        <v>500</v>
      </c>
      <c r="M1231">
        <v>499</v>
      </c>
      <c r="N1231">
        <v>1</v>
      </c>
      <c r="O1231">
        <v>3211</v>
      </c>
      <c r="P1231" s="3" t="s">
        <v>51</v>
      </c>
      <c r="Q1231">
        <v>50</v>
      </c>
      <c r="R1231">
        <v>0.999</v>
      </c>
      <c r="S1231">
        <v>1</v>
      </c>
    </row>
    <row r="1232" spans="1:19" x14ac:dyDescent="0.2">
      <c r="A1232" s="3" t="s">
        <v>54</v>
      </c>
      <c r="B1232" s="3" t="s">
        <v>55</v>
      </c>
      <c r="C1232">
        <v>34</v>
      </c>
      <c r="D1232">
        <v>15000</v>
      </c>
      <c r="E1232">
        <v>499</v>
      </c>
      <c r="F1232">
        <v>1</v>
      </c>
      <c r="G1232">
        <v>60572.237308582698</v>
      </c>
      <c r="H1232">
        <v>4.7577354000000002E-2</v>
      </c>
      <c r="I1232">
        <v>13387</v>
      </c>
      <c r="J1232">
        <v>4216</v>
      </c>
      <c r="K1232">
        <v>9171</v>
      </c>
      <c r="L1232">
        <v>500</v>
      </c>
      <c r="M1232">
        <v>499</v>
      </c>
      <c r="N1232">
        <v>1</v>
      </c>
      <c r="O1232">
        <v>5827.2636282146004</v>
      </c>
      <c r="P1232" s="3" t="s">
        <v>51</v>
      </c>
      <c r="Q1232">
        <v>50</v>
      </c>
      <c r="R1232">
        <v>0.999</v>
      </c>
      <c r="S1232">
        <v>0</v>
      </c>
    </row>
    <row r="1233" spans="1:19" x14ac:dyDescent="0.2">
      <c r="A1233" s="3" t="s">
        <v>54</v>
      </c>
      <c r="B1233" s="3" t="s">
        <v>55</v>
      </c>
      <c r="C1233">
        <v>5</v>
      </c>
      <c r="D1233">
        <v>14000</v>
      </c>
      <c r="E1233">
        <v>499</v>
      </c>
      <c r="F1233">
        <v>1</v>
      </c>
      <c r="G1233">
        <v>58565.0323707059</v>
      </c>
      <c r="H1233">
        <v>4.7539707E-2</v>
      </c>
      <c r="I1233">
        <v>12866</v>
      </c>
      <c r="J1233">
        <v>4061</v>
      </c>
      <c r="K1233">
        <v>8805</v>
      </c>
      <c r="L1233">
        <v>500</v>
      </c>
      <c r="M1233">
        <v>499</v>
      </c>
      <c r="N1233">
        <v>1</v>
      </c>
      <c r="O1233">
        <v>4231.1655844129</v>
      </c>
      <c r="P1233" s="3" t="s">
        <v>51</v>
      </c>
      <c r="Q1233">
        <v>50</v>
      </c>
      <c r="R1233">
        <v>0.999</v>
      </c>
      <c r="S1233">
        <v>0</v>
      </c>
    </row>
    <row r="1234" spans="1:19" x14ac:dyDescent="0.2">
      <c r="A1234" s="3" t="s">
        <v>54</v>
      </c>
      <c r="B1234" s="3" t="s">
        <v>55</v>
      </c>
      <c r="C1234">
        <v>30</v>
      </c>
      <c r="D1234">
        <v>15000</v>
      </c>
      <c r="E1234">
        <v>499</v>
      </c>
      <c r="F1234">
        <v>1</v>
      </c>
      <c r="G1234">
        <v>60572.237308582698</v>
      </c>
      <c r="H1234">
        <v>4.7429889000000003E-2</v>
      </c>
      <c r="I1234">
        <v>13349</v>
      </c>
      <c r="J1234">
        <v>4179</v>
      </c>
      <c r="K1234">
        <v>9170</v>
      </c>
      <c r="L1234">
        <v>500</v>
      </c>
      <c r="M1234">
        <v>499</v>
      </c>
      <c r="N1234">
        <v>1</v>
      </c>
      <c r="O1234">
        <v>6000.6594877369998</v>
      </c>
      <c r="P1234" s="3" t="s">
        <v>51</v>
      </c>
      <c r="Q1234">
        <v>50</v>
      </c>
      <c r="R1234">
        <v>0.999</v>
      </c>
      <c r="S1234">
        <v>0</v>
      </c>
    </row>
    <row r="1235" spans="1:19" x14ac:dyDescent="0.2">
      <c r="A1235" s="3" t="s">
        <v>54</v>
      </c>
      <c r="B1235" s="3" t="s">
        <v>55</v>
      </c>
      <c r="C1235">
        <v>2</v>
      </c>
      <c r="D1235">
        <v>15000</v>
      </c>
      <c r="E1235">
        <v>499</v>
      </c>
      <c r="F1235">
        <v>1</v>
      </c>
      <c r="G1235">
        <v>60572.237308582698</v>
      </c>
      <c r="H1235">
        <v>4.7420622000000003E-2</v>
      </c>
      <c r="I1235">
        <v>13387</v>
      </c>
      <c r="J1235">
        <v>4185</v>
      </c>
      <c r="K1235">
        <v>9202</v>
      </c>
      <c r="L1235">
        <v>500</v>
      </c>
      <c r="M1235">
        <v>499</v>
      </c>
      <c r="N1235">
        <v>1</v>
      </c>
      <c r="O1235">
        <v>5868.5306790687</v>
      </c>
      <c r="P1235" s="3" t="s">
        <v>51</v>
      </c>
      <c r="Q1235">
        <v>50</v>
      </c>
      <c r="R1235">
        <v>0.999</v>
      </c>
      <c r="S1235">
        <v>0</v>
      </c>
    </row>
    <row r="1236" spans="1:19" x14ac:dyDescent="0.2">
      <c r="A1236" s="3" t="s">
        <v>54</v>
      </c>
      <c r="B1236" s="3" t="s">
        <v>55</v>
      </c>
      <c r="C1236">
        <v>43</v>
      </c>
      <c r="D1236">
        <v>15000</v>
      </c>
      <c r="E1236">
        <v>499</v>
      </c>
      <c r="F1236">
        <v>1</v>
      </c>
      <c r="G1236">
        <v>60572.237308582698</v>
      </c>
      <c r="H1236">
        <v>4.7337354999999998E-2</v>
      </c>
      <c r="I1236">
        <v>13372</v>
      </c>
      <c r="J1236">
        <v>4178</v>
      </c>
      <c r="K1236">
        <v>9194</v>
      </c>
      <c r="L1236">
        <v>500</v>
      </c>
      <c r="M1236">
        <v>499</v>
      </c>
      <c r="N1236">
        <v>1</v>
      </c>
      <c r="O1236">
        <v>6005.6610484466</v>
      </c>
      <c r="P1236" s="3" t="s">
        <v>51</v>
      </c>
      <c r="Q1236">
        <v>50</v>
      </c>
      <c r="R1236">
        <v>0.999</v>
      </c>
      <c r="S1236">
        <v>0</v>
      </c>
    </row>
    <row r="1237" spans="1:19" x14ac:dyDescent="0.2">
      <c r="A1237" s="3" t="s">
        <v>54</v>
      </c>
      <c r="B1237" s="3" t="s">
        <v>55</v>
      </c>
      <c r="C1237">
        <v>26</v>
      </c>
      <c r="D1237">
        <v>15000</v>
      </c>
      <c r="E1237">
        <v>499</v>
      </c>
      <c r="F1237">
        <v>1</v>
      </c>
      <c r="G1237">
        <v>60572.237308582698</v>
      </c>
      <c r="H1237">
        <v>4.7317059000000002E-2</v>
      </c>
      <c r="I1237">
        <v>13382</v>
      </c>
      <c r="J1237">
        <v>4153</v>
      </c>
      <c r="K1237">
        <v>9229</v>
      </c>
      <c r="L1237">
        <v>500</v>
      </c>
      <c r="M1237">
        <v>499</v>
      </c>
      <c r="N1237">
        <v>1</v>
      </c>
      <c r="O1237">
        <v>5933.6458759945999</v>
      </c>
      <c r="P1237" s="3" t="s">
        <v>51</v>
      </c>
      <c r="Q1237">
        <v>50</v>
      </c>
      <c r="R1237">
        <v>0.999</v>
      </c>
      <c r="S1237">
        <v>0</v>
      </c>
    </row>
    <row r="1238" spans="1:19" x14ac:dyDescent="0.2">
      <c r="A1238" s="3" t="s">
        <v>54</v>
      </c>
      <c r="B1238" s="3" t="s">
        <v>55</v>
      </c>
      <c r="C1238">
        <v>42</v>
      </c>
      <c r="D1238">
        <v>15000</v>
      </c>
      <c r="E1238">
        <v>499</v>
      </c>
      <c r="F1238">
        <v>1</v>
      </c>
      <c r="G1238">
        <v>60572.237308582698</v>
      </c>
      <c r="H1238">
        <v>4.7263359999999997E-2</v>
      </c>
      <c r="I1238">
        <v>13415</v>
      </c>
      <c r="J1238">
        <v>4199</v>
      </c>
      <c r="K1238">
        <v>9216</v>
      </c>
      <c r="L1238">
        <v>500</v>
      </c>
      <c r="M1238">
        <v>499</v>
      </c>
      <c r="N1238">
        <v>1</v>
      </c>
      <c r="O1238">
        <v>5802.2137372668003</v>
      </c>
      <c r="P1238" s="3" t="s">
        <v>51</v>
      </c>
      <c r="Q1238">
        <v>50</v>
      </c>
      <c r="R1238">
        <v>0.999</v>
      </c>
      <c r="S1238">
        <v>0</v>
      </c>
    </row>
    <row r="1239" spans="1:19" x14ac:dyDescent="0.2">
      <c r="A1239" s="3" t="s">
        <v>54</v>
      </c>
      <c r="B1239" s="3" t="s">
        <v>55</v>
      </c>
      <c r="C1239">
        <v>25</v>
      </c>
      <c r="D1239">
        <v>15000</v>
      </c>
      <c r="E1239">
        <v>499</v>
      </c>
      <c r="F1239">
        <v>1</v>
      </c>
      <c r="G1239">
        <v>60572.237308582698</v>
      </c>
      <c r="H1239">
        <v>4.7242791999999999E-2</v>
      </c>
      <c r="I1239">
        <v>13386</v>
      </c>
      <c r="J1239">
        <v>4208</v>
      </c>
      <c r="K1239">
        <v>9178</v>
      </c>
      <c r="L1239">
        <v>500</v>
      </c>
      <c r="M1239">
        <v>499</v>
      </c>
      <c r="N1239">
        <v>1</v>
      </c>
      <c r="O1239">
        <v>5913.5061573984003</v>
      </c>
      <c r="P1239" s="3" t="s">
        <v>51</v>
      </c>
      <c r="Q1239">
        <v>50</v>
      </c>
      <c r="R1239">
        <v>0.999</v>
      </c>
      <c r="S1239">
        <v>0</v>
      </c>
    </row>
    <row r="1240" spans="1:19" x14ac:dyDescent="0.2">
      <c r="A1240" s="3" t="s">
        <v>54</v>
      </c>
      <c r="B1240" s="3" t="s">
        <v>55</v>
      </c>
      <c r="C1240">
        <v>38</v>
      </c>
      <c r="D1240">
        <v>14000</v>
      </c>
      <c r="E1240">
        <v>499</v>
      </c>
      <c r="F1240">
        <v>1</v>
      </c>
      <c r="G1240">
        <v>58565.0323707059</v>
      </c>
      <c r="H1240">
        <v>4.7242450999999998E-2</v>
      </c>
      <c r="I1240">
        <v>12843</v>
      </c>
      <c r="J1240">
        <v>4066</v>
      </c>
      <c r="K1240">
        <v>8777</v>
      </c>
      <c r="L1240">
        <v>500</v>
      </c>
      <c r="M1240">
        <v>499</v>
      </c>
      <c r="N1240">
        <v>1</v>
      </c>
      <c r="O1240">
        <v>4304.7365168425004</v>
      </c>
      <c r="P1240" s="3" t="s">
        <v>51</v>
      </c>
      <c r="Q1240">
        <v>50</v>
      </c>
      <c r="R1240">
        <v>0.999</v>
      </c>
      <c r="S1240">
        <v>0</v>
      </c>
    </row>
    <row r="1241" spans="1:19" x14ac:dyDescent="0.2">
      <c r="A1241" s="3" t="s">
        <v>54</v>
      </c>
      <c r="B1241" s="3" t="s">
        <v>55</v>
      </c>
      <c r="C1241">
        <v>43</v>
      </c>
      <c r="D1241">
        <v>14000</v>
      </c>
      <c r="E1241">
        <v>499</v>
      </c>
      <c r="F1241">
        <v>1</v>
      </c>
      <c r="G1241">
        <v>58565.0323707059</v>
      </c>
      <c r="H1241">
        <v>4.7230937000000001E-2</v>
      </c>
      <c r="I1241">
        <v>12895</v>
      </c>
      <c r="J1241">
        <v>4095</v>
      </c>
      <c r="K1241">
        <v>8800</v>
      </c>
      <c r="L1241">
        <v>500</v>
      </c>
      <c r="M1241">
        <v>499</v>
      </c>
      <c r="N1241">
        <v>1</v>
      </c>
      <c r="O1241">
        <v>4172.6262886268996</v>
      </c>
      <c r="P1241" s="3" t="s">
        <v>51</v>
      </c>
      <c r="Q1241">
        <v>50</v>
      </c>
      <c r="R1241">
        <v>0.999</v>
      </c>
      <c r="S1241">
        <v>0</v>
      </c>
    </row>
    <row r="1242" spans="1:19" x14ac:dyDescent="0.2">
      <c r="A1242" s="3" t="s">
        <v>54</v>
      </c>
      <c r="B1242" s="3" t="s">
        <v>55</v>
      </c>
      <c r="C1242">
        <v>46</v>
      </c>
      <c r="D1242">
        <v>15000</v>
      </c>
      <c r="E1242">
        <v>499</v>
      </c>
      <c r="F1242">
        <v>1</v>
      </c>
      <c r="G1242">
        <v>60572.237308582698</v>
      </c>
      <c r="H1242">
        <v>4.7176781000000001E-2</v>
      </c>
      <c r="I1242">
        <v>13370</v>
      </c>
      <c r="J1242">
        <v>4174</v>
      </c>
      <c r="K1242">
        <v>9196</v>
      </c>
      <c r="L1242">
        <v>500</v>
      </c>
      <c r="M1242">
        <v>499</v>
      </c>
      <c r="N1242">
        <v>1</v>
      </c>
      <c r="O1242">
        <v>5965.9110483438999</v>
      </c>
      <c r="P1242" s="3" t="s">
        <v>51</v>
      </c>
      <c r="Q1242">
        <v>50</v>
      </c>
      <c r="R1242">
        <v>0.999</v>
      </c>
      <c r="S1242">
        <v>0</v>
      </c>
    </row>
    <row r="1243" spans="1:19" x14ac:dyDescent="0.2">
      <c r="A1243" s="3" t="s">
        <v>54</v>
      </c>
      <c r="B1243" s="3" t="s">
        <v>55</v>
      </c>
      <c r="C1243">
        <v>48</v>
      </c>
      <c r="D1243">
        <v>15000</v>
      </c>
      <c r="E1243">
        <v>499</v>
      </c>
      <c r="F1243">
        <v>1</v>
      </c>
      <c r="G1243">
        <v>60572.237308582698</v>
      </c>
      <c r="H1243">
        <v>4.7146338000000003E-2</v>
      </c>
      <c r="I1243">
        <v>13376</v>
      </c>
      <c r="J1243">
        <v>4174</v>
      </c>
      <c r="K1243">
        <v>9202</v>
      </c>
      <c r="L1243">
        <v>500</v>
      </c>
      <c r="M1243">
        <v>499</v>
      </c>
      <c r="N1243">
        <v>1</v>
      </c>
      <c r="O1243">
        <v>5879.1421762839</v>
      </c>
      <c r="P1243" s="3" t="s">
        <v>51</v>
      </c>
      <c r="Q1243">
        <v>50</v>
      </c>
      <c r="R1243">
        <v>0.999</v>
      </c>
      <c r="S1243">
        <v>0</v>
      </c>
    </row>
    <row r="1244" spans="1:19" x14ac:dyDescent="0.2">
      <c r="A1244" s="3" t="s">
        <v>54</v>
      </c>
      <c r="B1244" s="3" t="s">
        <v>55</v>
      </c>
      <c r="C1244">
        <v>27</v>
      </c>
      <c r="D1244">
        <v>17000</v>
      </c>
      <c r="E1244">
        <v>499</v>
      </c>
      <c r="F1244">
        <v>1</v>
      </c>
      <c r="G1244">
        <v>17000</v>
      </c>
      <c r="H1244">
        <v>4.7098938E-2</v>
      </c>
      <c r="I1244">
        <v>14393</v>
      </c>
      <c r="J1244">
        <v>5170</v>
      </c>
      <c r="K1244">
        <v>9223</v>
      </c>
      <c r="L1244">
        <v>500</v>
      </c>
      <c r="M1244">
        <v>499</v>
      </c>
      <c r="N1244">
        <v>1</v>
      </c>
      <c r="O1244">
        <v>2607</v>
      </c>
      <c r="P1244" s="3" t="s">
        <v>51</v>
      </c>
      <c r="Q1244">
        <v>50</v>
      </c>
      <c r="R1244">
        <v>0.999</v>
      </c>
      <c r="S1244">
        <v>1</v>
      </c>
    </row>
    <row r="1245" spans="1:19" x14ac:dyDescent="0.2">
      <c r="A1245" s="3" t="s">
        <v>54</v>
      </c>
      <c r="B1245" s="3" t="s">
        <v>55</v>
      </c>
      <c r="C1245">
        <v>3</v>
      </c>
      <c r="D1245">
        <v>15000</v>
      </c>
      <c r="E1245">
        <v>499</v>
      </c>
      <c r="F1245">
        <v>1</v>
      </c>
      <c r="G1245">
        <v>60572.237308582698</v>
      </c>
      <c r="H1245">
        <v>4.6975031E-2</v>
      </c>
      <c r="I1245">
        <v>13381</v>
      </c>
      <c r="J1245">
        <v>4182</v>
      </c>
      <c r="K1245">
        <v>9199</v>
      </c>
      <c r="L1245">
        <v>500</v>
      </c>
      <c r="M1245">
        <v>499</v>
      </c>
      <c r="N1245">
        <v>1</v>
      </c>
      <c r="O1245">
        <v>5851.3331662121</v>
      </c>
      <c r="P1245" s="3" t="s">
        <v>51</v>
      </c>
      <c r="Q1245">
        <v>50</v>
      </c>
      <c r="R1245">
        <v>0.999</v>
      </c>
      <c r="S1245">
        <v>0</v>
      </c>
    </row>
    <row r="1246" spans="1:19" x14ac:dyDescent="0.2">
      <c r="A1246" s="3" t="s">
        <v>54</v>
      </c>
      <c r="B1246" s="3" t="s">
        <v>55</v>
      </c>
      <c r="C1246">
        <v>24</v>
      </c>
      <c r="D1246">
        <v>14000</v>
      </c>
      <c r="E1246">
        <v>499</v>
      </c>
      <c r="F1246">
        <v>1</v>
      </c>
      <c r="G1246">
        <v>58565.0323707059</v>
      </c>
      <c r="H1246">
        <v>4.6911629000000003E-2</v>
      </c>
      <c r="I1246">
        <v>12852</v>
      </c>
      <c r="J1246">
        <v>4077</v>
      </c>
      <c r="K1246">
        <v>8775</v>
      </c>
      <c r="L1246">
        <v>500</v>
      </c>
      <c r="M1246">
        <v>499</v>
      </c>
      <c r="N1246">
        <v>1</v>
      </c>
      <c r="O1246">
        <v>4230.9613938977</v>
      </c>
      <c r="P1246" s="3" t="s">
        <v>51</v>
      </c>
      <c r="Q1246">
        <v>50</v>
      </c>
      <c r="R1246">
        <v>0.999</v>
      </c>
      <c r="S1246">
        <v>0</v>
      </c>
    </row>
    <row r="1247" spans="1:19" x14ac:dyDescent="0.2">
      <c r="A1247" s="3" t="s">
        <v>54</v>
      </c>
      <c r="B1247" s="3" t="s">
        <v>55</v>
      </c>
      <c r="C1247">
        <v>33</v>
      </c>
      <c r="D1247">
        <v>17000</v>
      </c>
      <c r="E1247">
        <v>499</v>
      </c>
      <c r="F1247">
        <v>1</v>
      </c>
      <c r="G1247">
        <v>17000</v>
      </c>
      <c r="H1247">
        <v>4.6833910999999999E-2</v>
      </c>
      <c r="I1247">
        <v>14381</v>
      </c>
      <c r="J1247">
        <v>5165</v>
      </c>
      <c r="K1247">
        <v>9216</v>
      </c>
      <c r="L1247">
        <v>500</v>
      </c>
      <c r="M1247">
        <v>499</v>
      </c>
      <c r="N1247">
        <v>1</v>
      </c>
      <c r="O1247">
        <v>2619</v>
      </c>
      <c r="P1247" s="3" t="s">
        <v>51</v>
      </c>
      <c r="Q1247">
        <v>50</v>
      </c>
      <c r="R1247">
        <v>0.999</v>
      </c>
      <c r="S1247">
        <v>1</v>
      </c>
    </row>
    <row r="1248" spans="1:19" x14ac:dyDescent="0.2">
      <c r="A1248" s="3" t="s">
        <v>54</v>
      </c>
      <c r="B1248" s="3" t="s">
        <v>55</v>
      </c>
      <c r="C1248">
        <v>38</v>
      </c>
      <c r="D1248">
        <v>15000</v>
      </c>
      <c r="E1248">
        <v>499</v>
      </c>
      <c r="F1248">
        <v>1</v>
      </c>
      <c r="G1248">
        <v>60572.237308582698</v>
      </c>
      <c r="H1248">
        <v>4.6828036000000003E-2</v>
      </c>
      <c r="I1248">
        <v>13395</v>
      </c>
      <c r="J1248">
        <v>4199</v>
      </c>
      <c r="K1248">
        <v>9196</v>
      </c>
      <c r="L1248">
        <v>500</v>
      </c>
      <c r="M1248">
        <v>499</v>
      </c>
      <c r="N1248">
        <v>1</v>
      </c>
      <c r="O1248">
        <v>5859.4864652201004</v>
      </c>
      <c r="P1248" s="3" t="s">
        <v>51</v>
      </c>
      <c r="Q1248">
        <v>50</v>
      </c>
      <c r="R1248">
        <v>0.999</v>
      </c>
      <c r="S1248">
        <v>0</v>
      </c>
    </row>
    <row r="1249" spans="1:19" x14ac:dyDescent="0.2">
      <c r="A1249" s="3" t="s">
        <v>54</v>
      </c>
      <c r="B1249" s="3" t="s">
        <v>55</v>
      </c>
      <c r="C1249">
        <v>33</v>
      </c>
      <c r="D1249">
        <v>15000</v>
      </c>
      <c r="E1249">
        <v>499</v>
      </c>
      <c r="F1249">
        <v>1</v>
      </c>
      <c r="G1249">
        <v>60572.237308582698</v>
      </c>
      <c r="H1249">
        <v>4.6760277000000003E-2</v>
      </c>
      <c r="I1249">
        <v>13388</v>
      </c>
      <c r="J1249">
        <v>4173</v>
      </c>
      <c r="K1249">
        <v>9215</v>
      </c>
      <c r="L1249">
        <v>500</v>
      </c>
      <c r="M1249">
        <v>499</v>
      </c>
      <c r="N1249">
        <v>1</v>
      </c>
      <c r="O1249">
        <v>5892.0412682735996</v>
      </c>
      <c r="P1249" s="3" t="s">
        <v>51</v>
      </c>
      <c r="Q1249">
        <v>50</v>
      </c>
      <c r="R1249">
        <v>0.999</v>
      </c>
      <c r="S1249">
        <v>0</v>
      </c>
    </row>
    <row r="1250" spans="1:19" x14ac:dyDescent="0.2">
      <c r="A1250" s="3" t="s">
        <v>54</v>
      </c>
      <c r="B1250" s="3" t="s">
        <v>55</v>
      </c>
      <c r="C1250">
        <v>29</v>
      </c>
      <c r="D1250">
        <v>17000</v>
      </c>
      <c r="E1250">
        <v>499</v>
      </c>
      <c r="F1250">
        <v>1</v>
      </c>
      <c r="G1250">
        <v>17000</v>
      </c>
      <c r="H1250">
        <v>4.6698623000000002E-2</v>
      </c>
      <c r="I1250">
        <v>14366</v>
      </c>
      <c r="J1250">
        <v>5192</v>
      </c>
      <c r="K1250">
        <v>9174</v>
      </c>
      <c r="L1250">
        <v>500</v>
      </c>
      <c r="M1250">
        <v>499</v>
      </c>
      <c r="N1250">
        <v>1</v>
      </c>
      <c r="O1250">
        <v>2634</v>
      </c>
      <c r="P1250" s="3" t="s">
        <v>51</v>
      </c>
      <c r="Q1250">
        <v>50</v>
      </c>
      <c r="R1250">
        <v>0.999</v>
      </c>
      <c r="S1250">
        <v>1</v>
      </c>
    </row>
    <row r="1251" spans="1:19" x14ac:dyDescent="0.2">
      <c r="A1251" s="3" t="s">
        <v>54</v>
      </c>
      <c r="B1251" s="3" t="s">
        <v>55</v>
      </c>
      <c r="C1251">
        <v>47</v>
      </c>
      <c r="D1251">
        <v>17000</v>
      </c>
      <c r="E1251">
        <v>499</v>
      </c>
      <c r="F1251">
        <v>1</v>
      </c>
      <c r="G1251">
        <v>17000</v>
      </c>
      <c r="H1251">
        <v>4.6673853000000001E-2</v>
      </c>
      <c r="I1251">
        <v>14367</v>
      </c>
      <c r="J1251">
        <v>5165</v>
      </c>
      <c r="K1251">
        <v>9202</v>
      </c>
      <c r="L1251">
        <v>500</v>
      </c>
      <c r="M1251">
        <v>499</v>
      </c>
      <c r="N1251">
        <v>1</v>
      </c>
      <c r="O1251">
        <v>2633</v>
      </c>
      <c r="P1251" s="3" t="s">
        <v>51</v>
      </c>
      <c r="Q1251">
        <v>50</v>
      </c>
      <c r="R1251">
        <v>0.999</v>
      </c>
      <c r="S1251">
        <v>1</v>
      </c>
    </row>
    <row r="1252" spans="1:19" x14ac:dyDescent="0.2">
      <c r="A1252" s="3" t="s">
        <v>54</v>
      </c>
      <c r="B1252" s="3" t="s">
        <v>55</v>
      </c>
      <c r="C1252">
        <v>9</v>
      </c>
      <c r="D1252">
        <v>14000</v>
      </c>
      <c r="E1252">
        <v>499</v>
      </c>
      <c r="F1252">
        <v>1</v>
      </c>
      <c r="G1252">
        <v>58565.0323707059</v>
      </c>
      <c r="H1252">
        <v>4.6526747E-2</v>
      </c>
      <c r="I1252">
        <v>12839</v>
      </c>
      <c r="J1252">
        <v>4071</v>
      </c>
      <c r="K1252">
        <v>8768</v>
      </c>
      <c r="L1252">
        <v>500</v>
      </c>
      <c r="M1252">
        <v>499</v>
      </c>
      <c r="N1252">
        <v>1</v>
      </c>
      <c r="O1252">
        <v>4340.4250805543998</v>
      </c>
      <c r="P1252" s="3" t="s">
        <v>51</v>
      </c>
      <c r="Q1252">
        <v>50</v>
      </c>
      <c r="R1252">
        <v>0.999</v>
      </c>
      <c r="S1252">
        <v>0</v>
      </c>
    </row>
    <row r="1253" spans="1:19" x14ac:dyDescent="0.2">
      <c r="A1253" s="3" t="s">
        <v>54</v>
      </c>
      <c r="B1253" s="3" t="s">
        <v>55</v>
      </c>
      <c r="C1253">
        <v>8</v>
      </c>
      <c r="D1253">
        <v>17000</v>
      </c>
      <c r="E1253">
        <v>499</v>
      </c>
      <c r="F1253">
        <v>1</v>
      </c>
      <c r="G1253">
        <v>17000</v>
      </c>
      <c r="H1253">
        <v>4.6454257999999998E-2</v>
      </c>
      <c r="I1253">
        <v>14359</v>
      </c>
      <c r="J1253">
        <v>5144</v>
      </c>
      <c r="K1253">
        <v>9215</v>
      </c>
      <c r="L1253">
        <v>500</v>
      </c>
      <c r="M1253">
        <v>499</v>
      </c>
      <c r="N1253">
        <v>1</v>
      </c>
      <c r="O1253">
        <v>2641</v>
      </c>
      <c r="P1253" s="3" t="s">
        <v>51</v>
      </c>
      <c r="Q1253">
        <v>50</v>
      </c>
      <c r="R1253">
        <v>0.999</v>
      </c>
      <c r="S1253">
        <v>1</v>
      </c>
    </row>
    <row r="1254" spans="1:19" x14ac:dyDescent="0.2">
      <c r="A1254" s="3" t="s">
        <v>54</v>
      </c>
      <c r="B1254" s="3" t="s">
        <v>55</v>
      </c>
      <c r="C1254">
        <v>10</v>
      </c>
      <c r="D1254">
        <v>15000</v>
      </c>
      <c r="E1254">
        <v>499</v>
      </c>
      <c r="F1254">
        <v>1</v>
      </c>
      <c r="G1254">
        <v>60572.237308582698</v>
      </c>
      <c r="H1254">
        <v>4.6413391999999998E-2</v>
      </c>
      <c r="I1254">
        <v>13382</v>
      </c>
      <c r="J1254">
        <v>4175</v>
      </c>
      <c r="K1254">
        <v>9207</v>
      </c>
      <c r="L1254">
        <v>500</v>
      </c>
      <c r="M1254">
        <v>499</v>
      </c>
      <c r="N1254">
        <v>1</v>
      </c>
      <c r="O1254">
        <v>5863.4500320304996</v>
      </c>
      <c r="P1254" s="3" t="s">
        <v>51</v>
      </c>
      <c r="Q1254">
        <v>50</v>
      </c>
      <c r="R1254">
        <v>0.999</v>
      </c>
      <c r="S1254">
        <v>0</v>
      </c>
    </row>
    <row r="1255" spans="1:19" x14ac:dyDescent="0.2">
      <c r="A1255" s="3" t="s">
        <v>54</v>
      </c>
      <c r="B1255" s="3" t="s">
        <v>55</v>
      </c>
      <c r="C1255">
        <v>31</v>
      </c>
      <c r="D1255">
        <v>14000</v>
      </c>
      <c r="E1255">
        <v>499</v>
      </c>
      <c r="F1255">
        <v>1</v>
      </c>
      <c r="G1255">
        <v>58565.0323707059</v>
      </c>
      <c r="H1255">
        <v>4.6270970000000002E-2</v>
      </c>
      <c r="I1255">
        <v>12856</v>
      </c>
      <c r="J1255">
        <v>4061</v>
      </c>
      <c r="K1255">
        <v>8795</v>
      </c>
      <c r="L1255">
        <v>500</v>
      </c>
      <c r="M1255">
        <v>499</v>
      </c>
      <c r="N1255">
        <v>1</v>
      </c>
      <c r="O1255">
        <v>4258.3184180095996</v>
      </c>
      <c r="P1255" s="3" t="s">
        <v>51</v>
      </c>
      <c r="Q1255">
        <v>50</v>
      </c>
      <c r="R1255">
        <v>0.999</v>
      </c>
      <c r="S1255">
        <v>0</v>
      </c>
    </row>
    <row r="1256" spans="1:19" x14ac:dyDescent="0.2">
      <c r="A1256" s="3" t="s">
        <v>54</v>
      </c>
      <c r="B1256" s="3" t="s">
        <v>55</v>
      </c>
      <c r="C1256">
        <v>41</v>
      </c>
      <c r="D1256">
        <v>15000</v>
      </c>
      <c r="E1256">
        <v>499</v>
      </c>
      <c r="F1256">
        <v>1</v>
      </c>
      <c r="G1256">
        <v>60572.237308582698</v>
      </c>
      <c r="H1256">
        <v>4.6153224E-2</v>
      </c>
      <c r="I1256">
        <v>13409</v>
      </c>
      <c r="J1256">
        <v>4186</v>
      </c>
      <c r="K1256">
        <v>9223</v>
      </c>
      <c r="L1256">
        <v>500</v>
      </c>
      <c r="M1256">
        <v>499</v>
      </c>
      <c r="N1256">
        <v>1</v>
      </c>
      <c r="O1256">
        <v>5850.9354323753996</v>
      </c>
      <c r="P1256" s="3" t="s">
        <v>51</v>
      </c>
      <c r="Q1256">
        <v>50</v>
      </c>
      <c r="R1256">
        <v>0.999</v>
      </c>
      <c r="S1256">
        <v>0</v>
      </c>
    </row>
    <row r="1257" spans="1:19" x14ac:dyDescent="0.2">
      <c r="A1257" s="3" t="s">
        <v>54</v>
      </c>
      <c r="B1257" s="3" t="s">
        <v>55</v>
      </c>
      <c r="C1257">
        <v>17</v>
      </c>
      <c r="D1257">
        <v>14000</v>
      </c>
      <c r="E1257">
        <v>499</v>
      </c>
      <c r="F1257">
        <v>1</v>
      </c>
      <c r="G1257">
        <v>58565.0323707059</v>
      </c>
      <c r="H1257">
        <v>4.6076354E-2</v>
      </c>
      <c r="I1257">
        <v>12880</v>
      </c>
      <c r="J1257">
        <v>4088</v>
      </c>
      <c r="K1257">
        <v>8792</v>
      </c>
      <c r="L1257">
        <v>500</v>
      </c>
      <c r="M1257">
        <v>499</v>
      </c>
      <c r="N1257">
        <v>1</v>
      </c>
      <c r="O1257">
        <v>4146.8620064088</v>
      </c>
      <c r="P1257" s="3" t="s">
        <v>51</v>
      </c>
      <c r="Q1257">
        <v>50</v>
      </c>
      <c r="R1257">
        <v>0.999</v>
      </c>
      <c r="S1257">
        <v>0</v>
      </c>
    </row>
    <row r="1258" spans="1:19" x14ac:dyDescent="0.2">
      <c r="A1258" s="3" t="s">
        <v>54</v>
      </c>
      <c r="B1258" s="3" t="s">
        <v>55</v>
      </c>
      <c r="C1258">
        <v>49</v>
      </c>
      <c r="D1258">
        <v>17000</v>
      </c>
      <c r="E1258">
        <v>499</v>
      </c>
      <c r="F1258">
        <v>1</v>
      </c>
      <c r="G1258">
        <v>17000</v>
      </c>
      <c r="H1258">
        <v>4.6020163000000003E-2</v>
      </c>
      <c r="I1258">
        <v>14350</v>
      </c>
      <c r="J1258">
        <v>5158</v>
      </c>
      <c r="K1258">
        <v>9192</v>
      </c>
      <c r="L1258">
        <v>500</v>
      </c>
      <c r="M1258">
        <v>499</v>
      </c>
      <c r="N1258">
        <v>1</v>
      </c>
      <c r="O1258">
        <v>2650</v>
      </c>
      <c r="P1258" s="3" t="s">
        <v>51</v>
      </c>
      <c r="Q1258">
        <v>50</v>
      </c>
      <c r="R1258">
        <v>0.999</v>
      </c>
      <c r="S1258">
        <v>1</v>
      </c>
    </row>
    <row r="1259" spans="1:19" x14ac:dyDescent="0.2">
      <c r="A1259" s="3" t="s">
        <v>54</v>
      </c>
      <c r="B1259" s="3" t="s">
        <v>55</v>
      </c>
      <c r="C1259">
        <v>14</v>
      </c>
      <c r="D1259">
        <v>15000</v>
      </c>
      <c r="E1259">
        <v>499</v>
      </c>
      <c r="F1259">
        <v>1</v>
      </c>
      <c r="G1259">
        <v>60572.237308582698</v>
      </c>
      <c r="H1259">
        <v>4.5875137000000003E-2</v>
      </c>
      <c r="I1259">
        <v>13407</v>
      </c>
      <c r="J1259">
        <v>4227</v>
      </c>
      <c r="K1259">
        <v>9180</v>
      </c>
      <c r="L1259">
        <v>500</v>
      </c>
      <c r="M1259">
        <v>499</v>
      </c>
      <c r="N1259">
        <v>1</v>
      </c>
      <c r="O1259">
        <v>5787.6328134147998</v>
      </c>
      <c r="P1259" s="3" t="s">
        <v>51</v>
      </c>
      <c r="Q1259">
        <v>50</v>
      </c>
      <c r="R1259">
        <v>0.999</v>
      </c>
      <c r="S1259">
        <v>0</v>
      </c>
    </row>
    <row r="1260" spans="1:19" x14ac:dyDescent="0.2">
      <c r="A1260" s="3" t="s">
        <v>54</v>
      </c>
      <c r="B1260" s="3" t="s">
        <v>55</v>
      </c>
      <c r="C1260">
        <v>6</v>
      </c>
      <c r="D1260">
        <v>15000</v>
      </c>
      <c r="E1260">
        <v>499</v>
      </c>
      <c r="F1260">
        <v>1</v>
      </c>
      <c r="G1260">
        <v>60572.237308582698</v>
      </c>
      <c r="H1260">
        <v>4.5868748000000001E-2</v>
      </c>
      <c r="I1260">
        <v>13400</v>
      </c>
      <c r="J1260">
        <v>4218</v>
      </c>
      <c r="K1260">
        <v>9182</v>
      </c>
      <c r="L1260">
        <v>500</v>
      </c>
      <c r="M1260">
        <v>499</v>
      </c>
      <c r="N1260">
        <v>1</v>
      </c>
      <c r="O1260">
        <v>5792.3438384580004</v>
      </c>
      <c r="P1260" s="3" t="s">
        <v>51</v>
      </c>
      <c r="Q1260">
        <v>50</v>
      </c>
      <c r="R1260">
        <v>0.999</v>
      </c>
      <c r="S1260">
        <v>0</v>
      </c>
    </row>
    <row r="1261" spans="1:19" x14ac:dyDescent="0.2">
      <c r="A1261" s="3" t="s">
        <v>54</v>
      </c>
      <c r="B1261" s="3" t="s">
        <v>55</v>
      </c>
      <c r="C1261">
        <v>3</v>
      </c>
      <c r="D1261">
        <v>17000</v>
      </c>
      <c r="E1261">
        <v>499</v>
      </c>
      <c r="F1261">
        <v>1</v>
      </c>
      <c r="G1261">
        <v>17000</v>
      </c>
      <c r="H1261">
        <v>4.5810192999999999E-2</v>
      </c>
      <c r="I1261">
        <v>14353</v>
      </c>
      <c r="J1261">
        <v>5135</v>
      </c>
      <c r="K1261">
        <v>9218</v>
      </c>
      <c r="L1261">
        <v>500</v>
      </c>
      <c r="M1261">
        <v>499</v>
      </c>
      <c r="N1261">
        <v>1</v>
      </c>
      <c r="O1261">
        <v>2647</v>
      </c>
      <c r="P1261" s="3" t="s">
        <v>51</v>
      </c>
      <c r="Q1261">
        <v>50</v>
      </c>
      <c r="R1261">
        <v>0.999</v>
      </c>
      <c r="S1261">
        <v>1</v>
      </c>
    </row>
    <row r="1262" spans="1:19" x14ac:dyDescent="0.2">
      <c r="A1262" s="3" t="s">
        <v>54</v>
      </c>
      <c r="B1262" s="3" t="s">
        <v>55</v>
      </c>
      <c r="C1262">
        <v>20</v>
      </c>
      <c r="D1262">
        <v>15000</v>
      </c>
      <c r="E1262">
        <v>499</v>
      </c>
      <c r="F1262">
        <v>1</v>
      </c>
      <c r="G1262">
        <v>60572.237308582698</v>
      </c>
      <c r="H1262">
        <v>4.5683399999999999E-2</v>
      </c>
      <c r="I1262">
        <v>13375</v>
      </c>
      <c r="J1262">
        <v>4195</v>
      </c>
      <c r="K1262">
        <v>9180</v>
      </c>
      <c r="L1262">
        <v>500</v>
      </c>
      <c r="M1262">
        <v>499</v>
      </c>
      <c r="N1262">
        <v>1</v>
      </c>
      <c r="O1262">
        <v>5891.0773520847997</v>
      </c>
      <c r="P1262" s="3" t="s">
        <v>51</v>
      </c>
      <c r="Q1262">
        <v>50</v>
      </c>
      <c r="R1262">
        <v>0.999</v>
      </c>
      <c r="S1262">
        <v>0</v>
      </c>
    </row>
    <row r="1263" spans="1:19" x14ac:dyDescent="0.2">
      <c r="A1263" s="3" t="s">
        <v>54</v>
      </c>
      <c r="B1263" s="3" t="s">
        <v>55</v>
      </c>
      <c r="C1263">
        <v>16</v>
      </c>
      <c r="D1263">
        <v>15000</v>
      </c>
      <c r="E1263">
        <v>499</v>
      </c>
      <c r="F1263">
        <v>1</v>
      </c>
      <c r="G1263">
        <v>60572.237308582698</v>
      </c>
      <c r="H1263">
        <v>4.5632020000000002E-2</v>
      </c>
      <c r="I1263">
        <v>13380</v>
      </c>
      <c r="J1263">
        <v>4174</v>
      </c>
      <c r="K1263">
        <v>9206</v>
      </c>
      <c r="L1263">
        <v>500</v>
      </c>
      <c r="M1263">
        <v>499</v>
      </c>
      <c r="N1263">
        <v>1</v>
      </c>
      <c r="O1263">
        <v>5906.6829631238998</v>
      </c>
      <c r="P1263" s="3" t="s">
        <v>51</v>
      </c>
      <c r="Q1263">
        <v>50</v>
      </c>
      <c r="R1263">
        <v>0.999</v>
      </c>
      <c r="S1263">
        <v>0</v>
      </c>
    </row>
    <row r="1264" spans="1:19" x14ac:dyDescent="0.2">
      <c r="A1264" s="3" t="s">
        <v>54</v>
      </c>
      <c r="B1264" s="3" t="s">
        <v>55</v>
      </c>
      <c r="C1264">
        <v>13</v>
      </c>
      <c r="D1264">
        <v>15000</v>
      </c>
      <c r="E1264">
        <v>499</v>
      </c>
      <c r="F1264">
        <v>1</v>
      </c>
      <c r="G1264">
        <v>60572.237308582698</v>
      </c>
      <c r="H1264">
        <v>4.5581677000000001E-2</v>
      </c>
      <c r="I1264">
        <v>13382</v>
      </c>
      <c r="J1264">
        <v>4196</v>
      </c>
      <c r="K1264">
        <v>9186</v>
      </c>
      <c r="L1264">
        <v>500</v>
      </c>
      <c r="M1264">
        <v>499</v>
      </c>
      <c r="N1264">
        <v>1</v>
      </c>
      <c r="O1264">
        <v>5917.2208024426</v>
      </c>
      <c r="P1264" s="3" t="s">
        <v>51</v>
      </c>
      <c r="Q1264">
        <v>50</v>
      </c>
      <c r="R1264">
        <v>0.999</v>
      </c>
      <c r="S1264">
        <v>0</v>
      </c>
    </row>
    <row r="1265" spans="1:19" x14ac:dyDescent="0.2">
      <c r="A1265" s="3" t="s">
        <v>54</v>
      </c>
      <c r="B1265" s="3" t="s">
        <v>55</v>
      </c>
      <c r="C1265">
        <v>46</v>
      </c>
      <c r="D1265">
        <v>17000</v>
      </c>
      <c r="E1265">
        <v>499</v>
      </c>
      <c r="F1265">
        <v>1</v>
      </c>
      <c r="G1265">
        <v>17000</v>
      </c>
      <c r="H1265">
        <v>4.5581244999999999E-2</v>
      </c>
      <c r="I1265">
        <v>14346</v>
      </c>
      <c r="J1265">
        <v>5153</v>
      </c>
      <c r="K1265">
        <v>9193</v>
      </c>
      <c r="L1265">
        <v>500</v>
      </c>
      <c r="M1265">
        <v>499</v>
      </c>
      <c r="N1265">
        <v>1</v>
      </c>
      <c r="O1265">
        <v>2654</v>
      </c>
      <c r="P1265" s="3" t="s">
        <v>51</v>
      </c>
      <c r="Q1265">
        <v>50</v>
      </c>
      <c r="R1265">
        <v>0.999</v>
      </c>
      <c r="S1265">
        <v>1</v>
      </c>
    </row>
    <row r="1266" spans="1:19" x14ac:dyDescent="0.2">
      <c r="A1266" s="3" t="s">
        <v>54</v>
      </c>
      <c r="B1266" s="3" t="s">
        <v>55</v>
      </c>
      <c r="C1266">
        <v>6</v>
      </c>
      <c r="D1266">
        <v>18000</v>
      </c>
      <c r="E1266">
        <v>499</v>
      </c>
      <c r="F1266">
        <v>1</v>
      </c>
      <c r="G1266">
        <v>18000</v>
      </c>
      <c r="H1266">
        <v>4.5458046000000002E-2</v>
      </c>
      <c r="I1266">
        <v>15232</v>
      </c>
      <c r="J1266">
        <v>4884</v>
      </c>
      <c r="K1266">
        <v>10348</v>
      </c>
      <c r="L1266">
        <v>500</v>
      </c>
      <c r="M1266">
        <v>499</v>
      </c>
      <c r="N1266">
        <v>1</v>
      </c>
      <c r="O1266">
        <v>2768</v>
      </c>
      <c r="P1266" s="3" t="s">
        <v>50</v>
      </c>
      <c r="Q1266">
        <v>50</v>
      </c>
      <c r="R1266">
        <v>0.999</v>
      </c>
      <c r="S1266">
        <v>1</v>
      </c>
    </row>
    <row r="1267" spans="1:19" x14ac:dyDescent="0.2">
      <c r="A1267" s="3" t="s">
        <v>54</v>
      </c>
      <c r="B1267" s="3" t="s">
        <v>55</v>
      </c>
      <c r="C1267">
        <v>5</v>
      </c>
      <c r="D1267">
        <v>15000</v>
      </c>
      <c r="E1267">
        <v>499</v>
      </c>
      <c r="F1267">
        <v>1</v>
      </c>
      <c r="G1267">
        <v>60572.237308582698</v>
      </c>
      <c r="H1267">
        <v>4.5397535000000003E-2</v>
      </c>
      <c r="I1267">
        <v>13347</v>
      </c>
      <c r="J1267">
        <v>4158</v>
      </c>
      <c r="K1267">
        <v>9189</v>
      </c>
      <c r="L1267">
        <v>500</v>
      </c>
      <c r="M1267">
        <v>499</v>
      </c>
      <c r="N1267">
        <v>1</v>
      </c>
      <c r="O1267">
        <v>6027.0575914620003</v>
      </c>
      <c r="P1267" s="3" t="s">
        <v>51</v>
      </c>
      <c r="Q1267">
        <v>50</v>
      </c>
      <c r="R1267">
        <v>0.999</v>
      </c>
      <c r="S1267">
        <v>0</v>
      </c>
    </row>
    <row r="1268" spans="1:19" x14ac:dyDescent="0.2">
      <c r="A1268" s="3" t="s">
        <v>54</v>
      </c>
      <c r="B1268" s="3" t="s">
        <v>55</v>
      </c>
      <c r="C1268">
        <v>14</v>
      </c>
      <c r="D1268">
        <v>17000</v>
      </c>
      <c r="E1268">
        <v>499</v>
      </c>
      <c r="F1268">
        <v>1</v>
      </c>
      <c r="G1268">
        <v>17000</v>
      </c>
      <c r="H1268">
        <v>4.5387931999999999E-2</v>
      </c>
      <c r="I1268">
        <v>14368</v>
      </c>
      <c r="J1268">
        <v>5151</v>
      </c>
      <c r="K1268">
        <v>9217</v>
      </c>
      <c r="L1268">
        <v>500</v>
      </c>
      <c r="M1268">
        <v>499</v>
      </c>
      <c r="N1268">
        <v>1</v>
      </c>
      <c r="O1268">
        <v>2632</v>
      </c>
      <c r="P1268" s="3" t="s">
        <v>51</v>
      </c>
      <c r="Q1268">
        <v>50</v>
      </c>
      <c r="R1268">
        <v>0.999</v>
      </c>
      <c r="S1268">
        <v>1</v>
      </c>
    </row>
    <row r="1269" spans="1:19" x14ac:dyDescent="0.2">
      <c r="A1269" s="3" t="s">
        <v>54</v>
      </c>
      <c r="B1269" s="3" t="s">
        <v>55</v>
      </c>
      <c r="C1269">
        <v>50</v>
      </c>
      <c r="D1269">
        <v>15000</v>
      </c>
      <c r="E1269">
        <v>499</v>
      </c>
      <c r="F1269">
        <v>1</v>
      </c>
      <c r="G1269">
        <v>60572.237308582698</v>
      </c>
      <c r="H1269">
        <v>4.5375501999999998E-2</v>
      </c>
      <c r="I1269">
        <v>13406</v>
      </c>
      <c r="J1269">
        <v>4199</v>
      </c>
      <c r="K1269">
        <v>9207</v>
      </c>
      <c r="L1269">
        <v>500</v>
      </c>
      <c r="M1269">
        <v>499</v>
      </c>
      <c r="N1269">
        <v>1</v>
      </c>
      <c r="O1269">
        <v>5769.7931632690998</v>
      </c>
      <c r="P1269" s="3" t="s">
        <v>51</v>
      </c>
      <c r="Q1269">
        <v>50</v>
      </c>
      <c r="R1269">
        <v>0.999</v>
      </c>
      <c r="S1269">
        <v>0</v>
      </c>
    </row>
    <row r="1270" spans="1:19" x14ac:dyDescent="0.2">
      <c r="A1270" s="3" t="s">
        <v>54</v>
      </c>
      <c r="B1270" s="3" t="s">
        <v>55</v>
      </c>
      <c r="C1270">
        <v>16</v>
      </c>
      <c r="D1270">
        <v>17000</v>
      </c>
      <c r="E1270">
        <v>499</v>
      </c>
      <c r="F1270">
        <v>1</v>
      </c>
      <c r="G1270">
        <v>17000</v>
      </c>
      <c r="H1270">
        <v>4.5331584000000001E-2</v>
      </c>
      <c r="I1270">
        <v>14326</v>
      </c>
      <c r="J1270">
        <v>5159</v>
      </c>
      <c r="K1270">
        <v>9167</v>
      </c>
      <c r="L1270">
        <v>500</v>
      </c>
      <c r="M1270">
        <v>499</v>
      </c>
      <c r="N1270">
        <v>1</v>
      </c>
      <c r="O1270">
        <v>2674</v>
      </c>
      <c r="P1270" s="3" t="s">
        <v>51</v>
      </c>
      <c r="Q1270">
        <v>50</v>
      </c>
      <c r="R1270">
        <v>0.999</v>
      </c>
      <c r="S1270">
        <v>1</v>
      </c>
    </row>
    <row r="1271" spans="1:19" x14ac:dyDescent="0.2">
      <c r="A1271" s="3" t="s">
        <v>54</v>
      </c>
      <c r="B1271" s="3" t="s">
        <v>55</v>
      </c>
      <c r="C1271">
        <v>15</v>
      </c>
      <c r="D1271">
        <v>17000</v>
      </c>
      <c r="E1271">
        <v>499</v>
      </c>
      <c r="F1271">
        <v>1</v>
      </c>
      <c r="G1271">
        <v>17000</v>
      </c>
      <c r="H1271">
        <v>4.5291367999999999E-2</v>
      </c>
      <c r="I1271">
        <v>14365</v>
      </c>
      <c r="J1271">
        <v>5161</v>
      </c>
      <c r="K1271">
        <v>9204</v>
      </c>
      <c r="L1271">
        <v>500</v>
      </c>
      <c r="M1271">
        <v>499</v>
      </c>
      <c r="N1271">
        <v>1</v>
      </c>
      <c r="O1271">
        <v>2635</v>
      </c>
      <c r="P1271" s="3" t="s">
        <v>51</v>
      </c>
      <c r="Q1271">
        <v>50</v>
      </c>
      <c r="R1271">
        <v>0.999</v>
      </c>
      <c r="S1271">
        <v>1</v>
      </c>
    </row>
    <row r="1272" spans="1:19" x14ac:dyDescent="0.2">
      <c r="A1272" s="3" t="s">
        <v>54</v>
      </c>
      <c r="B1272" s="3" t="s">
        <v>55</v>
      </c>
      <c r="C1272">
        <v>40</v>
      </c>
      <c r="D1272">
        <v>15000</v>
      </c>
      <c r="E1272">
        <v>499</v>
      </c>
      <c r="F1272">
        <v>1</v>
      </c>
      <c r="G1272">
        <v>60572.237308582698</v>
      </c>
      <c r="H1272">
        <v>4.5220436000000003E-2</v>
      </c>
      <c r="I1272">
        <v>13387</v>
      </c>
      <c r="J1272">
        <v>4190</v>
      </c>
      <c r="K1272">
        <v>9197</v>
      </c>
      <c r="L1272">
        <v>500</v>
      </c>
      <c r="M1272">
        <v>499</v>
      </c>
      <c r="N1272">
        <v>1</v>
      </c>
      <c r="O1272">
        <v>5930.0432613066996</v>
      </c>
      <c r="P1272" s="3" t="s">
        <v>51</v>
      </c>
      <c r="Q1272">
        <v>50</v>
      </c>
      <c r="R1272">
        <v>0.999</v>
      </c>
      <c r="S1272">
        <v>0</v>
      </c>
    </row>
    <row r="1273" spans="1:19" x14ac:dyDescent="0.2">
      <c r="A1273" s="3" t="s">
        <v>54</v>
      </c>
      <c r="B1273" s="3" t="s">
        <v>55</v>
      </c>
      <c r="C1273">
        <v>44</v>
      </c>
      <c r="D1273">
        <v>18000</v>
      </c>
      <c r="E1273">
        <v>499</v>
      </c>
      <c r="F1273">
        <v>1</v>
      </c>
      <c r="G1273">
        <v>18000</v>
      </c>
      <c r="H1273">
        <v>4.5122411000000001E-2</v>
      </c>
      <c r="I1273">
        <v>15219</v>
      </c>
      <c r="J1273">
        <v>4887</v>
      </c>
      <c r="K1273">
        <v>10332</v>
      </c>
      <c r="L1273">
        <v>500</v>
      </c>
      <c r="M1273">
        <v>499</v>
      </c>
      <c r="N1273">
        <v>1</v>
      </c>
      <c r="O1273">
        <v>2781</v>
      </c>
      <c r="P1273" s="3" t="s">
        <v>50</v>
      </c>
      <c r="Q1273">
        <v>50</v>
      </c>
      <c r="R1273">
        <v>0.999</v>
      </c>
      <c r="S1273">
        <v>1</v>
      </c>
    </row>
    <row r="1274" spans="1:19" x14ac:dyDescent="0.2">
      <c r="A1274" s="3" t="s">
        <v>54</v>
      </c>
      <c r="B1274" s="3" t="s">
        <v>55</v>
      </c>
      <c r="C1274">
        <v>20</v>
      </c>
      <c r="D1274">
        <v>14000</v>
      </c>
      <c r="E1274">
        <v>499</v>
      </c>
      <c r="F1274">
        <v>1</v>
      </c>
      <c r="G1274">
        <v>58565.0323707059</v>
      </c>
      <c r="H1274">
        <v>4.5110676000000002E-2</v>
      </c>
      <c r="I1274">
        <v>12861</v>
      </c>
      <c r="J1274">
        <v>4075</v>
      </c>
      <c r="K1274">
        <v>8786</v>
      </c>
      <c r="L1274">
        <v>500</v>
      </c>
      <c r="M1274">
        <v>499</v>
      </c>
      <c r="N1274">
        <v>1</v>
      </c>
      <c r="O1274">
        <v>4281.1464826890997</v>
      </c>
      <c r="P1274" s="3" t="s">
        <v>51</v>
      </c>
      <c r="Q1274">
        <v>50</v>
      </c>
      <c r="R1274">
        <v>0.999</v>
      </c>
      <c r="S1274">
        <v>0</v>
      </c>
    </row>
    <row r="1275" spans="1:19" x14ac:dyDescent="0.2">
      <c r="A1275" s="3" t="s">
        <v>54</v>
      </c>
      <c r="B1275" s="3" t="s">
        <v>55</v>
      </c>
      <c r="C1275">
        <v>44</v>
      </c>
      <c r="D1275">
        <v>14000</v>
      </c>
      <c r="E1275">
        <v>499</v>
      </c>
      <c r="F1275">
        <v>1</v>
      </c>
      <c r="G1275">
        <v>58565.0323707059</v>
      </c>
      <c r="H1275">
        <v>4.5048280000000003E-2</v>
      </c>
      <c r="I1275">
        <v>12863</v>
      </c>
      <c r="J1275">
        <v>4079</v>
      </c>
      <c r="K1275">
        <v>8784</v>
      </c>
      <c r="L1275">
        <v>500</v>
      </c>
      <c r="M1275">
        <v>499</v>
      </c>
      <c r="N1275">
        <v>1</v>
      </c>
      <c r="O1275">
        <v>4217.1531619398002</v>
      </c>
      <c r="P1275" s="3" t="s">
        <v>51</v>
      </c>
      <c r="Q1275">
        <v>50</v>
      </c>
      <c r="R1275">
        <v>0.999</v>
      </c>
      <c r="S1275">
        <v>0</v>
      </c>
    </row>
    <row r="1276" spans="1:19" x14ac:dyDescent="0.2">
      <c r="A1276" s="3" t="s">
        <v>54</v>
      </c>
      <c r="B1276" s="3" t="s">
        <v>55</v>
      </c>
      <c r="C1276">
        <v>26</v>
      </c>
      <c r="D1276">
        <v>17000</v>
      </c>
      <c r="E1276">
        <v>499</v>
      </c>
      <c r="F1276">
        <v>1</v>
      </c>
      <c r="G1276">
        <v>17000</v>
      </c>
      <c r="H1276">
        <v>4.5021559000000003E-2</v>
      </c>
      <c r="I1276">
        <v>14372</v>
      </c>
      <c r="J1276">
        <v>5167</v>
      </c>
      <c r="K1276">
        <v>9205</v>
      </c>
      <c r="L1276">
        <v>500</v>
      </c>
      <c r="M1276">
        <v>499</v>
      </c>
      <c r="N1276">
        <v>1</v>
      </c>
      <c r="O1276">
        <v>2628</v>
      </c>
      <c r="P1276" s="3" t="s">
        <v>51</v>
      </c>
      <c r="Q1276">
        <v>50</v>
      </c>
      <c r="R1276">
        <v>0.999</v>
      </c>
      <c r="S1276">
        <v>1</v>
      </c>
    </row>
    <row r="1277" spans="1:19" x14ac:dyDescent="0.2">
      <c r="A1277" s="3" t="s">
        <v>54</v>
      </c>
      <c r="B1277" s="3" t="s">
        <v>55</v>
      </c>
      <c r="C1277">
        <v>35</v>
      </c>
      <c r="D1277">
        <v>14000</v>
      </c>
      <c r="E1277">
        <v>499</v>
      </c>
      <c r="F1277">
        <v>1</v>
      </c>
      <c r="G1277">
        <v>58565.0323707059</v>
      </c>
      <c r="H1277">
        <v>4.5021459E-2</v>
      </c>
      <c r="I1277">
        <v>12873</v>
      </c>
      <c r="J1277">
        <v>4080</v>
      </c>
      <c r="K1277">
        <v>8793</v>
      </c>
      <c r="L1277">
        <v>500</v>
      </c>
      <c r="M1277">
        <v>499</v>
      </c>
      <c r="N1277">
        <v>1</v>
      </c>
      <c r="O1277">
        <v>4251.4010301167</v>
      </c>
      <c r="P1277" s="3" t="s">
        <v>51</v>
      </c>
      <c r="Q1277">
        <v>50</v>
      </c>
      <c r="R1277">
        <v>0.999</v>
      </c>
      <c r="S1277">
        <v>0</v>
      </c>
    </row>
    <row r="1278" spans="1:19" x14ac:dyDescent="0.2">
      <c r="A1278" s="3" t="s">
        <v>54</v>
      </c>
      <c r="B1278" s="3" t="s">
        <v>55</v>
      </c>
      <c r="C1278">
        <v>4</v>
      </c>
      <c r="D1278">
        <v>14000</v>
      </c>
      <c r="E1278">
        <v>499</v>
      </c>
      <c r="F1278">
        <v>1</v>
      </c>
      <c r="G1278">
        <v>58565.0323707059</v>
      </c>
      <c r="H1278">
        <v>4.4984635000000002E-2</v>
      </c>
      <c r="I1278">
        <v>12848</v>
      </c>
      <c r="J1278">
        <v>4049</v>
      </c>
      <c r="K1278">
        <v>8799</v>
      </c>
      <c r="L1278">
        <v>500</v>
      </c>
      <c r="M1278">
        <v>499</v>
      </c>
      <c r="N1278">
        <v>1</v>
      </c>
      <c r="O1278">
        <v>4300.0514042113</v>
      </c>
      <c r="P1278" s="3" t="s">
        <v>51</v>
      </c>
      <c r="Q1278">
        <v>50</v>
      </c>
      <c r="R1278">
        <v>0.999</v>
      </c>
      <c r="S1278">
        <v>0</v>
      </c>
    </row>
    <row r="1279" spans="1:19" x14ac:dyDescent="0.2">
      <c r="A1279" s="3" t="s">
        <v>54</v>
      </c>
      <c r="B1279" s="3" t="s">
        <v>55</v>
      </c>
      <c r="C1279">
        <v>48</v>
      </c>
      <c r="D1279">
        <v>17000</v>
      </c>
      <c r="E1279">
        <v>499</v>
      </c>
      <c r="F1279">
        <v>1</v>
      </c>
      <c r="G1279">
        <v>17000</v>
      </c>
      <c r="H1279">
        <v>4.4975055999999999E-2</v>
      </c>
      <c r="I1279">
        <v>14356</v>
      </c>
      <c r="J1279">
        <v>5163</v>
      </c>
      <c r="K1279">
        <v>9193</v>
      </c>
      <c r="L1279">
        <v>500</v>
      </c>
      <c r="M1279">
        <v>499</v>
      </c>
      <c r="N1279">
        <v>1</v>
      </c>
      <c r="O1279">
        <v>2644</v>
      </c>
      <c r="P1279" s="3" t="s">
        <v>51</v>
      </c>
      <c r="Q1279">
        <v>50</v>
      </c>
      <c r="R1279">
        <v>0.999</v>
      </c>
      <c r="S1279">
        <v>1</v>
      </c>
    </row>
    <row r="1280" spans="1:19" x14ac:dyDescent="0.2">
      <c r="A1280" s="3" t="s">
        <v>54</v>
      </c>
      <c r="B1280" s="3" t="s">
        <v>55</v>
      </c>
      <c r="C1280">
        <v>23</v>
      </c>
      <c r="D1280">
        <v>14000</v>
      </c>
      <c r="E1280">
        <v>499</v>
      </c>
      <c r="F1280">
        <v>1</v>
      </c>
      <c r="G1280">
        <v>58565.0323707059</v>
      </c>
      <c r="H1280">
        <v>4.4971755000000002E-2</v>
      </c>
      <c r="I1280">
        <v>12886</v>
      </c>
      <c r="J1280">
        <v>4105</v>
      </c>
      <c r="K1280">
        <v>8781</v>
      </c>
      <c r="L1280">
        <v>500</v>
      </c>
      <c r="M1280">
        <v>499</v>
      </c>
      <c r="N1280">
        <v>1</v>
      </c>
      <c r="O1280">
        <v>4145.2839582713004</v>
      </c>
      <c r="P1280" s="3" t="s">
        <v>51</v>
      </c>
      <c r="Q1280">
        <v>50</v>
      </c>
      <c r="R1280">
        <v>0.999</v>
      </c>
      <c r="S1280">
        <v>0</v>
      </c>
    </row>
    <row r="1281" spans="1:19" x14ac:dyDescent="0.2">
      <c r="A1281" s="3" t="s">
        <v>54</v>
      </c>
      <c r="B1281" s="3" t="s">
        <v>55</v>
      </c>
      <c r="C1281">
        <v>22</v>
      </c>
      <c r="D1281">
        <v>15000</v>
      </c>
      <c r="E1281">
        <v>499</v>
      </c>
      <c r="F1281">
        <v>1</v>
      </c>
      <c r="G1281">
        <v>60572.237308582698</v>
      </c>
      <c r="H1281">
        <v>4.4959930000000002E-2</v>
      </c>
      <c r="I1281">
        <v>13340</v>
      </c>
      <c r="J1281">
        <v>4142</v>
      </c>
      <c r="K1281">
        <v>9198</v>
      </c>
      <c r="L1281">
        <v>500</v>
      </c>
      <c r="M1281">
        <v>499</v>
      </c>
      <c r="N1281">
        <v>1</v>
      </c>
      <c r="O1281">
        <v>6039.0413795953</v>
      </c>
      <c r="P1281" s="3" t="s">
        <v>51</v>
      </c>
      <c r="Q1281">
        <v>50</v>
      </c>
      <c r="R1281">
        <v>0.999</v>
      </c>
      <c r="S1281">
        <v>0</v>
      </c>
    </row>
    <row r="1282" spans="1:19" x14ac:dyDescent="0.2">
      <c r="A1282" s="3" t="s">
        <v>54</v>
      </c>
      <c r="B1282" s="3" t="s">
        <v>55</v>
      </c>
      <c r="C1282">
        <v>41</v>
      </c>
      <c r="D1282">
        <v>17000</v>
      </c>
      <c r="E1282">
        <v>499</v>
      </c>
      <c r="F1282">
        <v>1</v>
      </c>
      <c r="G1282">
        <v>17000</v>
      </c>
      <c r="H1282">
        <v>4.4947214999999999E-2</v>
      </c>
      <c r="I1282">
        <v>14348</v>
      </c>
      <c r="J1282">
        <v>5155</v>
      </c>
      <c r="K1282">
        <v>9193</v>
      </c>
      <c r="L1282">
        <v>500</v>
      </c>
      <c r="M1282">
        <v>499</v>
      </c>
      <c r="N1282">
        <v>1</v>
      </c>
      <c r="O1282">
        <v>2652</v>
      </c>
      <c r="P1282" s="3" t="s">
        <v>51</v>
      </c>
      <c r="Q1282">
        <v>50</v>
      </c>
      <c r="R1282">
        <v>0.999</v>
      </c>
      <c r="S1282">
        <v>1</v>
      </c>
    </row>
    <row r="1283" spans="1:19" x14ac:dyDescent="0.2">
      <c r="A1283" s="3" t="s">
        <v>54</v>
      </c>
      <c r="B1283" s="3" t="s">
        <v>55</v>
      </c>
      <c r="C1283">
        <v>47</v>
      </c>
      <c r="D1283">
        <v>15000</v>
      </c>
      <c r="E1283">
        <v>499</v>
      </c>
      <c r="F1283">
        <v>1</v>
      </c>
      <c r="G1283">
        <v>60572.237308582698</v>
      </c>
      <c r="H1283">
        <v>4.4881951000000003E-2</v>
      </c>
      <c r="I1283">
        <v>13372</v>
      </c>
      <c r="J1283">
        <v>4158</v>
      </c>
      <c r="K1283">
        <v>9214</v>
      </c>
      <c r="L1283">
        <v>500</v>
      </c>
      <c r="M1283">
        <v>499</v>
      </c>
      <c r="N1283">
        <v>1</v>
      </c>
      <c r="O1283">
        <v>5990.9434897872998</v>
      </c>
      <c r="P1283" s="3" t="s">
        <v>51</v>
      </c>
      <c r="Q1283">
        <v>50</v>
      </c>
      <c r="R1283">
        <v>0.999</v>
      </c>
      <c r="S1283">
        <v>0</v>
      </c>
    </row>
    <row r="1284" spans="1:19" x14ac:dyDescent="0.2">
      <c r="A1284" s="3" t="s">
        <v>54</v>
      </c>
      <c r="B1284" s="3" t="s">
        <v>55</v>
      </c>
      <c r="C1284">
        <v>31</v>
      </c>
      <c r="D1284">
        <v>17000</v>
      </c>
      <c r="E1284">
        <v>499</v>
      </c>
      <c r="F1284">
        <v>1</v>
      </c>
      <c r="G1284">
        <v>17000</v>
      </c>
      <c r="H1284">
        <v>4.4879574999999998E-2</v>
      </c>
      <c r="I1284">
        <v>14367</v>
      </c>
      <c r="J1284">
        <v>5163</v>
      </c>
      <c r="K1284">
        <v>9204</v>
      </c>
      <c r="L1284">
        <v>500</v>
      </c>
      <c r="M1284">
        <v>499</v>
      </c>
      <c r="N1284">
        <v>1</v>
      </c>
      <c r="O1284">
        <v>2633</v>
      </c>
      <c r="P1284" s="3" t="s">
        <v>51</v>
      </c>
      <c r="Q1284">
        <v>50</v>
      </c>
      <c r="R1284">
        <v>0.999</v>
      </c>
      <c r="S1284">
        <v>1</v>
      </c>
    </row>
    <row r="1285" spans="1:19" x14ac:dyDescent="0.2">
      <c r="A1285" s="3" t="s">
        <v>54</v>
      </c>
      <c r="B1285" s="3" t="s">
        <v>55</v>
      </c>
      <c r="C1285">
        <v>9</v>
      </c>
      <c r="D1285">
        <v>15000</v>
      </c>
      <c r="E1285">
        <v>499</v>
      </c>
      <c r="F1285">
        <v>1</v>
      </c>
      <c r="G1285">
        <v>60572.237308582698</v>
      </c>
      <c r="H1285">
        <v>4.4844780000000001E-2</v>
      </c>
      <c r="I1285">
        <v>13357</v>
      </c>
      <c r="J1285">
        <v>4166</v>
      </c>
      <c r="K1285">
        <v>9191</v>
      </c>
      <c r="L1285">
        <v>500</v>
      </c>
      <c r="M1285">
        <v>499</v>
      </c>
      <c r="N1285">
        <v>1</v>
      </c>
      <c r="O1285">
        <v>5895.8511170865004</v>
      </c>
      <c r="P1285" s="3" t="s">
        <v>51</v>
      </c>
      <c r="Q1285">
        <v>50</v>
      </c>
      <c r="R1285">
        <v>0.999</v>
      </c>
      <c r="S1285">
        <v>0</v>
      </c>
    </row>
    <row r="1286" spans="1:19" x14ac:dyDescent="0.2">
      <c r="A1286" s="3" t="s">
        <v>54</v>
      </c>
      <c r="B1286" s="3" t="s">
        <v>55</v>
      </c>
      <c r="C1286">
        <v>16</v>
      </c>
      <c r="D1286">
        <v>14000</v>
      </c>
      <c r="E1286">
        <v>499</v>
      </c>
      <c r="F1286">
        <v>1</v>
      </c>
      <c r="G1286">
        <v>58565.0323707059</v>
      </c>
      <c r="H1286">
        <v>4.4795306E-2</v>
      </c>
      <c r="I1286">
        <v>12845</v>
      </c>
      <c r="J1286">
        <v>4098</v>
      </c>
      <c r="K1286">
        <v>8747</v>
      </c>
      <c r="L1286">
        <v>500</v>
      </c>
      <c r="M1286">
        <v>499</v>
      </c>
      <c r="N1286">
        <v>1</v>
      </c>
      <c r="O1286">
        <v>4284.3452825895001</v>
      </c>
      <c r="P1286" s="3" t="s">
        <v>51</v>
      </c>
      <c r="Q1286">
        <v>50</v>
      </c>
      <c r="R1286">
        <v>0.999</v>
      </c>
      <c r="S1286">
        <v>0</v>
      </c>
    </row>
    <row r="1287" spans="1:19" x14ac:dyDescent="0.2">
      <c r="A1287" s="3" t="s">
        <v>54</v>
      </c>
      <c r="B1287" s="3" t="s">
        <v>55</v>
      </c>
      <c r="C1287">
        <v>18</v>
      </c>
      <c r="D1287">
        <v>14000</v>
      </c>
      <c r="E1287">
        <v>499</v>
      </c>
      <c r="F1287">
        <v>1</v>
      </c>
      <c r="G1287">
        <v>58565.0323707059</v>
      </c>
      <c r="H1287">
        <v>4.4771795000000003E-2</v>
      </c>
      <c r="I1287">
        <v>12868</v>
      </c>
      <c r="J1287">
        <v>4079</v>
      </c>
      <c r="K1287">
        <v>8789</v>
      </c>
      <c r="L1287">
        <v>500</v>
      </c>
      <c r="M1287">
        <v>499</v>
      </c>
      <c r="N1287">
        <v>1</v>
      </c>
      <c r="O1287">
        <v>4200.8204577220004</v>
      </c>
      <c r="P1287" s="3" t="s">
        <v>51</v>
      </c>
      <c r="Q1287">
        <v>50</v>
      </c>
      <c r="R1287">
        <v>0.999</v>
      </c>
      <c r="S1287">
        <v>0</v>
      </c>
    </row>
    <row r="1288" spans="1:19" x14ac:dyDescent="0.2">
      <c r="A1288" s="3" t="s">
        <v>54</v>
      </c>
      <c r="B1288" s="3" t="s">
        <v>55</v>
      </c>
      <c r="C1288">
        <v>18</v>
      </c>
      <c r="D1288">
        <v>15000</v>
      </c>
      <c r="E1288">
        <v>499</v>
      </c>
      <c r="F1288">
        <v>1</v>
      </c>
      <c r="G1288">
        <v>60572.237308582698</v>
      </c>
      <c r="H1288">
        <v>4.4697123999999998E-2</v>
      </c>
      <c r="I1288">
        <v>13372</v>
      </c>
      <c r="J1288">
        <v>4173</v>
      </c>
      <c r="K1288">
        <v>9199</v>
      </c>
      <c r="L1288">
        <v>500</v>
      </c>
      <c r="M1288">
        <v>499</v>
      </c>
      <c r="N1288">
        <v>1</v>
      </c>
      <c r="O1288">
        <v>5924.3991199825005</v>
      </c>
      <c r="P1288" s="3" t="s">
        <v>51</v>
      </c>
      <c r="Q1288">
        <v>50</v>
      </c>
      <c r="R1288">
        <v>0.999</v>
      </c>
      <c r="S1288">
        <v>0</v>
      </c>
    </row>
    <row r="1289" spans="1:19" x14ac:dyDescent="0.2">
      <c r="A1289" s="3" t="s">
        <v>54</v>
      </c>
      <c r="B1289" s="3" t="s">
        <v>55</v>
      </c>
      <c r="C1289">
        <v>40</v>
      </c>
      <c r="D1289">
        <v>17000</v>
      </c>
      <c r="E1289">
        <v>499</v>
      </c>
      <c r="F1289">
        <v>1</v>
      </c>
      <c r="G1289">
        <v>17000</v>
      </c>
      <c r="H1289">
        <v>4.4691212000000001E-2</v>
      </c>
      <c r="I1289">
        <v>14360</v>
      </c>
      <c r="J1289">
        <v>5156</v>
      </c>
      <c r="K1289">
        <v>9204</v>
      </c>
      <c r="L1289">
        <v>500</v>
      </c>
      <c r="M1289">
        <v>499</v>
      </c>
      <c r="N1289">
        <v>1</v>
      </c>
      <c r="O1289">
        <v>2640</v>
      </c>
      <c r="P1289" s="3" t="s">
        <v>51</v>
      </c>
      <c r="Q1289">
        <v>50</v>
      </c>
      <c r="R1289">
        <v>0.999</v>
      </c>
      <c r="S1289">
        <v>1</v>
      </c>
    </row>
    <row r="1290" spans="1:19" x14ac:dyDescent="0.2">
      <c r="A1290" s="3" t="s">
        <v>54</v>
      </c>
      <c r="B1290" s="3" t="s">
        <v>55</v>
      </c>
      <c r="C1290">
        <v>36</v>
      </c>
      <c r="D1290">
        <v>17000</v>
      </c>
      <c r="E1290">
        <v>499</v>
      </c>
      <c r="F1290">
        <v>1</v>
      </c>
      <c r="G1290">
        <v>17000</v>
      </c>
      <c r="H1290">
        <v>4.4678450000000001E-2</v>
      </c>
      <c r="I1290">
        <v>14347</v>
      </c>
      <c r="J1290">
        <v>5152</v>
      </c>
      <c r="K1290">
        <v>9195</v>
      </c>
      <c r="L1290">
        <v>500</v>
      </c>
      <c r="M1290">
        <v>499</v>
      </c>
      <c r="N1290">
        <v>1</v>
      </c>
      <c r="O1290">
        <v>2653</v>
      </c>
      <c r="P1290" s="3" t="s">
        <v>51</v>
      </c>
      <c r="Q1290">
        <v>50</v>
      </c>
      <c r="R1290">
        <v>0.999</v>
      </c>
      <c r="S1290">
        <v>1</v>
      </c>
    </row>
    <row r="1291" spans="1:19" x14ac:dyDescent="0.2">
      <c r="A1291" s="3" t="s">
        <v>54</v>
      </c>
      <c r="B1291" s="3" t="s">
        <v>55</v>
      </c>
      <c r="C1291">
        <v>12</v>
      </c>
      <c r="D1291">
        <v>14000</v>
      </c>
      <c r="E1291">
        <v>499</v>
      </c>
      <c r="F1291">
        <v>1</v>
      </c>
      <c r="G1291">
        <v>58565.0323707059</v>
      </c>
      <c r="H1291">
        <v>4.4677525000000003E-2</v>
      </c>
      <c r="I1291">
        <v>12861</v>
      </c>
      <c r="J1291">
        <v>4077</v>
      </c>
      <c r="K1291">
        <v>8784</v>
      </c>
      <c r="L1291">
        <v>500</v>
      </c>
      <c r="M1291">
        <v>499</v>
      </c>
      <c r="N1291">
        <v>1</v>
      </c>
      <c r="O1291">
        <v>4201.1076344736002</v>
      </c>
      <c r="P1291" s="3" t="s">
        <v>51</v>
      </c>
      <c r="Q1291">
        <v>50</v>
      </c>
      <c r="R1291">
        <v>0.999</v>
      </c>
      <c r="S1291">
        <v>0</v>
      </c>
    </row>
    <row r="1292" spans="1:19" x14ac:dyDescent="0.2">
      <c r="A1292" s="3" t="s">
        <v>54</v>
      </c>
      <c r="B1292" s="3" t="s">
        <v>55</v>
      </c>
      <c r="C1292">
        <v>13</v>
      </c>
      <c r="D1292">
        <v>17000</v>
      </c>
      <c r="E1292">
        <v>499</v>
      </c>
      <c r="F1292">
        <v>1</v>
      </c>
      <c r="G1292">
        <v>17000</v>
      </c>
      <c r="H1292">
        <v>4.4650567000000002E-2</v>
      </c>
      <c r="I1292">
        <v>14356</v>
      </c>
      <c r="J1292">
        <v>5167</v>
      </c>
      <c r="K1292">
        <v>9189</v>
      </c>
      <c r="L1292">
        <v>500</v>
      </c>
      <c r="M1292">
        <v>499</v>
      </c>
      <c r="N1292">
        <v>1</v>
      </c>
      <c r="O1292">
        <v>2644</v>
      </c>
      <c r="P1292" s="3" t="s">
        <v>51</v>
      </c>
      <c r="Q1292">
        <v>50</v>
      </c>
      <c r="R1292">
        <v>0.999</v>
      </c>
      <c r="S1292">
        <v>1</v>
      </c>
    </row>
    <row r="1293" spans="1:19" x14ac:dyDescent="0.2">
      <c r="A1293" s="3" t="s">
        <v>54</v>
      </c>
      <c r="B1293" s="3" t="s">
        <v>55</v>
      </c>
      <c r="C1293">
        <v>21</v>
      </c>
      <c r="D1293">
        <v>17000</v>
      </c>
      <c r="E1293">
        <v>499</v>
      </c>
      <c r="F1293">
        <v>1</v>
      </c>
      <c r="G1293">
        <v>17000</v>
      </c>
      <c r="H1293">
        <v>4.4575216000000001E-2</v>
      </c>
      <c r="I1293">
        <v>14341</v>
      </c>
      <c r="J1293">
        <v>5166</v>
      </c>
      <c r="K1293">
        <v>9175</v>
      </c>
      <c r="L1293">
        <v>500</v>
      </c>
      <c r="M1293">
        <v>499</v>
      </c>
      <c r="N1293">
        <v>1</v>
      </c>
      <c r="O1293">
        <v>2659</v>
      </c>
      <c r="P1293" s="3" t="s">
        <v>51</v>
      </c>
      <c r="Q1293">
        <v>50</v>
      </c>
      <c r="R1293">
        <v>0.999</v>
      </c>
      <c r="S1293">
        <v>1</v>
      </c>
    </row>
    <row r="1294" spans="1:19" x14ac:dyDescent="0.2">
      <c r="A1294" s="3" t="s">
        <v>54</v>
      </c>
      <c r="B1294" s="3" t="s">
        <v>55</v>
      </c>
      <c r="C1294">
        <v>8</v>
      </c>
      <c r="D1294">
        <v>15000</v>
      </c>
      <c r="E1294">
        <v>499</v>
      </c>
      <c r="F1294">
        <v>1</v>
      </c>
      <c r="G1294">
        <v>60572.237308582698</v>
      </c>
      <c r="H1294">
        <v>4.4543067999999998E-2</v>
      </c>
      <c r="I1294">
        <v>13382</v>
      </c>
      <c r="J1294">
        <v>4178</v>
      </c>
      <c r="K1294">
        <v>9204</v>
      </c>
      <c r="L1294">
        <v>500</v>
      </c>
      <c r="M1294">
        <v>499</v>
      </c>
      <c r="N1294">
        <v>1</v>
      </c>
      <c r="O1294">
        <v>5919.6635840706003</v>
      </c>
      <c r="P1294" s="3" t="s">
        <v>51</v>
      </c>
      <c r="Q1294">
        <v>50</v>
      </c>
      <c r="R1294">
        <v>0.999</v>
      </c>
      <c r="S1294">
        <v>0</v>
      </c>
    </row>
    <row r="1295" spans="1:19" x14ac:dyDescent="0.2">
      <c r="A1295" s="3" t="s">
        <v>54</v>
      </c>
      <c r="B1295" s="3" t="s">
        <v>55</v>
      </c>
      <c r="C1295">
        <v>6</v>
      </c>
      <c r="D1295">
        <v>17000</v>
      </c>
      <c r="E1295">
        <v>499</v>
      </c>
      <c r="F1295">
        <v>1</v>
      </c>
      <c r="G1295">
        <v>17000</v>
      </c>
      <c r="H1295">
        <v>4.4500882999999998E-2</v>
      </c>
      <c r="I1295">
        <v>14368</v>
      </c>
      <c r="J1295">
        <v>5176</v>
      </c>
      <c r="K1295">
        <v>9192</v>
      </c>
      <c r="L1295">
        <v>500</v>
      </c>
      <c r="M1295">
        <v>499</v>
      </c>
      <c r="N1295">
        <v>1</v>
      </c>
      <c r="O1295">
        <v>2632</v>
      </c>
      <c r="P1295" s="3" t="s">
        <v>51</v>
      </c>
      <c r="Q1295">
        <v>50</v>
      </c>
      <c r="R1295">
        <v>0.999</v>
      </c>
      <c r="S1295">
        <v>1</v>
      </c>
    </row>
    <row r="1296" spans="1:19" x14ac:dyDescent="0.2">
      <c r="A1296" s="3" t="s">
        <v>54</v>
      </c>
      <c r="B1296" s="3" t="s">
        <v>55</v>
      </c>
      <c r="C1296">
        <v>10</v>
      </c>
      <c r="D1296">
        <v>14000</v>
      </c>
      <c r="E1296">
        <v>499</v>
      </c>
      <c r="F1296">
        <v>1</v>
      </c>
      <c r="G1296">
        <v>58565.0323707059</v>
      </c>
      <c r="H1296">
        <v>4.4488690999999997E-2</v>
      </c>
      <c r="I1296">
        <v>12848</v>
      </c>
      <c r="J1296">
        <v>4025</v>
      </c>
      <c r="K1296">
        <v>8823</v>
      </c>
      <c r="L1296">
        <v>500</v>
      </c>
      <c r="M1296">
        <v>499</v>
      </c>
      <c r="N1296">
        <v>1</v>
      </c>
      <c r="O1296">
        <v>4315.6395733012996</v>
      </c>
      <c r="P1296" s="3" t="s">
        <v>51</v>
      </c>
      <c r="Q1296">
        <v>50</v>
      </c>
      <c r="R1296">
        <v>0.999</v>
      </c>
      <c r="S1296">
        <v>0</v>
      </c>
    </row>
    <row r="1297" spans="1:19" x14ac:dyDescent="0.2">
      <c r="A1297" s="3" t="s">
        <v>54</v>
      </c>
      <c r="B1297" s="3" t="s">
        <v>55</v>
      </c>
      <c r="C1297">
        <v>22</v>
      </c>
      <c r="D1297">
        <v>17000</v>
      </c>
      <c r="E1297">
        <v>499</v>
      </c>
      <c r="F1297">
        <v>1</v>
      </c>
      <c r="G1297">
        <v>17000</v>
      </c>
      <c r="H1297">
        <v>4.4420814000000003E-2</v>
      </c>
      <c r="I1297">
        <v>14352</v>
      </c>
      <c r="J1297">
        <v>5157</v>
      </c>
      <c r="K1297">
        <v>9195</v>
      </c>
      <c r="L1297">
        <v>500</v>
      </c>
      <c r="M1297">
        <v>499</v>
      </c>
      <c r="N1297">
        <v>1</v>
      </c>
      <c r="O1297">
        <v>2648</v>
      </c>
      <c r="P1297" s="3" t="s">
        <v>51</v>
      </c>
      <c r="Q1297">
        <v>50</v>
      </c>
      <c r="R1297">
        <v>0.999</v>
      </c>
      <c r="S1297">
        <v>1</v>
      </c>
    </row>
    <row r="1298" spans="1:19" x14ac:dyDescent="0.2">
      <c r="A1298" s="3" t="s">
        <v>54</v>
      </c>
      <c r="B1298" s="3" t="s">
        <v>55</v>
      </c>
      <c r="C1298">
        <v>30</v>
      </c>
      <c r="D1298">
        <v>14000</v>
      </c>
      <c r="E1298">
        <v>499</v>
      </c>
      <c r="F1298">
        <v>1</v>
      </c>
      <c r="G1298">
        <v>58565.0323707059</v>
      </c>
      <c r="H1298">
        <v>4.4402855999999997E-2</v>
      </c>
      <c r="I1298">
        <v>12854</v>
      </c>
      <c r="J1298">
        <v>4049</v>
      </c>
      <c r="K1298">
        <v>8805</v>
      </c>
      <c r="L1298">
        <v>500</v>
      </c>
      <c r="M1298">
        <v>499</v>
      </c>
      <c r="N1298">
        <v>1</v>
      </c>
      <c r="O1298">
        <v>4245.2505927503998</v>
      </c>
      <c r="P1298" s="3" t="s">
        <v>51</v>
      </c>
      <c r="Q1298">
        <v>50</v>
      </c>
      <c r="R1298">
        <v>0.999</v>
      </c>
      <c r="S1298">
        <v>0</v>
      </c>
    </row>
    <row r="1299" spans="1:19" x14ac:dyDescent="0.2">
      <c r="A1299" s="3" t="s">
        <v>54</v>
      </c>
      <c r="B1299" s="3" t="s">
        <v>55</v>
      </c>
      <c r="C1299">
        <v>29</v>
      </c>
      <c r="D1299">
        <v>14000</v>
      </c>
      <c r="E1299">
        <v>499</v>
      </c>
      <c r="F1299">
        <v>1</v>
      </c>
      <c r="G1299">
        <v>58565.0323707059</v>
      </c>
      <c r="H1299">
        <v>4.4371514000000001E-2</v>
      </c>
      <c r="I1299">
        <v>12875</v>
      </c>
      <c r="J1299">
        <v>4080</v>
      </c>
      <c r="K1299">
        <v>8795</v>
      </c>
      <c r="L1299">
        <v>500</v>
      </c>
      <c r="M1299">
        <v>499</v>
      </c>
      <c r="N1299">
        <v>1</v>
      </c>
      <c r="O1299">
        <v>4213.6922647099</v>
      </c>
      <c r="P1299" s="3" t="s">
        <v>51</v>
      </c>
      <c r="Q1299">
        <v>50</v>
      </c>
      <c r="R1299">
        <v>0.999</v>
      </c>
      <c r="S1299">
        <v>0</v>
      </c>
    </row>
    <row r="1300" spans="1:19" x14ac:dyDescent="0.2">
      <c r="A1300" s="3" t="s">
        <v>54</v>
      </c>
      <c r="B1300" s="3" t="s">
        <v>55</v>
      </c>
      <c r="C1300">
        <v>18</v>
      </c>
      <c r="D1300">
        <v>17000</v>
      </c>
      <c r="E1300">
        <v>499</v>
      </c>
      <c r="F1300">
        <v>1</v>
      </c>
      <c r="G1300">
        <v>17000</v>
      </c>
      <c r="H1300">
        <v>4.4325344000000003E-2</v>
      </c>
      <c r="I1300">
        <v>14335</v>
      </c>
      <c r="J1300">
        <v>5153</v>
      </c>
      <c r="K1300">
        <v>9182</v>
      </c>
      <c r="L1300">
        <v>500</v>
      </c>
      <c r="M1300">
        <v>499</v>
      </c>
      <c r="N1300">
        <v>1</v>
      </c>
      <c r="O1300">
        <v>2665</v>
      </c>
      <c r="P1300" s="3" t="s">
        <v>51</v>
      </c>
      <c r="Q1300">
        <v>50</v>
      </c>
      <c r="R1300">
        <v>0.999</v>
      </c>
      <c r="S1300">
        <v>1</v>
      </c>
    </row>
    <row r="1301" spans="1:19" x14ac:dyDescent="0.2">
      <c r="A1301" s="3" t="s">
        <v>54</v>
      </c>
      <c r="B1301" s="3" t="s">
        <v>55</v>
      </c>
      <c r="C1301">
        <v>50</v>
      </c>
      <c r="D1301">
        <v>17000</v>
      </c>
      <c r="E1301">
        <v>499</v>
      </c>
      <c r="F1301">
        <v>1</v>
      </c>
      <c r="G1301">
        <v>17000</v>
      </c>
      <c r="H1301">
        <v>4.4320895999999999E-2</v>
      </c>
      <c r="I1301">
        <v>14392</v>
      </c>
      <c r="J1301">
        <v>5177</v>
      </c>
      <c r="K1301">
        <v>9215</v>
      </c>
      <c r="L1301">
        <v>500</v>
      </c>
      <c r="M1301">
        <v>499</v>
      </c>
      <c r="N1301">
        <v>1</v>
      </c>
      <c r="O1301">
        <v>2608</v>
      </c>
      <c r="P1301" s="3" t="s">
        <v>51</v>
      </c>
      <c r="Q1301">
        <v>50</v>
      </c>
      <c r="R1301">
        <v>0.999</v>
      </c>
      <c r="S1301">
        <v>1</v>
      </c>
    </row>
    <row r="1302" spans="1:19" x14ac:dyDescent="0.2">
      <c r="A1302" s="3" t="s">
        <v>54</v>
      </c>
      <c r="B1302" s="3" t="s">
        <v>55</v>
      </c>
      <c r="C1302">
        <v>38</v>
      </c>
      <c r="D1302">
        <v>17000</v>
      </c>
      <c r="E1302">
        <v>499</v>
      </c>
      <c r="F1302">
        <v>1</v>
      </c>
      <c r="G1302">
        <v>17000</v>
      </c>
      <c r="H1302">
        <v>4.4302352000000003E-2</v>
      </c>
      <c r="I1302">
        <v>14356</v>
      </c>
      <c r="J1302">
        <v>5169</v>
      </c>
      <c r="K1302">
        <v>9187</v>
      </c>
      <c r="L1302">
        <v>500</v>
      </c>
      <c r="M1302">
        <v>499</v>
      </c>
      <c r="N1302">
        <v>1</v>
      </c>
      <c r="O1302">
        <v>2644</v>
      </c>
      <c r="P1302" s="3" t="s">
        <v>51</v>
      </c>
      <c r="Q1302">
        <v>50</v>
      </c>
      <c r="R1302">
        <v>0.999</v>
      </c>
      <c r="S1302">
        <v>1</v>
      </c>
    </row>
    <row r="1303" spans="1:19" x14ac:dyDescent="0.2">
      <c r="A1303" s="3" t="s">
        <v>54</v>
      </c>
      <c r="B1303" s="3" t="s">
        <v>55</v>
      </c>
      <c r="C1303">
        <v>21</v>
      </c>
      <c r="D1303">
        <v>14000</v>
      </c>
      <c r="E1303">
        <v>499</v>
      </c>
      <c r="F1303">
        <v>1</v>
      </c>
      <c r="G1303">
        <v>58565.0323707059</v>
      </c>
      <c r="H1303">
        <v>4.4258335000000003E-2</v>
      </c>
      <c r="I1303">
        <v>12868</v>
      </c>
      <c r="J1303">
        <v>4073</v>
      </c>
      <c r="K1303">
        <v>8795</v>
      </c>
      <c r="L1303">
        <v>500</v>
      </c>
      <c r="M1303">
        <v>499</v>
      </c>
      <c r="N1303">
        <v>1</v>
      </c>
      <c r="O1303">
        <v>4183.797053708</v>
      </c>
      <c r="P1303" s="3" t="s">
        <v>51</v>
      </c>
      <c r="Q1303">
        <v>50</v>
      </c>
      <c r="R1303">
        <v>0.999</v>
      </c>
      <c r="S1303">
        <v>0</v>
      </c>
    </row>
    <row r="1304" spans="1:19" x14ac:dyDescent="0.2">
      <c r="A1304" s="3" t="s">
        <v>54</v>
      </c>
      <c r="B1304" s="3" t="s">
        <v>55</v>
      </c>
      <c r="C1304">
        <v>28</v>
      </c>
      <c r="D1304">
        <v>17000</v>
      </c>
      <c r="E1304">
        <v>499</v>
      </c>
      <c r="F1304">
        <v>1</v>
      </c>
      <c r="G1304">
        <v>17000</v>
      </c>
      <c r="H1304">
        <v>4.4247051000000003E-2</v>
      </c>
      <c r="I1304">
        <v>14351</v>
      </c>
      <c r="J1304">
        <v>5179</v>
      </c>
      <c r="K1304">
        <v>9172</v>
      </c>
      <c r="L1304">
        <v>500</v>
      </c>
      <c r="M1304">
        <v>499</v>
      </c>
      <c r="N1304">
        <v>1</v>
      </c>
      <c r="O1304">
        <v>2649</v>
      </c>
      <c r="P1304" s="3" t="s">
        <v>51</v>
      </c>
      <c r="Q1304">
        <v>50</v>
      </c>
      <c r="R1304">
        <v>0.999</v>
      </c>
      <c r="S1304">
        <v>1</v>
      </c>
    </row>
    <row r="1305" spans="1:19" x14ac:dyDescent="0.2">
      <c r="A1305" s="3" t="s">
        <v>54</v>
      </c>
      <c r="B1305" s="3" t="s">
        <v>55</v>
      </c>
      <c r="C1305">
        <v>34</v>
      </c>
      <c r="D1305">
        <v>17000</v>
      </c>
      <c r="E1305">
        <v>499</v>
      </c>
      <c r="F1305">
        <v>1</v>
      </c>
      <c r="G1305">
        <v>17000</v>
      </c>
      <c r="H1305">
        <v>4.4246702999999998E-2</v>
      </c>
      <c r="I1305">
        <v>14363</v>
      </c>
      <c r="J1305">
        <v>5152</v>
      </c>
      <c r="K1305">
        <v>9211</v>
      </c>
      <c r="L1305">
        <v>500</v>
      </c>
      <c r="M1305">
        <v>499</v>
      </c>
      <c r="N1305">
        <v>1</v>
      </c>
      <c r="O1305">
        <v>2637</v>
      </c>
      <c r="P1305" s="3" t="s">
        <v>51</v>
      </c>
      <c r="Q1305">
        <v>50</v>
      </c>
      <c r="R1305">
        <v>0.999</v>
      </c>
      <c r="S1305">
        <v>1</v>
      </c>
    </row>
    <row r="1306" spans="1:19" x14ac:dyDescent="0.2">
      <c r="A1306" s="3" t="s">
        <v>54</v>
      </c>
      <c r="B1306" s="3" t="s">
        <v>55</v>
      </c>
      <c r="C1306">
        <v>7</v>
      </c>
      <c r="D1306">
        <v>17000</v>
      </c>
      <c r="E1306">
        <v>499</v>
      </c>
      <c r="F1306">
        <v>1</v>
      </c>
      <c r="G1306">
        <v>17000</v>
      </c>
      <c r="H1306">
        <v>4.4246498000000002E-2</v>
      </c>
      <c r="I1306">
        <v>14319</v>
      </c>
      <c r="J1306">
        <v>5140</v>
      </c>
      <c r="K1306">
        <v>9179</v>
      </c>
      <c r="L1306">
        <v>500</v>
      </c>
      <c r="M1306">
        <v>499</v>
      </c>
      <c r="N1306">
        <v>1</v>
      </c>
      <c r="O1306">
        <v>2681</v>
      </c>
      <c r="P1306" s="3" t="s">
        <v>51</v>
      </c>
      <c r="Q1306">
        <v>50</v>
      </c>
      <c r="R1306">
        <v>0.999</v>
      </c>
      <c r="S1306">
        <v>1</v>
      </c>
    </row>
    <row r="1307" spans="1:19" x14ac:dyDescent="0.2">
      <c r="A1307" s="3" t="s">
        <v>54</v>
      </c>
      <c r="B1307" s="3" t="s">
        <v>55</v>
      </c>
      <c r="C1307">
        <v>4</v>
      </c>
      <c r="D1307">
        <v>17000</v>
      </c>
      <c r="E1307">
        <v>499</v>
      </c>
      <c r="F1307">
        <v>1</v>
      </c>
      <c r="G1307">
        <v>17000</v>
      </c>
      <c r="H1307">
        <v>4.4241137999999999E-2</v>
      </c>
      <c r="I1307">
        <v>14375</v>
      </c>
      <c r="J1307">
        <v>5189</v>
      </c>
      <c r="K1307">
        <v>9186</v>
      </c>
      <c r="L1307">
        <v>500</v>
      </c>
      <c r="M1307">
        <v>499</v>
      </c>
      <c r="N1307">
        <v>1</v>
      </c>
      <c r="O1307">
        <v>2625</v>
      </c>
      <c r="P1307" s="3" t="s">
        <v>51</v>
      </c>
      <c r="Q1307">
        <v>50</v>
      </c>
      <c r="R1307">
        <v>0.999</v>
      </c>
      <c r="S1307">
        <v>1</v>
      </c>
    </row>
    <row r="1308" spans="1:19" x14ac:dyDescent="0.2">
      <c r="A1308" s="3" t="s">
        <v>54</v>
      </c>
      <c r="B1308" s="3" t="s">
        <v>55</v>
      </c>
      <c r="C1308">
        <v>1</v>
      </c>
      <c r="D1308">
        <v>14000</v>
      </c>
      <c r="E1308">
        <v>499</v>
      </c>
      <c r="F1308">
        <v>1</v>
      </c>
      <c r="G1308">
        <v>58565.0323707059</v>
      </c>
      <c r="H1308">
        <v>4.4221899000000002E-2</v>
      </c>
      <c r="I1308">
        <v>12854</v>
      </c>
      <c r="J1308">
        <v>4041</v>
      </c>
      <c r="K1308">
        <v>8813</v>
      </c>
      <c r="L1308">
        <v>500</v>
      </c>
      <c r="M1308">
        <v>499</v>
      </c>
      <c r="N1308">
        <v>1</v>
      </c>
      <c r="O1308">
        <v>4235.2798771503003</v>
      </c>
      <c r="P1308" s="3" t="s">
        <v>51</v>
      </c>
      <c r="Q1308">
        <v>50</v>
      </c>
      <c r="R1308">
        <v>0.999</v>
      </c>
      <c r="S1308">
        <v>0</v>
      </c>
    </row>
    <row r="1309" spans="1:19" x14ac:dyDescent="0.2">
      <c r="A1309" s="3" t="s">
        <v>54</v>
      </c>
      <c r="B1309" s="3" t="s">
        <v>55</v>
      </c>
      <c r="C1309">
        <v>29</v>
      </c>
      <c r="D1309">
        <v>15000</v>
      </c>
      <c r="E1309">
        <v>499</v>
      </c>
      <c r="F1309">
        <v>1</v>
      </c>
      <c r="G1309">
        <v>60572.237308582698</v>
      </c>
      <c r="H1309">
        <v>4.4199156000000003E-2</v>
      </c>
      <c r="I1309">
        <v>13382</v>
      </c>
      <c r="J1309">
        <v>4191</v>
      </c>
      <c r="K1309">
        <v>9191</v>
      </c>
      <c r="L1309">
        <v>500</v>
      </c>
      <c r="M1309">
        <v>499</v>
      </c>
      <c r="N1309">
        <v>1</v>
      </c>
      <c r="O1309">
        <v>5950.4325249486001</v>
      </c>
      <c r="P1309" s="3" t="s">
        <v>51</v>
      </c>
      <c r="Q1309">
        <v>50</v>
      </c>
      <c r="R1309">
        <v>0.999</v>
      </c>
      <c r="S1309">
        <v>0</v>
      </c>
    </row>
    <row r="1310" spans="1:19" x14ac:dyDescent="0.2">
      <c r="A1310" s="3" t="s">
        <v>54</v>
      </c>
      <c r="B1310" s="3" t="s">
        <v>55</v>
      </c>
      <c r="C1310">
        <v>9</v>
      </c>
      <c r="D1310">
        <v>17000</v>
      </c>
      <c r="E1310">
        <v>499</v>
      </c>
      <c r="F1310">
        <v>1</v>
      </c>
      <c r="G1310">
        <v>17000</v>
      </c>
      <c r="H1310">
        <v>4.4191831000000001E-2</v>
      </c>
      <c r="I1310">
        <v>14385</v>
      </c>
      <c r="J1310">
        <v>5182</v>
      </c>
      <c r="K1310">
        <v>9203</v>
      </c>
      <c r="L1310">
        <v>500</v>
      </c>
      <c r="M1310">
        <v>499</v>
      </c>
      <c r="N1310">
        <v>1</v>
      </c>
      <c r="O1310">
        <v>2615</v>
      </c>
      <c r="P1310" s="3" t="s">
        <v>51</v>
      </c>
      <c r="Q1310">
        <v>50</v>
      </c>
      <c r="R1310">
        <v>0.999</v>
      </c>
      <c r="S1310">
        <v>1</v>
      </c>
    </row>
    <row r="1311" spans="1:19" x14ac:dyDescent="0.2">
      <c r="A1311" s="3" t="s">
        <v>54</v>
      </c>
      <c r="B1311" s="3" t="s">
        <v>55</v>
      </c>
      <c r="C1311">
        <v>11</v>
      </c>
      <c r="D1311">
        <v>17000</v>
      </c>
      <c r="E1311">
        <v>499</v>
      </c>
      <c r="F1311">
        <v>1</v>
      </c>
      <c r="G1311">
        <v>17000</v>
      </c>
      <c r="H1311">
        <v>4.4162936999999999E-2</v>
      </c>
      <c r="I1311">
        <v>14371</v>
      </c>
      <c r="J1311">
        <v>5169</v>
      </c>
      <c r="K1311">
        <v>9202</v>
      </c>
      <c r="L1311">
        <v>500</v>
      </c>
      <c r="M1311">
        <v>499</v>
      </c>
      <c r="N1311">
        <v>1</v>
      </c>
      <c r="O1311">
        <v>2629</v>
      </c>
      <c r="P1311" s="3" t="s">
        <v>51</v>
      </c>
      <c r="Q1311">
        <v>50</v>
      </c>
      <c r="R1311">
        <v>0.999</v>
      </c>
      <c r="S1311">
        <v>1</v>
      </c>
    </row>
    <row r="1312" spans="1:19" x14ac:dyDescent="0.2">
      <c r="A1312" s="3" t="s">
        <v>54</v>
      </c>
      <c r="B1312" s="3" t="s">
        <v>55</v>
      </c>
      <c r="C1312">
        <v>6</v>
      </c>
      <c r="D1312">
        <v>14000</v>
      </c>
      <c r="E1312">
        <v>499</v>
      </c>
      <c r="F1312">
        <v>1</v>
      </c>
      <c r="G1312">
        <v>58565.0323707059</v>
      </c>
      <c r="H1312">
        <v>4.4142689999999998E-2</v>
      </c>
      <c r="I1312">
        <v>12857</v>
      </c>
      <c r="J1312">
        <v>4068</v>
      </c>
      <c r="K1312">
        <v>8789</v>
      </c>
      <c r="L1312">
        <v>500</v>
      </c>
      <c r="M1312">
        <v>499</v>
      </c>
      <c r="N1312">
        <v>1</v>
      </c>
      <c r="O1312">
        <v>4271.3487671281</v>
      </c>
      <c r="P1312" s="3" t="s">
        <v>51</v>
      </c>
      <c r="Q1312">
        <v>50</v>
      </c>
      <c r="R1312">
        <v>0.999</v>
      </c>
      <c r="S1312">
        <v>0</v>
      </c>
    </row>
    <row r="1313" spans="1:19" x14ac:dyDescent="0.2">
      <c r="A1313" s="3" t="s">
        <v>54</v>
      </c>
      <c r="B1313" s="3" t="s">
        <v>55</v>
      </c>
      <c r="C1313">
        <v>3</v>
      </c>
      <c r="D1313">
        <v>14000</v>
      </c>
      <c r="E1313">
        <v>499</v>
      </c>
      <c r="F1313">
        <v>1</v>
      </c>
      <c r="G1313">
        <v>58565.0323707059</v>
      </c>
      <c r="H1313">
        <v>4.4140957000000001E-2</v>
      </c>
      <c r="I1313">
        <v>12867</v>
      </c>
      <c r="J1313">
        <v>4076</v>
      </c>
      <c r="K1313">
        <v>8791</v>
      </c>
      <c r="L1313">
        <v>500</v>
      </c>
      <c r="M1313">
        <v>499</v>
      </c>
      <c r="N1313">
        <v>1</v>
      </c>
      <c r="O1313">
        <v>4237.9600210644003</v>
      </c>
      <c r="P1313" s="3" t="s">
        <v>51</v>
      </c>
      <c r="Q1313">
        <v>50</v>
      </c>
      <c r="R1313">
        <v>0.999</v>
      </c>
      <c r="S1313">
        <v>0</v>
      </c>
    </row>
    <row r="1314" spans="1:19" x14ac:dyDescent="0.2">
      <c r="A1314" s="3" t="s">
        <v>54</v>
      </c>
      <c r="B1314" s="3" t="s">
        <v>55</v>
      </c>
      <c r="C1314">
        <v>30</v>
      </c>
      <c r="D1314">
        <v>17000</v>
      </c>
      <c r="E1314">
        <v>499</v>
      </c>
      <c r="F1314">
        <v>1</v>
      </c>
      <c r="G1314">
        <v>17000</v>
      </c>
      <c r="H1314">
        <v>4.4137372000000001E-2</v>
      </c>
      <c r="I1314">
        <v>14380</v>
      </c>
      <c r="J1314">
        <v>5175</v>
      </c>
      <c r="K1314">
        <v>9205</v>
      </c>
      <c r="L1314">
        <v>500</v>
      </c>
      <c r="M1314">
        <v>499</v>
      </c>
      <c r="N1314">
        <v>1</v>
      </c>
      <c r="O1314">
        <v>2620</v>
      </c>
      <c r="P1314" s="3" t="s">
        <v>51</v>
      </c>
      <c r="Q1314">
        <v>50</v>
      </c>
      <c r="R1314">
        <v>0.999</v>
      </c>
      <c r="S1314">
        <v>1</v>
      </c>
    </row>
    <row r="1315" spans="1:19" x14ac:dyDescent="0.2">
      <c r="A1315" s="3" t="s">
        <v>54</v>
      </c>
      <c r="B1315" s="3" t="s">
        <v>55</v>
      </c>
      <c r="C1315">
        <v>19</v>
      </c>
      <c r="D1315">
        <v>17000</v>
      </c>
      <c r="E1315">
        <v>499</v>
      </c>
      <c r="F1315">
        <v>1</v>
      </c>
      <c r="G1315">
        <v>17000</v>
      </c>
      <c r="H1315">
        <v>4.4130074999999998E-2</v>
      </c>
      <c r="I1315">
        <v>14360</v>
      </c>
      <c r="J1315">
        <v>5191</v>
      </c>
      <c r="K1315">
        <v>9169</v>
      </c>
      <c r="L1315">
        <v>500</v>
      </c>
      <c r="M1315">
        <v>499</v>
      </c>
      <c r="N1315">
        <v>1</v>
      </c>
      <c r="O1315">
        <v>2640</v>
      </c>
      <c r="P1315" s="3" t="s">
        <v>51</v>
      </c>
      <c r="Q1315">
        <v>50</v>
      </c>
      <c r="R1315">
        <v>0.999</v>
      </c>
      <c r="S1315">
        <v>1</v>
      </c>
    </row>
    <row r="1316" spans="1:19" x14ac:dyDescent="0.2">
      <c r="A1316" s="3" t="s">
        <v>54</v>
      </c>
      <c r="B1316" s="3" t="s">
        <v>55</v>
      </c>
      <c r="C1316">
        <v>1</v>
      </c>
      <c r="D1316">
        <v>17000</v>
      </c>
      <c r="E1316">
        <v>499</v>
      </c>
      <c r="F1316">
        <v>1</v>
      </c>
      <c r="G1316">
        <v>17000</v>
      </c>
      <c r="H1316">
        <v>4.4120897999999999E-2</v>
      </c>
      <c r="I1316">
        <v>14357</v>
      </c>
      <c r="J1316">
        <v>5172</v>
      </c>
      <c r="K1316">
        <v>9185</v>
      </c>
      <c r="L1316">
        <v>500</v>
      </c>
      <c r="M1316">
        <v>499</v>
      </c>
      <c r="N1316">
        <v>1</v>
      </c>
      <c r="O1316">
        <v>2643</v>
      </c>
      <c r="P1316" s="3" t="s">
        <v>51</v>
      </c>
      <c r="Q1316">
        <v>50</v>
      </c>
      <c r="R1316">
        <v>0.999</v>
      </c>
      <c r="S1316">
        <v>1</v>
      </c>
    </row>
    <row r="1317" spans="1:19" x14ac:dyDescent="0.2">
      <c r="A1317" s="3" t="s">
        <v>54</v>
      </c>
      <c r="B1317" s="3" t="s">
        <v>55</v>
      </c>
      <c r="C1317">
        <v>37</v>
      </c>
      <c r="D1317">
        <v>17000</v>
      </c>
      <c r="E1317">
        <v>499</v>
      </c>
      <c r="F1317">
        <v>1</v>
      </c>
      <c r="G1317">
        <v>17000</v>
      </c>
      <c r="H1317">
        <v>4.4116499000000003E-2</v>
      </c>
      <c r="I1317">
        <v>14345</v>
      </c>
      <c r="J1317">
        <v>5161</v>
      </c>
      <c r="K1317">
        <v>9184</v>
      </c>
      <c r="L1317">
        <v>500</v>
      </c>
      <c r="M1317">
        <v>499</v>
      </c>
      <c r="N1317">
        <v>1</v>
      </c>
      <c r="O1317">
        <v>2655</v>
      </c>
      <c r="P1317" s="3" t="s">
        <v>51</v>
      </c>
      <c r="Q1317">
        <v>50</v>
      </c>
      <c r="R1317">
        <v>0.999</v>
      </c>
      <c r="S1317">
        <v>1</v>
      </c>
    </row>
    <row r="1318" spans="1:19" x14ac:dyDescent="0.2">
      <c r="A1318" s="3" t="s">
        <v>54</v>
      </c>
      <c r="B1318" s="3" t="s">
        <v>55</v>
      </c>
      <c r="C1318">
        <v>49</v>
      </c>
      <c r="D1318">
        <v>14000</v>
      </c>
      <c r="E1318">
        <v>499</v>
      </c>
      <c r="F1318">
        <v>1</v>
      </c>
      <c r="G1318">
        <v>58565.0323707059</v>
      </c>
      <c r="H1318">
        <v>4.4093728999999998E-2</v>
      </c>
      <c r="I1318">
        <v>12866</v>
      </c>
      <c r="J1318">
        <v>4047</v>
      </c>
      <c r="K1318">
        <v>8819</v>
      </c>
      <c r="L1318">
        <v>500</v>
      </c>
      <c r="M1318">
        <v>499</v>
      </c>
      <c r="N1318">
        <v>1</v>
      </c>
      <c r="O1318">
        <v>4269.4723257251999</v>
      </c>
      <c r="P1318" s="3" t="s">
        <v>51</v>
      </c>
      <c r="Q1318">
        <v>50</v>
      </c>
      <c r="R1318">
        <v>0.999</v>
      </c>
      <c r="S1318">
        <v>0</v>
      </c>
    </row>
    <row r="1319" spans="1:19" x14ac:dyDescent="0.2">
      <c r="A1319" s="3" t="s">
        <v>54</v>
      </c>
      <c r="B1319" s="3" t="s">
        <v>55</v>
      </c>
      <c r="C1319">
        <v>20</v>
      </c>
      <c r="D1319">
        <v>17000</v>
      </c>
      <c r="E1319">
        <v>499</v>
      </c>
      <c r="F1319">
        <v>1</v>
      </c>
      <c r="G1319">
        <v>17000</v>
      </c>
      <c r="H1319">
        <v>4.4051700999999999E-2</v>
      </c>
      <c r="I1319">
        <v>14345</v>
      </c>
      <c r="J1319">
        <v>5147</v>
      </c>
      <c r="K1319">
        <v>9198</v>
      </c>
      <c r="L1319">
        <v>500</v>
      </c>
      <c r="M1319">
        <v>499</v>
      </c>
      <c r="N1319">
        <v>1</v>
      </c>
      <c r="O1319">
        <v>2655</v>
      </c>
      <c r="P1319" s="3" t="s">
        <v>51</v>
      </c>
      <c r="Q1319">
        <v>50</v>
      </c>
      <c r="R1319">
        <v>0.999</v>
      </c>
      <c r="S1319">
        <v>1</v>
      </c>
    </row>
    <row r="1320" spans="1:19" x14ac:dyDescent="0.2">
      <c r="A1320" s="3" t="s">
        <v>54</v>
      </c>
      <c r="B1320" s="3" t="s">
        <v>55</v>
      </c>
      <c r="C1320">
        <v>35</v>
      </c>
      <c r="D1320">
        <v>17000</v>
      </c>
      <c r="E1320">
        <v>499</v>
      </c>
      <c r="F1320">
        <v>1</v>
      </c>
      <c r="G1320">
        <v>17000</v>
      </c>
      <c r="H1320">
        <v>4.4017088000000003E-2</v>
      </c>
      <c r="I1320">
        <v>14317</v>
      </c>
      <c r="J1320">
        <v>5160</v>
      </c>
      <c r="K1320">
        <v>9157</v>
      </c>
      <c r="L1320">
        <v>500</v>
      </c>
      <c r="M1320">
        <v>499</v>
      </c>
      <c r="N1320">
        <v>1</v>
      </c>
      <c r="O1320">
        <v>2683</v>
      </c>
      <c r="P1320" s="3" t="s">
        <v>51</v>
      </c>
      <c r="Q1320">
        <v>50</v>
      </c>
      <c r="R1320">
        <v>0.999</v>
      </c>
      <c r="S1320">
        <v>1</v>
      </c>
    </row>
    <row r="1321" spans="1:19" x14ac:dyDescent="0.2">
      <c r="A1321" s="3" t="s">
        <v>54</v>
      </c>
      <c r="B1321" s="3" t="s">
        <v>55</v>
      </c>
      <c r="C1321">
        <v>17</v>
      </c>
      <c r="D1321">
        <v>17000</v>
      </c>
      <c r="E1321">
        <v>499</v>
      </c>
      <c r="F1321">
        <v>1</v>
      </c>
      <c r="G1321">
        <v>17000</v>
      </c>
      <c r="H1321">
        <v>4.4016279999999998E-2</v>
      </c>
      <c r="I1321">
        <v>14383</v>
      </c>
      <c r="J1321">
        <v>5175</v>
      </c>
      <c r="K1321">
        <v>9208</v>
      </c>
      <c r="L1321">
        <v>500</v>
      </c>
      <c r="M1321">
        <v>499</v>
      </c>
      <c r="N1321">
        <v>1</v>
      </c>
      <c r="O1321">
        <v>2617</v>
      </c>
      <c r="P1321" s="3" t="s">
        <v>51</v>
      </c>
      <c r="Q1321">
        <v>50</v>
      </c>
      <c r="R1321">
        <v>0.999</v>
      </c>
      <c r="S1321">
        <v>1</v>
      </c>
    </row>
    <row r="1322" spans="1:19" x14ac:dyDescent="0.2">
      <c r="A1322" s="3" t="s">
        <v>54</v>
      </c>
      <c r="B1322" s="3" t="s">
        <v>55</v>
      </c>
      <c r="C1322">
        <v>23</v>
      </c>
      <c r="D1322">
        <v>15000</v>
      </c>
      <c r="E1322">
        <v>499</v>
      </c>
      <c r="F1322">
        <v>1</v>
      </c>
      <c r="G1322">
        <v>60572.237308582698</v>
      </c>
      <c r="H1322">
        <v>4.3947134999999998E-2</v>
      </c>
      <c r="I1322">
        <v>13381</v>
      </c>
      <c r="J1322">
        <v>4175</v>
      </c>
      <c r="K1322">
        <v>9206</v>
      </c>
      <c r="L1322">
        <v>500</v>
      </c>
      <c r="M1322">
        <v>499</v>
      </c>
      <c r="N1322">
        <v>1</v>
      </c>
      <c r="O1322">
        <v>5967.7723154158002</v>
      </c>
      <c r="P1322" s="3" t="s">
        <v>51</v>
      </c>
      <c r="Q1322">
        <v>50</v>
      </c>
      <c r="R1322">
        <v>0.999</v>
      </c>
      <c r="S1322">
        <v>0</v>
      </c>
    </row>
    <row r="1323" spans="1:19" x14ac:dyDescent="0.2">
      <c r="A1323" s="3" t="s">
        <v>54</v>
      </c>
      <c r="B1323" s="3" t="s">
        <v>55</v>
      </c>
      <c r="C1323">
        <v>24</v>
      </c>
      <c r="D1323">
        <v>17000</v>
      </c>
      <c r="E1323">
        <v>499</v>
      </c>
      <c r="F1323">
        <v>1</v>
      </c>
      <c r="G1323">
        <v>17000</v>
      </c>
      <c r="H1323">
        <v>4.3943002000000002E-2</v>
      </c>
      <c r="I1323">
        <v>14345</v>
      </c>
      <c r="J1323">
        <v>5150</v>
      </c>
      <c r="K1323">
        <v>9195</v>
      </c>
      <c r="L1323">
        <v>500</v>
      </c>
      <c r="M1323">
        <v>499</v>
      </c>
      <c r="N1323">
        <v>1</v>
      </c>
      <c r="O1323">
        <v>2655</v>
      </c>
      <c r="P1323" s="3" t="s">
        <v>51</v>
      </c>
      <c r="Q1323">
        <v>50</v>
      </c>
      <c r="R1323">
        <v>0.999</v>
      </c>
      <c r="S1323">
        <v>1</v>
      </c>
    </row>
    <row r="1324" spans="1:19" x14ac:dyDescent="0.2">
      <c r="A1324" s="3" t="s">
        <v>54</v>
      </c>
      <c r="B1324" s="3" t="s">
        <v>55</v>
      </c>
      <c r="C1324">
        <v>44</v>
      </c>
      <c r="D1324">
        <v>17000</v>
      </c>
      <c r="E1324">
        <v>499</v>
      </c>
      <c r="F1324">
        <v>1</v>
      </c>
      <c r="G1324">
        <v>17000</v>
      </c>
      <c r="H1324">
        <v>4.3926804E-2</v>
      </c>
      <c r="I1324">
        <v>14367</v>
      </c>
      <c r="J1324">
        <v>5173</v>
      </c>
      <c r="K1324">
        <v>9194</v>
      </c>
      <c r="L1324">
        <v>500</v>
      </c>
      <c r="M1324">
        <v>499</v>
      </c>
      <c r="N1324">
        <v>1</v>
      </c>
      <c r="O1324">
        <v>2633</v>
      </c>
      <c r="P1324" s="3" t="s">
        <v>51</v>
      </c>
      <c r="Q1324">
        <v>50</v>
      </c>
      <c r="R1324">
        <v>0.999</v>
      </c>
      <c r="S1324">
        <v>1</v>
      </c>
    </row>
    <row r="1325" spans="1:19" x14ac:dyDescent="0.2">
      <c r="A1325" s="3" t="s">
        <v>54</v>
      </c>
      <c r="B1325" s="3" t="s">
        <v>55</v>
      </c>
      <c r="C1325">
        <v>25</v>
      </c>
      <c r="D1325">
        <v>14000</v>
      </c>
      <c r="E1325">
        <v>499</v>
      </c>
      <c r="F1325">
        <v>1</v>
      </c>
      <c r="G1325">
        <v>58565.0323707059</v>
      </c>
      <c r="H1325">
        <v>4.3925806999999997E-2</v>
      </c>
      <c r="I1325">
        <v>12878</v>
      </c>
      <c r="J1325">
        <v>4088</v>
      </c>
      <c r="K1325">
        <v>8790</v>
      </c>
      <c r="L1325">
        <v>500</v>
      </c>
      <c r="M1325">
        <v>499</v>
      </c>
      <c r="N1325">
        <v>1</v>
      </c>
      <c r="O1325">
        <v>4208.0164930220999</v>
      </c>
      <c r="P1325" s="3" t="s">
        <v>51</v>
      </c>
      <c r="Q1325">
        <v>50</v>
      </c>
      <c r="R1325">
        <v>0.999</v>
      </c>
      <c r="S1325">
        <v>0</v>
      </c>
    </row>
    <row r="1326" spans="1:19" x14ac:dyDescent="0.2">
      <c r="A1326" s="3" t="s">
        <v>54</v>
      </c>
      <c r="B1326" s="3" t="s">
        <v>55</v>
      </c>
      <c r="C1326">
        <v>27</v>
      </c>
      <c r="D1326">
        <v>15000</v>
      </c>
      <c r="E1326">
        <v>499</v>
      </c>
      <c r="F1326">
        <v>1</v>
      </c>
      <c r="G1326">
        <v>60572.237308582698</v>
      </c>
      <c r="H1326">
        <v>4.3922782E-2</v>
      </c>
      <c r="I1326">
        <v>13365</v>
      </c>
      <c r="J1326">
        <v>4152</v>
      </c>
      <c r="K1326">
        <v>9213</v>
      </c>
      <c r="L1326">
        <v>500</v>
      </c>
      <c r="M1326">
        <v>499</v>
      </c>
      <c r="N1326">
        <v>1</v>
      </c>
      <c r="O1326">
        <v>6021.1337770225</v>
      </c>
      <c r="P1326" s="3" t="s">
        <v>51</v>
      </c>
      <c r="Q1326">
        <v>50</v>
      </c>
      <c r="R1326">
        <v>0.999</v>
      </c>
      <c r="S1326">
        <v>0</v>
      </c>
    </row>
    <row r="1327" spans="1:19" x14ac:dyDescent="0.2">
      <c r="A1327" s="3" t="s">
        <v>54</v>
      </c>
      <c r="B1327" s="3" t="s">
        <v>55</v>
      </c>
      <c r="C1327">
        <v>25</v>
      </c>
      <c r="D1327">
        <v>17000</v>
      </c>
      <c r="E1327">
        <v>499</v>
      </c>
      <c r="F1327">
        <v>1</v>
      </c>
      <c r="G1327">
        <v>17000</v>
      </c>
      <c r="H1327">
        <v>4.3894602999999997E-2</v>
      </c>
      <c r="I1327">
        <v>14314</v>
      </c>
      <c r="J1327">
        <v>5165</v>
      </c>
      <c r="K1327">
        <v>9149</v>
      </c>
      <c r="L1327">
        <v>500</v>
      </c>
      <c r="M1327">
        <v>499</v>
      </c>
      <c r="N1327">
        <v>1</v>
      </c>
      <c r="O1327">
        <v>2686</v>
      </c>
      <c r="P1327" s="3" t="s">
        <v>51</v>
      </c>
      <c r="Q1327">
        <v>50</v>
      </c>
      <c r="R1327">
        <v>0.999</v>
      </c>
      <c r="S1327">
        <v>1</v>
      </c>
    </row>
    <row r="1328" spans="1:19" x14ac:dyDescent="0.2">
      <c r="A1328" s="3" t="s">
        <v>54</v>
      </c>
      <c r="B1328" s="3" t="s">
        <v>55</v>
      </c>
      <c r="C1328">
        <v>23</v>
      </c>
      <c r="D1328">
        <v>17000</v>
      </c>
      <c r="E1328">
        <v>499</v>
      </c>
      <c r="F1328">
        <v>1</v>
      </c>
      <c r="G1328">
        <v>17000</v>
      </c>
      <c r="H1328">
        <v>4.3885602000000003E-2</v>
      </c>
      <c r="I1328">
        <v>14339</v>
      </c>
      <c r="J1328">
        <v>5156</v>
      </c>
      <c r="K1328">
        <v>9183</v>
      </c>
      <c r="L1328">
        <v>500</v>
      </c>
      <c r="M1328">
        <v>499</v>
      </c>
      <c r="N1328">
        <v>1</v>
      </c>
      <c r="O1328">
        <v>2661</v>
      </c>
      <c r="P1328" s="3" t="s">
        <v>51</v>
      </c>
      <c r="Q1328">
        <v>50</v>
      </c>
      <c r="R1328">
        <v>0.999</v>
      </c>
      <c r="S1328">
        <v>1</v>
      </c>
    </row>
    <row r="1329" spans="1:19" x14ac:dyDescent="0.2">
      <c r="A1329" s="3" t="s">
        <v>54</v>
      </c>
      <c r="B1329" s="3" t="s">
        <v>55</v>
      </c>
      <c r="C1329">
        <v>5</v>
      </c>
      <c r="D1329">
        <v>17000</v>
      </c>
      <c r="E1329">
        <v>499</v>
      </c>
      <c r="F1329">
        <v>1</v>
      </c>
      <c r="G1329">
        <v>17000</v>
      </c>
      <c r="H1329">
        <v>4.3874866999999998E-2</v>
      </c>
      <c r="I1329">
        <v>14351</v>
      </c>
      <c r="J1329">
        <v>5154</v>
      </c>
      <c r="K1329">
        <v>9197</v>
      </c>
      <c r="L1329">
        <v>500</v>
      </c>
      <c r="M1329">
        <v>499</v>
      </c>
      <c r="N1329">
        <v>1</v>
      </c>
      <c r="O1329">
        <v>2649</v>
      </c>
      <c r="P1329" s="3" t="s">
        <v>51</v>
      </c>
      <c r="Q1329">
        <v>50</v>
      </c>
      <c r="R1329">
        <v>0.999</v>
      </c>
      <c r="S1329">
        <v>1</v>
      </c>
    </row>
    <row r="1330" spans="1:19" x14ac:dyDescent="0.2">
      <c r="A1330" s="3" t="s">
        <v>54</v>
      </c>
      <c r="B1330" s="3" t="s">
        <v>55</v>
      </c>
      <c r="C1330">
        <v>42</v>
      </c>
      <c r="D1330">
        <v>17000</v>
      </c>
      <c r="E1330">
        <v>499</v>
      </c>
      <c r="F1330">
        <v>1</v>
      </c>
      <c r="G1330">
        <v>17000</v>
      </c>
      <c r="H1330">
        <v>4.3833296000000001E-2</v>
      </c>
      <c r="I1330">
        <v>14373</v>
      </c>
      <c r="J1330">
        <v>5167</v>
      </c>
      <c r="K1330">
        <v>9206</v>
      </c>
      <c r="L1330">
        <v>500</v>
      </c>
      <c r="M1330">
        <v>499</v>
      </c>
      <c r="N1330">
        <v>1</v>
      </c>
      <c r="O1330">
        <v>2627</v>
      </c>
      <c r="P1330" s="3" t="s">
        <v>51</v>
      </c>
      <c r="Q1330">
        <v>50</v>
      </c>
      <c r="R1330">
        <v>0.999</v>
      </c>
      <c r="S1330">
        <v>1</v>
      </c>
    </row>
    <row r="1331" spans="1:19" x14ac:dyDescent="0.2">
      <c r="A1331" s="3" t="s">
        <v>54</v>
      </c>
      <c r="B1331" s="3" t="s">
        <v>55</v>
      </c>
      <c r="C1331">
        <v>19</v>
      </c>
      <c r="D1331">
        <v>15000</v>
      </c>
      <c r="E1331">
        <v>499</v>
      </c>
      <c r="F1331">
        <v>1</v>
      </c>
      <c r="G1331">
        <v>60572.237308582698</v>
      </c>
      <c r="H1331">
        <v>4.3816135999999999E-2</v>
      </c>
      <c r="I1331">
        <v>13353</v>
      </c>
      <c r="J1331">
        <v>4168</v>
      </c>
      <c r="K1331">
        <v>9185</v>
      </c>
      <c r="L1331">
        <v>500</v>
      </c>
      <c r="M1331">
        <v>499</v>
      </c>
      <c r="N1331">
        <v>1</v>
      </c>
      <c r="O1331">
        <v>5991.4423649187002</v>
      </c>
      <c r="P1331" s="3" t="s">
        <v>51</v>
      </c>
      <c r="Q1331">
        <v>50</v>
      </c>
      <c r="R1331">
        <v>0.999</v>
      </c>
      <c r="S1331">
        <v>0</v>
      </c>
    </row>
    <row r="1332" spans="1:19" x14ac:dyDescent="0.2">
      <c r="A1332" s="3" t="s">
        <v>54</v>
      </c>
      <c r="B1332" s="3" t="s">
        <v>55</v>
      </c>
      <c r="C1332">
        <v>10</v>
      </c>
      <c r="D1332">
        <v>17000</v>
      </c>
      <c r="E1332">
        <v>499</v>
      </c>
      <c r="F1332">
        <v>1</v>
      </c>
      <c r="G1332">
        <v>17000</v>
      </c>
      <c r="H1332">
        <v>4.3783422000000002E-2</v>
      </c>
      <c r="I1332">
        <v>14343</v>
      </c>
      <c r="J1332">
        <v>5163</v>
      </c>
      <c r="K1332">
        <v>9180</v>
      </c>
      <c r="L1332">
        <v>500</v>
      </c>
      <c r="M1332">
        <v>499</v>
      </c>
      <c r="N1332">
        <v>1</v>
      </c>
      <c r="O1332">
        <v>2657</v>
      </c>
      <c r="P1332" s="3" t="s">
        <v>51</v>
      </c>
      <c r="Q1332">
        <v>50</v>
      </c>
      <c r="R1332">
        <v>0.999</v>
      </c>
      <c r="S1332">
        <v>1</v>
      </c>
    </row>
    <row r="1333" spans="1:19" x14ac:dyDescent="0.2">
      <c r="A1333" s="3" t="s">
        <v>54</v>
      </c>
      <c r="B1333" s="3" t="s">
        <v>55</v>
      </c>
      <c r="C1333">
        <v>43</v>
      </c>
      <c r="D1333">
        <v>17000</v>
      </c>
      <c r="E1333">
        <v>499</v>
      </c>
      <c r="F1333">
        <v>1</v>
      </c>
      <c r="G1333">
        <v>17000</v>
      </c>
      <c r="H1333">
        <v>4.3752153000000002E-2</v>
      </c>
      <c r="I1333">
        <v>14343</v>
      </c>
      <c r="J1333">
        <v>5170</v>
      </c>
      <c r="K1333">
        <v>9173</v>
      </c>
      <c r="L1333">
        <v>500</v>
      </c>
      <c r="M1333">
        <v>499</v>
      </c>
      <c r="N1333">
        <v>1</v>
      </c>
      <c r="O1333">
        <v>2657</v>
      </c>
      <c r="P1333" s="3" t="s">
        <v>51</v>
      </c>
      <c r="Q1333">
        <v>50</v>
      </c>
      <c r="R1333">
        <v>0.999</v>
      </c>
      <c r="S1333">
        <v>1</v>
      </c>
    </row>
    <row r="1334" spans="1:19" x14ac:dyDescent="0.2">
      <c r="A1334" s="3" t="s">
        <v>54</v>
      </c>
      <c r="B1334" s="3" t="s">
        <v>55</v>
      </c>
      <c r="C1334">
        <v>50</v>
      </c>
      <c r="D1334">
        <v>14000</v>
      </c>
      <c r="E1334">
        <v>499</v>
      </c>
      <c r="F1334">
        <v>1</v>
      </c>
      <c r="G1334">
        <v>58565.0323707059</v>
      </c>
      <c r="H1334">
        <v>4.3632098000000001E-2</v>
      </c>
      <c r="I1334">
        <v>12859</v>
      </c>
      <c r="J1334">
        <v>4074</v>
      </c>
      <c r="K1334">
        <v>8785</v>
      </c>
      <c r="L1334">
        <v>500</v>
      </c>
      <c r="M1334">
        <v>499</v>
      </c>
      <c r="N1334">
        <v>1</v>
      </c>
      <c r="O1334">
        <v>4182.7269261944002</v>
      </c>
      <c r="P1334" s="3" t="s">
        <v>51</v>
      </c>
      <c r="Q1334">
        <v>50</v>
      </c>
      <c r="R1334">
        <v>0.999</v>
      </c>
      <c r="S1334">
        <v>0</v>
      </c>
    </row>
    <row r="1335" spans="1:19" x14ac:dyDescent="0.2">
      <c r="A1335" s="3" t="s">
        <v>54</v>
      </c>
      <c r="B1335" s="3" t="s">
        <v>55</v>
      </c>
      <c r="C1335">
        <v>39</v>
      </c>
      <c r="D1335">
        <v>17000</v>
      </c>
      <c r="E1335">
        <v>499</v>
      </c>
      <c r="F1335">
        <v>1</v>
      </c>
      <c r="G1335">
        <v>17000</v>
      </c>
      <c r="H1335">
        <v>4.3591260999999999E-2</v>
      </c>
      <c r="I1335">
        <v>14370</v>
      </c>
      <c r="J1335">
        <v>5171</v>
      </c>
      <c r="K1335">
        <v>9199</v>
      </c>
      <c r="L1335">
        <v>500</v>
      </c>
      <c r="M1335">
        <v>499</v>
      </c>
      <c r="N1335">
        <v>1</v>
      </c>
      <c r="O1335">
        <v>2630</v>
      </c>
      <c r="P1335" s="3" t="s">
        <v>51</v>
      </c>
      <c r="Q1335">
        <v>50</v>
      </c>
      <c r="R1335">
        <v>0.999</v>
      </c>
      <c r="S1335">
        <v>1</v>
      </c>
    </row>
    <row r="1336" spans="1:19" x14ac:dyDescent="0.2">
      <c r="A1336" s="3" t="s">
        <v>54</v>
      </c>
      <c r="B1336" s="3" t="s">
        <v>55</v>
      </c>
      <c r="C1336">
        <v>36</v>
      </c>
      <c r="D1336">
        <v>14000</v>
      </c>
      <c r="E1336">
        <v>499</v>
      </c>
      <c r="F1336">
        <v>1</v>
      </c>
      <c r="G1336">
        <v>58565.0323707059</v>
      </c>
      <c r="H1336">
        <v>4.3551990999999998E-2</v>
      </c>
      <c r="I1336">
        <v>12861</v>
      </c>
      <c r="J1336">
        <v>4063</v>
      </c>
      <c r="K1336">
        <v>8798</v>
      </c>
      <c r="L1336">
        <v>500</v>
      </c>
      <c r="M1336">
        <v>499</v>
      </c>
      <c r="N1336">
        <v>1</v>
      </c>
      <c r="O1336">
        <v>4275.0485057236001</v>
      </c>
      <c r="P1336" s="3" t="s">
        <v>51</v>
      </c>
      <c r="Q1336">
        <v>50</v>
      </c>
      <c r="R1336">
        <v>0.999</v>
      </c>
      <c r="S1336">
        <v>0</v>
      </c>
    </row>
    <row r="1337" spans="1:19" x14ac:dyDescent="0.2">
      <c r="A1337" s="3" t="s">
        <v>54</v>
      </c>
      <c r="B1337" s="3" t="s">
        <v>55</v>
      </c>
      <c r="C1337">
        <v>45</v>
      </c>
      <c r="D1337">
        <v>17000</v>
      </c>
      <c r="E1337">
        <v>499</v>
      </c>
      <c r="F1337">
        <v>1</v>
      </c>
      <c r="G1337">
        <v>17000</v>
      </c>
      <c r="H1337">
        <v>4.3476503E-2</v>
      </c>
      <c r="I1337">
        <v>14368</v>
      </c>
      <c r="J1337">
        <v>5167</v>
      </c>
      <c r="K1337">
        <v>9201</v>
      </c>
      <c r="L1337">
        <v>500</v>
      </c>
      <c r="M1337">
        <v>499</v>
      </c>
      <c r="N1337">
        <v>1</v>
      </c>
      <c r="O1337">
        <v>2632</v>
      </c>
      <c r="P1337" s="3" t="s">
        <v>51</v>
      </c>
      <c r="Q1337">
        <v>50</v>
      </c>
      <c r="R1337">
        <v>0.999</v>
      </c>
      <c r="S1337">
        <v>1</v>
      </c>
    </row>
    <row r="1338" spans="1:19" x14ac:dyDescent="0.2">
      <c r="A1338" s="3" t="s">
        <v>54</v>
      </c>
      <c r="B1338" s="3" t="s">
        <v>55</v>
      </c>
      <c r="C1338">
        <v>14</v>
      </c>
      <c r="D1338">
        <v>14000</v>
      </c>
      <c r="E1338">
        <v>499</v>
      </c>
      <c r="F1338">
        <v>1</v>
      </c>
      <c r="G1338">
        <v>58565.0323707059</v>
      </c>
      <c r="H1338">
        <v>4.3464514000000003E-2</v>
      </c>
      <c r="I1338">
        <v>12851</v>
      </c>
      <c r="J1338">
        <v>4093</v>
      </c>
      <c r="K1338">
        <v>8758</v>
      </c>
      <c r="L1338">
        <v>500</v>
      </c>
      <c r="M1338">
        <v>499</v>
      </c>
      <c r="N1338">
        <v>1</v>
      </c>
      <c r="O1338">
        <v>4287.4354060370997</v>
      </c>
      <c r="P1338" s="3" t="s">
        <v>51</v>
      </c>
      <c r="Q1338">
        <v>50</v>
      </c>
      <c r="R1338">
        <v>0.999</v>
      </c>
      <c r="S1338">
        <v>0</v>
      </c>
    </row>
    <row r="1339" spans="1:19" x14ac:dyDescent="0.2">
      <c r="A1339" s="3" t="s">
        <v>54</v>
      </c>
      <c r="B1339" s="3" t="s">
        <v>55</v>
      </c>
      <c r="C1339">
        <v>35</v>
      </c>
      <c r="D1339">
        <v>15000</v>
      </c>
      <c r="E1339">
        <v>499</v>
      </c>
      <c r="F1339">
        <v>1</v>
      </c>
      <c r="G1339">
        <v>15000</v>
      </c>
      <c r="H1339">
        <v>4.3335427000000003E-2</v>
      </c>
      <c r="I1339">
        <v>13464</v>
      </c>
      <c r="J1339">
        <v>4982</v>
      </c>
      <c r="K1339">
        <v>8482</v>
      </c>
      <c r="L1339">
        <v>500</v>
      </c>
      <c r="M1339">
        <v>499</v>
      </c>
      <c r="N1339">
        <v>1</v>
      </c>
      <c r="O1339">
        <v>1536</v>
      </c>
      <c r="P1339" s="3" t="s">
        <v>51</v>
      </c>
      <c r="Q1339">
        <v>50</v>
      </c>
      <c r="R1339">
        <v>0.999</v>
      </c>
      <c r="S1339">
        <v>1</v>
      </c>
    </row>
    <row r="1340" spans="1:19" x14ac:dyDescent="0.2">
      <c r="A1340" s="3" t="s">
        <v>54</v>
      </c>
      <c r="B1340" s="3" t="s">
        <v>55</v>
      </c>
      <c r="C1340">
        <v>48</v>
      </c>
      <c r="D1340">
        <v>14000</v>
      </c>
      <c r="E1340">
        <v>499</v>
      </c>
      <c r="F1340">
        <v>1</v>
      </c>
      <c r="G1340">
        <v>14000</v>
      </c>
      <c r="H1340">
        <v>4.3176846999999997E-2</v>
      </c>
      <c r="I1340">
        <v>13016</v>
      </c>
      <c r="J1340">
        <v>4847</v>
      </c>
      <c r="K1340">
        <v>8169</v>
      </c>
      <c r="L1340">
        <v>500</v>
      </c>
      <c r="M1340">
        <v>499</v>
      </c>
      <c r="N1340">
        <v>1</v>
      </c>
      <c r="O1340">
        <v>984</v>
      </c>
      <c r="P1340" s="3" t="s">
        <v>51</v>
      </c>
      <c r="Q1340">
        <v>50</v>
      </c>
      <c r="R1340">
        <v>0.999</v>
      </c>
      <c r="S1340">
        <v>1</v>
      </c>
    </row>
    <row r="1341" spans="1:19" x14ac:dyDescent="0.2">
      <c r="A1341" s="3" t="s">
        <v>54</v>
      </c>
      <c r="B1341" s="3" t="s">
        <v>55</v>
      </c>
      <c r="C1341">
        <v>40</v>
      </c>
      <c r="D1341">
        <v>14000</v>
      </c>
      <c r="E1341">
        <v>499</v>
      </c>
      <c r="F1341">
        <v>1</v>
      </c>
      <c r="G1341">
        <v>58565.0323707059</v>
      </c>
      <c r="H1341">
        <v>4.3099727999999997E-2</v>
      </c>
      <c r="I1341">
        <v>12849</v>
      </c>
      <c r="J1341">
        <v>4059</v>
      </c>
      <c r="K1341">
        <v>8790</v>
      </c>
      <c r="L1341">
        <v>500</v>
      </c>
      <c r="M1341">
        <v>499</v>
      </c>
      <c r="N1341">
        <v>1</v>
      </c>
      <c r="O1341">
        <v>4240.4376425209002</v>
      </c>
      <c r="P1341" s="3" t="s">
        <v>51</v>
      </c>
      <c r="Q1341">
        <v>50</v>
      </c>
      <c r="R1341">
        <v>0.999</v>
      </c>
      <c r="S1341">
        <v>0</v>
      </c>
    </row>
    <row r="1342" spans="1:19" x14ac:dyDescent="0.2">
      <c r="A1342" s="3" t="s">
        <v>54</v>
      </c>
      <c r="B1342" s="3" t="s">
        <v>55</v>
      </c>
      <c r="C1342">
        <v>7</v>
      </c>
      <c r="D1342">
        <v>14000</v>
      </c>
      <c r="E1342">
        <v>499</v>
      </c>
      <c r="F1342">
        <v>1</v>
      </c>
      <c r="G1342">
        <v>58565.0323707059</v>
      </c>
      <c r="H1342">
        <v>4.3056405999999998E-2</v>
      </c>
      <c r="I1342">
        <v>12831</v>
      </c>
      <c r="J1342">
        <v>4046</v>
      </c>
      <c r="K1342">
        <v>8785</v>
      </c>
      <c r="L1342">
        <v>500</v>
      </c>
      <c r="M1342">
        <v>499</v>
      </c>
      <c r="N1342">
        <v>1</v>
      </c>
      <c r="O1342">
        <v>4274.5397829699996</v>
      </c>
      <c r="P1342" s="3" t="s">
        <v>51</v>
      </c>
      <c r="Q1342">
        <v>50</v>
      </c>
      <c r="R1342">
        <v>0.999</v>
      </c>
      <c r="S1342">
        <v>0</v>
      </c>
    </row>
    <row r="1343" spans="1:19" x14ac:dyDescent="0.2">
      <c r="A1343" s="3" t="s">
        <v>54</v>
      </c>
      <c r="B1343" s="3" t="s">
        <v>55</v>
      </c>
      <c r="C1343">
        <v>22</v>
      </c>
      <c r="D1343">
        <v>14000</v>
      </c>
      <c r="E1343">
        <v>499</v>
      </c>
      <c r="F1343">
        <v>1</v>
      </c>
      <c r="G1343">
        <v>58565.0323707059</v>
      </c>
      <c r="H1343">
        <v>4.2898014999999998E-2</v>
      </c>
      <c r="I1343">
        <v>12872</v>
      </c>
      <c r="J1343">
        <v>4073</v>
      </c>
      <c r="K1343">
        <v>8799</v>
      </c>
      <c r="L1343">
        <v>500</v>
      </c>
      <c r="M1343">
        <v>499</v>
      </c>
      <c r="N1343">
        <v>1</v>
      </c>
      <c r="O1343">
        <v>4234.4253985415999</v>
      </c>
      <c r="P1343" s="3" t="s">
        <v>51</v>
      </c>
      <c r="Q1343">
        <v>50</v>
      </c>
      <c r="R1343">
        <v>0.999</v>
      </c>
      <c r="S1343">
        <v>0</v>
      </c>
    </row>
    <row r="1344" spans="1:19" x14ac:dyDescent="0.2">
      <c r="A1344" s="3" t="s">
        <v>54</v>
      </c>
      <c r="B1344" s="3" t="s">
        <v>55</v>
      </c>
      <c r="C1344">
        <v>13</v>
      </c>
      <c r="D1344">
        <v>14000</v>
      </c>
      <c r="E1344">
        <v>499</v>
      </c>
      <c r="F1344">
        <v>1</v>
      </c>
      <c r="G1344">
        <v>58565.0323707059</v>
      </c>
      <c r="H1344">
        <v>4.2687576999999997E-2</v>
      </c>
      <c r="I1344">
        <v>12849</v>
      </c>
      <c r="J1344">
        <v>4046</v>
      </c>
      <c r="K1344">
        <v>8803</v>
      </c>
      <c r="L1344">
        <v>500</v>
      </c>
      <c r="M1344">
        <v>499</v>
      </c>
      <c r="N1344">
        <v>1</v>
      </c>
      <c r="O1344">
        <v>4253.4932519319</v>
      </c>
      <c r="P1344" s="3" t="s">
        <v>51</v>
      </c>
      <c r="Q1344">
        <v>50</v>
      </c>
      <c r="R1344">
        <v>0.999</v>
      </c>
      <c r="S1344">
        <v>0</v>
      </c>
    </row>
    <row r="1345" spans="1:19" x14ac:dyDescent="0.2">
      <c r="A1345" s="3" t="s">
        <v>54</v>
      </c>
      <c r="B1345" s="3" t="s">
        <v>55</v>
      </c>
      <c r="C1345">
        <v>33</v>
      </c>
      <c r="D1345">
        <v>14000</v>
      </c>
      <c r="E1345">
        <v>499</v>
      </c>
      <c r="F1345">
        <v>1</v>
      </c>
      <c r="G1345">
        <v>58565.0323707059</v>
      </c>
      <c r="H1345">
        <v>4.2648234E-2</v>
      </c>
      <c r="I1345">
        <v>12860</v>
      </c>
      <c r="J1345">
        <v>4066</v>
      </c>
      <c r="K1345">
        <v>8794</v>
      </c>
      <c r="L1345">
        <v>500</v>
      </c>
      <c r="M1345">
        <v>499</v>
      </c>
      <c r="N1345">
        <v>1</v>
      </c>
      <c r="O1345">
        <v>4291.2753414397002</v>
      </c>
      <c r="P1345" s="3" t="s">
        <v>51</v>
      </c>
      <c r="Q1345">
        <v>50</v>
      </c>
      <c r="R1345">
        <v>0.999</v>
      </c>
      <c r="S1345">
        <v>0</v>
      </c>
    </row>
    <row r="1346" spans="1:19" x14ac:dyDescent="0.2">
      <c r="A1346" s="3" t="s">
        <v>54</v>
      </c>
      <c r="B1346" s="3" t="s">
        <v>55</v>
      </c>
      <c r="C1346">
        <v>7</v>
      </c>
      <c r="D1346">
        <v>15000</v>
      </c>
      <c r="E1346">
        <v>499</v>
      </c>
      <c r="F1346">
        <v>1</v>
      </c>
      <c r="G1346">
        <v>15000</v>
      </c>
      <c r="H1346">
        <v>4.2521174000000002E-2</v>
      </c>
      <c r="I1346">
        <v>13484</v>
      </c>
      <c r="J1346">
        <v>5012</v>
      </c>
      <c r="K1346">
        <v>8472</v>
      </c>
      <c r="L1346">
        <v>500</v>
      </c>
      <c r="M1346">
        <v>499</v>
      </c>
      <c r="N1346">
        <v>1</v>
      </c>
      <c r="O1346">
        <v>1516</v>
      </c>
      <c r="P1346" s="3" t="s">
        <v>51</v>
      </c>
      <c r="Q1346">
        <v>50</v>
      </c>
      <c r="R1346">
        <v>0.999</v>
      </c>
      <c r="S1346">
        <v>1</v>
      </c>
    </row>
    <row r="1347" spans="1:19" x14ac:dyDescent="0.2">
      <c r="A1347" s="3" t="s">
        <v>54</v>
      </c>
      <c r="B1347" s="3" t="s">
        <v>55</v>
      </c>
      <c r="C1347">
        <v>5</v>
      </c>
      <c r="D1347">
        <v>20000</v>
      </c>
      <c r="E1347">
        <v>499</v>
      </c>
      <c r="F1347">
        <v>1</v>
      </c>
      <c r="G1347">
        <v>20000</v>
      </c>
      <c r="H1347">
        <v>4.2510735000000001E-2</v>
      </c>
      <c r="I1347">
        <v>15969</v>
      </c>
      <c r="J1347">
        <v>5153</v>
      </c>
      <c r="K1347">
        <v>10816</v>
      </c>
      <c r="L1347">
        <v>500</v>
      </c>
      <c r="M1347">
        <v>499</v>
      </c>
      <c r="N1347">
        <v>1</v>
      </c>
      <c r="O1347">
        <v>4031</v>
      </c>
      <c r="P1347" s="3" t="s">
        <v>52</v>
      </c>
      <c r="Q1347">
        <v>50</v>
      </c>
      <c r="R1347">
        <v>0.999</v>
      </c>
      <c r="S1347">
        <v>1</v>
      </c>
    </row>
    <row r="1348" spans="1:19" x14ac:dyDescent="0.2">
      <c r="A1348" s="3" t="s">
        <v>54</v>
      </c>
      <c r="B1348" s="3" t="s">
        <v>55</v>
      </c>
      <c r="C1348">
        <v>46</v>
      </c>
      <c r="D1348">
        <v>15000</v>
      </c>
      <c r="E1348">
        <v>499</v>
      </c>
      <c r="F1348">
        <v>1</v>
      </c>
      <c r="G1348">
        <v>15000</v>
      </c>
      <c r="H1348">
        <v>4.2428041E-2</v>
      </c>
      <c r="I1348">
        <v>13473</v>
      </c>
      <c r="J1348">
        <v>4995</v>
      </c>
      <c r="K1348">
        <v>8478</v>
      </c>
      <c r="L1348">
        <v>500</v>
      </c>
      <c r="M1348">
        <v>499</v>
      </c>
      <c r="N1348">
        <v>1</v>
      </c>
      <c r="O1348">
        <v>1527</v>
      </c>
      <c r="P1348" s="3" t="s">
        <v>51</v>
      </c>
      <c r="Q1348">
        <v>50</v>
      </c>
      <c r="R1348">
        <v>0.999</v>
      </c>
      <c r="S1348">
        <v>1</v>
      </c>
    </row>
    <row r="1349" spans="1:19" x14ac:dyDescent="0.2">
      <c r="A1349" s="3" t="s">
        <v>54</v>
      </c>
      <c r="B1349" s="3" t="s">
        <v>55</v>
      </c>
      <c r="C1349">
        <v>31</v>
      </c>
      <c r="D1349">
        <v>17000</v>
      </c>
      <c r="E1349">
        <v>499</v>
      </c>
      <c r="F1349">
        <v>1</v>
      </c>
      <c r="G1349">
        <v>17000</v>
      </c>
      <c r="H1349">
        <v>4.2404409999999997E-2</v>
      </c>
      <c r="I1349">
        <v>14787</v>
      </c>
      <c r="J1349">
        <v>4705</v>
      </c>
      <c r="K1349">
        <v>10082</v>
      </c>
      <c r="L1349">
        <v>500</v>
      </c>
      <c r="M1349">
        <v>499</v>
      </c>
      <c r="N1349">
        <v>1</v>
      </c>
      <c r="O1349">
        <v>2213</v>
      </c>
      <c r="P1349" s="3" t="s">
        <v>52</v>
      </c>
      <c r="Q1349">
        <v>50</v>
      </c>
      <c r="R1349">
        <v>0.999</v>
      </c>
      <c r="S1349">
        <v>1</v>
      </c>
    </row>
    <row r="1350" spans="1:19" x14ac:dyDescent="0.2">
      <c r="A1350" s="3" t="s">
        <v>54</v>
      </c>
      <c r="B1350" s="3" t="s">
        <v>55</v>
      </c>
      <c r="C1350">
        <v>12</v>
      </c>
      <c r="D1350">
        <v>16000</v>
      </c>
      <c r="E1350">
        <v>499</v>
      </c>
      <c r="F1350">
        <v>1</v>
      </c>
      <c r="G1350">
        <v>16000</v>
      </c>
      <c r="H1350">
        <v>4.2154848000000002E-2</v>
      </c>
      <c r="I1350">
        <v>13979</v>
      </c>
      <c r="J1350">
        <v>5129</v>
      </c>
      <c r="K1350">
        <v>8850</v>
      </c>
      <c r="L1350">
        <v>500</v>
      </c>
      <c r="M1350">
        <v>499</v>
      </c>
      <c r="N1350">
        <v>1</v>
      </c>
      <c r="O1350">
        <v>2021</v>
      </c>
      <c r="P1350" s="3" t="s">
        <v>51</v>
      </c>
      <c r="Q1350">
        <v>50</v>
      </c>
      <c r="R1350">
        <v>0.999</v>
      </c>
      <c r="S1350">
        <v>1</v>
      </c>
    </row>
    <row r="1351" spans="1:19" x14ac:dyDescent="0.2">
      <c r="A1351" s="3" t="s">
        <v>54</v>
      </c>
      <c r="B1351" s="3" t="s">
        <v>55</v>
      </c>
      <c r="C1351">
        <v>9</v>
      </c>
      <c r="D1351">
        <v>15000</v>
      </c>
      <c r="E1351">
        <v>499</v>
      </c>
      <c r="F1351">
        <v>1</v>
      </c>
      <c r="G1351">
        <v>15000</v>
      </c>
      <c r="H1351">
        <v>4.2038130999999999E-2</v>
      </c>
      <c r="I1351">
        <v>13463</v>
      </c>
      <c r="J1351">
        <v>4985</v>
      </c>
      <c r="K1351">
        <v>8478</v>
      </c>
      <c r="L1351">
        <v>500</v>
      </c>
      <c r="M1351">
        <v>499</v>
      </c>
      <c r="N1351">
        <v>1</v>
      </c>
      <c r="O1351">
        <v>1537</v>
      </c>
      <c r="P1351" s="3" t="s">
        <v>51</v>
      </c>
      <c r="Q1351">
        <v>50</v>
      </c>
      <c r="R1351">
        <v>0.999</v>
      </c>
      <c r="S1351">
        <v>1</v>
      </c>
    </row>
    <row r="1352" spans="1:19" x14ac:dyDescent="0.2">
      <c r="A1352" s="3" t="s">
        <v>54</v>
      </c>
      <c r="B1352" s="3" t="s">
        <v>55</v>
      </c>
      <c r="C1352">
        <v>47</v>
      </c>
      <c r="D1352">
        <v>14000</v>
      </c>
      <c r="E1352">
        <v>499</v>
      </c>
      <c r="F1352">
        <v>1</v>
      </c>
      <c r="G1352">
        <v>58565.0323707059</v>
      </c>
      <c r="H1352">
        <v>4.2019459000000002E-2</v>
      </c>
      <c r="I1352">
        <v>12848</v>
      </c>
      <c r="J1352">
        <v>4087</v>
      </c>
      <c r="K1352">
        <v>8761</v>
      </c>
      <c r="L1352">
        <v>500</v>
      </c>
      <c r="M1352">
        <v>499</v>
      </c>
      <c r="N1352">
        <v>1</v>
      </c>
      <c r="O1352">
        <v>4299.9209325923002</v>
      </c>
      <c r="P1352" s="3" t="s">
        <v>51</v>
      </c>
      <c r="Q1352">
        <v>50</v>
      </c>
      <c r="R1352">
        <v>0.999</v>
      </c>
      <c r="S1352">
        <v>0</v>
      </c>
    </row>
    <row r="1353" spans="1:19" x14ac:dyDescent="0.2">
      <c r="A1353" s="3" t="s">
        <v>54</v>
      </c>
      <c r="B1353" s="3" t="s">
        <v>55</v>
      </c>
      <c r="C1353">
        <v>46</v>
      </c>
      <c r="D1353">
        <v>14000</v>
      </c>
      <c r="E1353">
        <v>499</v>
      </c>
      <c r="F1353">
        <v>1</v>
      </c>
      <c r="G1353">
        <v>58565.0323707059</v>
      </c>
      <c r="H1353">
        <v>4.1926973999999999E-2</v>
      </c>
      <c r="I1353">
        <v>12827</v>
      </c>
      <c r="J1353">
        <v>4041</v>
      </c>
      <c r="K1353">
        <v>8786</v>
      </c>
      <c r="L1353">
        <v>500</v>
      </c>
      <c r="M1353">
        <v>499</v>
      </c>
      <c r="N1353">
        <v>1</v>
      </c>
      <c r="O1353">
        <v>4275.9074227455003</v>
      </c>
      <c r="P1353" s="3" t="s">
        <v>51</v>
      </c>
      <c r="Q1353">
        <v>50</v>
      </c>
      <c r="R1353">
        <v>0.999</v>
      </c>
      <c r="S1353">
        <v>0</v>
      </c>
    </row>
    <row r="1354" spans="1:19" x14ac:dyDescent="0.2">
      <c r="A1354" s="3" t="s">
        <v>54</v>
      </c>
      <c r="B1354" s="3" t="s">
        <v>55</v>
      </c>
      <c r="C1354">
        <v>26</v>
      </c>
      <c r="D1354">
        <v>14000</v>
      </c>
      <c r="E1354">
        <v>499</v>
      </c>
      <c r="F1354">
        <v>1</v>
      </c>
      <c r="G1354">
        <v>58565.0323707059</v>
      </c>
      <c r="H1354">
        <v>4.1909367000000003E-2</v>
      </c>
      <c r="I1354">
        <v>12861</v>
      </c>
      <c r="J1354">
        <v>4061</v>
      </c>
      <c r="K1354">
        <v>8800</v>
      </c>
      <c r="L1354">
        <v>500</v>
      </c>
      <c r="M1354">
        <v>499</v>
      </c>
      <c r="N1354">
        <v>1</v>
      </c>
      <c r="O1354">
        <v>4272.8318518792003</v>
      </c>
      <c r="P1354" s="3" t="s">
        <v>51</v>
      </c>
      <c r="Q1354">
        <v>50</v>
      </c>
      <c r="R1354">
        <v>0.999</v>
      </c>
      <c r="S1354">
        <v>0</v>
      </c>
    </row>
    <row r="1355" spans="1:19" x14ac:dyDescent="0.2">
      <c r="A1355" s="3" t="s">
        <v>54</v>
      </c>
      <c r="B1355" s="3" t="s">
        <v>55</v>
      </c>
      <c r="C1355">
        <v>14</v>
      </c>
      <c r="D1355">
        <v>19000</v>
      </c>
      <c r="E1355">
        <v>499</v>
      </c>
      <c r="F1355">
        <v>1</v>
      </c>
      <c r="G1355">
        <v>19000</v>
      </c>
      <c r="H1355">
        <v>4.1895057999999999E-2</v>
      </c>
      <c r="I1355">
        <v>15610</v>
      </c>
      <c r="J1355">
        <v>5055</v>
      </c>
      <c r="K1355">
        <v>10555</v>
      </c>
      <c r="L1355">
        <v>500</v>
      </c>
      <c r="M1355">
        <v>499</v>
      </c>
      <c r="N1355">
        <v>1</v>
      </c>
      <c r="O1355">
        <v>3390</v>
      </c>
      <c r="P1355" s="3" t="s">
        <v>50</v>
      </c>
      <c r="Q1355">
        <v>50</v>
      </c>
      <c r="R1355">
        <v>0.999</v>
      </c>
      <c r="S1355">
        <v>1</v>
      </c>
    </row>
    <row r="1356" spans="1:19" x14ac:dyDescent="0.2">
      <c r="A1356" s="3" t="s">
        <v>54</v>
      </c>
      <c r="B1356" s="3" t="s">
        <v>55</v>
      </c>
      <c r="C1356">
        <v>38</v>
      </c>
      <c r="D1356">
        <v>20000</v>
      </c>
      <c r="E1356">
        <v>499</v>
      </c>
      <c r="F1356">
        <v>1</v>
      </c>
      <c r="G1356">
        <v>20000</v>
      </c>
      <c r="H1356">
        <v>4.1841670999999997E-2</v>
      </c>
      <c r="I1356">
        <v>16037</v>
      </c>
      <c r="J1356">
        <v>5172</v>
      </c>
      <c r="K1356">
        <v>10865</v>
      </c>
      <c r="L1356">
        <v>500</v>
      </c>
      <c r="M1356">
        <v>499</v>
      </c>
      <c r="N1356">
        <v>1</v>
      </c>
      <c r="O1356">
        <v>3963</v>
      </c>
      <c r="P1356" s="3" t="s">
        <v>52</v>
      </c>
      <c r="Q1356">
        <v>50</v>
      </c>
      <c r="R1356">
        <v>0.999</v>
      </c>
      <c r="S1356">
        <v>1</v>
      </c>
    </row>
    <row r="1357" spans="1:19" x14ac:dyDescent="0.2">
      <c r="A1357" s="3" t="s">
        <v>54</v>
      </c>
      <c r="B1357" s="3" t="s">
        <v>55</v>
      </c>
      <c r="C1357">
        <v>1</v>
      </c>
      <c r="D1357">
        <v>15000</v>
      </c>
      <c r="E1357">
        <v>499</v>
      </c>
      <c r="F1357">
        <v>1</v>
      </c>
      <c r="G1357">
        <v>15000</v>
      </c>
      <c r="H1357">
        <v>4.1779017000000002E-2</v>
      </c>
      <c r="I1357">
        <v>13480</v>
      </c>
      <c r="J1357">
        <v>5010</v>
      </c>
      <c r="K1357">
        <v>8470</v>
      </c>
      <c r="L1357">
        <v>500</v>
      </c>
      <c r="M1357">
        <v>499</v>
      </c>
      <c r="N1357">
        <v>1</v>
      </c>
      <c r="O1357">
        <v>1520</v>
      </c>
      <c r="P1357" s="3" t="s">
        <v>51</v>
      </c>
      <c r="Q1357">
        <v>50</v>
      </c>
      <c r="R1357">
        <v>0.999</v>
      </c>
      <c r="S1357">
        <v>1</v>
      </c>
    </row>
    <row r="1358" spans="1:19" x14ac:dyDescent="0.2">
      <c r="A1358" s="3" t="s">
        <v>54</v>
      </c>
      <c r="B1358" s="3" t="s">
        <v>55</v>
      </c>
      <c r="C1358">
        <v>27</v>
      </c>
      <c r="D1358">
        <v>14000</v>
      </c>
      <c r="E1358">
        <v>499</v>
      </c>
      <c r="F1358">
        <v>1</v>
      </c>
      <c r="G1358">
        <v>58565.0323707059</v>
      </c>
      <c r="H1358">
        <v>4.1763241999999999E-2</v>
      </c>
      <c r="I1358">
        <v>12838</v>
      </c>
      <c r="J1358">
        <v>4072</v>
      </c>
      <c r="K1358">
        <v>8766</v>
      </c>
      <c r="L1358">
        <v>500</v>
      </c>
      <c r="M1358">
        <v>499</v>
      </c>
      <c r="N1358">
        <v>1</v>
      </c>
      <c r="O1358">
        <v>4291.0391683258003</v>
      </c>
      <c r="P1358" s="3" t="s">
        <v>51</v>
      </c>
      <c r="Q1358">
        <v>50</v>
      </c>
      <c r="R1358">
        <v>0.999</v>
      </c>
      <c r="S1358">
        <v>0</v>
      </c>
    </row>
    <row r="1359" spans="1:19" x14ac:dyDescent="0.2">
      <c r="A1359" s="3" t="s">
        <v>54</v>
      </c>
      <c r="B1359" s="3" t="s">
        <v>55</v>
      </c>
      <c r="C1359">
        <v>48</v>
      </c>
      <c r="D1359">
        <v>16000</v>
      </c>
      <c r="E1359">
        <v>499</v>
      </c>
      <c r="F1359">
        <v>1</v>
      </c>
      <c r="G1359">
        <v>16000</v>
      </c>
      <c r="H1359">
        <v>4.1566514999999998E-2</v>
      </c>
      <c r="I1359">
        <v>13931</v>
      </c>
      <c r="J1359">
        <v>5074</v>
      </c>
      <c r="K1359">
        <v>8857</v>
      </c>
      <c r="L1359">
        <v>500</v>
      </c>
      <c r="M1359">
        <v>499</v>
      </c>
      <c r="N1359">
        <v>1</v>
      </c>
      <c r="O1359">
        <v>2069</v>
      </c>
      <c r="P1359" s="3" t="s">
        <v>51</v>
      </c>
      <c r="Q1359">
        <v>50</v>
      </c>
      <c r="R1359">
        <v>0.999</v>
      </c>
      <c r="S1359">
        <v>1</v>
      </c>
    </row>
    <row r="1360" spans="1:19" x14ac:dyDescent="0.2">
      <c r="A1360" s="3" t="s">
        <v>54</v>
      </c>
      <c r="B1360" s="3" t="s">
        <v>55</v>
      </c>
      <c r="C1360">
        <v>41</v>
      </c>
      <c r="D1360">
        <v>14000</v>
      </c>
      <c r="E1360">
        <v>499</v>
      </c>
      <c r="F1360">
        <v>1</v>
      </c>
      <c r="G1360">
        <v>58565.0323707059</v>
      </c>
      <c r="H1360">
        <v>4.1487728000000001E-2</v>
      </c>
      <c r="I1360">
        <v>12829</v>
      </c>
      <c r="J1360">
        <v>4057</v>
      </c>
      <c r="K1360">
        <v>8772</v>
      </c>
      <c r="L1360">
        <v>500</v>
      </c>
      <c r="M1360">
        <v>499</v>
      </c>
      <c r="N1360">
        <v>1</v>
      </c>
      <c r="O1360">
        <v>4327.5830906968004</v>
      </c>
      <c r="P1360" s="3" t="s">
        <v>51</v>
      </c>
      <c r="Q1360">
        <v>50</v>
      </c>
      <c r="R1360">
        <v>0.999</v>
      </c>
      <c r="S1360">
        <v>0</v>
      </c>
    </row>
    <row r="1361" spans="1:19" x14ac:dyDescent="0.2">
      <c r="A1361" s="3" t="s">
        <v>54</v>
      </c>
      <c r="B1361" s="3" t="s">
        <v>55</v>
      </c>
      <c r="C1361">
        <v>22</v>
      </c>
      <c r="D1361">
        <v>16000</v>
      </c>
      <c r="E1361">
        <v>499</v>
      </c>
      <c r="F1361">
        <v>1</v>
      </c>
      <c r="G1361">
        <v>16000</v>
      </c>
      <c r="H1361">
        <v>4.1400241999999997E-2</v>
      </c>
      <c r="I1361">
        <v>13972</v>
      </c>
      <c r="J1361">
        <v>5099</v>
      </c>
      <c r="K1361">
        <v>8873</v>
      </c>
      <c r="L1361">
        <v>500</v>
      </c>
      <c r="M1361">
        <v>499</v>
      </c>
      <c r="N1361">
        <v>1</v>
      </c>
      <c r="O1361">
        <v>2028</v>
      </c>
      <c r="P1361" s="3" t="s">
        <v>51</v>
      </c>
      <c r="Q1361">
        <v>50</v>
      </c>
      <c r="R1361">
        <v>0.999</v>
      </c>
      <c r="S1361">
        <v>1</v>
      </c>
    </row>
    <row r="1362" spans="1:19" x14ac:dyDescent="0.2">
      <c r="A1362" s="3" t="s">
        <v>54</v>
      </c>
      <c r="B1362" s="3" t="s">
        <v>55</v>
      </c>
      <c r="C1362">
        <v>4</v>
      </c>
      <c r="D1362">
        <v>13000</v>
      </c>
      <c r="E1362">
        <v>499</v>
      </c>
      <c r="F1362">
        <v>1</v>
      </c>
      <c r="G1362">
        <v>53044.701099550097</v>
      </c>
      <c r="H1362">
        <v>4.1373483000000003E-2</v>
      </c>
      <c r="I1362">
        <v>12443</v>
      </c>
      <c r="J1362">
        <v>4074</v>
      </c>
      <c r="K1362">
        <v>8369</v>
      </c>
      <c r="L1362">
        <v>500</v>
      </c>
      <c r="M1362">
        <v>499</v>
      </c>
      <c r="N1362">
        <v>1</v>
      </c>
      <c r="O1362">
        <v>2070.279019396</v>
      </c>
      <c r="P1362" s="3" t="s">
        <v>51</v>
      </c>
      <c r="Q1362">
        <v>50</v>
      </c>
      <c r="R1362">
        <v>0.999</v>
      </c>
      <c r="S1362">
        <v>0</v>
      </c>
    </row>
    <row r="1363" spans="1:19" x14ac:dyDescent="0.2">
      <c r="A1363" s="3" t="s">
        <v>54</v>
      </c>
      <c r="B1363" s="3" t="s">
        <v>55</v>
      </c>
      <c r="C1363">
        <v>28</v>
      </c>
      <c r="D1363">
        <v>14000</v>
      </c>
      <c r="E1363">
        <v>499</v>
      </c>
      <c r="F1363">
        <v>1</v>
      </c>
      <c r="G1363">
        <v>58565.0323707059</v>
      </c>
      <c r="H1363">
        <v>4.1373155000000002E-2</v>
      </c>
      <c r="I1363">
        <v>12862</v>
      </c>
      <c r="J1363">
        <v>4078</v>
      </c>
      <c r="K1363">
        <v>8784</v>
      </c>
      <c r="L1363">
        <v>500</v>
      </c>
      <c r="M1363">
        <v>499</v>
      </c>
      <c r="N1363">
        <v>1</v>
      </c>
      <c r="O1363">
        <v>4222.5250363074001</v>
      </c>
      <c r="P1363" s="3" t="s">
        <v>51</v>
      </c>
      <c r="Q1363">
        <v>50</v>
      </c>
      <c r="R1363">
        <v>0.999</v>
      </c>
      <c r="S1363">
        <v>0</v>
      </c>
    </row>
    <row r="1364" spans="1:19" x14ac:dyDescent="0.2">
      <c r="A1364" s="3" t="s">
        <v>54</v>
      </c>
      <c r="B1364" s="3" t="s">
        <v>55</v>
      </c>
      <c r="C1364">
        <v>32</v>
      </c>
      <c r="D1364">
        <v>18000</v>
      </c>
      <c r="E1364">
        <v>499</v>
      </c>
      <c r="F1364">
        <v>1</v>
      </c>
      <c r="G1364">
        <v>18000</v>
      </c>
      <c r="H1364">
        <v>4.1312398E-2</v>
      </c>
      <c r="I1364">
        <v>15208</v>
      </c>
      <c r="J1364">
        <v>4846</v>
      </c>
      <c r="K1364">
        <v>10362</v>
      </c>
      <c r="L1364">
        <v>500</v>
      </c>
      <c r="M1364">
        <v>499</v>
      </c>
      <c r="N1364">
        <v>1</v>
      </c>
      <c r="O1364">
        <v>2792</v>
      </c>
      <c r="P1364" s="3" t="s">
        <v>50</v>
      </c>
      <c r="Q1364">
        <v>50</v>
      </c>
      <c r="R1364">
        <v>0.999</v>
      </c>
      <c r="S1364">
        <v>1</v>
      </c>
    </row>
    <row r="1365" spans="1:19" x14ac:dyDescent="0.2">
      <c r="A1365" s="3" t="s">
        <v>54</v>
      </c>
      <c r="B1365" s="3" t="s">
        <v>55</v>
      </c>
      <c r="C1365">
        <v>34</v>
      </c>
      <c r="D1365">
        <v>20000</v>
      </c>
      <c r="E1365">
        <v>499</v>
      </c>
      <c r="F1365">
        <v>1</v>
      </c>
      <c r="G1365">
        <v>20000</v>
      </c>
      <c r="H1365">
        <v>4.1304532999999997E-2</v>
      </c>
      <c r="I1365">
        <v>15975</v>
      </c>
      <c r="J1365">
        <v>5161</v>
      </c>
      <c r="K1365">
        <v>10814</v>
      </c>
      <c r="L1365">
        <v>500</v>
      </c>
      <c r="M1365">
        <v>499</v>
      </c>
      <c r="N1365">
        <v>1</v>
      </c>
      <c r="O1365">
        <v>4025</v>
      </c>
      <c r="P1365" s="3" t="s">
        <v>52</v>
      </c>
      <c r="Q1365">
        <v>50</v>
      </c>
      <c r="R1365">
        <v>0.999</v>
      </c>
      <c r="S1365">
        <v>1</v>
      </c>
    </row>
    <row r="1366" spans="1:19" x14ac:dyDescent="0.2">
      <c r="A1366" s="3" t="s">
        <v>54</v>
      </c>
      <c r="B1366" s="3" t="s">
        <v>55</v>
      </c>
      <c r="C1366">
        <v>8</v>
      </c>
      <c r="D1366">
        <v>14000</v>
      </c>
      <c r="E1366">
        <v>499</v>
      </c>
      <c r="F1366">
        <v>1</v>
      </c>
      <c r="G1366">
        <v>58565.0323707059</v>
      </c>
      <c r="H1366">
        <v>4.1280498999999998E-2</v>
      </c>
      <c r="I1366">
        <v>12855</v>
      </c>
      <c r="J1366">
        <v>4069</v>
      </c>
      <c r="K1366">
        <v>8786</v>
      </c>
      <c r="L1366">
        <v>500</v>
      </c>
      <c r="M1366">
        <v>499</v>
      </c>
      <c r="N1366">
        <v>1</v>
      </c>
      <c r="O1366">
        <v>4262.1037218095998</v>
      </c>
      <c r="P1366" s="3" t="s">
        <v>51</v>
      </c>
      <c r="Q1366">
        <v>50</v>
      </c>
      <c r="R1366">
        <v>0.999</v>
      </c>
      <c r="S1366">
        <v>0</v>
      </c>
    </row>
    <row r="1367" spans="1:19" x14ac:dyDescent="0.2">
      <c r="A1367" s="3" t="s">
        <v>54</v>
      </c>
      <c r="B1367" s="3" t="s">
        <v>55</v>
      </c>
      <c r="C1367">
        <v>11</v>
      </c>
      <c r="D1367">
        <v>14000</v>
      </c>
      <c r="E1367">
        <v>499</v>
      </c>
      <c r="F1367">
        <v>1</v>
      </c>
      <c r="G1367">
        <v>58565.0323707059</v>
      </c>
      <c r="H1367">
        <v>4.1109623999999997E-2</v>
      </c>
      <c r="I1367">
        <v>12847</v>
      </c>
      <c r="J1367">
        <v>4058</v>
      </c>
      <c r="K1367">
        <v>8789</v>
      </c>
      <c r="L1367">
        <v>500</v>
      </c>
      <c r="M1367">
        <v>499</v>
      </c>
      <c r="N1367">
        <v>1</v>
      </c>
      <c r="O1367">
        <v>4290.3802597944996</v>
      </c>
      <c r="P1367" s="3" t="s">
        <v>51</v>
      </c>
      <c r="Q1367">
        <v>50</v>
      </c>
      <c r="R1367">
        <v>0.999</v>
      </c>
      <c r="S1367">
        <v>0</v>
      </c>
    </row>
    <row r="1368" spans="1:19" x14ac:dyDescent="0.2">
      <c r="A1368" s="3" t="s">
        <v>54</v>
      </c>
      <c r="B1368" s="3" t="s">
        <v>55</v>
      </c>
      <c r="C1368">
        <v>34</v>
      </c>
      <c r="D1368">
        <v>16000</v>
      </c>
      <c r="E1368">
        <v>499</v>
      </c>
      <c r="F1368">
        <v>1</v>
      </c>
      <c r="G1368">
        <v>16000</v>
      </c>
      <c r="H1368">
        <v>4.1058557000000002E-2</v>
      </c>
      <c r="I1368">
        <v>13962</v>
      </c>
      <c r="J1368">
        <v>5120</v>
      </c>
      <c r="K1368">
        <v>8842</v>
      </c>
      <c r="L1368">
        <v>500</v>
      </c>
      <c r="M1368">
        <v>499</v>
      </c>
      <c r="N1368">
        <v>1</v>
      </c>
      <c r="O1368">
        <v>2038</v>
      </c>
      <c r="P1368" s="3" t="s">
        <v>51</v>
      </c>
      <c r="Q1368">
        <v>50</v>
      </c>
      <c r="R1368">
        <v>0.999</v>
      </c>
      <c r="S1368">
        <v>1</v>
      </c>
    </row>
    <row r="1369" spans="1:19" x14ac:dyDescent="0.2">
      <c r="A1369" s="3" t="s">
        <v>54</v>
      </c>
      <c r="B1369" s="3" t="s">
        <v>55</v>
      </c>
      <c r="C1369">
        <v>27</v>
      </c>
      <c r="D1369">
        <v>16000</v>
      </c>
      <c r="E1369">
        <v>499</v>
      </c>
      <c r="F1369">
        <v>1</v>
      </c>
      <c r="G1369">
        <v>16000</v>
      </c>
      <c r="H1369">
        <v>4.0964267999999998E-2</v>
      </c>
      <c r="I1369">
        <v>13968</v>
      </c>
      <c r="J1369">
        <v>5114</v>
      </c>
      <c r="K1369">
        <v>8854</v>
      </c>
      <c r="L1369">
        <v>500</v>
      </c>
      <c r="M1369">
        <v>499</v>
      </c>
      <c r="N1369">
        <v>1</v>
      </c>
      <c r="O1369">
        <v>2032</v>
      </c>
      <c r="P1369" s="3" t="s">
        <v>51</v>
      </c>
      <c r="Q1369">
        <v>50</v>
      </c>
      <c r="R1369">
        <v>0.999</v>
      </c>
      <c r="S1369">
        <v>1</v>
      </c>
    </row>
    <row r="1370" spans="1:19" x14ac:dyDescent="0.2">
      <c r="A1370" s="3" t="s">
        <v>54</v>
      </c>
      <c r="B1370" s="3" t="s">
        <v>55</v>
      </c>
      <c r="C1370">
        <v>35</v>
      </c>
      <c r="D1370">
        <v>16000</v>
      </c>
      <c r="E1370">
        <v>499</v>
      </c>
      <c r="F1370">
        <v>1</v>
      </c>
      <c r="G1370">
        <v>16000</v>
      </c>
      <c r="H1370">
        <v>4.0937445000000003E-2</v>
      </c>
      <c r="I1370">
        <v>13987</v>
      </c>
      <c r="J1370">
        <v>5125</v>
      </c>
      <c r="K1370">
        <v>8862</v>
      </c>
      <c r="L1370">
        <v>500</v>
      </c>
      <c r="M1370">
        <v>499</v>
      </c>
      <c r="N1370">
        <v>1</v>
      </c>
      <c r="O1370">
        <v>2013</v>
      </c>
      <c r="P1370" s="3" t="s">
        <v>51</v>
      </c>
      <c r="Q1370">
        <v>50</v>
      </c>
      <c r="R1370">
        <v>0.999</v>
      </c>
      <c r="S1370">
        <v>1</v>
      </c>
    </row>
    <row r="1371" spans="1:19" x14ac:dyDescent="0.2">
      <c r="A1371" s="3" t="s">
        <v>54</v>
      </c>
      <c r="B1371" s="3" t="s">
        <v>55</v>
      </c>
      <c r="C1371">
        <v>30</v>
      </c>
      <c r="D1371">
        <v>20000</v>
      </c>
      <c r="E1371">
        <v>499</v>
      </c>
      <c r="F1371">
        <v>1</v>
      </c>
      <c r="G1371">
        <v>20000</v>
      </c>
      <c r="H1371">
        <v>4.0920249999999998E-2</v>
      </c>
      <c r="I1371">
        <v>15979</v>
      </c>
      <c r="J1371">
        <v>5126</v>
      </c>
      <c r="K1371">
        <v>10853</v>
      </c>
      <c r="L1371">
        <v>500</v>
      </c>
      <c r="M1371">
        <v>499</v>
      </c>
      <c r="N1371">
        <v>1</v>
      </c>
      <c r="O1371">
        <v>4021</v>
      </c>
      <c r="P1371" s="3" t="s">
        <v>52</v>
      </c>
      <c r="Q1371">
        <v>50</v>
      </c>
      <c r="R1371">
        <v>0.999</v>
      </c>
      <c r="S1371">
        <v>1</v>
      </c>
    </row>
    <row r="1372" spans="1:19" x14ac:dyDescent="0.2">
      <c r="A1372" s="3" t="s">
        <v>54</v>
      </c>
      <c r="B1372" s="3" t="s">
        <v>55</v>
      </c>
      <c r="C1372">
        <v>11</v>
      </c>
      <c r="D1372">
        <v>15000</v>
      </c>
      <c r="E1372">
        <v>499</v>
      </c>
      <c r="F1372">
        <v>1</v>
      </c>
      <c r="G1372">
        <v>15000</v>
      </c>
      <c r="H1372">
        <v>4.0903649E-2</v>
      </c>
      <c r="I1372">
        <v>13473</v>
      </c>
      <c r="J1372">
        <v>4998</v>
      </c>
      <c r="K1372">
        <v>8475</v>
      </c>
      <c r="L1372">
        <v>500</v>
      </c>
      <c r="M1372">
        <v>499</v>
      </c>
      <c r="N1372">
        <v>1</v>
      </c>
      <c r="O1372">
        <v>1527</v>
      </c>
      <c r="P1372" s="3" t="s">
        <v>51</v>
      </c>
      <c r="Q1372">
        <v>50</v>
      </c>
      <c r="R1372">
        <v>0.999</v>
      </c>
      <c r="S1372">
        <v>1</v>
      </c>
    </row>
    <row r="1373" spans="1:19" x14ac:dyDescent="0.2">
      <c r="A1373" s="3" t="s">
        <v>54</v>
      </c>
      <c r="B1373" s="3" t="s">
        <v>55</v>
      </c>
      <c r="C1373">
        <v>34</v>
      </c>
      <c r="D1373">
        <v>14000</v>
      </c>
      <c r="E1373">
        <v>499</v>
      </c>
      <c r="F1373">
        <v>1</v>
      </c>
      <c r="G1373">
        <v>58565.0323707059</v>
      </c>
      <c r="H1373">
        <v>4.0830931000000001E-2</v>
      </c>
      <c r="I1373">
        <v>12828</v>
      </c>
      <c r="J1373">
        <v>4036</v>
      </c>
      <c r="K1373">
        <v>8792</v>
      </c>
      <c r="L1373">
        <v>500</v>
      </c>
      <c r="M1373">
        <v>499</v>
      </c>
      <c r="N1373">
        <v>1</v>
      </c>
      <c r="O1373">
        <v>4302.5117918451997</v>
      </c>
      <c r="P1373" s="3" t="s">
        <v>51</v>
      </c>
      <c r="Q1373">
        <v>50</v>
      </c>
      <c r="R1373">
        <v>0.999</v>
      </c>
      <c r="S1373">
        <v>0</v>
      </c>
    </row>
    <row r="1374" spans="1:19" x14ac:dyDescent="0.2">
      <c r="A1374" s="3" t="s">
        <v>54</v>
      </c>
      <c r="B1374" s="3" t="s">
        <v>55</v>
      </c>
      <c r="C1374">
        <v>3</v>
      </c>
      <c r="D1374">
        <v>20000</v>
      </c>
      <c r="E1374">
        <v>499</v>
      </c>
      <c r="F1374">
        <v>1</v>
      </c>
      <c r="G1374">
        <v>20000</v>
      </c>
      <c r="H1374">
        <v>4.0789266999999997E-2</v>
      </c>
      <c r="I1374">
        <v>15975</v>
      </c>
      <c r="J1374">
        <v>5175</v>
      </c>
      <c r="K1374">
        <v>10800</v>
      </c>
      <c r="L1374">
        <v>500</v>
      </c>
      <c r="M1374">
        <v>499</v>
      </c>
      <c r="N1374">
        <v>1</v>
      </c>
      <c r="O1374">
        <v>4025</v>
      </c>
      <c r="P1374" s="3" t="s">
        <v>52</v>
      </c>
      <c r="Q1374">
        <v>50</v>
      </c>
      <c r="R1374">
        <v>0.999</v>
      </c>
      <c r="S1374">
        <v>1</v>
      </c>
    </row>
    <row r="1375" spans="1:19" x14ac:dyDescent="0.2">
      <c r="A1375" s="3" t="s">
        <v>54</v>
      </c>
      <c r="B1375" s="3" t="s">
        <v>55</v>
      </c>
      <c r="C1375">
        <v>12</v>
      </c>
      <c r="D1375">
        <v>20000</v>
      </c>
      <c r="E1375">
        <v>499</v>
      </c>
      <c r="F1375">
        <v>1</v>
      </c>
      <c r="G1375">
        <v>20000</v>
      </c>
      <c r="H1375">
        <v>4.0738473999999997E-2</v>
      </c>
      <c r="I1375">
        <v>15966</v>
      </c>
      <c r="J1375">
        <v>5181</v>
      </c>
      <c r="K1375">
        <v>10785</v>
      </c>
      <c r="L1375">
        <v>500</v>
      </c>
      <c r="M1375">
        <v>499</v>
      </c>
      <c r="N1375">
        <v>1</v>
      </c>
      <c r="O1375">
        <v>4034</v>
      </c>
      <c r="P1375" s="3" t="s">
        <v>52</v>
      </c>
      <c r="Q1375">
        <v>50</v>
      </c>
      <c r="R1375">
        <v>0.999</v>
      </c>
      <c r="S1375">
        <v>1</v>
      </c>
    </row>
    <row r="1376" spans="1:19" x14ac:dyDescent="0.2">
      <c r="A1376" s="3" t="s">
        <v>54</v>
      </c>
      <c r="B1376" s="3" t="s">
        <v>55</v>
      </c>
      <c r="C1376">
        <v>2</v>
      </c>
      <c r="D1376">
        <v>16000</v>
      </c>
      <c r="E1376">
        <v>499</v>
      </c>
      <c r="F1376">
        <v>1</v>
      </c>
      <c r="G1376">
        <v>16000</v>
      </c>
      <c r="H1376">
        <v>4.0703779000000002E-2</v>
      </c>
      <c r="I1376">
        <v>13953</v>
      </c>
      <c r="J1376">
        <v>5088</v>
      </c>
      <c r="K1376">
        <v>8865</v>
      </c>
      <c r="L1376">
        <v>500</v>
      </c>
      <c r="M1376">
        <v>499</v>
      </c>
      <c r="N1376">
        <v>1</v>
      </c>
      <c r="O1376">
        <v>2047</v>
      </c>
      <c r="P1376" s="3" t="s">
        <v>51</v>
      </c>
      <c r="Q1376">
        <v>50</v>
      </c>
      <c r="R1376">
        <v>0.999</v>
      </c>
      <c r="S1376">
        <v>1</v>
      </c>
    </row>
    <row r="1377" spans="1:19" x14ac:dyDescent="0.2">
      <c r="A1377" s="3" t="s">
        <v>54</v>
      </c>
      <c r="B1377" s="3" t="s">
        <v>55</v>
      </c>
      <c r="C1377">
        <v>3</v>
      </c>
      <c r="D1377">
        <v>16000</v>
      </c>
      <c r="E1377">
        <v>499</v>
      </c>
      <c r="F1377">
        <v>1</v>
      </c>
      <c r="G1377">
        <v>16000</v>
      </c>
      <c r="H1377">
        <v>4.0675920999999997E-2</v>
      </c>
      <c r="I1377">
        <v>13982</v>
      </c>
      <c r="J1377">
        <v>5109</v>
      </c>
      <c r="K1377">
        <v>8873</v>
      </c>
      <c r="L1377">
        <v>500</v>
      </c>
      <c r="M1377">
        <v>499</v>
      </c>
      <c r="N1377">
        <v>1</v>
      </c>
      <c r="O1377">
        <v>2018</v>
      </c>
      <c r="P1377" s="3" t="s">
        <v>51</v>
      </c>
      <c r="Q1377">
        <v>50</v>
      </c>
      <c r="R1377">
        <v>0.999</v>
      </c>
      <c r="S1377">
        <v>1</v>
      </c>
    </row>
    <row r="1378" spans="1:19" x14ac:dyDescent="0.2">
      <c r="A1378" s="3" t="s">
        <v>54</v>
      </c>
      <c r="B1378" s="3" t="s">
        <v>55</v>
      </c>
      <c r="C1378">
        <v>46</v>
      </c>
      <c r="D1378">
        <v>19000</v>
      </c>
      <c r="E1378">
        <v>499</v>
      </c>
      <c r="F1378">
        <v>1</v>
      </c>
      <c r="G1378">
        <v>19000</v>
      </c>
      <c r="H1378">
        <v>4.0655444999999998E-2</v>
      </c>
      <c r="I1378">
        <v>15615</v>
      </c>
      <c r="J1378">
        <v>5044</v>
      </c>
      <c r="K1378">
        <v>10571</v>
      </c>
      <c r="L1378">
        <v>500</v>
      </c>
      <c r="M1378">
        <v>499</v>
      </c>
      <c r="N1378">
        <v>1</v>
      </c>
      <c r="O1378">
        <v>3385</v>
      </c>
      <c r="P1378" s="3" t="s">
        <v>50</v>
      </c>
      <c r="Q1378">
        <v>50</v>
      </c>
      <c r="R1378">
        <v>0.999</v>
      </c>
      <c r="S1378">
        <v>1</v>
      </c>
    </row>
    <row r="1379" spans="1:19" x14ac:dyDescent="0.2">
      <c r="A1379" s="3" t="s">
        <v>54</v>
      </c>
      <c r="B1379" s="3" t="s">
        <v>55</v>
      </c>
      <c r="C1379">
        <v>14</v>
      </c>
      <c r="D1379">
        <v>19000</v>
      </c>
      <c r="E1379">
        <v>499</v>
      </c>
      <c r="F1379">
        <v>1</v>
      </c>
      <c r="G1379">
        <v>19000</v>
      </c>
      <c r="H1379">
        <v>4.0648357000000003E-2</v>
      </c>
      <c r="I1379">
        <v>15596</v>
      </c>
      <c r="J1379">
        <v>5005</v>
      </c>
      <c r="K1379">
        <v>10591</v>
      </c>
      <c r="L1379">
        <v>500</v>
      </c>
      <c r="M1379">
        <v>499</v>
      </c>
      <c r="N1379">
        <v>1</v>
      </c>
      <c r="O1379">
        <v>3404</v>
      </c>
      <c r="P1379" s="3" t="s">
        <v>52</v>
      </c>
      <c r="Q1379">
        <v>50</v>
      </c>
      <c r="R1379">
        <v>0.999</v>
      </c>
      <c r="S1379">
        <v>1</v>
      </c>
    </row>
    <row r="1380" spans="1:19" x14ac:dyDescent="0.2">
      <c r="A1380" s="3" t="s">
        <v>54</v>
      </c>
      <c r="B1380" s="3" t="s">
        <v>55</v>
      </c>
      <c r="C1380">
        <v>7</v>
      </c>
      <c r="D1380">
        <v>16000</v>
      </c>
      <c r="E1380">
        <v>499</v>
      </c>
      <c r="F1380">
        <v>1</v>
      </c>
      <c r="G1380">
        <v>16000</v>
      </c>
      <c r="H1380">
        <v>4.0612377999999998E-2</v>
      </c>
      <c r="I1380">
        <v>13950</v>
      </c>
      <c r="J1380">
        <v>5099</v>
      </c>
      <c r="K1380">
        <v>8851</v>
      </c>
      <c r="L1380">
        <v>500</v>
      </c>
      <c r="M1380">
        <v>499</v>
      </c>
      <c r="N1380">
        <v>1</v>
      </c>
      <c r="O1380">
        <v>2050</v>
      </c>
      <c r="P1380" s="3" t="s">
        <v>51</v>
      </c>
      <c r="Q1380">
        <v>50</v>
      </c>
      <c r="R1380">
        <v>0.999</v>
      </c>
      <c r="S1380">
        <v>1</v>
      </c>
    </row>
    <row r="1381" spans="1:19" x14ac:dyDescent="0.2">
      <c r="A1381" s="3" t="s">
        <v>54</v>
      </c>
      <c r="B1381" s="3" t="s">
        <v>55</v>
      </c>
      <c r="C1381">
        <v>10</v>
      </c>
      <c r="D1381">
        <v>20000</v>
      </c>
      <c r="E1381">
        <v>499</v>
      </c>
      <c r="F1381">
        <v>1</v>
      </c>
      <c r="G1381">
        <v>20000</v>
      </c>
      <c r="H1381">
        <v>4.0588152000000002E-2</v>
      </c>
      <c r="I1381">
        <v>15991</v>
      </c>
      <c r="J1381">
        <v>5200</v>
      </c>
      <c r="K1381">
        <v>10791</v>
      </c>
      <c r="L1381">
        <v>500</v>
      </c>
      <c r="M1381">
        <v>499</v>
      </c>
      <c r="N1381">
        <v>1</v>
      </c>
      <c r="O1381">
        <v>4009</v>
      </c>
      <c r="P1381" s="3" t="s">
        <v>52</v>
      </c>
      <c r="Q1381">
        <v>50</v>
      </c>
      <c r="R1381">
        <v>0.999</v>
      </c>
      <c r="S1381">
        <v>1</v>
      </c>
    </row>
    <row r="1382" spans="1:19" x14ac:dyDescent="0.2">
      <c r="A1382" s="3" t="s">
        <v>54</v>
      </c>
      <c r="B1382" s="3" t="s">
        <v>55</v>
      </c>
      <c r="C1382">
        <v>13</v>
      </c>
      <c r="D1382">
        <v>16000</v>
      </c>
      <c r="E1382">
        <v>499</v>
      </c>
      <c r="F1382">
        <v>1</v>
      </c>
      <c r="G1382">
        <v>16000</v>
      </c>
      <c r="H1382">
        <v>4.0577390999999997E-2</v>
      </c>
      <c r="I1382">
        <v>13978</v>
      </c>
      <c r="J1382">
        <v>5095</v>
      </c>
      <c r="K1382">
        <v>8883</v>
      </c>
      <c r="L1382">
        <v>500</v>
      </c>
      <c r="M1382">
        <v>499</v>
      </c>
      <c r="N1382">
        <v>1</v>
      </c>
      <c r="O1382">
        <v>2022</v>
      </c>
      <c r="P1382" s="3" t="s">
        <v>51</v>
      </c>
      <c r="Q1382">
        <v>50</v>
      </c>
      <c r="R1382">
        <v>0.999</v>
      </c>
      <c r="S1382">
        <v>1</v>
      </c>
    </row>
    <row r="1383" spans="1:19" x14ac:dyDescent="0.2">
      <c r="A1383" s="3" t="s">
        <v>54</v>
      </c>
      <c r="B1383" s="3" t="s">
        <v>55</v>
      </c>
      <c r="C1383">
        <v>45</v>
      </c>
      <c r="D1383">
        <v>16000</v>
      </c>
      <c r="E1383">
        <v>499</v>
      </c>
      <c r="F1383">
        <v>1</v>
      </c>
      <c r="G1383">
        <v>16000</v>
      </c>
      <c r="H1383">
        <v>4.0571971999999998E-2</v>
      </c>
      <c r="I1383">
        <v>13965</v>
      </c>
      <c r="J1383">
        <v>5103</v>
      </c>
      <c r="K1383">
        <v>8862</v>
      </c>
      <c r="L1383">
        <v>500</v>
      </c>
      <c r="M1383">
        <v>499</v>
      </c>
      <c r="N1383">
        <v>1</v>
      </c>
      <c r="O1383">
        <v>2035</v>
      </c>
      <c r="P1383" s="3" t="s">
        <v>51</v>
      </c>
      <c r="Q1383">
        <v>50</v>
      </c>
      <c r="R1383">
        <v>0.999</v>
      </c>
      <c r="S1383">
        <v>1</v>
      </c>
    </row>
    <row r="1384" spans="1:19" x14ac:dyDescent="0.2">
      <c r="A1384" s="3" t="s">
        <v>54</v>
      </c>
      <c r="B1384" s="3" t="s">
        <v>55</v>
      </c>
      <c r="C1384">
        <v>15</v>
      </c>
      <c r="D1384">
        <v>16000</v>
      </c>
      <c r="E1384">
        <v>499</v>
      </c>
      <c r="F1384">
        <v>1</v>
      </c>
      <c r="G1384">
        <v>16000</v>
      </c>
      <c r="H1384">
        <v>4.0567278999999998E-2</v>
      </c>
      <c r="I1384">
        <v>13973</v>
      </c>
      <c r="J1384">
        <v>5098</v>
      </c>
      <c r="K1384">
        <v>8875</v>
      </c>
      <c r="L1384">
        <v>500</v>
      </c>
      <c r="M1384">
        <v>499</v>
      </c>
      <c r="N1384">
        <v>1</v>
      </c>
      <c r="O1384">
        <v>2027</v>
      </c>
      <c r="P1384" s="3" t="s">
        <v>51</v>
      </c>
      <c r="Q1384">
        <v>50</v>
      </c>
      <c r="R1384">
        <v>0.999</v>
      </c>
      <c r="S1384">
        <v>1</v>
      </c>
    </row>
    <row r="1385" spans="1:19" x14ac:dyDescent="0.2">
      <c r="A1385" s="3" t="s">
        <v>54</v>
      </c>
      <c r="B1385" s="3" t="s">
        <v>55</v>
      </c>
      <c r="C1385">
        <v>43</v>
      </c>
      <c r="D1385">
        <v>16000</v>
      </c>
      <c r="E1385">
        <v>499</v>
      </c>
      <c r="F1385">
        <v>1</v>
      </c>
      <c r="G1385">
        <v>16000</v>
      </c>
      <c r="H1385">
        <v>4.0564649000000001E-2</v>
      </c>
      <c r="I1385">
        <v>13972</v>
      </c>
      <c r="J1385">
        <v>5093</v>
      </c>
      <c r="K1385">
        <v>8879</v>
      </c>
      <c r="L1385">
        <v>500</v>
      </c>
      <c r="M1385">
        <v>499</v>
      </c>
      <c r="N1385">
        <v>1</v>
      </c>
      <c r="O1385">
        <v>2028</v>
      </c>
      <c r="P1385" s="3" t="s">
        <v>51</v>
      </c>
      <c r="Q1385">
        <v>50</v>
      </c>
      <c r="R1385">
        <v>0.999</v>
      </c>
      <c r="S1385">
        <v>1</v>
      </c>
    </row>
    <row r="1386" spans="1:19" x14ac:dyDescent="0.2">
      <c r="A1386" s="3" t="s">
        <v>54</v>
      </c>
      <c r="B1386" s="3" t="s">
        <v>55</v>
      </c>
      <c r="C1386">
        <v>41</v>
      </c>
      <c r="D1386">
        <v>16000</v>
      </c>
      <c r="E1386">
        <v>499</v>
      </c>
      <c r="F1386">
        <v>1</v>
      </c>
      <c r="G1386">
        <v>16000</v>
      </c>
      <c r="H1386">
        <v>4.0533830999999999E-2</v>
      </c>
      <c r="I1386">
        <v>13979</v>
      </c>
      <c r="J1386">
        <v>5116</v>
      </c>
      <c r="K1386">
        <v>8863</v>
      </c>
      <c r="L1386">
        <v>500</v>
      </c>
      <c r="M1386">
        <v>499</v>
      </c>
      <c r="N1386">
        <v>1</v>
      </c>
      <c r="O1386">
        <v>2021</v>
      </c>
      <c r="P1386" s="3" t="s">
        <v>51</v>
      </c>
      <c r="Q1386">
        <v>50</v>
      </c>
      <c r="R1386">
        <v>0.999</v>
      </c>
      <c r="S1386">
        <v>1</v>
      </c>
    </row>
    <row r="1387" spans="1:19" x14ac:dyDescent="0.2">
      <c r="A1387" s="3" t="s">
        <v>54</v>
      </c>
      <c r="B1387" s="3" t="s">
        <v>55</v>
      </c>
      <c r="C1387">
        <v>19</v>
      </c>
      <c r="D1387">
        <v>14000</v>
      </c>
      <c r="E1387">
        <v>499</v>
      </c>
      <c r="F1387">
        <v>1</v>
      </c>
      <c r="G1387">
        <v>58565.0323707059</v>
      </c>
      <c r="H1387">
        <v>4.0526973000000001E-2</v>
      </c>
      <c r="I1387">
        <v>12846</v>
      </c>
      <c r="J1387">
        <v>4045</v>
      </c>
      <c r="K1387">
        <v>8801</v>
      </c>
      <c r="L1387">
        <v>500</v>
      </c>
      <c r="M1387">
        <v>499</v>
      </c>
      <c r="N1387">
        <v>1</v>
      </c>
      <c r="O1387">
        <v>4310.7266196324999</v>
      </c>
      <c r="P1387" s="3" t="s">
        <v>51</v>
      </c>
      <c r="Q1387">
        <v>50</v>
      </c>
      <c r="R1387">
        <v>0.999</v>
      </c>
      <c r="S1387">
        <v>0</v>
      </c>
    </row>
    <row r="1388" spans="1:19" x14ac:dyDescent="0.2">
      <c r="A1388" s="3" t="s">
        <v>54</v>
      </c>
      <c r="B1388" s="3" t="s">
        <v>55</v>
      </c>
      <c r="C1388">
        <v>6</v>
      </c>
      <c r="D1388">
        <v>16000</v>
      </c>
      <c r="E1388">
        <v>499</v>
      </c>
      <c r="F1388">
        <v>1</v>
      </c>
      <c r="G1388">
        <v>16000</v>
      </c>
      <c r="H1388">
        <v>4.0506898E-2</v>
      </c>
      <c r="I1388">
        <v>13963</v>
      </c>
      <c r="J1388">
        <v>5126</v>
      </c>
      <c r="K1388">
        <v>8837</v>
      </c>
      <c r="L1388">
        <v>500</v>
      </c>
      <c r="M1388">
        <v>499</v>
      </c>
      <c r="N1388">
        <v>1</v>
      </c>
      <c r="O1388">
        <v>2037</v>
      </c>
      <c r="P1388" s="3" t="s">
        <v>51</v>
      </c>
      <c r="Q1388">
        <v>50</v>
      </c>
      <c r="R1388">
        <v>0.999</v>
      </c>
      <c r="S1388">
        <v>1</v>
      </c>
    </row>
    <row r="1389" spans="1:19" x14ac:dyDescent="0.2">
      <c r="A1389" s="3" t="s">
        <v>54</v>
      </c>
      <c r="B1389" s="3" t="s">
        <v>55</v>
      </c>
      <c r="C1389">
        <v>44</v>
      </c>
      <c r="D1389">
        <v>16000</v>
      </c>
      <c r="E1389">
        <v>499</v>
      </c>
      <c r="F1389">
        <v>1</v>
      </c>
      <c r="G1389">
        <v>16000</v>
      </c>
      <c r="H1389">
        <v>4.0453438000000001E-2</v>
      </c>
      <c r="I1389">
        <v>13935</v>
      </c>
      <c r="J1389">
        <v>5092</v>
      </c>
      <c r="K1389">
        <v>8843</v>
      </c>
      <c r="L1389">
        <v>500</v>
      </c>
      <c r="M1389">
        <v>499</v>
      </c>
      <c r="N1389">
        <v>1</v>
      </c>
      <c r="O1389">
        <v>2065</v>
      </c>
      <c r="P1389" s="3" t="s">
        <v>51</v>
      </c>
      <c r="Q1389">
        <v>50</v>
      </c>
      <c r="R1389">
        <v>0.999</v>
      </c>
      <c r="S1389">
        <v>1</v>
      </c>
    </row>
    <row r="1390" spans="1:19" x14ac:dyDescent="0.2">
      <c r="A1390" s="3" t="s">
        <v>54</v>
      </c>
      <c r="B1390" s="3" t="s">
        <v>55</v>
      </c>
      <c r="C1390">
        <v>45</v>
      </c>
      <c r="D1390">
        <v>20000</v>
      </c>
      <c r="E1390">
        <v>499</v>
      </c>
      <c r="F1390">
        <v>1</v>
      </c>
      <c r="G1390">
        <v>20000</v>
      </c>
      <c r="H1390">
        <v>4.0429715999999997E-2</v>
      </c>
      <c r="I1390">
        <v>15991</v>
      </c>
      <c r="J1390">
        <v>5167</v>
      </c>
      <c r="K1390">
        <v>10824</v>
      </c>
      <c r="L1390">
        <v>500</v>
      </c>
      <c r="M1390">
        <v>499</v>
      </c>
      <c r="N1390">
        <v>1</v>
      </c>
      <c r="O1390">
        <v>4009</v>
      </c>
      <c r="P1390" s="3" t="s">
        <v>52</v>
      </c>
      <c r="Q1390">
        <v>50</v>
      </c>
      <c r="R1390">
        <v>0.999</v>
      </c>
      <c r="S1390">
        <v>1</v>
      </c>
    </row>
    <row r="1391" spans="1:19" x14ac:dyDescent="0.2">
      <c r="A1391" s="3" t="s">
        <v>54</v>
      </c>
      <c r="B1391" s="3" t="s">
        <v>55</v>
      </c>
      <c r="C1391">
        <v>15</v>
      </c>
      <c r="D1391">
        <v>14000</v>
      </c>
      <c r="E1391">
        <v>499</v>
      </c>
      <c r="F1391">
        <v>1</v>
      </c>
      <c r="G1391">
        <v>58565.0323707059</v>
      </c>
      <c r="H1391">
        <v>4.0404268E-2</v>
      </c>
      <c r="I1391">
        <v>12818</v>
      </c>
      <c r="J1391">
        <v>4043</v>
      </c>
      <c r="K1391">
        <v>8775</v>
      </c>
      <c r="L1391">
        <v>500</v>
      </c>
      <c r="M1391">
        <v>499</v>
      </c>
      <c r="N1391">
        <v>1</v>
      </c>
      <c r="O1391">
        <v>4343.8659211247004</v>
      </c>
      <c r="P1391" s="3" t="s">
        <v>51</v>
      </c>
      <c r="Q1391">
        <v>50</v>
      </c>
      <c r="R1391">
        <v>0.999</v>
      </c>
      <c r="S1391">
        <v>0</v>
      </c>
    </row>
    <row r="1392" spans="1:19" x14ac:dyDescent="0.2">
      <c r="A1392" s="3" t="s">
        <v>54</v>
      </c>
      <c r="B1392" s="3" t="s">
        <v>55</v>
      </c>
      <c r="C1392">
        <v>12</v>
      </c>
      <c r="D1392">
        <v>15000</v>
      </c>
      <c r="E1392">
        <v>499</v>
      </c>
      <c r="F1392">
        <v>1</v>
      </c>
      <c r="G1392">
        <v>15000</v>
      </c>
      <c r="H1392">
        <v>4.0401152000000003E-2</v>
      </c>
      <c r="I1392">
        <v>13488</v>
      </c>
      <c r="J1392">
        <v>5008</v>
      </c>
      <c r="K1392">
        <v>8480</v>
      </c>
      <c r="L1392">
        <v>500</v>
      </c>
      <c r="M1392">
        <v>499</v>
      </c>
      <c r="N1392">
        <v>1</v>
      </c>
      <c r="O1392">
        <v>1512</v>
      </c>
      <c r="P1392" s="3" t="s">
        <v>51</v>
      </c>
      <c r="Q1392">
        <v>50</v>
      </c>
      <c r="R1392">
        <v>0.999</v>
      </c>
      <c r="S1392">
        <v>1</v>
      </c>
    </row>
    <row r="1393" spans="1:19" x14ac:dyDescent="0.2">
      <c r="A1393" s="3" t="s">
        <v>54</v>
      </c>
      <c r="B1393" s="3" t="s">
        <v>55</v>
      </c>
      <c r="C1393">
        <v>37</v>
      </c>
      <c r="D1393">
        <v>16000</v>
      </c>
      <c r="E1393">
        <v>499</v>
      </c>
      <c r="F1393">
        <v>1</v>
      </c>
      <c r="G1393">
        <v>16000</v>
      </c>
      <c r="H1393">
        <v>4.0400153000000001E-2</v>
      </c>
      <c r="I1393">
        <v>13949</v>
      </c>
      <c r="J1393">
        <v>5100</v>
      </c>
      <c r="K1393">
        <v>8849</v>
      </c>
      <c r="L1393">
        <v>500</v>
      </c>
      <c r="M1393">
        <v>499</v>
      </c>
      <c r="N1393">
        <v>1</v>
      </c>
      <c r="O1393">
        <v>2051</v>
      </c>
      <c r="P1393" s="3" t="s">
        <v>51</v>
      </c>
      <c r="Q1393">
        <v>50</v>
      </c>
      <c r="R1393">
        <v>0.999</v>
      </c>
      <c r="S1393">
        <v>1</v>
      </c>
    </row>
    <row r="1394" spans="1:19" x14ac:dyDescent="0.2">
      <c r="A1394" s="3" t="s">
        <v>54</v>
      </c>
      <c r="B1394" s="3" t="s">
        <v>55</v>
      </c>
      <c r="C1394">
        <v>36</v>
      </c>
      <c r="D1394">
        <v>16000</v>
      </c>
      <c r="E1394">
        <v>499</v>
      </c>
      <c r="F1394">
        <v>1</v>
      </c>
      <c r="G1394">
        <v>16000</v>
      </c>
      <c r="H1394">
        <v>4.0393378000000001E-2</v>
      </c>
      <c r="I1394">
        <v>13994</v>
      </c>
      <c r="J1394">
        <v>5114</v>
      </c>
      <c r="K1394">
        <v>8880</v>
      </c>
      <c r="L1394">
        <v>500</v>
      </c>
      <c r="M1394">
        <v>499</v>
      </c>
      <c r="N1394">
        <v>1</v>
      </c>
      <c r="O1394">
        <v>2006</v>
      </c>
      <c r="P1394" s="3" t="s">
        <v>51</v>
      </c>
      <c r="Q1394">
        <v>50</v>
      </c>
      <c r="R1394">
        <v>0.999</v>
      </c>
      <c r="S1394">
        <v>1</v>
      </c>
    </row>
    <row r="1395" spans="1:19" x14ac:dyDescent="0.2">
      <c r="A1395" s="3" t="s">
        <v>54</v>
      </c>
      <c r="B1395" s="3" t="s">
        <v>55</v>
      </c>
      <c r="C1395">
        <v>18</v>
      </c>
      <c r="D1395">
        <v>16000</v>
      </c>
      <c r="E1395">
        <v>499</v>
      </c>
      <c r="F1395">
        <v>1</v>
      </c>
      <c r="G1395">
        <v>16000</v>
      </c>
      <c r="H1395">
        <v>4.0373707000000002E-2</v>
      </c>
      <c r="I1395">
        <v>13991</v>
      </c>
      <c r="J1395">
        <v>5103</v>
      </c>
      <c r="K1395">
        <v>8888</v>
      </c>
      <c r="L1395">
        <v>500</v>
      </c>
      <c r="M1395">
        <v>499</v>
      </c>
      <c r="N1395">
        <v>1</v>
      </c>
      <c r="O1395">
        <v>2009</v>
      </c>
      <c r="P1395" s="3" t="s">
        <v>51</v>
      </c>
      <c r="Q1395">
        <v>50</v>
      </c>
      <c r="R1395">
        <v>0.999</v>
      </c>
      <c r="S1395">
        <v>1</v>
      </c>
    </row>
    <row r="1396" spans="1:19" x14ac:dyDescent="0.2">
      <c r="A1396" s="3" t="s">
        <v>54</v>
      </c>
      <c r="B1396" s="3" t="s">
        <v>55</v>
      </c>
      <c r="C1396">
        <v>50</v>
      </c>
      <c r="D1396">
        <v>16000</v>
      </c>
      <c r="E1396">
        <v>499</v>
      </c>
      <c r="F1396">
        <v>1</v>
      </c>
      <c r="G1396">
        <v>16000</v>
      </c>
      <c r="H1396">
        <v>4.0373313000000001E-2</v>
      </c>
      <c r="I1396">
        <v>13951</v>
      </c>
      <c r="J1396">
        <v>5115</v>
      </c>
      <c r="K1396">
        <v>8836</v>
      </c>
      <c r="L1396">
        <v>500</v>
      </c>
      <c r="M1396">
        <v>499</v>
      </c>
      <c r="N1396">
        <v>1</v>
      </c>
      <c r="O1396">
        <v>2049</v>
      </c>
      <c r="P1396" s="3" t="s">
        <v>51</v>
      </c>
      <c r="Q1396">
        <v>50</v>
      </c>
      <c r="R1396">
        <v>0.999</v>
      </c>
      <c r="S1396">
        <v>1</v>
      </c>
    </row>
    <row r="1397" spans="1:19" x14ac:dyDescent="0.2">
      <c r="A1397" s="3" t="s">
        <v>54</v>
      </c>
      <c r="B1397" s="3" t="s">
        <v>55</v>
      </c>
      <c r="C1397">
        <v>31</v>
      </c>
      <c r="D1397">
        <v>16000</v>
      </c>
      <c r="E1397">
        <v>499</v>
      </c>
      <c r="F1397">
        <v>1</v>
      </c>
      <c r="G1397">
        <v>16000</v>
      </c>
      <c r="H1397">
        <v>4.0360498000000002E-2</v>
      </c>
      <c r="I1397">
        <v>13966</v>
      </c>
      <c r="J1397">
        <v>5095</v>
      </c>
      <c r="K1397">
        <v>8871</v>
      </c>
      <c r="L1397">
        <v>500</v>
      </c>
      <c r="M1397">
        <v>499</v>
      </c>
      <c r="N1397">
        <v>1</v>
      </c>
      <c r="O1397">
        <v>2034</v>
      </c>
      <c r="P1397" s="3" t="s">
        <v>51</v>
      </c>
      <c r="Q1397">
        <v>50</v>
      </c>
      <c r="R1397">
        <v>0.999</v>
      </c>
      <c r="S1397">
        <v>1</v>
      </c>
    </row>
    <row r="1398" spans="1:19" x14ac:dyDescent="0.2">
      <c r="A1398" s="3" t="s">
        <v>54</v>
      </c>
      <c r="B1398" s="3" t="s">
        <v>55</v>
      </c>
      <c r="C1398">
        <v>4</v>
      </c>
      <c r="D1398">
        <v>16000</v>
      </c>
      <c r="E1398">
        <v>499</v>
      </c>
      <c r="F1398">
        <v>1</v>
      </c>
      <c r="G1398">
        <v>16000</v>
      </c>
      <c r="H1398">
        <v>4.0310099000000002E-2</v>
      </c>
      <c r="I1398">
        <v>13953</v>
      </c>
      <c r="J1398">
        <v>5111</v>
      </c>
      <c r="K1398">
        <v>8842</v>
      </c>
      <c r="L1398">
        <v>500</v>
      </c>
      <c r="M1398">
        <v>499</v>
      </c>
      <c r="N1398">
        <v>1</v>
      </c>
      <c r="O1398">
        <v>2047</v>
      </c>
      <c r="P1398" s="3" t="s">
        <v>51</v>
      </c>
      <c r="Q1398">
        <v>50</v>
      </c>
      <c r="R1398">
        <v>0.999</v>
      </c>
      <c r="S1398">
        <v>1</v>
      </c>
    </row>
    <row r="1399" spans="1:19" x14ac:dyDescent="0.2">
      <c r="A1399" s="3" t="s">
        <v>54</v>
      </c>
      <c r="B1399" s="3" t="s">
        <v>55</v>
      </c>
      <c r="C1399">
        <v>25</v>
      </c>
      <c r="D1399">
        <v>16000</v>
      </c>
      <c r="E1399">
        <v>499</v>
      </c>
      <c r="F1399">
        <v>1</v>
      </c>
      <c r="G1399">
        <v>16000</v>
      </c>
      <c r="H1399">
        <v>4.0280720999999998E-2</v>
      </c>
      <c r="I1399">
        <v>13981</v>
      </c>
      <c r="J1399">
        <v>5099</v>
      </c>
      <c r="K1399">
        <v>8882</v>
      </c>
      <c r="L1399">
        <v>500</v>
      </c>
      <c r="M1399">
        <v>499</v>
      </c>
      <c r="N1399">
        <v>1</v>
      </c>
      <c r="O1399">
        <v>2019</v>
      </c>
      <c r="P1399" s="3" t="s">
        <v>51</v>
      </c>
      <c r="Q1399">
        <v>50</v>
      </c>
      <c r="R1399">
        <v>0.999</v>
      </c>
      <c r="S1399">
        <v>1</v>
      </c>
    </row>
    <row r="1400" spans="1:19" x14ac:dyDescent="0.2">
      <c r="A1400" s="3" t="s">
        <v>54</v>
      </c>
      <c r="B1400" s="3" t="s">
        <v>55</v>
      </c>
      <c r="C1400">
        <v>32</v>
      </c>
      <c r="D1400">
        <v>16000</v>
      </c>
      <c r="E1400">
        <v>499</v>
      </c>
      <c r="F1400">
        <v>1</v>
      </c>
      <c r="G1400">
        <v>16000</v>
      </c>
      <c r="H1400">
        <v>4.0248217000000003E-2</v>
      </c>
      <c r="I1400">
        <v>13964</v>
      </c>
      <c r="J1400">
        <v>5108</v>
      </c>
      <c r="K1400">
        <v>8856</v>
      </c>
      <c r="L1400">
        <v>500</v>
      </c>
      <c r="M1400">
        <v>499</v>
      </c>
      <c r="N1400">
        <v>1</v>
      </c>
      <c r="O1400">
        <v>2036</v>
      </c>
      <c r="P1400" s="3" t="s">
        <v>51</v>
      </c>
      <c r="Q1400">
        <v>50</v>
      </c>
      <c r="R1400">
        <v>0.999</v>
      </c>
      <c r="S1400">
        <v>1</v>
      </c>
    </row>
    <row r="1401" spans="1:19" x14ac:dyDescent="0.2">
      <c r="A1401" s="3" t="s">
        <v>54</v>
      </c>
      <c r="B1401" s="3" t="s">
        <v>55</v>
      </c>
      <c r="C1401">
        <v>20</v>
      </c>
      <c r="D1401">
        <v>16000</v>
      </c>
      <c r="E1401">
        <v>499</v>
      </c>
      <c r="F1401">
        <v>1</v>
      </c>
      <c r="G1401">
        <v>16000</v>
      </c>
      <c r="H1401">
        <v>4.0170915000000001E-2</v>
      </c>
      <c r="I1401">
        <v>13969</v>
      </c>
      <c r="J1401">
        <v>5112</v>
      </c>
      <c r="K1401">
        <v>8857</v>
      </c>
      <c r="L1401">
        <v>500</v>
      </c>
      <c r="M1401">
        <v>499</v>
      </c>
      <c r="N1401">
        <v>1</v>
      </c>
      <c r="O1401">
        <v>2031</v>
      </c>
      <c r="P1401" s="3" t="s">
        <v>51</v>
      </c>
      <c r="Q1401">
        <v>50</v>
      </c>
      <c r="R1401">
        <v>0.999</v>
      </c>
      <c r="S1401">
        <v>1</v>
      </c>
    </row>
    <row r="1402" spans="1:19" x14ac:dyDescent="0.2">
      <c r="A1402" s="3" t="s">
        <v>54</v>
      </c>
      <c r="B1402" s="3" t="s">
        <v>55</v>
      </c>
      <c r="C1402">
        <v>26</v>
      </c>
      <c r="D1402">
        <v>16000</v>
      </c>
      <c r="E1402">
        <v>499</v>
      </c>
      <c r="F1402">
        <v>1</v>
      </c>
      <c r="G1402">
        <v>16000</v>
      </c>
      <c r="H1402">
        <v>4.0165111000000003E-2</v>
      </c>
      <c r="I1402">
        <v>13962</v>
      </c>
      <c r="J1402">
        <v>5102</v>
      </c>
      <c r="K1402">
        <v>8860</v>
      </c>
      <c r="L1402">
        <v>500</v>
      </c>
      <c r="M1402">
        <v>499</v>
      </c>
      <c r="N1402">
        <v>1</v>
      </c>
      <c r="O1402">
        <v>2038</v>
      </c>
      <c r="P1402" s="3" t="s">
        <v>51</v>
      </c>
      <c r="Q1402">
        <v>50</v>
      </c>
      <c r="R1402">
        <v>0.999</v>
      </c>
      <c r="S1402">
        <v>1</v>
      </c>
    </row>
    <row r="1403" spans="1:19" x14ac:dyDescent="0.2">
      <c r="A1403" s="3" t="s">
        <v>54</v>
      </c>
      <c r="B1403" s="3" t="s">
        <v>55</v>
      </c>
      <c r="C1403">
        <v>5</v>
      </c>
      <c r="D1403">
        <v>16000</v>
      </c>
      <c r="E1403">
        <v>499</v>
      </c>
      <c r="F1403">
        <v>1</v>
      </c>
      <c r="G1403">
        <v>16000</v>
      </c>
      <c r="H1403">
        <v>4.0152405000000002E-2</v>
      </c>
      <c r="I1403">
        <v>13983</v>
      </c>
      <c r="J1403">
        <v>5102</v>
      </c>
      <c r="K1403">
        <v>8881</v>
      </c>
      <c r="L1403">
        <v>500</v>
      </c>
      <c r="M1403">
        <v>499</v>
      </c>
      <c r="N1403">
        <v>1</v>
      </c>
      <c r="O1403">
        <v>2017</v>
      </c>
      <c r="P1403" s="3" t="s">
        <v>51</v>
      </c>
      <c r="Q1403">
        <v>50</v>
      </c>
      <c r="R1403">
        <v>0.999</v>
      </c>
      <c r="S1403">
        <v>1</v>
      </c>
    </row>
    <row r="1404" spans="1:19" x14ac:dyDescent="0.2">
      <c r="A1404" s="3" t="s">
        <v>54</v>
      </c>
      <c r="B1404" s="3" t="s">
        <v>55</v>
      </c>
      <c r="C1404">
        <v>30</v>
      </c>
      <c r="D1404">
        <v>16000</v>
      </c>
      <c r="E1404">
        <v>499</v>
      </c>
      <c r="F1404">
        <v>1</v>
      </c>
      <c r="G1404">
        <v>16000</v>
      </c>
      <c r="H1404">
        <v>4.0141672000000003E-2</v>
      </c>
      <c r="I1404">
        <v>13943</v>
      </c>
      <c r="J1404">
        <v>5086</v>
      </c>
      <c r="K1404">
        <v>8857</v>
      </c>
      <c r="L1404">
        <v>500</v>
      </c>
      <c r="M1404">
        <v>499</v>
      </c>
      <c r="N1404">
        <v>1</v>
      </c>
      <c r="O1404">
        <v>2057</v>
      </c>
      <c r="P1404" s="3" t="s">
        <v>51</v>
      </c>
      <c r="Q1404">
        <v>50</v>
      </c>
      <c r="R1404">
        <v>0.999</v>
      </c>
      <c r="S1404">
        <v>1</v>
      </c>
    </row>
    <row r="1405" spans="1:19" x14ac:dyDescent="0.2">
      <c r="A1405" s="3" t="s">
        <v>54</v>
      </c>
      <c r="B1405" s="3" t="s">
        <v>55</v>
      </c>
      <c r="C1405">
        <v>2</v>
      </c>
      <c r="D1405">
        <v>14000</v>
      </c>
      <c r="E1405">
        <v>499</v>
      </c>
      <c r="F1405">
        <v>1</v>
      </c>
      <c r="G1405">
        <v>58565.0323707059</v>
      </c>
      <c r="H1405">
        <v>4.0125978E-2</v>
      </c>
      <c r="I1405">
        <v>12849</v>
      </c>
      <c r="J1405">
        <v>4007</v>
      </c>
      <c r="K1405">
        <v>8842</v>
      </c>
      <c r="L1405">
        <v>500</v>
      </c>
      <c r="M1405">
        <v>499</v>
      </c>
      <c r="N1405">
        <v>1</v>
      </c>
      <c r="O1405">
        <v>4336.6555873685002</v>
      </c>
      <c r="P1405" s="3" t="s">
        <v>51</v>
      </c>
      <c r="Q1405">
        <v>50</v>
      </c>
      <c r="R1405">
        <v>0.999</v>
      </c>
      <c r="S1405">
        <v>0</v>
      </c>
    </row>
    <row r="1406" spans="1:19" x14ac:dyDescent="0.2">
      <c r="A1406" s="3" t="s">
        <v>54</v>
      </c>
      <c r="B1406" s="3" t="s">
        <v>55</v>
      </c>
      <c r="C1406">
        <v>14</v>
      </c>
      <c r="D1406">
        <v>16000</v>
      </c>
      <c r="E1406">
        <v>499</v>
      </c>
      <c r="F1406">
        <v>1</v>
      </c>
      <c r="G1406">
        <v>16000</v>
      </c>
      <c r="H1406">
        <v>4.0124695000000002E-2</v>
      </c>
      <c r="I1406">
        <v>13980</v>
      </c>
      <c r="J1406">
        <v>5123</v>
      </c>
      <c r="K1406">
        <v>8857</v>
      </c>
      <c r="L1406">
        <v>500</v>
      </c>
      <c r="M1406">
        <v>499</v>
      </c>
      <c r="N1406">
        <v>1</v>
      </c>
      <c r="O1406">
        <v>2020</v>
      </c>
      <c r="P1406" s="3" t="s">
        <v>51</v>
      </c>
      <c r="Q1406">
        <v>50</v>
      </c>
      <c r="R1406">
        <v>0.999</v>
      </c>
      <c r="S1406">
        <v>1</v>
      </c>
    </row>
    <row r="1407" spans="1:19" x14ac:dyDescent="0.2">
      <c r="A1407" s="3" t="s">
        <v>54</v>
      </c>
      <c r="B1407" s="3" t="s">
        <v>55</v>
      </c>
      <c r="C1407">
        <v>8</v>
      </c>
      <c r="D1407">
        <v>16000</v>
      </c>
      <c r="E1407">
        <v>499</v>
      </c>
      <c r="F1407">
        <v>1</v>
      </c>
      <c r="G1407">
        <v>16000</v>
      </c>
      <c r="H1407">
        <v>4.0123869999999999E-2</v>
      </c>
      <c r="I1407">
        <v>13989</v>
      </c>
      <c r="J1407">
        <v>5114</v>
      </c>
      <c r="K1407">
        <v>8875</v>
      </c>
      <c r="L1407">
        <v>500</v>
      </c>
      <c r="M1407">
        <v>499</v>
      </c>
      <c r="N1407">
        <v>1</v>
      </c>
      <c r="O1407">
        <v>2011</v>
      </c>
      <c r="P1407" s="3" t="s">
        <v>51</v>
      </c>
      <c r="Q1407">
        <v>50</v>
      </c>
      <c r="R1407">
        <v>0.999</v>
      </c>
      <c r="S1407">
        <v>1</v>
      </c>
    </row>
    <row r="1408" spans="1:19" x14ac:dyDescent="0.2">
      <c r="A1408" s="3" t="s">
        <v>54</v>
      </c>
      <c r="B1408" s="3" t="s">
        <v>55</v>
      </c>
      <c r="C1408">
        <v>46</v>
      </c>
      <c r="D1408">
        <v>16000</v>
      </c>
      <c r="E1408">
        <v>499</v>
      </c>
      <c r="F1408">
        <v>1</v>
      </c>
      <c r="G1408">
        <v>16000</v>
      </c>
      <c r="H1408">
        <v>4.0100834000000002E-2</v>
      </c>
      <c r="I1408">
        <v>13965</v>
      </c>
      <c r="J1408">
        <v>5109</v>
      </c>
      <c r="K1408">
        <v>8856</v>
      </c>
      <c r="L1408">
        <v>500</v>
      </c>
      <c r="M1408">
        <v>499</v>
      </c>
      <c r="N1408">
        <v>1</v>
      </c>
      <c r="O1408">
        <v>2035</v>
      </c>
      <c r="P1408" s="3" t="s">
        <v>51</v>
      </c>
      <c r="Q1408">
        <v>50</v>
      </c>
      <c r="R1408">
        <v>0.999</v>
      </c>
      <c r="S1408">
        <v>1</v>
      </c>
    </row>
    <row r="1409" spans="1:19" x14ac:dyDescent="0.2">
      <c r="A1409" s="3" t="s">
        <v>54</v>
      </c>
      <c r="B1409" s="3" t="s">
        <v>55</v>
      </c>
      <c r="C1409">
        <v>37</v>
      </c>
      <c r="D1409">
        <v>14000</v>
      </c>
      <c r="E1409">
        <v>499</v>
      </c>
      <c r="F1409">
        <v>1</v>
      </c>
      <c r="G1409">
        <v>58565.0323707059</v>
      </c>
      <c r="H1409">
        <v>4.0079541000000003E-2</v>
      </c>
      <c r="I1409">
        <v>12876</v>
      </c>
      <c r="J1409">
        <v>4067</v>
      </c>
      <c r="K1409">
        <v>8809</v>
      </c>
      <c r="L1409">
        <v>500</v>
      </c>
      <c r="M1409">
        <v>499</v>
      </c>
      <c r="N1409">
        <v>1</v>
      </c>
      <c r="O1409">
        <v>4204.8977245411998</v>
      </c>
      <c r="P1409" s="3" t="s">
        <v>51</v>
      </c>
      <c r="Q1409">
        <v>50</v>
      </c>
      <c r="R1409">
        <v>0.999</v>
      </c>
      <c r="S1409">
        <v>0</v>
      </c>
    </row>
    <row r="1410" spans="1:19" x14ac:dyDescent="0.2">
      <c r="A1410" s="3" t="s">
        <v>54</v>
      </c>
      <c r="B1410" s="3" t="s">
        <v>55</v>
      </c>
      <c r="C1410">
        <v>42</v>
      </c>
      <c r="D1410">
        <v>16000</v>
      </c>
      <c r="E1410">
        <v>499</v>
      </c>
      <c r="F1410">
        <v>1</v>
      </c>
      <c r="G1410">
        <v>16000</v>
      </c>
      <c r="H1410">
        <v>4.0059888000000002E-2</v>
      </c>
      <c r="I1410">
        <v>13956</v>
      </c>
      <c r="J1410">
        <v>5101</v>
      </c>
      <c r="K1410">
        <v>8855</v>
      </c>
      <c r="L1410">
        <v>500</v>
      </c>
      <c r="M1410">
        <v>499</v>
      </c>
      <c r="N1410">
        <v>1</v>
      </c>
      <c r="O1410">
        <v>2044</v>
      </c>
      <c r="P1410" s="3" t="s">
        <v>51</v>
      </c>
      <c r="Q1410">
        <v>50</v>
      </c>
      <c r="R1410">
        <v>0.999</v>
      </c>
      <c r="S1410">
        <v>1</v>
      </c>
    </row>
    <row r="1411" spans="1:19" x14ac:dyDescent="0.2">
      <c r="A1411" s="3" t="s">
        <v>54</v>
      </c>
      <c r="B1411" s="3" t="s">
        <v>55</v>
      </c>
      <c r="C1411">
        <v>19</v>
      </c>
      <c r="D1411">
        <v>19000</v>
      </c>
      <c r="E1411">
        <v>499</v>
      </c>
      <c r="F1411">
        <v>1</v>
      </c>
      <c r="G1411">
        <v>19000</v>
      </c>
      <c r="H1411">
        <v>4.0037612E-2</v>
      </c>
      <c r="I1411">
        <v>15581</v>
      </c>
      <c r="J1411">
        <v>5040</v>
      </c>
      <c r="K1411">
        <v>10541</v>
      </c>
      <c r="L1411">
        <v>500</v>
      </c>
      <c r="M1411">
        <v>499</v>
      </c>
      <c r="N1411">
        <v>1</v>
      </c>
      <c r="O1411">
        <v>3419</v>
      </c>
      <c r="P1411" s="3" t="s">
        <v>50</v>
      </c>
      <c r="Q1411">
        <v>50</v>
      </c>
      <c r="R1411">
        <v>0.999</v>
      </c>
      <c r="S1411">
        <v>1</v>
      </c>
    </row>
    <row r="1412" spans="1:19" x14ac:dyDescent="0.2">
      <c r="A1412" s="3" t="s">
        <v>54</v>
      </c>
      <c r="B1412" s="3" t="s">
        <v>55</v>
      </c>
      <c r="C1412">
        <v>33</v>
      </c>
      <c r="D1412">
        <v>16000</v>
      </c>
      <c r="E1412">
        <v>499</v>
      </c>
      <c r="F1412">
        <v>1</v>
      </c>
      <c r="G1412">
        <v>16000</v>
      </c>
      <c r="H1412">
        <v>4.0032533000000002E-2</v>
      </c>
      <c r="I1412">
        <v>13953</v>
      </c>
      <c r="J1412">
        <v>5101</v>
      </c>
      <c r="K1412">
        <v>8852</v>
      </c>
      <c r="L1412">
        <v>500</v>
      </c>
      <c r="M1412">
        <v>499</v>
      </c>
      <c r="N1412">
        <v>1</v>
      </c>
      <c r="O1412">
        <v>2047</v>
      </c>
      <c r="P1412" s="3" t="s">
        <v>51</v>
      </c>
      <c r="Q1412">
        <v>50</v>
      </c>
      <c r="R1412">
        <v>0.999</v>
      </c>
      <c r="S1412">
        <v>1</v>
      </c>
    </row>
    <row r="1413" spans="1:19" x14ac:dyDescent="0.2">
      <c r="A1413" s="3" t="s">
        <v>54</v>
      </c>
      <c r="B1413" s="3" t="s">
        <v>55</v>
      </c>
      <c r="C1413">
        <v>31</v>
      </c>
      <c r="D1413">
        <v>19000</v>
      </c>
      <c r="E1413">
        <v>499</v>
      </c>
      <c r="F1413">
        <v>1</v>
      </c>
      <c r="G1413">
        <v>19000</v>
      </c>
      <c r="H1413">
        <v>3.9975819000000003E-2</v>
      </c>
      <c r="I1413">
        <v>15609</v>
      </c>
      <c r="J1413">
        <v>5000</v>
      </c>
      <c r="K1413">
        <v>10609</v>
      </c>
      <c r="L1413">
        <v>500</v>
      </c>
      <c r="M1413">
        <v>499</v>
      </c>
      <c r="N1413">
        <v>1</v>
      </c>
      <c r="O1413">
        <v>3391</v>
      </c>
      <c r="P1413" s="3" t="s">
        <v>50</v>
      </c>
      <c r="Q1413">
        <v>50</v>
      </c>
      <c r="R1413">
        <v>0.999</v>
      </c>
      <c r="S1413">
        <v>1</v>
      </c>
    </row>
    <row r="1414" spans="1:19" x14ac:dyDescent="0.2">
      <c r="A1414" s="3" t="s">
        <v>54</v>
      </c>
      <c r="B1414" s="3" t="s">
        <v>55</v>
      </c>
      <c r="C1414">
        <v>49</v>
      </c>
      <c r="D1414">
        <v>16000</v>
      </c>
      <c r="E1414">
        <v>499</v>
      </c>
      <c r="F1414">
        <v>1</v>
      </c>
      <c r="G1414">
        <v>16000</v>
      </c>
      <c r="H1414">
        <v>3.9969504000000003E-2</v>
      </c>
      <c r="I1414">
        <v>13965</v>
      </c>
      <c r="J1414">
        <v>5114</v>
      </c>
      <c r="K1414">
        <v>8851</v>
      </c>
      <c r="L1414">
        <v>500</v>
      </c>
      <c r="M1414">
        <v>499</v>
      </c>
      <c r="N1414">
        <v>1</v>
      </c>
      <c r="O1414">
        <v>2035</v>
      </c>
      <c r="P1414" s="3" t="s">
        <v>51</v>
      </c>
      <c r="Q1414">
        <v>50</v>
      </c>
      <c r="R1414">
        <v>0.999</v>
      </c>
      <c r="S1414">
        <v>1</v>
      </c>
    </row>
    <row r="1415" spans="1:19" x14ac:dyDescent="0.2">
      <c r="A1415" s="3" t="s">
        <v>54</v>
      </c>
      <c r="B1415" s="3" t="s">
        <v>55</v>
      </c>
      <c r="C1415">
        <v>47</v>
      </c>
      <c r="D1415">
        <v>16000</v>
      </c>
      <c r="E1415">
        <v>499</v>
      </c>
      <c r="F1415">
        <v>1</v>
      </c>
      <c r="G1415">
        <v>16000</v>
      </c>
      <c r="H1415">
        <v>3.9947871000000003E-2</v>
      </c>
      <c r="I1415">
        <v>13918</v>
      </c>
      <c r="J1415">
        <v>5068</v>
      </c>
      <c r="K1415">
        <v>8850</v>
      </c>
      <c r="L1415">
        <v>500</v>
      </c>
      <c r="M1415">
        <v>499</v>
      </c>
      <c r="N1415">
        <v>1</v>
      </c>
      <c r="O1415">
        <v>2082</v>
      </c>
      <c r="P1415" s="3" t="s">
        <v>51</v>
      </c>
      <c r="Q1415">
        <v>50</v>
      </c>
      <c r="R1415">
        <v>0.999</v>
      </c>
      <c r="S1415">
        <v>1</v>
      </c>
    </row>
    <row r="1416" spans="1:19" x14ac:dyDescent="0.2">
      <c r="A1416" s="3" t="s">
        <v>54</v>
      </c>
      <c r="B1416" s="3" t="s">
        <v>55</v>
      </c>
      <c r="C1416">
        <v>21</v>
      </c>
      <c r="D1416">
        <v>15000</v>
      </c>
      <c r="E1416">
        <v>499</v>
      </c>
      <c r="F1416">
        <v>1</v>
      </c>
      <c r="G1416">
        <v>15000</v>
      </c>
      <c r="H1416">
        <v>3.9946732999999998E-2</v>
      </c>
      <c r="I1416">
        <v>13496</v>
      </c>
      <c r="J1416">
        <v>5009</v>
      </c>
      <c r="K1416">
        <v>8487</v>
      </c>
      <c r="L1416">
        <v>500</v>
      </c>
      <c r="M1416">
        <v>499</v>
      </c>
      <c r="N1416">
        <v>1</v>
      </c>
      <c r="O1416">
        <v>1504</v>
      </c>
      <c r="P1416" s="3" t="s">
        <v>51</v>
      </c>
      <c r="Q1416">
        <v>50</v>
      </c>
      <c r="R1416">
        <v>0.999</v>
      </c>
      <c r="S1416">
        <v>1</v>
      </c>
    </row>
    <row r="1417" spans="1:19" x14ac:dyDescent="0.2">
      <c r="A1417" s="3" t="s">
        <v>54</v>
      </c>
      <c r="B1417" s="3" t="s">
        <v>55</v>
      </c>
      <c r="C1417">
        <v>16</v>
      </c>
      <c r="D1417">
        <v>16000</v>
      </c>
      <c r="E1417">
        <v>499</v>
      </c>
      <c r="F1417">
        <v>1</v>
      </c>
      <c r="G1417">
        <v>16000</v>
      </c>
      <c r="H1417">
        <v>3.9919766000000002E-2</v>
      </c>
      <c r="I1417">
        <v>13953</v>
      </c>
      <c r="J1417">
        <v>5105</v>
      </c>
      <c r="K1417">
        <v>8848</v>
      </c>
      <c r="L1417">
        <v>500</v>
      </c>
      <c r="M1417">
        <v>499</v>
      </c>
      <c r="N1417">
        <v>1</v>
      </c>
      <c r="O1417">
        <v>2047</v>
      </c>
      <c r="P1417" s="3" t="s">
        <v>51</v>
      </c>
      <c r="Q1417">
        <v>50</v>
      </c>
      <c r="R1417">
        <v>0.999</v>
      </c>
      <c r="S1417">
        <v>1</v>
      </c>
    </row>
    <row r="1418" spans="1:19" x14ac:dyDescent="0.2">
      <c r="A1418" s="3" t="s">
        <v>54</v>
      </c>
      <c r="B1418" s="3" t="s">
        <v>55</v>
      </c>
      <c r="C1418">
        <v>9</v>
      </c>
      <c r="D1418">
        <v>16000</v>
      </c>
      <c r="E1418">
        <v>499</v>
      </c>
      <c r="F1418">
        <v>1</v>
      </c>
      <c r="G1418">
        <v>16000</v>
      </c>
      <c r="H1418">
        <v>3.9896116000000002E-2</v>
      </c>
      <c r="I1418">
        <v>13989</v>
      </c>
      <c r="J1418">
        <v>5112</v>
      </c>
      <c r="K1418">
        <v>8877</v>
      </c>
      <c r="L1418">
        <v>500</v>
      </c>
      <c r="M1418">
        <v>499</v>
      </c>
      <c r="N1418">
        <v>1</v>
      </c>
      <c r="O1418">
        <v>2011</v>
      </c>
      <c r="P1418" s="3" t="s">
        <v>51</v>
      </c>
      <c r="Q1418">
        <v>50</v>
      </c>
      <c r="R1418">
        <v>0.999</v>
      </c>
      <c r="S1418">
        <v>1</v>
      </c>
    </row>
    <row r="1419" spans="1:19" x14ac:dyDescent="0.2">
      <c r="A1419" s="3" t="s">
        <v>54</v>
      </c>
      <c r="B1419" s="3" t="s">
        <v>55</v>
      </c>
      <c r="C1419">
        <v>10</v>
      </c>
      <c r="D1419">
        <v>16000</v>
      </c>
      <c r="E1419">
        <v>499</v>
      </c>
      <c r="F1419">
        <v>1</v>
      </c>
      <c r="G1419">
        <v>16000</v>
      </c>
      <c r="H1419">
        <v>3.9878691000000001E-2</v>
      </c>
      <c r="I1419">
        <v>13946</v>
      </c>
      <c r="J1419">
        <v>5095</v>
      </c>
      <c r="K1419">
        <v>8851</v>
      </c>
      <c r="L1419">
        <v>500</v>
      </c>
      <c r="M1419">
        <v>499</v>
      </c>
      <c r="N1419">
        <v>1</v>
      </c>
      <c r="O1419">
        <v>2054</v>
      </c>
      <c r="P1419" s="3" t="s">
        <v>51</v>
      </c>
      <c r="Q1419">
        <v>50</v>
      </c>
      <c r="R1419">
        <v>0.999</v>
      </c>
      <c r="S1419">
        <v>1</v>
      </c>
    </row>
    <row r="1420" spans="1:19" x14ac:dyDescent="0.2">
      <c r="A1420" s="3" t="s">
        <v>54</v>
      </c>
      <c r="B1420" s="3" t="s">
        <v>55</v>
      </c>
      <c r="C1420">
        <v>28</v>
      </c>
      <c r="D1420">
        <v>16000</v>
      </c>
      <c r="E1420">
        <v>499</v>
      </c>
      <c r="F1420">
        <v>1</v>
      </c>
      <c r="G1420">
        <v>16000</v>
      </c>
      <c r="H1420">
        <v>3.9863188000000001E-2</v>
      </c>
      <c r="I1420">
        <v>13976</v>
      </c>
      <c r="J1420">
        <v>5099</v>
      </c>
      <c r="K1420">
        <v>8877</v>
      </c>
      <c r="L1420">
        <v>500</v>
      </c>
      <c r="M1420">
        <v>499</v>
      </c>
      <c r="N1420">
        <v>1</v>
      </c>
      <c r="O1420">
        <v>2024</v>
      </c>
      <c r="P1420" s="3" t="s">
        <v>51</v>
      </c>
      <c r="Q1420">
        <v>50</v>
      </c>
      <c r="R1420">
        <v>0.999</v>
      </c>
      <c r="S1420">
        <v>1</v>
      </c>
    </row>
    <row r="1421" spans="1:19" x14ac:dyDescent="0.2">
      <c r="A1421" s="3" t="s">
        <v>54</v>
      </c>
      <c r="B1421" s="3" t="s">
        <v>55</v>
      </c>
      <c r="C1421">
        <v>39</v>
      </c>
      <c r="D1421">
        <v>16000</v>
      </c>
      <c r="E1421">
        <v>499</v>
      </c>
      <c r="F1421">
        <v>1</v>
      </c>
      <c r="G1421">
        <v>16000</v>
      </c>
      <c r="H1421">
        <v>3.9859064999999999E-2</v>
      </c>
      <c r="I1421">
        <v>13961</v>
      </c>
      <c r="J1421">
        <v>5104</v>
      </c>
      <c r="K1421">
        <v>8857</v>
      </c>
      <c r="L1421">
        <v>500</v>
      </c>
      <c r="M1421">
        <v>499</v>
      </c>
      <c r="N1421">
        <v>1</v>
      </c>
      <c r="O1421">
        <v>2039</v>
      </c>
      <c r="P1421" s="3" t="s">
        <v>51</v>
      </c>
      <c r="Q1421">
        <v>50</v>
      </c>
      <c r="R1421">
        <v>0.999</v>
      </c>
      <c r="S1421">
        <v>1</v>
      </c>
    </row>
    <row r="1422" spans="1:19" x14ac:dyDescent="0.2">
      <c r="A1422" s="3" t="s">
        <v>54</v>
      </c>
      <c r="B1422" s="3" t="s">
        <v>55</v>
      </c>
      <c r="C1422">
        <v>11</v>
      </c>
      <c r="D1422">
        <v>16000</v>
      </c>
      <c r="E1422">
        <v>499</v>
      </c>
      <c r="F1422">
        <v>1</v>
      </c>
      <c r="G1422">
        <v>16000</v>
      </c>
      <c r="H1422">
        <v>3.9808565999999997E-2</v>
      </c>
      <c r="I1422">
        <v>13953</v>
      </c>
      <c r="J1422">
        <v>5100</v>
      </c>
      <c r="K1422">
        <v>8853</v>
      </c>
      <c r="L1422">
        <v>500</v>
      </c>
      <c r="M1422">
        <v>499</v>
      </c>
      <c r="N1422">
        <v>1</v>
      </c>
      <c r="O1422">
        <v>2047</v>
      </c>
      <c r="P1422" s="3" t="s">
        <v>51</v>
      </c>
      <c r="Q1422">
        <v>50</v>
      </c>
      <c r="R1422">
        <v>0.999</v>
      </c>
      <c r="S1422">
        <v>1</v>
      </c>
    </row>
    <row r="1423" spans="1:19" x14ac:dyDescent="0.2">
      <c r="A1423" s="3" t="s">
        <v>54</v>
      </c>
      <c r="B1423" s="3" t="s">
        <v>55</v>
      </c>
      <c r="C1423">
        <v>40</v>
      </c>
      <c r="D1423">
        <v>16000</v>
      </c>
      <c r="E1423">
        <v>499</v>
      </c>
      <c r="F1423">
        <v>1</v>
      </c>
      <c r="G1423">
        <v>16000</v>
      </c>
      <c r="H1423">
        <v>3.9791670000000001E-2</v>
      </c>
      <c r="I1423">
        <v>13945</v>
      </c>
      <c r="J1423">
        <v>5097</v>
      </c>
      <c r="K1423">
        <v>8848</v>
      </c>
      <c r="L1423">
        <v>500</v>
      </c>
      <c r="M1423">
        <v>499</v>
      </c>
      <c r="N1423">
        <v>1</v>
      </c>
      <c r="O1423">
        <v>2055</v>
      </c>
      <c r="P1423" s="3" t="s">
        <v>51</v>
      </c>
      <c r="Q1423">
        <v>50</v>
      </c>
      <c r="R1423">
        <v>0.999</v>
      </c>
      <c r="S1423">
        <v>1</v>
      </c>
    </row>
    <row r="1424" spans="1:19" x14ac:dyDescent="0.2">
      <c r="A1424" s="3" t="s">
        <v>54</v>
      </c>
      <c r="B1424" s="3" t="s">
        <v>55</v>
      </c>
      <c r="C1424">
        <v>1</v>
      </c>
      <c r="D1424">
        <v>16000</v>
      </c>
      <c r="E1424">
        <v>499</v>
      </c>
      <c r="F1424">
        <v>1</v>
      </c>
      <c r="G1424">
        <v>16000</v>
      </c>
      <c r="H1424">
        <v>3.9761815999999998E-2</v>
      </c>
      <c r="I1424">
        <v>13978</v>
      </c>
      <c r="J1424">
        <v>5105</v>
      </c>
      <c r="K1424">
        <v>8873</v>
      </c>
      <c r="L1424">
        <v>500</v>
      </c>
      <c r="M1424">
        <v>499</v>
      </c>
      <c r="N1424">
        <v>1</v>
      </c>
      <c r="O1424">
        <v>2022</v>
      </c>
      <c r="P1424" s="3" t="s">
        <v>51</v>
      </c>
      <c r="Q1424">
        <v>50</v>
      </c>
      <c r="R1424">
        <v>0.999</v>
      </c>
      <c r="S1424">
        <v>1</v>
      </c>
    </row>
    <row r="1425" spans="1:19" x14ac:dyDescent="0.2">
      <c r="A1425" s="3" t="s">
        <v>54</v>
      </c>
      <c r="B1425" s="3" t="s">
        <v>55</v>
      </c>
      <c r="C1425">
        <v>19</v>
      </c>
      <c r="D1425">
        <v>16000</v>
      </c>
      <c r="E1425">
        <v>499</v>
      </c>
      <c r="F1425">
        <v>1</v>
      </c>
      <c r="G1425">
        <v>16000</v>
      </c>
      <c r="H1425">
        <v>3.9750229999999998E-2</v>
      </c>
      <c r="I1425">
        <v>13953</v>
      </c>
      <c r="J1425">
        <v>5083</v>
      </c>
      <c r="K1425">
        <v>8870</v>
      </c>
      <c r="L1425">
        <v>500</v>
      </c>
      <c r="M1425">
        <v>499</v>
      </c>
      <c r="N1425">
        <v>1</v>
      </c>
      <c r="O1425">
        <v>2047</v>
      </c>
      <c r="P1425" s="3" t="s">
        <v>51</v>
      </c>
      <c r="Q1425">
        <v>50</v>
      </c>
      <c r="R1425">
        <v>0.999</v>
      </c>
      <c r="S1425">
        <v>1</v>
      </c>
    </row>
    <row r="1426" spans="1:19" x14ac:dyDescent="0.2">
      <c r="A1426" s="3" t="s">
        <v>54</v>
      </c>
      <c r="B1426" s="3" t="s">
        <v>55</v>
      </c>
      <c r="C1426">
        <v>32</v>
      </c>
      <c r="D1426">
        <v>14000</v>
      </c>
      <c r="E1426">
        <v>499</v>
      </c>
      <c r="F1426">
        <v>1</v>
      </c>
      <c r="G1426">
        <v>58565.0323707059</v>
      </c>
      <c r="H1426">
        <v>3.9699051999999999E-2</v>
      </c>
      <c r="I1426">
        <v>12842</v>
      </c>
      <c r="J1426">
        <v>4027</v>
      </c>
      <c r="K1426">
        <v>8815</v>
      </c>
      <c r="L1426">
        <v>500</v>
      </c>
      <c r="M1426">
        <v>499</v>
      </c>
      <c r="N1426">
        <v>1</v>
      </c>
      <c r="O1426">
        <v>4330.6629431664996</v>
      </c>
      <c r="P1426" s="3" t="s">
        <v>51</v>
      </c>
      <c r="Q1426">
        <v>50</v>
      </c>
      <c r="R1426">
        <v>0.999</v>
      </c>
      <c r="S1426">
        <v>0</v>
      </c>
    </row>
    <row r="1427" spans="1:19" x14ac:dyDescent="0.2">
      <c r="A1427" s="3" t="s">
        <v>54</v>
      </c>
      <c r="B1427" s="3" t="s">
        <v>55</v>
      </c>
      <c r="C1427">
        <v>23</v>
      </c>
      <c r="D1427">
        <v>16000</v>
      </c>
      <c r="E1427">
        <v>499</v>
      </c>
      <c r="F1427">
        <v>1</v>
      </c>
      <c r="G1427">
        <v>16000</v>
      </c>
      <c r="H1427">
        <v>3.9629441000000001E-2</v>
      </c>
      <c r="I1427">
        <v>13972</v>
      </c>
      <c r="J1427">
        <v>5108</v>
      </c>
      <c r="K1427">
        <v>8864</v>
      </c>
      <c r="L1427">
        <v>500</v>
      </c>
      <c r="M1427">
        <v>499</v>
      </c>
      <c r="N1427">
        <v>1</v>
      </c>
      <c r="O1427">
        <v>2028</v>
      </c>
      <c r="P1427" s="3" t="s">
        <v>51</v>
      </c>
      <c r="Q1427">
        <v>50</v>
      </c>
      <c r="R1427">
        <v>0.999</v>
      </c>
      <c r="S1427">
        <v>1</v>
      </c>
    </row>
    <row r="1428" spans="1:19" x14ac:dyDescent="0.2">
      <c r="A1428" s="3" t="s">
        <v>54</v>
      </c>
      <c r="B1428" s="3" t="s">
        <v>55</v>
      </c>
      <c r="C1428">
        <v>29</v>
      </c>
      <c r="D1428">
        <v>16000</v>
      </c>
      <c r="E1428">
        <v>499</v>
      </c>
      <c r="F1428">
        <v>1</v>
      </c>
      <c r="G1428">
        <v>16000</v>
      </c>
      <c r="H1428">
        <v>3.9598043999999999E-2</v>
      </c>
      <c r="I1428">
        <v>13991</v>
      </c>
      <c r="J1428">
        <v>5120</v>
      </c>
      <c r="K1428">
        <v>8871</v>
      </c>
      <c r="L1428">
        <v>500</v>
      </c>
      <c r="M1428">
        <v>499</v>
      </c>
      <c r="N1428">
        <v>1</v>
      </c>
      <c r="O1428">
        <v>2009</v>
      </c>
      <c r="P1428" s="3" t="s">
        <v>51</v>
      </c>
      <c r="Q1428">
        <v>50</v>
      </c>
      <c r="R1428">
        <v>0.999</v>
      </c>
      <c r="S1428">
        <v>1</v>
      </c>
    </row>
    <row r="1429" spans="1:19" x14ac:dyDescent="0.2">
      <c r="A1429" s="3" t="s">
        <v>54</v>
      </c>
      <c r="B1429" s="3" t="s">
        <v>55</v>
      </c>
      <c r="C1429">
        <v>1</v>
      </c>
      <c r="D1429">
        <v>18000</v>
      </c>
      <c r="E1429">
        <v>499</v>
      </c>
      <c r="F1429">
        <v>1</v>
      </c>
      <c r="G1429">
        <v>18000</v>
      </c>
      <c r="H1429">
        <v>3.9516554000000002E-2</v>
      </c>
      <c r="I1429">
        <v>15211</v>
      </c>
      <c r="J1429">
        <v>4851</v>
      </c>
      <c r="K1429">
        <v>10360</v>
      </c>
      <c r="L1429">
        <v>500</v>
      </c>
      <c r="M1429">
        <v>499</v>
      </c>
      <c r="N1429">
        <v>1</v>
      </c>
      <c r="O1429">
        <v>2789</v>
      </c>
      <c r="P1429" s="3" t="s">
        <v>50</v>
      </c>
      <c r="Q1429">
        <v>50</v>
      </c>
      <c r="R1429">
        <v>0.999</v>
      </c>
      <c r="S1429">
        <v>1</v>
      </c>
    </row>
    <row r="1430" spans="1:19" x14ac:dyDescent="0.2">
      <c r="A1430" s="3" t="s">
        <v>54</v>
      </c>
      <c r="B1430" s="3" t="s">
        <v>55</v>
      </c>
      <c r="C1430">
        <v>38</v>
      </c>
      <c r="D1430">
        <v>16000</v>
      </c>
      <c r="E1430">
        <v>499</v>
      </c>
      <c r="F1430">
        <v>1</v>
      </c>
      <c r="G1430">
        <v>16000</v>
      </c>
      <c r="H1430">
        <v>3.9467044E-2</v>
      </c>
      <c r="I1430">
        <v>13983</v>
      </c>
      <c r="J1430">
        <v>5105</v>
      </c>
      <c r="K1430">
        <v>8878</v>
      </c>
      <c r="L1430">
        <v>500</v>
      </c>
      <c r="M1430">
        <v>499</v>
      </c>
      <c r="N1430">
        <v>1</v>
      </c>
      <c r="O1430">
        <v>2017</v>
      </c>
      <c r="P1430" s="3" t="s">
        <v>51</v>
      </c>
      <c r="Q1430">
        <v>50</v>
      </c>
      <c r="R1430">
        <v>0.999</v>
      </c>
      <c r="S1430">
        <v>1</v>
      </c>
    </row>
    <row r="1431" spans="1:19" x14ac:dyDescent="0.2">
      <c r="A1431" s="3" t="s">
        <v>54</v>
      </c>
      <c r="B1431" s="3" t="s">
        <v>55</v>
      </c>
      <c r="C1431">
        <v>17</v>
      </c>
      <c r="D1431">
        <v>16000</v>
      </c>
      <c r="E1431">
        <v>499</v>
      </c>
      <c r="F1431">
        <v>1</v>
      </c>
      <c r="G1431">
        <v>16000</v>
      </c>
      <c r="H1431">
        <v>3.9380501999999998E-2</v>
      </c>
      <c r="I1431">
        <v>13971</v>
      </c>
      <c r="J1431">
        <v>5102</v>
      </c>
      <c r="K1431">
        <v>8869</v>
      </c>
      <c r="L1431">
        <v>500</v>
      </c>
      <c r="M1431">
        <v>499</v>
      </c>
      <c r="N1431">
        <v>1</v>
      </c>
      <c r="O1431">
        <v>2029</v>
      </c>
      <c r="P1431" s="3" t="s">
        <v>51</v>
      </c>
      <c r="Q1431">
        <v>50</v>
      </c>
      <c r="R1431">
        <v>0.999</v>
      </c>
      <c r="S1431">
        <v>1</v>
      </c>
    </row>
    <row r="1432" spans="1:19" x14ac:dyDescent="0.2">
      <c r="A1432" s="3" t="s">
        <v>54</v>
      </c>
      <c r="B1432" s="3" t="s">
        <v>55</v>
      </c>
      <c r="C1432">
        <v>41</v>
      </c>
      <c r="D1432">
        <v>20000</v>
      </c>
      <c r="E1432">
        <v>499</v>
      </c>
      <c r="F1432">
        <v>1</v>
      </c>
      <c r="G1432">
        <v>20000</v>
      </c>
      <c r="H1432">
        <v>3.9325153000000002E-2</v>
      </c>
      <c r="I1432">
        <v>15965</v>
      </c>
      <c r="J1432">
        <v>5145</v>
      </c>
      <c r="K1432">
        <v>10820</v>
      </c>
      <c r="L1432">
        <v>500</v>
      </c>
      <c r="M1432">
        <v>499</v>
      </c>
      <c r="N1432">
        <v>1</v>
      </c>
      <c r="O1432">
        <v>4035</v>
      </c>
      <c r="P1432" s="3" t="s">
        <v>52</v>
      </c>
      <c r="Q1432">
        <v>50</v>
      </c>
      <c r="R1432">
        <v>0.999</v>
      </c>
      <c r="S1432">
        <v>1</v>
      </c>
    </row>
    <row r="1433" spans="1:19" x14ac:dyDescent="0.2">
      <c r="A1433" s="3" t="s">
        <v>54</v>
      </c>
      <c r="B1433" s="3" t="s">
        <v>55</v>
      </c>
      <c r="C1433">
        <v>13</v>
      </c>
      <c r="D1433">
        <v>20000</v>
      </c>
      <c r="E1433">
        <v>499</v>
      </c>
      <c r="F1433">
        <v>1</v>
      </c>
      <c r="G1433">
        <v>20000</v>
      </c>
      <c r="H1433">
        <v>3.9256724E-2</v>
      </c>
      <c r="I1433">
        <v>16030</v>
      </c>
      <c r="J1433">
        <v>5200</v>
      </c>
      <c r="K1433">
        <v>10830</v>
      </c>
      <c r="L1433">
        <v>500</v>
      </c>
      <c r="M1433">
        <v>499</v>
      </c>
      <c r="N1433">
        <v>1</v>
      </c>
      <c r="O1433">
        <v>3970</v>
      </c>
      <c r="P1433" s="3" t="s">
        <v>50</v>
      </c>
      <c r="Q1433">
        <v>50</v>
      </c>
      <c r="R1433">
        <v>0.999</v>
      </c>
      <c r="S1433">
        <v>1</v>
      </c>
    </row>
    <row r="1434" spans="1:19" x14ac:dyDescent="0.2">
      <c r="A1434" s="3" t="s">
        <v>54</v>
      </c>
      <c r="B1434" s="3" t="s">
        <v>55</v>
      </c>
      <c r="C1434">
        <v>40</v>
      </c>
      <c r="D1434">
        <v>20000</v>
      </c>
      <c r="E1434">
        <v>499</v>
      </c>
      <c r="F1434">
        <v>1</v>
      </c>
      <c r="G1434">
        <v>20000</v>
      </c>
      <c r="H1434">
        <v>3.9255788999999999E-2</v>
      </c>
      <c r="I1434">
        <v>15997</v>
      </c>
      <c r="J1434">
        <v>5185</v>
      </c>
      <c r="K1434">
        <v>10812</v>
      </c>
      <c r="L1434">
        <v>500</v>
      </c>
      <c r="M1434">
        <v>499</v>
      </c>
      <c r="N1434">
        <v>1</v>
      </c>
      <c r="O1434">
        <v>4003</v>
      </c>
      <c r="P1434" s="3" t="s">
        <v>52</v>
      </c>
      <c r="Q1434">
        <v>50</v>
      </c>
      <c r="R1434">
        <v>0.999</v>
      </c>
      <c r="S1434">
        <v>1</v>
      </c>
    </row>
    <row r="1435" spans="1:19" x14ac:dyDescent="0.2">
      <c r="A1435" s="3" t="s">
        <v>54</v>
      </c>
      <c r="B1435" s="3" t="s">
        <v>55</v>
      </c>
      <c r="C1435">
        <v>37</v>
      </c>
      <c r="D1435">
        <v>20000</v>
      </c>
      <c r="E1435">
        <v>499</v>
      </c>
      <c r="F1435">
        <v>1</v>
      </c>
      <c r="G1435">
        <v>20000</v>
      </c>
      <c r="H1435">
        <v>3.9251436000000001E-2</v>
      </c>
      <c r="I1435">
        <v>15995</v>
      </c>
      <c r="J1435">
        <v>5169</v>
      </c>
      <c r="K1435">
        <v>10826</v>
      </c>
      <c r="L1435">
        <v>500</v>
      </c>
      <c r="M1435">
        <v>499</v>
      </c>
      <c r="N1435">
        <v>1</v>
      </c>
      <c r="O1435">
        <v>4005</v>
      </c>
      <c r="P1435" s="3" t="s">
        <v>50</v>
      </c>
      <c r="Q1435">
        <v>50</v>
      </c>
      <c r="R1435">
        <v>0.999</v>
      </c>
      <c r="S1435">
        <v>1</v>
      </c>
    </row>
    <row r="1436" spans="1:19" x14ac:dyDescent="0.2">
      <c r="A1436" s="3" t="s">
        <v>54</v>
      </c>
      <c r="B1436" s="3" t="s">
        <v>55</v>
      </c>
      <c r="C1436">
        <v>14</v>
      </c>
      <c r="D1436">
        <v>20000</v>
      </c>
      <c r="E1436">
        <v>499</v>
      </c>
      <c r="F1436">
        <v>1</v>
      </c>
      <c r="G1436">
        <v>20000</v>
      </c>
      <c r="H1436">
        <v>3.9197793000000002E-2</v>
      </c>
      <c r="I1436">
        <v>15976</v>
      </c>
      <c r="J1436">
        <v>5180</v>
      </c>
      <c r="K1436">
        <v>10796</v>
      </c>
      <c r="L1436">
        <v>500</v>
      </c>
      <c r="M1436">
        <v>499</v>
      </c>
      <c r="N1436">
        <v>1</v>
      </c>
      <c r="O1436">
        <v>4024</v>
      </c>
      <c r="P1436" s="3" t="s">
        <v>52</v>
      </c>
      <c r="Q1436">
        <v>50</v>
      </c>
      <c r="R1436">
        <v>0.999</v>
      </c>
      <c r="S1436">
        <v>1</v>
      </c>
    </row>
    <row r="1437" spans="1:19" x14ac:dyDescent="0.2">
      <c r="A1437" s="3" t="s">
        <v>54</v>
      </c>
      <c r="B1437" s="3" t="s">
        <v>55</v>
      </c>
      <c r="C1437">
        <v>3</v>
      </c>
      <c r="D1437">
        <v>20000</v>
      </c>
      <c r="E1437">
        <v>499</v>
      </c>
      <c r="F1437">
        <v>1</v>
      </c>
      <c r="G1437">
        <v>20000</v>
      </c>
      <c r="H1437">
        <v>3.9166919000000001E-2</v>
      </c>
      <c r="I1437">
        <v>16021</v>
      </c>
      <c r="J1437">
        <v>5195</v>
      </c>
      <c r="K1437">
        <v>10826</v>
      </c>
      <c r="L1437">
        <v>500</v>
      </c>
      <c r="M1437">
        <v>499</v>
      </c>
      <c r="N1437">
        <v>1</v>
      </c>
      <c r="O1437">
        <v>3979</v>
      </c>
      <c r="P1437" s="3" t="s">
        <v>50</v>
      </c>
      <c r="Q1437">
        <v>50</v>
      </c>
      <c r="R1437">
        <v>0.999</v>
      </c>
      <c r="S1437">
        <v>1</v>
      </c>
    </row>
    <row r="1438" spans="1:19" x14ac:dyDescent="0.2">
      <c r="A1438" s="3" t="s">
        <v>54</v>
      </c>
      <c r="B1438" s="3" t="s">
        <v>55</v>
      </c>
      <c r="C1438">
        <v>36</v>
      </c>
      <c r="D1438">
        <v>20000</v>
      </c>
      <c r="E1438">
        <v>499</v>
      </c>
      <c r="F1438">
        <v>1</v>
      </c>
      <c r="G1438">
        <v>20000</v>
      </c>
      <c r="H1438">
        <v>3.9120636E-2</v>
      </c>
      <c r="I1438">
        <v>15966</v>
      </c>
      <c r="J1438">
        <v>5137</v>
      </c>
      <c r="K1438">
        <v>10829</v>
      </c>
      <c r="L1438">
        <v>500</v>
      </c>
      <c r="M1438">
        <v>499</v>
      </c>
      <c r="N1438">
        <v>1</v>
      </c>
      <c r="O1438">
        <v>4034</v>
      </c>
      <c r="P1438" s="3" t="s">
        <v>50</v>
      </c>
      <c r="Q1438">
        <v>50</v>
      </c>
      <c r="R1438">
        <v>0.999</v>
      </c>
      <c r="S1438">
        <v>1</v>
      </c>
    </row>
    <row r="1439" spans="1:19" x14ac:dyDescent="0.2">
      <c r="A1439" s="3" t="s">
        <v>54</v>
      </c>
      <c r="B1439" s="3" t="s">
        <v>55</v>
      </c>
      <c r="C1439">
        <v>27</v>
      </c>
      <c r="D1439">
        <v>20000</v>
      </c>
      <c r="E1439">
        <v>499</v>
      </c>
      <c r="F1439">
        <v>1</v>
      </c>
      <c r="G1439">
        <v>20000</v>
      </c>
      <c r="H1439">
        <v>3.9088810000000002E-2</v>
      </c>
      <c r="I1439">
        <v>15988</v>
      </c>
      <c r="J1439">
        <v>5136</v>
      </c>
      <c r="K1439">
        <v>10852</v>
      </c>
      <c r="L1439">
        <v>500</v>
      </c>
      <c r="M1439">
        <v>499</v>
      </c>
      <c r="N1439">
        <v>1</v>
      </c>
      <c r="O1439">
        <v>4012</v>
      </c>
      <c r="P1439" s="3" t="s">
        <v>52</v>
      </c>
      <c r="Q1439">
        <v>50</v>
      </c>
      <c r="R1439">
        <v>0.999</v>
      </c>
      <c r="S1439">
        <v>1</v>
      </c>
    </row>
    <row r="1440" spans="1:19" x14ac:dyDescent="0.2">
      <c r="A1440" s="3" t="s">
        <v>54</v>
      </c>
      <c r="B1440" s="3" t="s">
        <v>55</v>
      </c>
      <c r="C1440">
        <v>29</v>
      </c>
      <c r="D1440">
        <v>20000</v>
      </c>
      <c r="E1440">
        <v>499</v>
      </c>
      <c r="F1440">
        <v>1</v>
      </c>
      <c r="G1440">
        <v>20000</v>
      </c>
      <c r="H1440">
        <v>3.89621E-2</v>
      </c>
      <c r="I1440">
        <v>15986</v>
      </c>
      <c r="J1440">
        <v>5198</v>
      </c>
      <c r="K1440">
        <v>10788</v>
      </c>
      <c r="L1440">
        <v>500</v>
      </c>
      <c r="M1440">
        <v>499</v>
      </c>
      <c r="N1440">
        <v>1</v>
      </c>
      <c r="O1440">
        <v>4014</v>
      </c>
      <c r="P1440" s="3" t="s">
        <v>52</v>
      </c>
      <c r="Q1440">
        <v>50</v>
      </c>
      <c r="R1440">
        <v>0.999</v>
      </c>
      <c r="S1440">
        <v>1</v>
      </c>
    </row>
    <row r="1441" spans="1:19" x14ac:dyDescent="0.2">
      <c r="A1441" s="3" t="s">
        <v>54</v>
      </c>
      <c r="B1441" s="3" t="s">
        <v>55</v>
      </c>
      <c r="C1441">
        <v>2</v>
      </c>
      <c r="D1441">
        <v>20000</v>
      </c>
      <c r="E1441">
        <v>499</v>
      </c>
      <c r="F1441">
        <v>1</v>
      </c>
      <c r="G1441">
        <v>20000</v>
      </c>
      <c r="H1441">
        <v>3.8918009000000003E-2</v>
      </c>
      <c r="I1441">
        <v>16001</v>
      </c>
      <c r="J1441">
        <v>5164</v>
      </c>
      <c r="K1441">
        <v>10837</v>
      </c>
      <c r="L1441">
        <v>500</v>
      </c>
      <c r="M1441">
        <v>499</v>
      </c>
      <c r="N1441">
        <v>1</v>
      </c>
      <c r="O1441">
        <v>3999</v>
      </c>
      <c r="P1441" s="3" t="s">
        <v>52</v>
      </c>
      <c r="Q1441">
        <v>50</v>
      </c>
      <c r="R1441">
        <v>0.999</v>
      </c>
      <c r="S1441">
        <v>1</v>
      </c>
    </row>
    <row r="1442" spans="1:19" x14ac:dyDescent="0.2">
      <c r="A1442" s="3" t="s">
        <v>54</v>
      </c>
      <c r="B1442" s="3" t="s">
        <v>55</v>
      </c>
      <c r="C1442">
        <v>20</v>
      </c>
      <c r="D1442">
        <v>18000</v>
      </c>
      <c r="E1442">
        <v>499</v>
      </c>
      <c r="F1442">
        <v>1</v>
      </c>
      <c r="G1442">
        <v>18000</v>
      </c>
      <c r="H1442">
        <v>3.8888693000000002E-2</v>
      </c>
      <c r="I1442">
        <v>15235</v>
      </c>
      <c r="J1442">
        <v>4900</v>
      </c>
      <c r="K1442">
        <v>10335</v>
      </c>
      <c r="L1442">
        <v>500</v>
      </c>
      <c r="M1442">
        <v>499</v>
      </c>
      <c r="N1442">
        <v>1</v>
      </c>
      <c r="O1442">
        <v>2765</v>
      </c>
      <c r="P1442" s="3" t="s">
        <v>50</v>
      </c>
      <c r="Q1442">
        <v>50</v>
      </c>
      <c r="R1442">
        <v>0.999</v>
      </c>
      <c r="S1442">
        <v>1</v>
      </c>
    </row>
    <row r="1443" spans="1:19" x14ac:dyDescent="0.2">
      <c r="A1443" s="3" t="s">
        <v>54</v>
      </c>
      <c r="B1443" s="3" t="s">
        <v>55</v>
      </c>
      <c r="C1443">
        <v>17</v>
      </c>
      <c r="D1443">
        <v>20000</v>
      </c>
      <c r="E1443">
        <v>499</v>
      </c>
      <c r="F1443">
        <v>1</v>
      </c>
      <c r="G1443">
        <v>20000</v>
      </c>
      <c r="H1443">
        <v>3.8885164999999999E-2</v>
      </c>
      <c r="I1443">
        <v>15986</v>
      </c>
      <c r="J1443">
        <v>5175</v>
      </c>
      <c r="K1443">
        <v>10811</v>
      </c>
      <c r="L1443">
        <v>500</v>
      </c>
      <c r="M1443">
        <v>499</v>
      </c>
      <c r="N1443">
        <v>1</v>
      </c>
      <c r="O1443">
        <v>4014</v>
      </c>
      <c r="P1443" s="3" t="s">
        <v>50</v>
      </c>
      <c r="Q1443">
        <v>50</v>
      </c>
      <c r="R1443">
        <v>0.999</v>
      </c>
      <c r="S1443">
        <v>1</v>
      </c>
    </row>
    <row r="1444" spans="1:19" x14ac:dyDescent="0.2">
      <c r="A1444" s="3" t="s">
        <v>54</v>
      </c>
      <c r="B1444" s="3" t="s">
        <v>55</v>
      </c>
      <c r="C1444">
        <v>2</v>
      </c>
      <c r="D1444">
        <v>20000</v>
      </c>
      <c r="E1444">
        <v>499</v>
      </c>
      <c r="F1444">
        <v>1</v>
      </c>
      <c r="G1444">
        <v>20000</v>
      </c>
      <c r="H1444">
        <v>3.8872349E-2</v>
      </c>
      <c r="I1444">
        <v>15977</v>
      </c>
      <c r="J1444">
        <v>5148</v>
      </c>
      <c r="K1444">
        <v>10829</v>
      </c>
      <c r="L1444">
        <v>500</v>
      </c>
      <c r="M1444">
        <v>499</v>
      </c>
      <c r="N1444">
        <v>1</v>
      </c>
      <c r="O1444">
        <v>4023</v>
      </c>
      <c r="P1444" s="3" t="s">
        <v>50</v>
      </c>
      <c r="Q1444">
        <v>50</v>
      </c>
      <c r="R1444">
        <v>0.999</v>
      </c>
      <c r="S1444">
        <v>1</v>
      </c>
    </row>
    <row r="1445" spans="1:19" x14ac:dyDescent="0.2">
      <c r="A1445" s="3" t="s">
        <v>54</v>
      </c>
      <c r="B1445" s="3" t="s">
        <v>55</v>
      </c>
      <c r="C1445">
        <v>9</v>
      </c>
      <c r="D1445">
        <v>20000</v>
      </c>
      <c r="E1445">
        <v>499</v>
      </c>
      <c r="F1445">
        <v>1</v>
      </c>
      <c r="G1445">
        <v>20000</v>
      </c>
      <c r="H1445">
        <v>3.8758637999999998E-2</v>
      </c>
      <c r="I1445">
        <v>15985</v>
      </c>
      <c r="J1445">
        <v>5173</v>
      </c>
      <c r="K1445">
        <v>10812</v>
      </c>
      <c r="L1445">
        <v>500</v>
      </c>
      <c r="M1445">
        <v>499</v>
      </c>
      <c r="N1445">
        <v>1</v>
      </c>
      <c r="O1445">
        <v>4015</v>
      </c>
      <c r="P1445" s="3" t="s">
        <v>52</v>
      </c>
      <c r="Q1445">
        <v>50</v>
      </c>
      <c r="R1445">
        <v>0.999</v>
      </c>
      <c r="S1445">
        <v>1</v>
      </c>
    </row>
    <row r="1446" spans="1:19" x14ac:dyDescent="0.2">
      <c r="A1446" s="3" t="s">
        <v>54</v>
      </c>
      <c r="B1446" s="3" t="s">
        <v>55</v>
      </c>
      <c r="C1446">
        <v>10</v>
      </c>
      <c r="D1446">
        <v>20000</v>
      </c>
      <c r="E1446">
        <v>499</v>
      </c>
      <c r="F1446">
        <v>1</v>
      </c>
      <c r="G1446">
        <v>20000</v>
      </c>
      <c r="H1446">
        <v>3.8754082000000002E-2</v>
      </c>
      <c r="I1446">
        <v>15997</v>
      </c>
      <c r="J1446">
        <v>5171</v>
      </c>
      <c r="K1446">
        <v>10826</v>
      </c>
      <c r="L1446">
        <v>500</v>
      </c>
      <c r="M1446">
        <v>499</v>
      </c>
      <c r="N1446">
        <v>1</v>
      </c>
      <c r="O1446">
        <v>4003</v>
      </c>
      <c r="P1446" s="3" t="s">
        <v>50</v>
      </c>
      <c r="Q1446">
        <v>50</v>
      </c>
      <c r="R1446">
        <v>0.999</v>
      </c>
      <c r="S1446">
        <v>1</v>
      </c>
    </row>
    <row r="1447" spans="1:19" x14ac:dyDescent="0.2">
      <c r="A1447" s="3" t="s">
        <v>54</v>
      </c>
      <c r="B1447" s="3" t="s">
        <v>55</v>
      </c>
      <c r="C1447">
        <v>49</v>
      </c>
      <c r="D1447">
        <v>20000</v>
      </c>
      <c r="E1447">
        <v>499</v>
      </c>
      <c r="F1447">
        <v>1</v>
      </c>
      <c r="G1447">
        <v>20000</v>
      </c>
      <c r="H1447">
        <v>3.8742651000000003E-2</v>
      </c>
      <c r="I1447">
        <v>15974</v>
      </c>
      <c r="J1447">
        <v>5152</v>
      </c>
      <c r="K1447">
        <v>10822</v>
      </c>
      <c r="L1447">
        <v>500</v>
      </c>
      <c r="M1447">
        <v>499</v>
      </c>
      <c r="N1447">
        <v>1</v>
      </c>
      <c r="O1447">
        <v>4026</v>
      </c>
      <c r="P1447" s="3" t="s">
        <v>52</v>
      </c>
      <c r="Q1447">
        <v>50</v>
      </c>
      <c r="R1447">
        <v>0.999</v>
      </c>
      <c r="S1447">
        <v>1</v>
      </c>
    </row>
    <row r="1448" spans="1:19" x14ac:dyDescent="0.2">
      <c r="A1448" s="3" t="s">
        <v>54</v>
      </c>
      <c r="B1448" s="3" t="s">
        <v>55</v>
      </c>
      <c r="C1448">
        <v>30</v>
      </c>
      <c r="D1448">
        <v>20000</v>
      </c>
      <c r="E1448">
        <v>499</v>
      </c>
      <c r="F1448">
        <v>1</v>
      </c>
      <c r="G1448">
        <v>20000</v>
      </c>
      <c r="H1448">
        <v>3.8713363000000001E-2</v>
      </c>
      <c r="I1448">
        <v>16022</v>
      </c>
      <c r="J1448">
        <v>5154</v>
      </c>
      <c r="K1448">
        <v>10868</v>
      </c>
      <c r="L1448">
        <v>500</v>
      </c>
      <c r="M1448">
        <v>499</v>
      </c>
      <c r="N1448">
        <v>1</v>
      </c>
      <c r="O1448">
        <v>3978</v>
      </c>
      <c r="P1448" s="3" t="s">
        <v>50</v>
      </c>
      <c r="Q1448">
        <v>50</v>
      </c>
      <c r="R1448">
        <v>0.999</v>
      </c>
      <c r="S1448">
        <v>1</v>
      </c>
    </row>
    <row r="1449" spans="1:19" x14ac:dyDescent="0.2">
      <c r="A1449" s="3" t="s">
        <v>54</v>
      </c>
      <c r="B1449" s="3" t="s">
        <v>55</v>
      </c>
      <c r="C1449">
        <v>18</v>
      </c>
      <c r="D1449">
        <v>20000</v>
      </c>
      <c r="E1449">
        <v>499</v>
      </c>
      <c r="F1449">
        <v>1</v>
      </c>
      <c r="G1449">
        <v>20000</v>
      </c>
      <c r="H1449">
        <v>3.8710263000000002E-2</v>
      </c>
      <c r="I1449">
        <v>15994</v>
      </c>
      <c r="J1449">
        <v>5178</v>
      </c>
      <c r="K1449">
        <v>10816</v>
      </c>
      <c r="L1449">
        <v>500</v>
      </c>
      <c r="M1449">
        <v>499</v>
      </c>
      <c r="N1449">
        <v>1</v>
      </c>
      <c r="O1449">
        <v>4006</v>
      </c>
      <c r="P1449" s="3" t="s">
        <v>52</v>
      </c>
      <c r="Q1449">
        <v>50</v>
      </c>
      <c r="R1449">
        <v>0.999</v>
      </c>
      <c r="S1449">
        <v>1</v>
      </c>
    </row>
    <row r="1450" spans="1:19" x14ac:dyDescent="0.2">
      <c r="A1450" s="3" t="s">
        <v>54</v>
      </c>
      <c r="B1450" s="3" t="s">
        <v>55</v>
      </c>
      <c r="C1450">
        <v>14</v>
      </c>
      <c r="D1450">
        <v>20000</v>
      </c>
      <c r="E1450">
        <v>499</v>
      </c>
      <c r="F1450">
        <v>1</v>
      </c>
      <c r="G1450">
        <v>20000</v>
      </c>
      <c r="H1450">
        <v>3.8691217E-2</v>
      </c>
      <c r="I1450">
        <v>15993</v>
      </c>
      <c r="J1450">
        <v>5162</v>
      </c>
      <c r="K1450">
        <v>10831</v>
      </c>
      <c r="L1450">
        <v>500</v>
      </c>
      <c r="M1450">
        <v>499</v>
      </c>
      <c r="N1450">
        <v>1</v>
      </c>
      <c r="O1450">
        <v>4007</v>
      </c>
      <c r="P1450" s="3" t="s">
        <v>50</v>
      </c>
      <c r="Q1450">
        <v>50</v>
      </c>
      <c r="R1450">
        <v>0.999</v>
      </c>
      <c r="S1450">
        <v>1</v>
      </c>
    </row>
    <row r="1451" spans="1:19" x14ac:dyDescent="0.2">
      <c r="A1451" s="3" t="s">
        <v>54</v>
      </c>
      <c r="B1451" s="3" t="s">
        <v>55</v>
      </c>
      <c r="C1451">
        <v>33</v>
      </c>
      <c r="D1451">
        <v>20000</v>
      </c>
      <c r="E1451">
        <v>499</v>
      </c>
      <c r="F1451">
        <v>1</v>
      </c>
      <c r="G1451">
        <v>20000</v>
      </c>
      <c r="H1451">
        <v>3.8686789999999999E-2</v>
      </c>
      <c r="I1451">
        <v>16002</v>
      </c>
      <c r="J1451">
        <v>5181</v>
      </c>
      <c r="K1451">
        <v>10821</v>
      </c>
      <c r="L1451">
        <v>500</v>
      </c>
      <c r="M1451">
        <v>499</v>
      </c>
      <c r="N1451">
        <v>1</v>
      </c>
      <c r="O1451">
        <v>3998</v>
      </c>
      <c r="P1451" s="3" t="s">
        <v>52</v>
      </c>
      <c r="Q1451">
        <v>50</v>
      </c>
      <c r="R1451">
        <v>0.999</v>
      </c>
      <c r="S1451">
        <v>1</v>
      </c>
    </row>
    <row r="1452" spans="1:19" x14ac:dyDescent="0.2">
      <c r="A1452" s="3" t="s">
        <v>54</v>
      </c>
      <c r="B1452" s="3" t="s">
        <v>55</v>
      </c>
      <c r="C1452">
        <v>35</v>
      </c>
      <c r="D1452">
        <v>20000</v>
      </c>
      <c r="E1452">
        <v>499</v>
      </c>
      <c r="F1452">
        <v>1</v>
      </c>
      <c r="G1452">
        <v>20000</v>
      </c>
      <c r="H1452">
        <v>3.8681279999999998E-2</v>
      </c>
      <c r="I1452">
        <v>15990</v>
      </c>
      <c r="J1452">
        <v>5172</v>
      </c>
      <c r="K1452">
        <v>10818</v>
      </c>
      <c r="L1452">
        <v>500</v>
      </c>
      <c r="M1452">
        <v>499</v>
      </c>
      <c r="N1452">
        <v>1</v>
      </c>
      <c r="O1452">
        <v>4010</v>
      </c>
      <c r="P1452" s="3" t="s">
        <v>52</v>
      </c>
      <c r="Q1452">
        <v>50</v>
      </c>
      <c r="R1452">
        <v>0.999</v>
      </c>
      <c r="S1452">
        <v>1</v>
      </c>
    </row>
    <row r="1453" spans="1:19" x14ac:dyDescent="0.2">
      <c r="A1453" s="3" t="s">
        <v>54</v>
      </c>
      <c r="B1453" s="3" t="s">
        <v>55</v>
      </c>
      <c r="C1453">
        <v>14</v>
      </c>
      <c r="D1453">
        <v>15000</v>
      </c>
      <c r="E1453">
        <v>499</v>
      </c>
      <c r="F1453">
        <v>1</v>
      </c>
      <c r="G1453">
        <v>15000</v>
      </c>
      <c r="H1453">
        <v>3.8676165999999998E-2</v>
      </c>
      <c r="I1453">
        <v>13463</v>
      </c>
      <c r="J1453">
        <v>4986</v>
      </c>
      <c r="K1453">
        <v>8477</v>
      </c>
      <c r="L1453">
        <v>500</v>
      </c>
      <c r="M1453">
        <v>499</v>
      </c>
      <c r="N1453">
        <v>1</v>
      </c>
      <c r="O1453">
        <v>1537</v>
      </c>
      <c r="P1453" s="3" t="s">
        <v>51</v>
      </c>
      <c r="Q1453">
        <v>50</v>
      </c>
      <c r="R1453">
        <v>0.999</v>
      </c>
      <c r="S1453">
        <v>1</v>
      </c>
    </row>
    <row r="1454" spans="1:19" x14ac:dyDescent="0.2">
      <c r="A1454" s="3" t="s">
        <v>54</v>
      </c>
      <c r="B1454" s="3" t="s">
        <v>55</v>
      </c>
      <c r="C1454">
        <v>5</v>
      </c>
      <c r="D1454">
        <v>15000</v>
      </c>
      <c r="E1454">
        <v>499</v>
      </c>
      <c r="F1454">
        <v>1</v>
      </c>
      <c r="G1454">
        <v>15000</v>
      </c>
      <c r="H1454">
        <v>3.8620303000000002E-2</v>
      </c>
      <c r="I1454">
        <v>13465</v>
      </c>
      <c r="J1454">
        <v>4980</v>
      </c>
      <c r="K1454">
        <v>8485</v>
      </c>
      <c r="L1454">
        <v>500</v>
      </c>
      <c r="M1454">
        <v>499</v>
      </c>
      <c r="N1454">
        <v>1</v>
      </c>
      <c r="O1454">
        <v>1535</v>
      </c>
      <c r="P1454" s="3" t="s">
        <v>51</v>
      </c>
      <c r="Q1454">
        <v>50</v>
      </c>
      <c r="R1454">
        <v>0.999</v>
      </c>
      <c r="S1454">
        <v>1</v>
      </c>
    </row>
    <row r="1455" spans="1:19" x14ac:dyDescent="0.2">
      <c r="A1455" s="3" t="s">
        <v>54</v>
      </c>
      <c r="B1455" s="3" t="s">
        <v>55</v>
      </c>
      <c r="C1455">
        <v>48</v>
      </c>
      <c r="D1455">
        <v>20000</v>
      </c>
      <c r="E1455">
        <v>499</v>
      </c>
      <c r="F1455">
        <v>1</v>
      </c>
      <c r="G1455">
        <v>20000</v>
      </c>
      <c r="H1455">
        <v>3.8524923000000003E-2</v>
      </c>
      <c r="I1455">
        <v>16015</v>
      </c>
      <c r="J1455">
        <v>5158</v>
      </c>
      <c r="K1455">
        <v>10857</v>
      </c>
      <c r="L1455">
        <v>500</v>
      </c>
      <c r="M1455">
        <v>499</v>
      </c>
      <c r="N1455">
        <v>1</v>
      </c>
      <c r="O1455">
        <v>3985</v>
      </c>
      <c r="P1455" s="3" t="s">
        <v>50</v>
      </c>
      <c r="Q1455">
        <v>50</v>
      </c>
      <c r="R1455">
        <v>0.999</v>
      </c>
      <c r="S1455">
        <v>1</v>
      </c>
    </row>
    <row r="1456" spans="1:19" x14ac:dyDescent="0.2">
      <c r="A1456" s="3" t="s">
        <v>54</v>
      </c>
      <c r="B1456" s="3" t="s">
        <v>55</v>
      </c>
      <c r="C1456">
        <v>18</v>
      </c>
      <c r="D1456">
        <v>15000</v>
      </c>
      <c r="E1456">
        <v>499</v>
      </c>
      <c r="F1456">
        <v>1</v>
      </c>
      <c r="G1456">
        <v>15000</v>
      </c>
      <c r="H1456">
        <v>3.8493905000000002E-2</v>
      </c>
      <c r="I1456">
        <v>13479</v>
      </c>
      <c r="J1456">
        <v>5005</v>
      </c>
      <c r="K1456">
        <v>8474</v>
      </c>
      <c r="L1456">
        <v>500</v>
      </c>
      <c r="M1456">
        <v>499</v>
      </c>
      <c r="N1456">
        <v>1</v>
      </c>
      <c r="O1456">
        <v>1521</v>
      </c>
      <c r="P1456" s="3" t="s">
        <v>51</v>
      </c>
      <c r="Q1456">
        <v>50</v>
      </c>
      <c r="R1456">
        <v>0.999</v>
      </c>
      <c r="S1456">
        <v>1</v>
      </c>
    </row>
    <row r="1457" spans="1:19" x14ac:dyDescent="0.2">
      <c r="A1457" s="3" t="s">
        <v>54</v>
      </c>
      <c r="B1457" s="3" t="s">
        <v>55</v>
      </c>
      <c r="C1457">
        <v>1</v>
      </c>
      <c r="D1457">
        <v>20000</v>
      </c>
      <c r="E1457">
        <v>499</v>
      </c>
      <c r="F1457">
        <v>1</v>
      </c>
      <c r="G1457">
        <v>20000</v>
      </c>
      <c r="H1457">
        <v>3.8484325E-2</v>
      </c>
      <c r="I1457">
        <v>15983</v>
      </c>
      <c r="J1457">
        <v>5183</v>
      </c>
      <c r="K1457">
        <v>10800</v>
      </c>
      <c r="L1457">
        <v>500</v>
      </c>
      <c r="M1457">
        <v>499</v>
      </c>
      <c r="N1457">
        <v>1</v>
      </c>
      <c r="O1457">
        <v>4017</v>
      </c>
      <c r="P1457" s="3" t="s">
        <v>50</v>
      </c>
      <c r="Q1457">
        <v>50</v>
      </c>
      <c r="R1457">
        <v>0.999</v>
      </c>
      <c r="S1457">
        <v>1</v>
      </c>
    </row>
    <row r="1458" spans="1:19" x14ac:dyDescent="0.2">
      <c r="A1458" s="3" t="s">
        <v>54</v>
      </c>
      <c r="B1458" s="3" t="s">
        <v>55</v>
      </c>
      <c r="C1458">
        <v>7</v>
      </c>
      <c r="D1458">
        <v>20000</v>
      </c>
      <c r="E1458">
        <v>499</v>
      </c>
      <c r="F1458">
        <v>1</v>
      </c>
      <c r="G1458">
        <v>20000</v>
      </c>
      <c r="H1458">
        <v>3.8457722999999999E-2</v>
      </c>
      <c r="I1458">
        <v>15958</v>
      </c>
      <c r="J1458">
        <v>5161</v>
      </c>
      <c r="K1458">
        <v>10797</v>
      </c>
      <c r="L1458">
        <v>500</v>
      </c>
      <c r="M1458">
        <v>499</v>
      </c>
      <c r="N1458">
        <v>1</v>
      </c>
      <c r="O1458">
        <v>4042</v>
      </c>
      <c r="P1458" s="3" t="s">
        <v>50</v>
      </c>
      <c r="Q1458">
        <v>50</v>
      </c>
      <c r="R1458">
        <v>0.999</v>
      </c>
      <c r="S1458">
        <v>1</v>
      </c>
    </row>
    <row r="1459" spans="1:19" x14ac:dyDescent="0.2">
      <c r="A1459" s="3" t="s">
        <v>54</v>
      </c>
      <c r="B1459" s="3" t="s">
        <v>55</v>
      </c>
      <c r="C1459">
        <v>18</v>
      </c>
      <c r="D1459">
        <v>20000</v>
      </c>
      <c r="E1459">
        <v>499</v>
      </c>
      <c r="F1459">
        <v>1</v>
      </c>
      <c r="G1459">
        <v>20000</v>
      </c>
      <c r="H1459">
        <v>3.8442480000000001E-2</v>
      </c>
      <c r="I1459">
        <v>15998</v>
      </c>
      <c r="J1459">
        <v>5194</v>
      </c>
      <c r="K1459">
        <v>10804</v>
      </c>
      <c r="L1459">
        <v>500</v>
      </c>
      <c r="M1459">
        <v>499</v>
      </c>
      <c r="N1459">
        <v>1</v>
      </c>
      <c r="O1459">
        <v>4002</v>
      </c>
      <c r="P1459" s="3" t="s">
        <v>50</v>
      </c>
      <c r="Q1459">
        <v>50</v>
      </c>
      <c r="R1459">
        <v>0.999</v>
      </c>
      <c r="S1459">
        <v>1</v>
      </c>
    </row>
    <row r="1460" spans="1:19" x14ac:dyDescent="0.2">
      <c r="A1460" s="3" t="s">
        <v>54</v>
      </c>
      <c r="B1460" s="3" t="s">
        <v>55</v>
      </c>
      <c r="C1460">
        <v>5</v>
      </c>
      <c r="D1460">
        <v>20000</v>
      </c>
      <c r="E1460">
        <v>499</v>
      </c>
      <c r="F1460">
        <v>1</v>
      </c>
      <c r="G1460">
        <v>20000</v>
      </c>
      <c r="H1460">
        <v>3.8407141999999998E-2</v>
      </c>
      <c r="I1460">
        <v>16010</v>
      </c>
      <c r="J1460">
        <v>5167</v>
      </c>
      <c r="K1460">
        <v>10843</v>
      </c>
      <c r="L1460">
        <v>500</v>
      </c>
      <c r="M1460">
        <v>499</v>
      </c>
      <c r="N1460">
        <v>1</v>
      </c>
      <c r="O1460">
        <v>3990</v>
      </c>
      <c r="P1460" s="3" t="s">
        <v>50</v>
      </c>
      <c r="Q1460">
        <v>50</v>
      </c>
      <c r="R1460">
        <v>0.999</v>
      </c>
      <c r="S1460">
        <v>1</v>
      </c>
    </row>
    <row r="1461" spans="1:19" x14ac:dyDescent="0.2">
      <c r="A1461" s="3" t="s">
        <v>54</v>
      </c>
      <c r="B1461" s="3" t="s">
        <v>55</v>
      </c>
      <c r="C1461">
        <v>2</v>
      </c>
      <c r="D1461">
        <v>10000</v>
      </c>
      <c r="E1461">
        <v>499</v>
      </c>
      <c r="F1461">
        <v>1</v>
      </c>
      <c r="G1461">
        <v>10000</v>
      </c>
      <c r="H1461">
        <v>3.8395462999999998E-2</v>
      </c>
      <c r="I1461">
        <v>10000</v>
      </c>
      <c r="J1461">
        <v>4183</v>
      </c>
      <c r="K1461">
        <v>5817</v>
      </c>
      <c r="L1461">
        <v>500</v>
      </c>
      <c r="M1461">
        <v>499</v>
      </c>
      <c r="N1461">
        <v>1</v>
      </c>
      <c r="O1461">
        <v>0</v>
      </c>
      <c r="P1461" s="3" t="s">
        <v>51</v>
      </c>
      <c r="Q1461">
        <v>50</v>
      </c>
      <c r="R1461">
        <v>0.999</v>
      </c>
      <c r="S1461">
        <v>1</v>
      </c>
    </row>
    <row r="1462" spans="1:19" x14ac:dyDescent="0.2">
      <c r="A1462" s="3" t="s">
        <v>54</v>
      </c>
      <c r="B1462" s="3" t="s">
        <v>55</v>
      </c>
      <c r="C1462">
        <v>24</v>
      </c>
      <c r="D1462">
        <v>20000</v>
      </c>
      <c r="E1462">
        <v>499</v>
      </c>
      <c r="F1462">
        <v>1</v>
      </c>
      <c r="G1462">
        <v>20000</v>
      </c>
      <c r="H1462">
        <v>3.8351822000000001E-2</v>
      </c>
      <c r="I1462">
        <v>16003</v>
      </c>
      <c r="J1462">
        <v>5167</v>
      </c>
      <c r="K1462">
        <v>10836</v>
      </c>
      <c r="L1462">
        <v>500</v>
      </c>
      <c r="M1462">
        <v>499</v>
      </c>
      <c r="N1462">
        <v>1</v>
      </c>
      <c r="O1462">
        <v>3997</v>
      </c>
      <c r="P1462" s="3" t="s">
        <v>52</v>
      </c>
      <c r="Q1462">
        <v>50</v>
      </c>
      <c r="R1462">
        <v>0.999</v>
      </c>
      <c r="S1462">
        <v>1</v>
      </c>
    </row>
    <row r="1463" spans="1:19" x14ac:dyDescent="0.2">
      <c r="A1463" s="3" t="s">
        <v>54</v>
      </c>
      <c r="B1463" s="3" t="s">
        <v>55</v>
      </c>
      <c r="C1463">
        <v>4</v>
      </c>
      <c r="D1463">
        <v>20000</v>
      </c>
      <c r="E1463">
        <v>499</v>
      </c>
      <c r="F1463">
        <v>1</v>
      </c>
      <c r="G1463">
        <v>20000</v>
      </c>
      <c r="H1463">
        <v>3.8320635999999998E-2</v>
      </c>
      <c r="I1463">
        <v>15952</v>
      </c>
      <c r="J1463">
        <v>5119</v>
      </c>
      <c r="K1463">
        <v>10833</v>
      </c>
      <c r="L1463">
        <v>500</v>
      </c>
      <c r="M1463">
        <v>499</v>
      </c>
      <c r="N1463">
        <v>1</v>
      </c>
      <c r="O1463">
        <v>4048</v>
      </c>
      <c r="P1463" s="3" t="s">
        <v>50</v>
      </c>
      <c r="Q1463">
        <v>50</v>
      </c>
      <c r="R1463">
        <v>0.999</v>
      </c>
      <c r="S1463">
        <v>1</v>
      </c>
    </row>
    <row r="1464" spans="1:19" x14ac:dyDescent="0.2">
      <c r="A1464" s="3" t="s">
        <v>54</v>
      </c>
      <c r="B1464" s="3" t="s">
        <v>55</v>
      </c>
      <c r="C1464">
        <v>34</v>
      </c>
      <c r="D1464">
        <v>20000</v>
      </c>
      <c r="E1464">
        <v>499</v>
      </c>
      <c r="F1464">
        <v>1</v>
      </c>
      <c r="G1464">
        <v>20000</v>
      </c>
      <c r="H1464">
        <v>3.8313660999999999E-2</v>
      </c>
      <c r="I1464">
        <v>15977</v>
      </c>
      <c r="J1464">
        <v>5133</v>
      </c>
      <c r="K1464">
        <v>10844</v>
      </c>
      <c r="L1464">
        <v>500</v>
      </c>
      <c r="M1464">
        <v>499</v>
      </c>
      <c r="N1464">
        <v>1</v>
      </c>
      <c r="O1464">
        <v>4023</v>
      </c>
      <c r="P1464" s="3" t="s">
        <v>50</v>
      </c>
      <c r="Q1464">
        <v>50</v>
      </c>
      <c r="R1464">
        <v>0.999</v>
      </c>
      <c r="S1464">
        <v>1</v>
      </c>
    </row>
    <row r="1465" spans="1:19" x14ac:dyDescent="0.2">
      <c r="A1465" s="3" t="s">
        <v>54</v>
      </c>
      <c r="B1465" s="3" t="s">
        <v>55</v>
      </c>
      <c r="C1465">
        <v>39</v>
      </c>
      <c r="D1465">
        <v>20000</v>
      </c>
      <c r="E1465">
        <v>499</v>
      </c>
      <c r="F1465">
        <v>1</v>
      </c>
      <c r="G1465">
        <v>20000</v>
      </c>
      <c r="H1465">
        <v>3.8294649E-2</v>
      </c>
      <c r="I1465">
        <v>15969</v>
      </c>
      <c r="J1465">
        <v>5137</v>
      </c>
      <c r="K1465">
        <v>10832</v>
      </c>
      <c r="L1465">
        <v>500</v>
      </c>
      <c r="M1465">
        <v>499</v>
      </c>
      <c r="N1465">
        <v>1</v>
      </c>
      <c r="O1465">
        <v>4031</v>
      </c>
      <c r="P1465" s="3" t="s">
        <v>50</v>
      </c>
      <c r="Q1465">
        <v>50</v>
      </c>
      <c r="R1465">
        <v>0.999</v>
      </c>
      <c r="S1465">
        <v>1</v>
      </c>
    </row>
    <row r="1466" spans="1:19" x14ac:dyDescent="0.2">
      <c r="A1466" s="3" t="s">
        <v>54</v>
      </c>
      <c r="B1466" s="3" t="s">
        <v>55</v>
      </c>
      <c r="C1466">
        <v>33</v>
      </c>
      <c r="D1466">
        <v>20000</v>
      </c>
      <c r="E1466">
        <v>499</v>
      </c>
      <c r="F1466">
        <v>1</v>
      </c>
      <c r="G1466">
        <v>20000</v>
      </c>
      <c r="H1466">
        <v>3.8290093999999997E-2</v>
      </c>
      <c r="I1466">
        <v>15986</v>
      </c>
      <c r="J1466">
        <v>5159</v>
      </c>
      <c r="K1466">
        <v>10827</v>
      </c>
      <c r="L1466">
        <v>500</v>
      </c>
      <c r="M1466">
        <v>499</v>
      </c>
      <c r="N1466">
        <v>1</v>
      </c>
      <c r="O1466">
        <v>4014</v>
      </c>
      <c r="P1466" s="3" t="s">
        <v>50</v>
      </c>
      <c r="Q1466">
        <v>50</v>
      </c>
      <c r="R1466">
        <v>0.999</v>
      </c>
      <c r="S1466">
        <v>1</v>
      </c>
    </row>
    <row r="1467" spans="1:19" x14ac:dyDescent="0.2">
      <c r="A1467" s="3" t="s">
        <v>54</v>
      </c>
      <c r="B1467" s="3" t="s">
        <v>55</v>
      </c>
      <c r="C1467">
        <v>31</v>
      </c>
      <c r="D1467">
        <v>20000</v>
      </c>
      <c r="E1467">
        <v>499</v>
      </c>
      <c r="F1467">
        <v>1</v>
      </c>
      <c r="G1467">
        <v>20000</v>
      </c>
      <c r="H1467">
        <v>3.8218145000000002E-2</v>
      </c>
      <c r="I1467">
        <v>15964</v>
      </c>
      <c r="J1467">
        <v>5160</v>
      </c>
      <c r="K1467">
        <v>10804</v>
      </c>
      <c r="L1467">
        <v>500</v>
      </c>
      <c r="M1467">
        <v>499</v>
      </c>
      <c r="N1467">
        <v>1</v>
      </c>
      <c r="O1467">
        <v>4036</v>
      </c>
      <c r="P1467" s="3" t="s">
        <v>50</v>
      </c>
      <c r="Q1467">
        <v>50</v>
      </c>
      <c r="R1467">
        <v>0.999</v>
      </c>
      <c r="S1467">
        <v>1</v>
      </c>
    </row>
    <row r="1468" spans="1:19" x14ac:dyDescent="0.2">
      <c r="A1468" s="3" t="s">
        <v>54</v>
      </c>
      <c r="B1468" s="3" t="s">
        <v>55</v>
      </c>
      <c r="C1468">
        <v>6</v>
      </c>
      <c r="D1468">
        <v>20000</v>
      </c>
      <c r="E1468">
        <v>499</v>
      </c>
      <c r="F1468">
        <v>1</v>
      </c>
      <c r="G1468">
        <v>20000</v>
      </c>
      <c r="H1468">
        <v>3.8202369E-2</v>
      </c>
      <c r="I1468">
        <v>15989</v>
      </c>
      <c r="J1468">
        <v>5180</v>
      </c>
      <c r="K1468">
        <v>10809</v>
      </c>
      <c r="L1468">
        <v>500</v>
      </c>
      <c r="M1468">
        <v>499</v>
      </c>
      <c r="N1468">
        <v>1</v>
      </c>
      <c r="O1468">
        <v>4011</v>
      </c>
      <c r="P1468" s="3" t="s">
        <v>52</v>
      </c>
      <c r="Q1468">
        <v>50</v>
      </c>
      <c r="R1468">
        <v>0.999</v>
      </c>
      <c r="S1468">
        <v>1</v>
      </c>
    </row>
    <row r="1469" spans="1:19" x14ac:dyDescent="0.2">
      <c r="A1469" s="3" t="s">
        <v>54</v>
      </c>
      <c r="B1469" s="3" t="s">
        <v>55</v>
      </c>
      <c r="C1469">
        <v>49</v>
      </c>
      <c r="D1469">
        <v>20000</v>
      </c>
      <c r="E1469">
        <v>499</v>
      </c>
      <c r="F1469">
        <v>1</v>
      </c>
      <c r="G1469">
        <v>20000</v>
      </c>
      <c r="H1469">
        <v>3.8174914999999997E-2</v>
      </c>
      <c r="I1469">
        <v>15990</v>
      </c>
      <c r="J1469">
        <v>5173</v>
      </c>
      <c r="K1469">
        <v>10817</v>
      </c>
      <c r="L1469">
        <v>500</v>
      </c>
      <c r="M1469">
        <v>499</v>
      </c>
      <c r="N1469">
        <v>1</v>
      </c>
      <c r="O1469">
        <v>4010</v>
      </c>
      <c r="P1469" s="3" t="s">
        <v>50</v>
      </c>
      <c r="Q1469">
        <v>50</v>
      </c>
      <c r="R1469">
        <v>0.999</v>
      </c>
      <c r="S1469">
        <v>1</v>
      </c>
    </row>
    <row r="1470" spans="1:19" x14ac:dyDescent="0.2">
      <c r="A1470" s="3" t="s">
        <v>54</v>
      </c>
      <c r="B1470" s="3" t="s">
        <v>55</v>
      </c>
      <c r="C1470">
        <v>6</v>
      </c>
      <c r="D1470">
        <v>20000</v>
      </c>
      <c r="E1470">
        <v>499</v>
      </c>
      <c r="F1470">
        <v>1</v>
      </c>
      <c r="G1470">
        <v>20000</v>
      </c>
      <c r="H1470">
        <v>3.8174263999999999E-2</v>
      </c>
      <c r="I1470">
        <v>15990</v>
      </c>
      <c r="J1470">
        <v>5196</v>
      </c>
      <c r="K1470">
        <v>10794</v>
      </c>
      <c r="L1470">
        <v>500</v>
      </c>
      <c r="M1470">
        <v>499</v>
      </c>
      <c r="N1470">
        <v>1</v>
      </c>
      <c r="O1470">
        <v>4010</v>
      </c>
      <c r="P1470" s="3" t="s">
        <v>50</v>
      </c>
      <c r="Q1470">
        <v>50</v>
      </c>
      <c r="R1470">
        <v>0.999</v>
      </c>
      <c r="S1470">
        <v>1</v>
      </c>
    </row>
    <row r="1471" spans="1:19" x14ac:dyDescent="0.2">
      <c r="A1471" s="3" t="s">
        <v>54</v>
      </c>
      <c r="B1471" s="3" t="s">
        <v>55</v>
      </c>
      <c r="C1471">
        <v>50</v>
      </c>
      <c r="D1471">
        <v>20000</v>
      </c>
      <c r="E1471">
        <v>499</v>
      </c>
      <c r="F1471">
        <v>1</v>
      </c>
      <c r="G1471">
        <v>20000</v>
      </c>
      <c r="H1471">
        <v>3.8168598999999998E-2</v>
      </c>
      <c r="I1471">
        <v>16003</v>
      </c>
      <c r="J1471">
        <v>5174</v>
      </c>
      <c r="K1471">
        <v>10829</v>
      </c>
      <c r="L1471">
        <v>500</v>
      </c>
      <c r="M1471">
        <v>499</v>
      </c>
      <c r="N1471">
        <v>1</v>
      </c>
      <c r="O1471">
        <v>3997</v>
      </c>
      <c r="P1471" s="3" t="s">
        <v>50</v>
      </c>
      <c r="Q1471">
        <v>50</v>
      </c>
      <c r="R1471">
        <v>0.999</v>
      </c>
      <c r="S1471">
        <v>1</v>
      </c>
    </row>
    <row r="1472" spans="1:19" x14ac:dyDescent="0.2">
      <c r="A1472" s="3" t="s">
        <v>54</v>
      </c>
      <c r="B1472" s="3" t="s">
        <v>55</v>
      </c>
      <c r="C1472">
        <v>32</v>
      </c>
      <c r="D1472">
        <v>20000</v>
      </c>
      <c r="E1472">
        <v>499</v>
      </c>
      <c r="F1472">
        <v>1</v>
      </c>
      <c r="G1472">
        <v>20000</v>
      </c>
      <c r="H1472">
        <v>3.8164712000000003E-2</v>
      </c>
      <c r="I1472">
        <v>16001</v>
      </c>
      <c r="J1472">
        <v>5199</v>
      </c>
      <c r="K1472">
        <v>10802</v>
      </c>
      <c r="L1472">
        <v>500</v>
      </c>
      <c r="M1472">
        <v>499</v>
      </c>
      <c r="N1472">
        <v>1</v>
      </c>
      <c r="O1472">
        <v>3999</v>
      </c>
      <c r="P1472" s="3" t="s">
        <v>50</v>
      </c>
      <c r="Q1472">
        <v>50</v>
      </c>
      <c r="R1472">
        <v>0.999</v>
      </c>
      <c r="S1472">
        <v>1</v>
      </c>
    </row>
    <row r="1473" spans="1:19" x14ac:dyDescent="0.2">
      <c r="A1473" s="3" t="s">
        <v>54</v>
      </c>
      <c r="B1473" s="3" t="s">
        <v>55</v>
      </c>
      <c r="C1473">
        <v>35</v>
      </c>
      <c r="D1473">
        <v>20000</v>
      </c>
      <c r="E1473">
        <v>499</v>
      </c>
      <c r="F1473">
        <v>1</v>
      </c>
      <c r="G1473">
        <v>20000</v>
      </c>
      <c r="H1473">
        <v>3.8125736E-2</v>
      </c>
      <c r="I1473">
        <v>15972</v>
      </c>
      <c r="J1473">
        <v>5187</v>
      </c>
      <c r="K1473">
        <v>10785</v>
      </c>
      <c r="L1473">
        <v>500</v>
      </c>
      <c r="M1473">
        <v>499</v>
      </c>
      <c r="N1473">
        <v>1</v>
      </c>
      <c r="O1473">
        <v>4028</v>
      </c>
      <c r="P1473" s="3" t="s">
        <v>50</v>
      </c>
      <c r="Q1473">
        <v>50</v>
      </c>
      <c r="R1473">
        <v>0.999</v>
      </c>
      <c r="S1473">
        <v>1</v>
      </c>
    </row>
    <row r="1474" spans="1:19" x14ac:dyDescent="0.2">
      <c r="A1474" s="3" t="s">
        <v>54</v>
      </c>
      <c r="B1474" s="3" t="s">
        <v>55</v>
      </c>
      <c r="C1474">
        <v>11</v>
      </c>
      <c r="D1474">
        <v>20000</v>
      </c>
      <c r="E1474">
        <v>499</v>
      </c>
      <c r="F1474">
        <v>1</v>
      </c>
      <c r="G1474">
        <v>20000</v>
      </c>
      <c r="H1474">
        <v>3.8121545999999999E-2</v>
      </c>
      <c r="I1474">
        <v>15950</v>
      </c>
      <c r="J1474">
        <v>5174</v>
      </c>
      <c r="K1474">
        <v>10776</v>
      </c>
      <c r="L1474">
        <v>500</v>
      </c>
      <c r="M1474">
        <v>499</v>
      </c>
      <c r="N1474">
        <v>1</v>
      </c>
      <c r="O1474">
        <v>4050</v>
      </c>
      <c r="P1474" s="3" t="s">
        <v>50</v>
      </c>
      <c r="Q1474">
        <v>50</v>
      </c>
      <c r="R1474">
        <v>0.999</v>
      </c>
      <c r="S1474">
        <v>1</v>
      </c>
    </row>
    <row r="1475" spans="1:19" x14ac:dyDescent="0.2">
      <c r="A1475" s="3" t="s">
        <v>54</v>
      </c>
      <c r="B1475" s="3" t="s">
        <v>55</v>
      </c>
      <c r="C1475">
        <v>37</v>
      </c>
      <c r="D1475">
        <v>20000</v>
      </c>
      <c r="E1475">
        <v>499</v>
      </c>
      <c r="F1475">
        <v>1</v>
      </c>
      <c r="G1475">
        <v>20000</v>
      </c>
      <c r="H1475">
        <v>3.8118579E-2</v>
      </c>
      <c r="I1475">
        <v>16001</v>
      </c>
      <c r="J1475">
        <v>5160</v>
      </c>
      <c r="K1475">
        <v>10841</v>
      </c>
      <c r="L1475">
        <v>500</v>
      </c>
      <c r="M1475">
        <v>499</v>
      </c>
      <c r="N1475">
        <v>1</v>
      </c>
      <c r="O1475">
        <v>3999</v>
      </c>
      <c r="P1475" s="3" t="s">
        <v>52</v>
      </c>
      <c r="Q1475">
        <v>50</v>
      </c>
      <c r="R1475">
        <v>0.999</v>
      </c>
      <c r="S1475">
        <v>1</v>
      </c>
    </row>
    <row r="1476" spans="1:19" x14ac:dyDescent="0.2">
      <c r="A1476" s="3" t="s">
        <v>54</v>
      </c>
      <c r="B1476" s="3" t="s">
        <v>55</v>
      </c>
      <c r="C1476">
        <v>29</v>
      </c>
      <c r="D1476">
        <v>20000</v>
      </c>
      <c r="E1476">
        <v>499</v>
      </c>
      <c r="F1476">
        <v>1</v>
      </c>
      <c r="G1476">
        <v>20000</v>
      </c>
      <c r="H1476">
        <v>3.8083652000000003E-2</v>
      </c>
      <c r="I1476">
        <v>15970</v>
      </c>
      <c r="J1476">
        <v>5144</v>
      </c>
      <c r="K1476">
        <v>10826</v>
      </c>
      <c r="L1476">
        <v>500</v>
      </c>
      <c r="M1476">
        <v>499</v>
      </c>
      <c r="N1476">
        <v>1</v>
      </c>
      <c r="O1476">
        <v>4030</v>
      </c>
      <c r="P1476" s="3" t="s">
        <v>50</v>
      </c>
      <c r="Q1476">
        <v>50</v>
      </c>
      <c r="R1476">
        <v>0.999</v>
      </c>
      <c r="S1476">
        <v>1</v>
      </c>
    </row>
    <row r="1477" spans="1:19" x14ac:dyDescent="0.2">
      <c r="A1477" s="3" t="s">
        <v>54</v>
      </c>
      <c r="B1477" s="3" t="s">
        <v>55</v>
      </c>
      <c r="C1477">
        <v>20</v>
      </c>
      <c r="D1477">
        <v>20000</v>
      </c>
      <c r="E1477">
        <v>499</v>
      </c>
      <c r="F1477">
        <v>1</v>
      </c>
      <c r="G1477">
        <v>20000</v>
      </c>
      <c r="H1477">
        <v>3.8075374000000002E-2</v>
      </c>
      <c r="I1477">
        <v>15965</v>
      </c>
      <c r="J1477">
        <v>5177</v>
      </c>
      <c r="K1477">
        <v>10788</v>
      </c>
      <c r="L1477">
        <v>500</v>
      </c>
      <c r="M1477">
        <v>499</v>
      </c>
      <c r="N1477">
        <v>1</v>
      </c>
      <c r="O1477">
        <v>4035</v>
      </c>
      <c r="P1477" s="3" t="s">
        <v>50</v>
      </c>
      <c r="Q1477">
        <v>50</v>
      </c>
      <c r="R1477">
        <v>0.999</v>
      </c>
      <c r="S1477">
        <v>1</v>
      </c>
    </row>
    <row r="1478" spans="1:19" x14ac:dyDescent="0.2">
      <c r="A1478" s="3" t="s">
        <v>54</v>
      </c>
      <c r="B1478" s="3" t="s">
        <v>55</v>
      </c>
      <c r="C1478">
        <v>2</v>
      </c>
      <c r="D1478">
        <v>19000</v>
      </c>
      <c r="E1478">
        <v>499</v>
      </c>
      <c r="F1478">
        <v>1</v>
      </c>
      <c r="G1478">
        <v>19000</v>
      </c>
      <c r="H1478">
        <v>3.8074640999999999E-2</v>
      </c>
      <c r="I1478">
        <v>15613</v>
      </c>
      <c r="J1478">
        <v>4997</v>
      </c>
      <c r="K1478">
        <v>10616</v>
      </c>
      <c r="L1478">
        <v>500</v>
      </c>
      <c r="M1478">
        <v>499</v>
      </c>
      <c r="N1478">
        <v>1</v>
      </c>
      <c r="O1478">
        <v>3387</v>
      </c>
      <c r="P1478" s="3" t="s">
        <v>50</v>
      </c>
      <c r="Q1478">
        <v>50</v>
      </c>
      <c r="R1478">
        <v>0.999</v>
      </c>
      <c r="S1478">
        <v>1</v>
      </c>
    </row>
    <row r="1479" spans="1:19" x14ac:dyDescent="0.2">
      <c r="A1479" s="3" t="s">
        <v>54</v>
      </c>
      <c r="B1479" s="3" t="s">
        <v>55</v>
      </c>
      <c r="C1479">
        <v>46</v>
      </c>
      <c r="D1479">
        <v>20000</v>
      </c>
      <c r="E1479">
        <v>499</v>
      </c>
      <c r="F1479">
        <v>1</v>
      </c>
      <c r="G1479">
        <v>20000</v>
      </c>
      <c r="H1479">
        <v>3.8069938999999997E-2</v>
      </c>
      <c r="I1479">
        <v>15969</v>
      </c>
      <c r="J1479">
        <v>5157</v>
      </c>
      <c r="K1479">
        <v>10812</v>
      </c>
      <c r="L1479">
        <v>500</v>
      </c>
      <c r="M1479">
        <v>499</v>
      </c>
      <c r="N1479">
        <v>1</v>
      </c>
      <c r="O1479">
        <v>4031</v>
      </c>
      <c r="P1479" s="3" t="s">
        <v>50</v>
      </c>
      <c r="Q1479">
        <v>50</v>
      </c>
      <c r="R1479">
        <v>0.999</v>
      </c>
      <c r="S1479">
        <v>1</v>
      </c>
    </row>
    <row r="1480" spans="1:19" x14ac:dyDescent="0.2">
      <c r="A1480" s="3" t="s">
        <v>54</v>
      </c>
      <c r="B1480" s="3" t="s">
        <v>55</v>
      </c>
      <c r="C1480">
        <v>28</v>
      </c>
      <c r="D1480">
        <v>20000</v>
      </c>
      <c r="E1480">
        <v>499</v>
      </c>
      <c r="F1480">
        <v>1</v>
      </c>
      <c r="G1480">
        <v>20000</v>
      </c>
      <c r="H1480">
        <v>3.8068507000000001E-2</v>
      </c>
      <c r="I1480">
        <v>15978</v>
      </c>
      <c r="J1480">
        <v>5156</v>
      </c>
      <c r="K1480">
        <v>10822</v>
      </c>
      <c r="L1480">
        <v>500</v>
      </c>
      <c r="M1480">
        <v>499</v>
      </c>
      <c r="N1480">
        <v>1</v>
      </c>
      <c r="O1480">
        <v>4022</v>
      </c>
      <c r="P1480" s="3" t="s">
        <v>50</v>
      </c>
      <c r="Q1480">
        <v>50</v>
      </c>
      <c r="R1480">
        <v>0.999</v>
      </c>
      <c r="S1480">
        <v>1</v>
      </c>
    </row>
    <row r="1481" spans="1:19" x14ac:dyDescent="0.2">
      <c r="A1481" s="3" t="s">
        <v>54</v>
      </c>
      <c r="B1481" s="3" t="s">
        <v>55</v>
      </c>
      <c r="C1481">
        <v>9</v>
      </c>
      <c r="D1481">
        <v>20000</v>
      </c>
      <c r="E1481">
        <v>499</v>
      </c>
      <c r="F1481">
        <v>1</v>
      </c>
      <c r="G1481">
        <v>20000</v>
      </c>
      <c r="H1481">
        <v>3.8057177999999997E-2</v>
      </c>
      <c r="I1481">
        <v>15978</v>
      </c>
      <c r="J1481">
        <v>5158</v>
      </c>
      <c r="K1481">
        <v>10820</v>
      </c>
      <c r="L1481">
        <v>500</v>
      </c>
      <c r="M1481">
        <v>499</v>
      </c>
      <c r="N1481">
        <v>1</v>
      </c>
      <c r="O1481">
        <v>4022</v>
      </c>
      <c r="P1481" s="3" t="s">
        <v>50</v>
      </c>
      <c r="Q1481">
        <v>50</v>
      </c>
      <c r="R1481">
        <v>0.999</v>
      </c>
      <c r="S1481">
        <v>1</v>
      </c>
    </row>
    <row r="1482" spans="1:19" x14ac:dyDescent="0.2">
      <c r="A1482" s="3" t="s">
        <v>54</v>
      </c>
      <c r="B1482" s="3" t="s">
        <v>55</v>
      </c>
      <c r="C1482">
        <v>21</v>
      </c>
      <c r="D1482">
        <v>20000</v>
      </c>
      <c r="E1482">
        <v>499</v>
      </c>
      <c r="F1482">
        <v>1</v>
      </c>
      <c r="G1482">
        <v>20000</v>
      </c>
      <c r="H1482">
        <v>3.8041999E-2</v>
      </c>
      <c r="I1482">
        <v>16012</v>
      </c>
      <c r="J1482">
        <v>5168</v>
      </c>
      <c r="K1482">
        <v>10844</v>
      </c>
      <c r="L1482">
        <v>500</v>
      </c>
      <c r="M1482">
        <v>499</v>
      </c>
      <c r="N1482">
        <v>1</v>
      </c>
      <c r="O1482">
        <v>3988</v>
      </c>
      <c r="P1482" s="3" t="s">
        <v>50</v>
      </c>
      <c r="Q1482">
        <v>50</v>
      </c>
      <c r="R1482">
        <v>0.999</v>
      </c>
      <c r="S1482">
        <v>1</v>
      </c>
    </row>
    <row r="1483" spans="1:19" x14ac:dyDescent="0.2">
      <c r="A1483" s="3" t="s">
        <v>54</v>
      </c>
      <c r="B1483" s="3" t="s">
        <v>55</v>
      </c>
      <c r="C1483">
        <v>23</v>
      </c>
      <c r="D1483">
        <v>14000</v>
      </c>
      <c r="E1483">
        <v>499</v>
      </c>
      <c r="F1483">
        <v>1</v>
      </c>
      <c r="G1483">
        <v>14000</v>
      </c>
      <c r="H1483">
        <v>3.7991509E-2</v>
      </c>
      <c r="I1483">
        <v>13041</v>
      </c>
      <c r="J1483">
        <v>4848</v>
      </c>
      <c r="K1483">
        <v>8193</v>
      </c>
      <c r="L1483">
        <v>500</v>
      </c>
      <c r="M1483">
        <v>499</v>
      </c>
      <c r="N1483">
        <v>1</v>
      </c>
      <c r="O1483">
        <v>959</v>
      </c>
      <c r="P1483" s="3" t="s">
        <v>51</v>
      </c>
      <c r="Q1483">
        <v>50</v>
      </c>
      <c r="R1483">
        <v>0.999</v>
      </c>
      <c r="S1483">
        <v>1</v>
      </c>
    </row>
    <row r="1484" spans="1:19" x14ac:dyDescent="0.2">
      <c r="A1484" s="3" t="s">
        <v>54</v>
      </c>
      <c r="B1484" s="3" t="s">
        <v>55</v>
      </c>
      <c r="C1484">
        <v>23</v>
      </c>
      <c r="D1484">
        <v>20000</v>
      </c>
      <c r="E1484">
        <v>499</v>
      </c>
      <c r="F1484">
        <v>1</v>
      </c>
      <c r="G1484">
        <v>20000</v>
      </c>
      <c r="H1484">
        <v>3.7969995999999999E-2</v>
      </c>
      <c r="I1484">
        <v>16007</v>
      </c>
      <c r="J1484">
        <v>5155</v>
      </c>
      <c r="K1484">
        <v>10852</v>
      </c>
      <c r="L1484">
        <v>500</v>
      </c>
      <c r="M1484">
        <v>499</v>
      </c>
      <c r="N1484">
        <v>1</v>
      </c>
      <c r="O1484">
        <v>3993</v>
      </c>
      <c r="P1484" s="3" t="s">
        <v>50</v>
      </c>
      <c r="Q1484">
        <v>50</v>
      </c>
      <c r="R1484">
        <v>0.999</v>
      </c>
      <c r="S1484">
        <v>1</v>
      </c>
    </row>
    <row r="1485" spans="1:19" x14ac:dyDescent="0.2">
      <c r="A1485" s="3" t="s">
        <v>54</v>
      </c>
      <c r="B1485" s="3" t="s">
        <v>55</v>
      </c>
      <c r="C1485">
        <v>40</v>
      </c>
      <c r="D1485">
        <v>20000</v>
      </c>
      <c r="E1485">
        <v>499</v>
      </c>
      <c r="F1485">
        <v>1</v>
      </c>
      <c r="G1485">
        <v>20000</v>
      </c>
      <c r="H1485">
        <v>3.7960543999999999E-2</v>
      </c>
      <c r="I1485">
        <v>15967</v>
      </c>
      <c r="J1485">
        <v>5191</v>
      </c>
      <c r="K1485">
        <v>10776</v>
      </c>
      <c r="L1485">
        <v>500</v>
      </c>
      <c r="M1485">
        <v>499</v>
      </c>
      <c r="N1485">
        <v>1</v>
      </c>
      <c r="O1485">
        <v>4033</v>
      </c>
      <c r="P1485" s="3" t="s">
        <v>50</v>
      </c>
      <c r="Q1485">
        <v>50</v>
      </c>
      <c r="R1485">
        <v>0.999</v>
      </c>
      <c r="S1485">
        <v>1</v>
      </c>
    </row>
    <row r="1486" spans="1:19" x14ac:dyDescent="0.2">
      <c r="A1486" s="3" t="s">
        <v>54</v>
      </c>
      <c r="B1486" s="3" t="s">
        <v>55</v>
      </c>
      <c r="C1486">
        <v>16</v>
      </c>
      <c r="D1486">
        <v>20000</v>
      </c>
      <c r="E1486">
        <v>499</v>
      </c>
      <c r="F1486">
        <v>1</v>
      </c>
      <c r="G1486">
        <v>20000</v>
      </c>
      <c r="H1486">
        <v>3.7957959999999999E-2</v>
      </c>
      <c r="I1486">
        <v>16000</v>
      </c>
      <c r="J1486">
        <v>5162</v>
      </c>
      <c r="K1486">
        <v>10838</v>
      </c>
      <c r="L1486">
        <v>500</v>
      </c>
      <c r="M1486">
        <v>499</v>
      </c>
      <c r="N1486">
        <v>1</v>
      </c>
      <c r="O1486">
        <v>4000</v>
      </c>
      <c r="P1486" s="3" t="s">
        <v>50</v>
      </c>
      <c r="Q1486">
        <v>50</v>
      </c>
      <c r="R1486">
        <v>0.999</v>
      </c>
      <c r="S1486">
        <v>1</v>
      </c>
    </row>
    <row r="1487" spans="1:19" x14ac:dyDescent="0.2">
      <c r="A1487" s="3" t="s">
        <v>54</v>
      </c>
      <c r="B1487" s="3" t="s">
        <v>55</v>
      </c>
      <c r="C1487">
        <v>4</v>
      </c>
      <c r="D1487">
        <v>20000</v>
      </c>
      <c r="E1487">
        <v>499</v>
      </c>
      <c r="F1487">
        <v>1</v>
      </c>
      <c r="G1487">
        <v>20000</v>
      </c>
      <c r="H1487">
        <v>3.7937628000000001E-2</v>
      </c>
      <c r="I1487">
        <v>15980</v>
      </c>
      <c r="J1487">
        <v>5135</v>
      </c>
      <c r="K1487">
        <v>10845</v>
      </c>
      <c r="L1487">
        <v>500</v>
      </c>
      <c r="M1487">
        <v>499</v>
      </c>
      <c r="N1487">
        <v>1</v>
      </c>
      <c r="O1487">
        <v>4020</v>
      </c>
      <c r="P1487" s="3" t="s">
        <v>52</v>
      </c>
      <c r="Q1487">
        <v>50</v>
      </c>
      <c r="R1487">
        <v>0.999</v>
      </c>
      <c r="S1487">
        <v>1</v>
      </c>
    </row>
    <row r="1488" spans="1:19" x14ac:dyDescent="0.2">
      <c r="A1488" s="3" t="s">
        <v>54</v>
      </c>
      <c r="B1488" s="3" t="s">
        <v>55</v>
      </c>
      <c r="C1488">
        <v>41</v>
      </c>
      <c r="D1488">
        <v>20000</v>
      </c>
      <c r="E1488">
        <v>499</v>
      </c>
      <c r="F1488">
        <v>1</v>
      </c>
      <c r="G1488">
        <v>20000</v>
      </c>
      <c r="H1488">
        <v>3.7933785999999997E-2</v>
      </c>
      <c r="I1488">
        <v>15995</v>
      </c>
      <c r="J1488">
        <v>5174</v>
      </c>
      <c r="K1488">
        <v>10821</v>
      </c>
      <c r="L1488">
        <v>500</v>
      </c>
      <c r="M1488">
        <v>499</v>
      </c>
      <c r="N1488">
        <v>1</v>
      </c>
      <c r="O1488">
        <v>4005</v>
      </c>
      <c r="P1488" s="3" t="s">
        <v>50</v>
      </c>
      <c r="Q1488">
        <v>50</v>
      </c>
      <c r="R1488">
        <v>0.999</v>
      </c>
      <c r="S1488">
        <v>1</v>
      </c>
    </row>
    <row r="1489" spans="1:19" x14ac:dyDescent="0.2">
      <c r="A1489" s="3" t="s">
        <v>54</v>
      </c>
      <c r="B1489" s="3" t="s">
        <v>55</v>
      </c>
      <c r="C1489">
        <v>12</v>
      </c>
      <c r="D1489">
        <v>20000</v>
      </c>
      <c r="E1489">
        <v>499</v>
      </c>
      <c r="F1489">
        <v>1</v>
      </c>
      <c r="G1489">
        <v>20000</v>
      </c>
      <c r="H1489">
        <v>3.7932961000000001E-2</v>
      </c>
      <c r="I1489">
        <v>15997</v>
      </c>
      <c r="J1489">
        <v>5138</v>
      </c>
      <c r="K1489">
        <v>10859</v>
      </c>
      <c r="L1489">
        <v>500</v>
      </c>
      <c r="M1489">
        <v>499</v>
      </c>
      <c r="N1489">
        <v>1</v>
      </c>
      <c r="O1489">
        <v>4003</v>
      </c>
      <c r="P1489" s="3" t="s">
        <v>50</v>
      </c>
      <c r="Q1489">
        <v>50</v>
      </c>
      <c r="R1489">
        <v>0.999</v>
      </c>
      <c r="S1489">
        <v>1</v>
      </c>
    </row>
    <row r="1490" spans="1:19" x14ac:dyDescent="0.2">
      <c r="A1490" s="3" t="s">
        <v>54</v>
      </c>
      <c r="B1490" s="3" t="s">
        <v>55</v>
      </c>
      <c r="C1490">
        <v>7</v>
      </c>
      <c r="D1490">
        <v>20000</v>
      </c>
      <c r="E1490">
        <v>499</v>
      </c>
      <c r="F1490">
        <v>1</v>
      </c>
      <c r="G1490">
        <v>20000</v>
      </c>
      <c r="H1490">
        <v>3.7908907999999998E-2</v>
      </c>
      <c r="I1490">
        <v>15988</v>
      </c>
      <c r="J1490">
        <v>5167</v>
      </c>
      <c r="K1490">
        <v>10821</v>
      </c>
      <c r="L1490">
        <v>500</v>
      </c>
      <c r="M1490">
        <v>499</v>
      </c>
      <c r="N1490">
        <v>1</v>
      </c>
      <c r="O1490">
        <v>4012</v>
      </c>
      <c r="P1490" s="3" t="s">
        <v>52</v>
      </c>
      <c r="Q1490">
        <v>50</v>
      </c>
      <c r="R1490">
        <v>0.999</v>
      </c>
      <c r="S1490">
        <v>1</v>
      </c>
    </row>
    <row r="1491" spans="1:19" x14ac:dyDescent="0.2">
      <c r="A1491" s="3" t="s">
        <v>54</v>
      </c>
      <c r="B1491" s="3" t="s">
        <v>55</v>
      </c>
      <c r="C1491">
        <v>23</v>
      </c>
      <c r="D1491">
        <v>20000</v>
      </c>
      <c r="E1491">
        <v>499</v>
      </c>
      <c r="F1491">
        <v>1</v>
      </c>
      <c r="G1491">
        <v>20000</v>
      </c>
      <c r="H1491">
        <v>3.7888594999999997E-2</v>
      </c>
      <c r="I1491">
        <v>16005</v>
      </c>
      <c r="J1491">
        <v>5159</v>
      </c>
      <c r="K1491">
        <v>10846</v>
      </c>
      <c r="L1491">
        <v>500</v>
      </c>
      <c r="M1491">
        <v>499</v>
      </c>
      <c r="N1491">
        <v>1</v>
      </c>
      <c r="O1491">
        <v>3995</v>
      </c>
      <c r="P1491" s="3" t="s">
        <v>52</v>
      </c>
      <c r="Q1491">
        <v>50</v>
      </c>
      <c r="R1491">
        <v>0.999</v>
      </c>
      <c r="S1491">
        <v>1</v>
      </c>
    </row>
    <row r="1492" spans="1:19" x14ac:dyDescent="0.2">
      <c r="A1492" s="3" t="s">
        <v>54</v>
      </c>
      <c r="B1492" s="3" t="s">
        <v>55</v>
      </c>
      <c r="C1492">
        <v>43</v>
      </c>
      <c r="D1492">
        <v>20000</v>
      </c>
      <c r="E1492">
        <v>499</v>
      </c>
      <c r="F1492">
        <v>1</v>
      </c>
      <c r="G1492">
        <v>20000</v>
      </c>
      <c r="H1492">
        <v>3.7836538000000003E-2</v>
      </c>
      <c r="I1492">
        <v>16024</v>
      </c>
      <c r="J1492">
        <v>5181</v>
      </c>
      <c r="K1492">
        <v>10843</v>
      </c>
      <c r="L1492">
        <v>500</v>
      </c>
      <c r="M1492">
        <v>499</v>
      </c>
      <c r="N1492">
        <v>1</v>
      </c>
      <c r="O1492">
        <v>3976</v>
      </c>
      <c r="P1492" s="3" t="s">
        <v>50</v>
      </c>
      <c r="Q1492">
        <v>50</v>
      </c>
      <c r="R1492">
        <v>0.999</v>
      </c>
      <c r="S1492">
        <v>1</v>
      </c>
    </row>
    <row r="1493" spans="1:19" x14ac:dyDescent="0.2">
      <c r="A1493" s="3" t="s">
        <v>54</v>
      </c>
      <c r="B1493" s="3" t="s">
        <v>55</v>
      </c>
      <c r="C1493">
        <v>44</v>
      </c>
      <c r="D1493">
        <v>20000</v>
      </c>
      <c r="E1493">
        <v>499</v>
      </c>
      <c r="F1493">
        <v>1</v>
      </c>
      <c r="G1493">
        <v>20000</v>
      </c>
      <c r="H1493">
        <v>3.7818002000000003E-2</v>
      </c>
      <c r="I1493">
        <v>16032</v>
      </c>
      <c r="J1493">
        <v>5197</v>
      </c>
      <c r="K1493">
        <v>10835</v>
      </c>
      <c r="L1493">
        <v>500</v>
      </c>
      <c r="M1493">
        <v>499</v>
      </c>
      <c r="N1493">
        <v>1</v>
      </c>
      <c r="O1493">
        <v>3968</v>
      </c>
      <c r="P1493" s="3" t="s">
        <v>50</v>
      </c>
      <c r="Q1493">
        <v>50</v>
      </c>
      <c r="R1493">
        <v>0.999</v>
      </c>
      <c r="S1493">
        <v>1</v>
      </c>
    </row>
    <row r="1494" spans="1:19" x14ac:dyDescent="0.2">
      <c r="A1494" s="3" t="s">
        <v>54</v>
      </c>
      <c r="B1494" s="3" t="s">
        <v>55</v>
      </c>
      <c r="C1494">
        <v>38</v>
      </c>
      <c r="D1494">
        <v>20000</v>
      </c>
      <c r="E1494">
        <v>499</v>
      </c>
      <c r="F1494">
        <v>1</v>
      </c>
      <c r="G1494">
        <v>20000</v>
      </c>
      <c r="H1494">
        <v>3.7816278000000002E-2</v>
      </c>
      <c r="I1494">
        <v>15940</v>
      </c>
      <c r="J1494">
        <v>5143</v>
      </c>
      <c r="K1494">
        <v>10797</v>
      </c>
      <c r="L1494">
        <v>500</v>
      </c>
      <c r="M1494">
        <v>499</v>
      </c>
      <c r="N1494">
        <v>1</v>
      </c>
      <c r="O1494">
        <v>4060</v>
      </c>
      <c r="P1494" s="3" t="s">
        <v>50</v>
      </c>
      <c r="Q1494">
        <v>50</v>
      </c>
      <c r="R1494">
        <v>0.999</v>
      </c>
      <c r="S1494">
        <v>1</v>
      </c>
    </row>
    <row r="1495" spans="1:19" x14ac:dyDescent="0.2">
      <c r="A1495" s="3" t="s">
        <v>54</v>
      </c>
      <c r="B1495" s="3" t="s">
        <v>55</v>
      </c>
      <c r="C1495">
        <v>45</v>
      </c>
      <c r="D1495">
        <v>20000</v>
      </c>
      <c r="E1495">
        <v>499</v>
      </c>
      <c r="F1495">
        <v>1</v>
      </c>
      <c r="G1495">
        <v>20000</v>
      </c>
      <c r="H1495">
        <v>3.7805608999999997E-2</v>
      </c>
      <c r="I1495">
        <v>15951</v>
      </c>
      <c r="J1495">
        <v>5138</v>
      </c>
      <c r="K1495">
        <v>10813</v>
      </c>
      <c r="L1495">
        <v>500</v>
      </c>
      <c r="M1495">
        <v>499</v>
      </c>
      <c r="N1495">
        <v>1</v>
      </c>
      <c r="O1495">
        <v>4049</v>
      </c>
      <c r="P1495" s="3" t="s">
        <v>50</v>
      </c>
      <c r="Q1495">
        <v>50</v>
      </c>
      <c r="R1495">
        <v>0.999</v>
      </c>
      <c r="S1495">
        <v>1</v>
      </c>
    </row>
    <row r="1496" spans="1:19" x14ac:dyDescent="0.2">
      <c r="A1496" s="3" t="s">
        <v>54</v>
      </c>
      <c r="B1496" s="3" t="s">
        <v>55</v>
      </c>
      <c r="C1496">
        <v>22</v>
      </c>
      <c r="D1496">
        <v>20000</v>
      </c>
      <c r="E1496">
        <v>499</v>
      </c>
      <c r="F1496">
        <v>1</v>
      </c>
      <c r="G1496">
        <v>20000</v>
      </c>
      <c r="H1496">
        <v>3.7805370999999997E-2</v>
      </c>
      <c r="I1496">
        <v>16014</v>
      </c>
      <c r="J1496">
        <v>5186</v>
      </c>
      <c r="K1496">
        <v>10828</v>
      </c>
      <c r="L1496">
        <v>500</v>
      </c>
      <c r="M1496">
        <v>499</v>
      </c>
      <c r="N1496">
        <v>1</v>
      </c>
      <c r="O1496">
        <v>3986</v>
      </c>
      <c r="P1496" s="3" t="s">
        <v>50</v>
      </c>
      <c r="Q1496">
        <v>50</v>
      </c>
      <c r="R1496">
        <v>0.999</v>
      </c>
      <c r="S1496">
        <v>1</v>
      </c>
    </row>
    <row r="1497" spans="1:19" x14ac:dyDescent="0.2">
      <c r="A1497" s="3" t="s">
        <v>54</v>
      </c>
      <c r="B1497" s="3" t="s">
        <v>55</v>
      </c>
      <c r="C1497">
        <v>48</v>
      </c>
      <c r="D1497">
        <v>20000</v>
      </c>
      <c r="E1497">
        <v>499</v>
      </c>
      <c r="F1497">
        <v>1</v>
      </c>
      <c r="G1497">
        <v>20000</v>
      </c>
      <c r="H1497">
        <v>3.7801850999999997E-2</v>
      </c>
      <c r="I1497">
        <v>15992</v>
      </c>
      <c r="J1497">
        <v>5175</v>
      </c>
      <c r="K1497">
        <v>10817</v>
      </c>
      <c r="L1497">
        <v>500</v>
      </c>
      <c r="M1497">
        <v>499</v>
      </c>
      <c r="N1497">
        <v>1</v>
      </c>
      <c r="O1497">
        <v>4008</v>
      </c>
      <c r="P1497" s="3" t="s">
        <v>52</v>
      </c>
      <c r="Q1497">
        <v>50</v>
      </c>
      <c r="R1497">
        <v>0.999</v>
      </c>
      <c r="S1497">
        <v>1</v>
      </c>
    </row>
    <row r="1498" spans="1:19" x14ac:dyDescent="0.2">
      <c r="A1498" s="3" t="s">
        <v>54</v>
      </c>
      <c r="B1498" s="3" t="s">
        <v>55</v>
      </c>
      <c r="C1498">
        <v>42</v>
      </c>
      <c r="D1498">
        <v>20000</v>
      </c>
      <c r="E1498">
        <v>499</v>
      </c>
      <c r="F1498">
        <v>1</v>
      </c>
      <c r="G1498">
        <v>20000</v>
      </c>
      <c r="H1498">
        <v>3.7798469000000001E-2</v>
      </c>
      <c r="I1498">
        <v>16000</v>
      </c>
      <c r="J1498">
        <v>5204</v>
      </c>
      <c r="K1498">
        <v>10796</v>
      </c>
      <c r="L1498">
        <v>500</v>
      </c>
      <c r="M1498">
        <v>499</v>
      </c>
      <c r="N1498">
        <v>1</v>
      </c>
      <c r="O1498">
        <v>4000</v>
      </c>
      <c r="P1498" s="3" t="s">
        <v>50</v>
      </c>
      <c r="Q1498">
        <v>50</v>
      </c>
      <c r="R1498">
        <v>0.999</v>
      </c>
      <c r="S1498">
        <v>1</v>
      </c>
    </row>
    <row r="1499" spans="1:19" x14ac:dyDescent="0.2">
      <c r="A1499" s="3" t="s">
        <v>54</v>
      </c>
      <c r="B1499" s="3" t="s">
        <v>55</v>
      </c>
      <c r="C1499">
        <v>24</v>
      </c>
      <c r="D1499">
        <v>20000</v>
      </c>
      <c r="E1499">
        <v>499</v>
      </c>
      <c r="F1499">
        <v>1</v>
      </c>
      <c r="G1499">
        <v>20000</v>
      </c>
      <c r="H1499">
        <v>3.7789117999999997E-2</v>
      </c>
      <c r="I1499">
        <v>15999</v>
      </c>
      <c r="J1499">
        <v>5163</v>
      </c>
      <c r="K1499">
        <v>10836</v>
      </c>
      <c r="L1499">
        <v>500</v>
      </c>
      <c r="M1499">
        <v>499</v>
      </c>
      <c r="N1499">
        <v>1</v>
      </c>
      <c r="O1499">
        <v>4001</v>
      </c>
      <c r="P1499" s="3" t="s">
        <v>50</v>
      </c>
      <c r="Q1499">
        <v>50</v>
      </c>
      <c r="R1499">
        <v>0.999</v>
      </c>
      <c r="S1499">
        <v>1</v>
      </c>
    </row>
    <row r="1500" spans="1:19" x14ac:dyDescent="0.2">
      <c r="A1500" s="3" t="s">
        <v>54</v>
      </c>
      <c r="B1500" s="3" t="s">
        <v>55</v>
      </c>
      <c r="C1500">
        <v>29</v>
      </c>
      <c r="D1500">
        <v>15000</v>
      </c>
      <c r="E1500">
        <v>499</v>
      </c>
      <c r="F1500">
        <v>1</v>
      </c>
      <c r="G1500">
        <v>15000</v>
      </c>
      <c r="H1500">
        <v>3.7780016E-2</v>
      </c>
      <c r="I1500">
        <v>13457</v>
      </c>
      <c r="J1500">
        <v>4999</v>
      </c>
      <c r="K1500">
        <v>8458</v>
      </c>
      <c r="L1500">
        <v>500</v>
      </c>
      <c r="M1500">
        <v>499</v>
      </c>
      <c r="N1500">
        <v>1</v>
      </c>
      <c r="O1500">
        <v>1543</v>
      </c>
      <c r="P1500" s="3" t="s">
        <v>51</v>
      </c>
      <c r="Q1500">
        <v>50</v>
      </c>
      <c r="R1500">
        <v>0.999</v>
      </c>
      <c r="S1500">
        <v>1</v>
      </c>
    </row>
    <row r="1501" spans="1:19" x14ac:dyDescent="0.2">
      <c r="A1501" s="3" t="s">
        <v>54</v>
      </c>
      <c r="B1501" s="3" t="s">
        <v>55</v>
      </c>
      <c r="C1501">
        <v>27</v>
      </c>
      <c r="D1501">
        <v>20000</v>
      </c>
      <c r="E1501">
        <v>499</v>
      </c>
      <c r="F1501">
        <v>1</v>
      </c>
      <c r="G1501">
        <v>20000</v>
      </c>
      <c r="H1501">
        <v>3.7766734000000003E-2</v>
      </c>
      <c r="I1501">
        <v>16001</v>
      </c>
      <c r="J1501">
        <v>5149</v>
      </c>
      <c r="K1501">
        <v>10852</v>
      </c>
      <c r="L1501">
        <v>500</v>
      </c>
      <c r="M1501">
        <v>499</v>
      </c>
      <c r="N1501">
        <v>1</v>
      </c>
      <c r="O1501">
        <v>3999</v>
      </c>
      <c r="P1501" s="3" t="s">
        <v>50</v>
      </c>
      <c r="Q1501">
        <v>50</v>
      </c>
      <c r="R1501">
        <v>0.999</v>
      </c>
      <c r="S1501">
        <v>1</v>
      </c>
    </row>
    <row r="1502" spans="1:19" x14ac:dyDescent="0.2">
      <c r="A1502" s="3" t="s">
        <v>54</v>
      </c>
      <c r="B1502" s="3" t="s">
        <v>55</v>
      </c>
      <c r="C1502">
        <v>8</v>
      </c>
      <c r="D1502">
        <v>20000</v>
      </c>
      <c r="E1502">
        <v>499</v>
      </c>
      <c r="F1502">
        <v>1</v>
      </c>
      <c r="G1502">
        <v>20000</v>
      </c>
      <c r="H1502">
        <v>3.7741745E-2</v>
      </c>
      <c r="I1502">
        <v>15993</v>
      </c>
      <c r="J1502">
        <v>5148</v>
      </c>
      <c r="K1502">
        <v>10845</v>
      </c>
      <c r="L1502">
        <v>500</v>
      </c>
      <c r="M1502">
        <v>499</v>
      </c>
      <c r="N1502">
        <v>1</v>
      </c>
      <c r="O1502">
        <v>4007</v>
      </c>
      <c r="P1502" s="3" t="s">
        <v>50</v>
      </c>
      <c r="Q1502">
        <v>50</v>
      </c>
      <c r="R1502">
        <v>0.999</v>
      </c>
      <c r="S1502">
        <v>1</v>
      </c>
    </row>
    <row r="1503" spans="1:19" x14ac:dyDescent="0.2">
      <c r="A1503" s="3" t="s">
        <v>54</v>
      </c>
      <c r="B1503" s="3" t="s">
        <v>55</v>
      </c>
      <c r="C1503">
        <v>43</v>
      </c>
      <c r="D1503">
        <v>15000</v>
      </c>
      <c r="E1503">
        <v>499</v>
      </c>
      <c r="F1503">
        <v>1</v>
      </c>
      <c r="G1503">
        <v>15000</v>
      </c>
      <c r="H1503">
        <v>3.7725913E-2</v>
      </c>
      <c r="I1503">
        <v>13455</v>
      </c>
      <c r="J1503">
        <v>4985</v>
      </c>
      <c r="K1503">
        <v>8470</v>
      </c>
      <c r="L1503">
        <v>500</v>
      </c>
      <c r="M1503">
        <v>499</v>
      </c>
      <c r="N1503">
        <v>1</v>
      </c>
      <c r="O1503">
        <v>1545</v>
      </c>
      <c r="P1503" s="3" t="s">
        <v>51</v>
      </c>
      <c r="Q1503">
        <v>50</v>
      </c>
      <c r="R1503">
        <v>0.999</v>
      </c>
      <c r="S1503">
        <v>1</v>
      </c>
    </row>
    <row r="1504" spans="1:19" x14ac:dyDescent="0.2">
      <c r="A1504" s="3" t="s">
        <v>54</v>
      </c>
      <c r="B1504" s="3" t="s">
        <v>55</v>
      </c>
      <c r="C1504">
        <v>7</v>
      </c>
      <c r="D1504">
        <v>19000</v>
      </c>
      <c r="E1504">
        <v>499</v>
      </c>
      <c r="F1504">
        <v>1</v>
      </c>
      <c r="G1504">
        <v>19000</v>
      </c>
      <c r="H1504">
        <v>3.7718453999999998E-2</v>
      </c>
      <c r="I1504">
        <v>15592</v>
      </c>
      <c r="J1504">
        <v>5028</v>
      </c>
      <c r="K1504">
        <v>10564</v>
      </c>
      <c r="L1504">
        <v>500</v>
      </c>
      <c r="M1504">
        <v>499</v>
      </c>
      <c r="N1504">
        <v>1</v>
      </c>
      <c r="O1504">
        <v>3408</v>
      </c>
      <c r="P1504" s="3" t="s">
        <v>50</v>
      </c>
      <c r="Q1504">
        <v>50</v>
      </c>
      <c r="R1504">
        <v>0.999</v>
      </c>
      <c r="S1504">
        <v>1</v>
      </c>
    </row>
    <row r="1505" spans="1:19" x14ac:dyDescent="0.2">
      <c r="A1505" s="3" t="s">
        <v>54</v>
      </c>
      <c r="B1505" s="3" t="s">
        <v>55</v>
      </c>
      <c r="C1505">
        <v>22</v>
      </c>
      <c r="D1505">
        <v>15000</v>
      </c>
      <c r="E1505">
        <v>499</v>
      </c>
      <c r="F1505">
        <v>1</v>
      </c>
      <c r="G1505">
        <v>15000</v>
      </c>
      <c r="H1505">
        <v>3.7697993999999999E-2</v>
      </c>
      <c r="I1505">
        <v>13462</v>
      </c>
      <c r="J1505">
        <v>4990</v>
      </c>
      <c r="K1505">
        <v>8472</v>
      </c>
      <c r="L1505">
        <v>500</v>
      </c>
      <c r="M1505">
        <v>499</v>
      </c>
      <c r="N1505">
        <v>1</v>
      </c>
      <c r="O1505">
        <v>1538</v>
      </c>
      <c r="P1505" s="3" t="s">
        <v>51</v>
      </c>
      <c r="Q1505">
        <v>50</v>
      </c>
      <c r="R1505">
        <v>0.999</v>
      </c>
      <c r="S1505">
        <v>1</v>
      </c>
    </row>
    <row r="1506" spans="1:19" x14ac:dyDescent="0.2">
      <c r="A1506" s="3" t="s">
        <v>54</v>
      </c>
      <c r="B1506" s="3" t="s">
        <v>55</v>
      </c>
      <c r="C1506">
        <v>26</v>
      </c>
      <c r="D1506">
        <v>15000</v>
      </c>
      <c r="E1506">
        <v>499</v>
      </c>
      <c r="F1506">
        <v>1</v>
      </c>
      <c r="G1506">
        <v>15000</v>
      </c>
      <c r="H1506">
        <v>3.7697487000000002E-2</v>
      </c>
      <c r="I1506">
        <v>13467</v>
      </c>
      <c r="J1506">
        <v>4989</v>
      </c>
      <c r="K1506">
        <v>8478</v>
      </c>
      <c r="L1506">
        <v>500</v>
      </c>
      <c r="M1506">
        <v>499</v>
      </c>
      <c r="N1506">
        <v>1</v>
      </c>
      <c r="O1506">
        <v>1533</v>
      </c>
      <c r="P1506" s="3" t="s">
        <v>51</v>
      </c>
      <c r="Q1506">
        <v>50</v>
      </c>
      <c r="R1506">
        <v>0.999</v>
      </c>
      <c r="S1506">
        <v>1</v>
      </c>
    </row>
    <row r="1507" spans="1:19" x14ac:dyDescent="0.2">
      <c r="A1507" s="3" t="s">
        <v>54</v>
      </c>
      <c r="B1507" s="3" t="s">
        <v>55</v>
      </c>
      <c r="C1507">
        <v>8</v>
      </c>
      <c r="D1507">
        <v>15000</v>
      </c>
      <c r="E1507">
        <v>499</v>
      </c>
      <c r="F1507">
        <v>1</v>
      </c>
      <c r="G1507">
        <v>15000</v>
      </c>
      <c r="H1507">
        <v>3.7684629999999997E-2</v>
      </c>
      <c r="I1507">
        <v>13461</v>
      </c>
      <c r="J1507">
        <v>5005</v>
      </c>
      <c r="K1507">
        <v>8456</v>
      </c>
      <c r="L1507">
        <v>500</v>
      </c>
      <c r="M1507">
        <v>499</v>
      </c>
      <c r="N1507">
        <v>1</v>
      </c>
      <c r="O1507">
        <v>1539</v>
      </c>
      <c r="P1507" s="3" t="s">
        <v>51</v>
      </c>
      <c r="Q1507">
        <v>50</v>
      </c>
      <c r="R1507">
        <v>0.999</v>
      </c>
      <c r="S1507">
        <v>1</v>
      </c>
    </row>
    <row r="1508" spans="1:19" x14ac:dyDescent="0.2">
      <c r="A1508" s="3" t="s">
        <v>54</v>
      </c>
      <c r="B1508" s="3" t="s">
        <v>55</v>
      </c>
      <c r="C1508">
        <v>19</v>
      </c>
      <c r="D1508">
        <v>20000</v>
      </c>
      <c r="E1508">
        <v>499</v>
      </c>
      <c r="F1508">
        <v>1</v>
      </c>
      <c r="G1508">
        <v>20000</v>
      </c>
      <c r="H1508">
        <v>3.7672088999999999E-2</v>
      </c>
      <c r="I1508">
        <v>16002</v>
      </c>
      <c r="J1508">
        <v>5155</v>
      </c>
      <c r="K1508">
        <v>10847</v>
      </c>
      <c r="L1508">
        <v>500</v>
      </c>
      <c r="M1508">
        <v>499</v>
      </c>
      <c r="N1508">
        <v>1</v>
      </c>
      <c r="O1508">
        <v>3998</v>
      </c>
      <c r="P1508" s="3" t="s">
        <v>50</v>
      </c>
      <c r="Q1508">
        <v>50</v>
      </c>
      <c r="R1508">
        <v>0.999</v>
      </c>
      <c r="S1508">
        <v>1</v>
      </c>
    </row>
    <row r="1509" spans="1:19" x14ac:dyDescent="0.2">
      <c r="A1509" s="3" t="s">
        <v>54</v>
      </c>
      <c r="B1509" s="3" t="s">
        <v>55</v>
      </c>
      <c r="C1509">
        <v>15</v>
      </c>
      <c r="D1509">
        <v>15000</v>
      </c>
      <c r="E1509">
        <v>499</v>
      </c>
      <c r="F1509">
        <v>1</v>
      </c>
      <c r="G1509">
        <v>15000</v>
      </c>
      <c r="H1509">
        <v>3.7656127999999997E-2</v>
      </c>
      <c r="I1509">
        <v>13475</v>
      </c>
      <c r="J1509">
        <v>4992</v>
      </c>
      <c r="K1509">
        <v>8483</v>
      </c>
      <c r="L1509">
        <v>500</v>
      </c>
      <c r="M1509">
        <v>499</v>
      </c>
      <c r="N1509">
        <v>1</v>
      </c>
      <c r="O1509">
        <v>1525</v>
      </c>
      <c r="P1509" s="3" t="s">
        <v>51</v>
      </c>
      <c r="Q1509">
        <v>50</v>
      </c>
      <c r="R1509">
        <v>0.999</v>
      </c>
      <c r="S1509">
        <v>1</v>
      </c>
    </row>
    <row r="1510" spans="1:19" x14ac:dyDescent="0.2">
      <c r="A1510" s="3" t="s">
        <v>54</v>
      </c>
      <c r="B1510" s="3" t="s">
        <v>55</v>
      </c>
      <c r="C1510">
        <v>26</v>
      </c>
      <c r="D1510">
        <v>20000</v>
      </c>
      <c r="E1510">
        <v>499</v>
      </c>
      <c r="F1510">
        <v>1</v>
      </c>
      <c r="G1510">
        <v>20000</v>
      </c>
      <c r="H1510">
        <v>3.7634936000000001E-2</v>
      </c>
      <c r="I1510">
        <v>16004</v>
      </c>
      <c r="J1510">
        <v>5161</v>
      </c>
      <c r="K1510">
        <v>10843</v>
      </c>
      <c r="L1510">
        <v>500</v>
      </c>
      <c r="M1510">
        <v>499</v>
      </c>
      <c r="N1510">
        <v>1</v>
      </c>
      <c r="O1510">
        <v>3996</v>
      </c>
      <c r="P1510" s="3" t="s">
        <v>50</v>
      </c>
      <c r="Q1510">
        <v>50</v>
      </c>
      <c r="R1510">
        <v>0.999</v>
      </c>
      <c r="S1510">
        <v>1</v>
      </c>
    </row>
    <row r="1511" spans="1:19" x14ac:dyDescent="0.2">
      <c r="A1511" s="3" t="s">
        <v>54</v>
      </c>
      <c r="B1511" s="3" t="s">
        <v>55</v>
      </c>
      <c r="C1511">
        <v>15</v>
      </c>
      <c r="D1511">
        <v>20000</v>
      </c>
      <c r="E1511">
        <v>499</v>
      </c>
      <c r="F1511">
        <v>1</v>
      </c>
      <c r="G1511">
        <v>20000</v>
      </c>
      <c r="H1511">
        <v>3.7611753999999997E-2</v>
      </c>
      <c r="I1511">
        <v>15979</v>
      </c>
      <c r="J1511">
        <v>5183</v>
      </c>
      <c r="K1511">
        <v>10796</v>
      </c>
      <c r="L1511">
        <v>500</v>
      </c>
      <c r="M1511">
        <v>499</v>
      </c>
      <c r="N1511">
        <v>1</v>
      </c>
      <c r="O1511">
        <v>4021</v>
      </c>
      <c r="P1511" s="3" t="s">
        <v>50</v>
      </c>
      <c r="Q1511">
        <v>50</v>
      </c>
      <c r="R1511">
        <v>0.999</v>
      </c>
      <c r="S1511">
        <v>1</v>
      </c>
    </row>
    <row r="1512" spans="1:19" x14ac:dyDescent="0.2">
      <c r="A1512" s="3" t="s">
        <v>54</v>
      </c>
      <c r="B1512" s="3" t="s">
        <v>55</v>
      </c>
      <c r="C1512">
        <v>31</v>
      </c>
      <c r="D1512">
        <v>20000</v>
      </c>
      <c r="E1512">
        <v>499</v>
      </c>
      <c r="F1512">
        <v>1</v>
      </c>
      <c r="G1512">
        <v>20000</v>
      </c>
      <c r="H1512">
        <v>3.7596352E-2</v>
      </c>
      <c r="I1512">
        <v>15978</v>
      </c>
      <c r="J1512">
        <v>5158</v>
      </c>
      <c r="K1512">
        <v>10820</v>
      </c>
      <c r="L1512">
        <v>500</v>
      </c>
      <c r="M1512">
        <v>499</v>
      </c>
      <c r="N1512">
        <v>1</v>
      </c>
      <c r="O1512">
        <v>4022</v>
      </c>
      <c r="P1512" s="3" t="s">
        <v>52</v>
      </c>
      <c r="Q1512">
        <v>50</v>
      </c>
      <c r="R1512">
        <v>0.999</v>
      </c>
      <c r="S1512">
        <v>1</v>
      </c>
    </row>
    <row r="1513" spans="1:19" x14ac:dyDescent="0.2">
      <c r="A1513" s="3" t="s">
        <v>54</v>
      </c>
      <c r="B1513" s="3" t="s">
        <v>55</v>
      </c>
      <c r="C1513">
        <v>13</v>
      </c>
      <c r="D1513">
        <v>20000</v>
      </c>
      <c r="E1513">
        <v>499</v>
      </c>
      <c r="F1513">
        <v>1</v>
      </c>
      <c r="G1513">
        <v>20000</v>
      </c>
      <c r="H1513">
        <v>3.7589297000000001E-2</v>
      </c>
      <c r="I1513">
        <v>15957</v>
      </c>
      <c r="J1513">
        <v>5173</v>
      </c>
      <c r="K1513">
        <v>10784</v>
      </c>
      <c r="L1513">
        <v>500</v>
      </c>
      <c r="M1513">
        <v>499</v>
      </c>
      <c r="N1513">
        <v>1</v>
      </c>
      <c r="O1513">
        <v>4043</v>
      </c>
      <c r="P1513" s="3" t="s">
        <v>52</v>
      </c>
      <c r="Q1513">
        <v>50</v>
      </c>
      <c r="R1513">
        <v>0.999</v>
      </c>
      <c r="S1513">
        <v>1</v>
      </c>
    </row>
    <row r="1514" spans="1:19" x14ac:dyDescent="0.2">
      <c r="A1514" s="3" t="s">
        <v>54</v>
      </c>
      <c r="B1514" s="3" t="s">
        <v>55</v>
      </c>
      <c r="C1514">
        <v>25</v>
      </c>
      <c r="D1514">
        <v>20000</v>
      </c>
      <c r="E1514">
        <v>499</v>
      </c>
      <c r="F1514">
        <v>1</v>
      </c>
      <c r="G1514">
        <v>20000</v>
      </c>
      <c r="H1514">
        <v>3.7574455E-2</v>
      </c>
      <c r="I1514">
        <v>15969</v>
      </c>
      <c r="J1514">
        <v>5156</v>
      </c>
      <c r="K1514">
        <v>10813</v>
      </c>
      <c r="L1514">
        <v>500</v>
      </c>
      <c r="M1514">
        <v>499</v>
      </c>
      <c r="N1514">
        <v>1</v>
      </c>
      <c r="O1514">
        <v>4031</v>
      </c>
      <c r="P1514" s="3" t="s">
        <v>50</v>
      </c>
      <c r="Q1514">
        <v>50</v>
      </c>
      <c r="R1514">
        <v>0.999</v>
      </c>
      <c r="S1514">
        <v>1</v>
      </c>
    </row>
    <row r="1515" spans="1:19" x14ac:dyDescent="0.2">
      <c r="A1515" s="3" t="s">
        <v>54</v>
      </c>
      <c r="B1515" s="3" t="s">
        <v>55</v>
      </c>
      <c r="C1515">
        <v>28</v>
      </c>
      <c r="D1515">
        <v>20000</v>
      </c>
      <c r="E1515">
        <v>499</v>
      </c>
      <c r="F1515">
        <v>1</v>
      </c>
      <c r="G1515">
        <v>20000</v>
      </c>
      <c r="H1515">
        <v>3.7570017999999997E-2</v>
      </c>
      <c r="I1515">
        <v>15937</v>
      </c>
      <c r="J1515">
        <v>5138</v>
      </c>
      <c r="K1515">
        <v>10799</v>
      </c>
      <c r="L1515">
        <v>500</v>
      </c>
      <c r="M1515">
        <v>499</v>
      </c>
      <c r="N1515">
        <v>1</v>
      </c>
      <c r="O1515">
        <v>4063</v>
      </c>
      <c r="P1515" s="3" t="s">
        <v>52</v>
      </c>
      <c r="Q1515">
        <v>50</v>
      </c>
      <c r="R1515">
        <v>0.999</v>
      </c>
      <c r="S1515">
        <v>1</v>
      </c>
    </row>
    <row r="1516" spans="1:19" x14ac:dyDescent="0.2">
      <c r="A1516" s="3" t="s">
        <v>54</v>
      </c>
      <c r="B1516" s="3" t="s">
        <v>55</v>
      </c>
      <c r="C1516">
        <v>3</v>
      </c>
      <c r="D1516">
        <v>18000</v>
      </c>
      <c r="E1516">
        <v>499</v>
      </c>
      <c r="F1516">
        <v>1</v>
      </c>
      <c r="G1516">
        <v>18000</v>
      </c>
      <c r="H1516">
        <v>3.7564214999999998E-2</v>
      </c>
      <c r="I1516">
        <v>15229</v>
      </c>
      <c r="J1516">
        <v>4865</v>
      </c>
      <c r="K1516">
        <v>10364</v>
      </c>
      <c r="L1516">
        <v>500</v>
      </c>
      <c r="M1516">
        <v>499</v>
      </c>
      <c r="N1516">
        <v>1</v>
      </c>
      <c r="O1516">
        <v>2771</v>
      </c>
      <c r="P1516" s="3" t="s">
        <v>50</v>
      </c>
      <c r="Q1516">
        <v>50</v>
      </c>
      <c r="R1516">
        <v>0.999</v>
      </c>
      <c r="S1516">
        <v>1</v>
      </c>
    </row>
    <row r="1517" spans="1:19" x14ac:dyDescent="0.2">
      <c r="A1517" s="3" t="s">
        <v>54</v>
      </c>
      <c r="B1517" s="3" t="s">
        <v>55</v>
      </c>
      <c r="C1517">
        <v>24</v>
      </c>
      <c r="D1517">
        <v>15000</v>
      </c>
      <c r="E1517">
        <v>499</v>
      </c>
      <c r="F1517">
        <v>1</v>
      </c>
      <c r="G1517">
        <v>15000</v>
      </c>
      <c r="H1517">
        <v>3.7563489999999998E-2</v>
      </c>
      <c r="I1517">
        <v>13509</v>
      </c>
      <c r="J1517">
        <v>5011</v>
      </c>
      <c r="K1517">
        <v>8498</v>
      </c>
      <c r="L1517">
        <v>500</v>
      </c>
      <c r="M1517">
        <v>499</v>
      </c>
      <c r="N1517">
        <v>1</v>
      </c>
      <c r="O1517">
        <v>1491</v>
      </c>
      <c r="P1517" s="3" t="s">
        <v>51</v>
      </c>
      <c r="Q1517">
        <v>50</v>
      </c>
      <c r="R1517">
        <v>0.999</v>
      </c>
      <c r="S1517">
        <v>1</v>
      </c>
    </row>
    <row r="1518" spans="1:19" x14ac:dyDescent="0.2">
      <c r="A1518" s="3" t="s">
        <v>54</v>
      </c>
      <c r="B1518" s="3" t="s">
        <v>55</v>
      </c>
      <c r="C1518">
        <v>36</v>
      </c>
      <c r="D1518">
        <v>20000</v>
      </c>
      <c r="E1518">
        <v>499</v>
      </c>
      <c r="F1518">
        <v>1</v>
      </c>
      <c r="G1518">
        <v>20000</v>
      </c>
      <c r="H1518">
        <v>3.7553728000000001E-2</v>
      </c>
      <c r="I1518">
        <v>15980</v>
      </c>
      <c r="J1518">
        <v>5165</v>
      </c>
      <c r="K1518">
        <v>10815</v>
      </c>
      <c r="L1518">
        <v>500</v>
      </c>
      <c r="M1518">
        <v>499</v>
      </c>
      <c r="N1518">
        <v>1</v>
      </c>
      <c r="O1518">
        <v>4020</v>
      </c>
      <c r="P1518" s="3" t="s">
        <v>52</v>
      </c>
      <c r="Q1518">
        <v>50</v>
      </c>
      <c r="R1518">
        <v>0.999</v>
      </c>
      <c r="S1518">
        <v>1</v>
      </c>
    </row>
    <row r="1519" spans="1:19" x14ac:dyDescent="0.2">
      <c r="A1519" s="3" t="s">
        <v>54</v>
      </c>
      <c r="B1519" s="3" t="s">
        <v>55</v>
      </c>
      <c r="C1519">
        <v>47</v>
      </c>
      <c r="D1519">
        <v>20000</v>
      </c>
      <c r="E1519">
        <v>499</v>
      </c>
      <c r="F1519">
        <v>1</v>
      </c>
      <c r="G1519">
        <v>20000</v>
      </c>
      <c r="H1519">
        <v>3.7519555000000003E-2</v>
      </c>
      <c r="I1519">
        <v>15965</v>
      </c>
      <c r="J1519">
        <v>5155</v>
      </c>
      <c r="K1519">
        <v>10810</v>
      </c>
      <c r="L1519">
        <v>500</v>
      </c>
      <c r="M1519">
        <v>499</v>
      </c>
      <c r="N1519">
        <v>1</v>
      </c>
      <c r="O1519">
        <v>4035</v>
      </c>
      <c r="P1519" s="3" t="s">
        <v>50</v>
      </c>
      <c r="Q1519">
        <v>50</v>
      </c>
      <c r="R1519">
        <v>0.999</v>
      </c>
      <c r="S1519">
        <v>1</v>
      </c>
    </row>
    <row r="1520" spans="1:19" x14ac:dyDescent="0.2">
      <c r="A1520" s="3" t="s">
        <v>54</v>
      </c>
      <c r="B1520" s="3" t="s">
        <v>55</v>
      </c>
      <c r="C1520">
        <v>42</v>
      </c>
      <c r="D1520">
        <v>20000</v>
      </c>
      <c r="E1520">
        <v>499</v>
      </c>
      <c r="F1520">
        <v>1</v>
      </c>
      <c r="G1520">
        <v>20000</v>
      </c>
      <c r="H1520">
        <v>3.7500655000000001E-2</v>
      </c>
      <c r="I1520">
        <v>15991</v>
      </c>
      <c r="J1520">
        <v>5170</v>
      </c>
      <c r="K1520">
        <v>10821</v>
      </c>
      <c r="L1520">
        <v>500</v>
      </c>
      <c r="M1520">
        <v>499</v>
      </c>
      <c r="N1520">
        <v>1</v>
      </c>
      <c r="O1520">
        <v>4009</v>
      </c>
      <c r="P1520" s="3" t="s">
        <v>52</v>
      </c>
      <c r="Q1520">
        <v>50</v>
      </c>
      <c r="R1520">
        <v>0.999</v>
      </c>
      <c r="S1520">
        <v>1</v>
      </c>
    </row>
    <row r="1521" spans="1:19" x14ac:dyDescent="0.2">
      <c r="A1521" s="3" t="s">
        <v>54</v>
      </c>
      <c r="B1521" s="3" t="s">
        <v>55</v>
      </c>
      <c r="C1521">
        <v>11</v>
      </c>
      <c r="D1521">
        <v>20000</v>
      </c>
      <c r="E1521">
        <v>499</v>
      </c>
      <c r="F1521">
        <v>1</v>
      </c>
      <c r="G1521">
        <v>20000</v>
      </c>
      <c r="H1521">
        <v>3.7482703999999999E-2</v>
      </c>
      <c r="I1521">
        <v>15981</v>
      </c>
      <c r="J1521">
        <v>5155</v>
      </c>
      <c r="K1521">
        <v>10826</v>
      </c>
      <c r="L1521">
        <v>500</v>
      </c>
      <c r="M1521">
        <v>499</v>
      </c>
      <c r="N1521">
        <v>1</v>
      </c>
      <c r="O1521">
        <v>4019</v>
      </c>
      <c r="P1521" s="3" t="s">
        <v>52</v>
      </c>
      <c r="Q1521">
        <v>50</v>
      </c>
      <c r="R1521">
        <v>0.999</v>
      </c>
      <c r="S1521">
        <v>1</v>
      </c>
    </row>
    <row r="1522" spans="1:19" x14ac:dyDescent="0.2">
      <c r="A1522" s="3" t="s">
        <v>54</v>
      </c>
      <c r="B1522" s="3" t="s">
        <v>55</v>
      </c>
      <c r="C1522">
        <v>40</v>
      </c>
      <c r="D1522">
        <v>15000</v>
      </c>
      <c r="E1522">
        <v>499</v>
      </c>
      <c r="F1522">
        <v>1</v>
      </c>
      <c r="G1522">
        <v>15000</v>
      </c>
      <c r="H1522">
        <v>3.747429E-2</v>
      </c>
      <c r="I1522">
        <v>13457</v>
      </c>
      <c r="J1522">
        <v>5001</v>
      </c>
      <c r="K1522">
        <v>8456</v>
      </c>
      <c r="L1522">
        <v>500</v>
      </c>
      <c r="M1522">
        <v>499</v>
      </c>
      <c r="N1522">
        <v>1</v>
      </c>
      <c r="O1522">
        <v>1543</v>
      </c>
      <c r="P1522" s="3" t="s">
        <v>51</v>
      </c>
      <c r="Q1522">
        <v>50</v>
      </c>
      <c r="R1522">
        <v>0.999</v>
      </c>
      <c r="S1522">
        <v>1</v>
      </c>
    </row>
    <row r="1523" spans="1:19" x14ac:dyDescent="0.2">
      <c r="A1523" s="3" t="s">
        <v>54</v>
      </c>
      <c r="B1523" s="3" t="s">
        <v>55</v>
      </c>
      <c r="C1523">
        <v>8</v>
      </c>
      <c r="D1523">
        <v>20000</v>
      </c>
      <c r="E1523">
        <v>499</v>
      </c>
      <c r="F1523">
        <v>1</v>
      </c>
      <c r="G1523">
        <v>20000</v>
      </c>
      <c r="H1523">
        <v>3.7450971999999999E-2</v>
      </c>
      <c r="I1523">
        <v>15983</v>
      </c>
      <c r="J1523">
        <v>5205</v>
      </c>
      <c r="K1523">
        <v>10778</v>
      </c>
      <c r="L1523">
        <v>500</v>
      </c>
      <c r="M1523">
        <v>499</v>
      </c>
      <c r="N1523">
        <v>1</v>
      </c>
      <c r="O1523">
        <v>4017</v>
      </c>
      <c r="P1523" s="3" t="s">
        <v>52</v>
      </c>
      <c r="Q1523">
        <v>50</v>
      </c>
      <c r="R1523">
        <v>0.999</v>
      </c>
      <c r="S1523">
        <v>1</v>
      </c>
    </row>
    <row r="1524" spans="1:19" x14ac:dyDescent="0.2">
      <c r="A1524" s="3" t="s">
        <v>54</v>
      </c>
      <c r="B1524" s="3" t="s">
        <v>55</v>
      </c>
      <c r="C1524">
        <v>27</v>
      </c>
      <c r="D1524">
        <v>15000</v>
      </c>
      <c r="E1524">
        <v>499</v>
      </c>
      <c r="F1524">
        <v>1</v>
      </c>
      <c r="G1524">
        <v>15000</v>
      </c>
      <c r="H1524">
        <v>3.7450905999999999E-2</v>
      </c>
      <c r="I1524">
        <v>13473</v>
      </c>
      <c r="J1524">
        <v>4977</v>
      </c>
      <c r="K1524">
        <v>8496</v>
      </c>
      <c r="L1524">
        <v>500</v>
      </c>
      <c r="M1524">
        <v>499</v>
      </c>
      <c r="N1524">
        <v>1</v>
      </c>
      <c r="O1524">
        <v>1527</v>
      </c>
      <c r="P1524" s="3" t="s">
        <v>51</v>
      </c>
      <c r="Q1524">
        <v>50</v>
      </c>
      <c r="R1524">
        <v>0.999</v>
      </c>
      <c r="S1524">
        <v>1</v>
      </c>
    </row>
    <row r="1525" spans="1:19" x14ac:dyDescent="0.2">
      <c r="A1525" s="3" t="s">
        <v>54</v>
      </c>
      <c r="B1525" s="3" t="s">
        <v>55</v>
      </c>
      <c r="C1525">
        <v>15</v>
      </c>
      <c r="D1525">
        <v>20000</v>
      </c>
      <c r="E1525">
        <v>499</v>
      </c>
      <c r="F1525">
        <v>1</v>
      </c>
      <c r="G1525">
        <v>20000</v>
      </c>
      <c r="H1525">
        <v>3.7439897E-2</v>
      </c>
      <c r="I1525">
        <v>16001</v>
      </c>
      <c r="J1525">
        <v>5118</v>
      </c>
      <c r="K1525">
        <v>10883</v>
      </c>
      <c r="L1525">
        <v>500</v>
      </c>
      <c r="M1525">
        <v>499</v>
      </c>
      <c r="N1525">
        <v>1</v>
      </c>
      <c r="O1525">
        <v>3999</v>
      </c>
      <c r="P1525" s="3" t="s">
        <v>52</v>
      </c>
      <c r="Q1525">
        <v>50</v>
      </c>
      <c r="R1525">
        <v>0.999</v>
      </c>
      <c r="S1525">
        <v>1</v>
      </c>
    </row>
    <row r="1526" spans="1:19" x14ac:dyDescent="0.2">
      <c r="A1526" s="3" t="s">
        <v>54</v>
      </c>
      <c r="B1526" s="3" t="s">
        <v>55</v>
      </c>
      <c r="C1526">
        <v>18</v>
      </c>
      <c r="D1526">
        <v>11000</v>
      </c>
      <c r="E1526">
        <v>499</v>
      </c>
      <c r="F1526">
        <v>1</v>
      </c>
      <c r="G1526">
        <v>11000</v>
      </c>
      <c r="H1526">
        <v>3.7408547E-2</v>
      </c>
      <c r="I1526">
        <v>11000</v>
      </c>
      <c r="J1526">
        <v>4329</v>
      </c>
      <c r="K1526">
        <v>6671</v>
      </c>
      <c r="L1526">
        <v>500</v>
      </c>
      <c r="M1526">
        <v>499</v>
      </c>
      <c r="N1526">
        <v>1</v>
      </c>
      <c r="O1526">
        <v>0</v>
      </c>
      <c r="P1526" s="3" t="s">
        <v>51</v>
      </c>
      <c r="Q1526">
        <v>50</v>
      </c>
      <c r="R1526">
        <v>0.999</v>
      </c>
      <c r="S1526">
        <v>1</v>
      </c>
    </row>
    <row r="1527" spans="1:19" x14ac:dyDescent="0.2">
      <c r="A1527" s="3" t="s">
        <v>54</v>
      </c>
      <c r="B1527" s="3" t="s">
        <v>55</v>
      </c>
      <c r="C1527">
        <v>31</v>
      </c>
      <c r="D1527">
        <v>15000</v>
      </c>
      <c r="E1527">
        <v>499</v>
      </c>
      <c r="F1527">
        <v>1</v>
      </c>
      <c r="G1527">
        <v>15000</v>
      </c>
      <c r="H1527">
        <v>3.7399271999999997E-2</v>
      </c>
      <c r="I1527">
        <v>13479</v>
      </c>
      <c r="J1527">
        <v>4993</v>
      </c>
      <c r="K1527">
        <v>8486</v>
      </c>
      <c r="L1527">
        <v>500</v>
      </c>
      <c r="M1527">
        <v>499</v>
      </c>
      <c r="N1527">
        <v>1</v>
      </c>
      <c r="O1527">
        <v>1521</v>
      </c>
      <c r="P1527" s="3" t="s">
        <v>51</v>
      </c>
      <c r="Q1527">
        <v>50</v>
      </c>
      <c r="R1527">
        <v>0.999</v>
      </c>
      <c r="S1527">
        <v>1</v>
      </c>
    </row>
    <row r="1528" spans="1:19" x14ac:dyDescent="0.2">
      <c r="A1528" s="3" t="s">
        <v>54</v>
      </c>
      <c r="B1528" s="3" t="s">
        <v>55</v>
      </c>
      <c r="C1528">
        <v>16</v>
      </c>
      <c r="D1528">
        <v>15000</v>
      </c>
      <c r="E1528">
        <v>499</v>
      </c>
      <c r="F1528">
        <v>1</v>
      </c>
      <c r="G1528">
        <v>15000</v>
      </c>
      <c r="H1528">
        <v>3.7375354999999999E-2</v>
      </c>
      <c r="I1528">
        <v>13469</v>
      </c>
      <c r="J1528">
        <v>4999</v>
      </c>
      <c r="K1528">
        <v>8470</v>
      </c>
      <c r="L1528">
        <v>500</v>
      </c>
      <c r="M1528">
        <v>499</v>
      </c>
      <c r="N1528">
        <v>1</v>
      </c>
      <c r="O1528">
        <v>1531</v>
      </c>
      <c r="P1528" s="3" t="s">
        <v>51</v>
      </c>
      <c r="Q1528">
        <v>50</v>
      </c>
      <c r="R1528">
        <v>0.999</v>
      </c>
      <c r="S1528">
        <v>1</v>
      </c>
    </row>
    <row r="1529" spans="1:19" x14ac:dyDescent="0.2">
      <c r="A1529" s="3" t="s">
        <v>54</v>
      </c>
      <c r="B1529" s="3" t="s">
        <v>55</v>
      </c>
      <c r="C1529">
        <v>17</v>
      </c>
      <c r="D1529">
        <v>20000</v>
      </c>
      <c r="E1529">
        <v>499</v>
      </c>
      <c r="F1529">
        <v>1</v>
      </c>
      <c r="G1529">
        <v>20000</v>
      </c>
      <c r="H1529">
        <v>3.7363583999999998E-2</v>
      </c>
      <c r="I1529">
        <v>15934</v>
      </c>
      <c r="J1529">
        <v>5134</v>
      </c>
      <c r="K1529">
        <v>10800</v>
      </c>
      <c r="L1529">
        <v>500</v>
      </c>
      <c r="M1529">
        <v>499</v>
      </c>
      <c r="N1529">
        <v>1</v>
      </c>
      <c r="O1529">
        <v>4066</v>
      </c>
      <c r="P1529" s="3" t="s">
        <v>52</v>
      </c>
      <c r="Q1529">
        <v>50</v>
      </c>
      <c r="R1529">
        <v>0.999</v>
      </c>
      <c r="S1529">
        <v>1</v>
      </c>
    </row>
    <row r="1530" spans="1:19" x14ac:dyDescent="0.2">
      <c r="A1530" s="3" t="s">
        <v>54</v>
      </c>
      <c r="B1530" s="3" t="s">
        <v>55</v>
      </c>
      <c r="C1530">
        <v>44</v>
      </c>
      <c r="D1530">
        <v>20000</v>
      </c>
      <c r="E1530">
        <v>499</v>
      </c>
      <c r="F1530">
        <v>1</v>
      </c>
      <c r="G1530">
        <v>20000</v>
      </c>
      <c r="H1530">
        <v>3.7358496999999997E-2</v>
      </c>
      <c r="I1530">
        <v>16024</v>
      </c>
      <c r="J1530">
        <v>5163</v>
      </c>
      <c r="K1530">
        <v>10861</v>
      </c>
      <c r="L1530">
        <v>500</v>
      </c>
      <c r="M1530">
        <v>499</v>
      </c>
      <c r="N1530">
        <v>1</v>
      </c>
      <c r="O1530">
        <v>3976</v>
      </c>
      <c r="P1530" s="3" t="s">
        <v>52</v>
      </c>
      <c r="Q1530">
        <v>50</v>
      </c>
      <c r="R1530">
        <v>0.999</v>
      </c>
      <c r="S1530">
        <v>1</v>
      </c>
    </row>
    <row r="1531" spans="1:19" x14ac:dyDescent="0.2">
      <c r="A1531" s="3" t="s">
        <v>54</v>
      </c>
      <c r="B1531" s="3" t="s">
        <v>55</v>
      </c>
      <c r="C1531">
        <v>32</v>
      </c>
      <c r="D1531">
        <v>20000</v>
      </c>
      <c r="E1531">
        <v>499</v>
      </c>
      <c r="F1531">
        <v>1</v>
      </c>
      <c r="G1531">
        <v>20000</v>
      </c>
      <c r="H1531">
        <v>3.7281278000000001E-2</v>
      </c>
      <c r="I1531">
        <v>15962</v>
      </c>
      <c r="J1531">
        <v>5145</v>
      </c>
      <c r="K1531">
        <v>10817</v>
      </c>
      <c r="L1531">
        <v>500</v>
      </c>
      <c r="M1531">
        <v>499</v>
      </c>
      <c r="N1531">
        <v>1</v>
      </c>
      <c r="O1531">
        <v>4038</v>
      </c>
      <c r="P1531" s="3" t="s">
        <v>52</v>
      </c>
      <c r="Q1531">
        <v>50</v>
      </c>
      <c r="R1531">
        <v>0.999</v>
      </c>
      <c r="S1531">
        <v>1</v>
      </c>
    </row>
    <row r="1532" spans="1:19" x14ac:dyDescent="0.2">
      <c r="A1532" s="3" t="s">
        <v>54</v>
      </c>
      <c r="B1532" s="3" t="s">
        <v>55</v>
      </c>
      <c r="C1532">
        <v>39</v>
      </c>
      <c r="D1532">
        <v>20000</v>
      </c>
      <c r="E1532">
        <v>499</v>
      </c>
      <c r="F1532">
        <v>1</v>
      </c>
      <c r="G1532">
        <v>20000</v>
      </c>
      <c r="H1532">
        <v>3.7268177999999999E-2</v>
      </c>
      <c r="I1532">
        <v>15989</v>
      </c>
      <c r="J1532">
        <v>5162</v>
      </c>
      <c r="K1532">
        <v>10827</v>
      </c>
      <c r="L1532">
        <v>500</v>
      </c>
      <c r="M1532">
        <v>499</v>
      </c>
      <c r="N1532">
        <v>1</v>
      </c>
      <c r="O1532">
        <v>4011</v>
      </c>
      <c r="P1532" s="3" t="s">
        <v>52</v>
      </c>
      <c r="Q1532">
        <v>50</v>
      </c>
      <c r="R1532">
        <v>0.999</v>
      </c>
      <c r="S1532">
        <v>1</v>
      </c>
    </row>
    <row r="1533" spans="1:19" x14ac:dyDescent="0.2">
      <c r="A1533" s="3" t="s">
        <v>54</v>
      </c>
      <c r="B1533" s="3" t="s">
        <v>55</v>
      </c>
      <c r="C1533">
        <v>32</v>
      </c>
      <c r="D1533">
        <v>15000</v>
      </c>
      <c r="E1533">
        <v>499</v>
      </c>
      <c r="F1533">
        <v>1</v>
      </c>
      <c r="G1533">
        <v>15000</v>
      </c>
      <c r="H1533">
        <v>3.7252860999999998E-2</v>
      </c>
      <c r="I1533">
        <v>13469</v>
      </c>
      <c r="J1533">
        <v>5000</v>
      </c>
      <c r="K1533">
        <v>8469</v>
      </c>
      <c r="L1533">
        <v>500</v>
      </c>
      <c r="M1533">
        <v>499</v>
      </c>
      <c r="N1533">
        <v>1</v>
      </c>
      <c r="O1533">
        <v>1531</v>
      </c>
      <c r="P1533" s="3" t="s">
        <v>51</v>
      </c>
      <c r="Q1533">
        <v>50</v>
      </c>
      <c r="R1533">
        <v>0.999</v>
      </c>
      <c r="S1533">
        <v>1</v>
      </c>
    </row>
    <row r="1534" spans="1:19" x14ac:dyDescent="0.2">
      <c r="A1534" s="3" t="s">
        <v>54</v>
      </c>
      <c r="B1534" s="3" t="s">
        <v>55</v>
      </c>
      <c r="C1534">
        <v>34</v>
      </c>
      <c r="D1534">
        <v>15000</v>
      </c>
      <c r="E1534">
        <v>499</v>
      </c>
      <c r="F1534">
        <v>1</v>
      </c>
      <c r="G1534">
        <v>15000</v>
      </c>
      <c r="H1534">
        <v>3.7244328E-2</v>
      </c>
      <c r="I1534">
        <v>13470</v>
      </c>
      <c r="J1534">
        <v>5006</v>
      </c>
      <c r="K1534">
        <v>8464</v>
      </c>
      <c r="L1534">
        <v>500</v>
      </c>
      <c r="M1534">
        <v>499</v>
      </c>
      <c r="N1534">
        <v>1</v>
      </c>
      <c r="O1534">
        <v>1530</v>
      </c>
      <c r="P1534" s="3" t="s">
        <v>51</v>
      </c>
      <c r="Q1534">
        <v>50</v>
      </c>
      <c r="R1534">
        <v>0.999</v>
      </c>
      <c r="S1534">
        <v>1</v>
      </c>
    </row>
    <row r="1535" spans="1:19" x14ac:dyDescent="0.2">
      <c r="A1535" s="3" t="s">
        <v>54</v>
      </c>
      <c r="B1535" s="3" t="s">
        <v>55</v>
      </c>
      <c r="C1535">
        <v>26</v>
      </c>
      <c r="D1535">
        <v>20000</v>
      </c>
      <c r="E1535">
        <v>499</v>
      </c>
      <c r="F1535">
        <v>1</v>
      </c>
      <c r="G1535">
        <v>20000</v>
      </c>
      <c r="H1535">
        <v>3.7236250999999998E-2</v>
      </c>
      <c r="I1535">
        <v>16000</v>
      </c>
      <c r="J1535">
        <v>5158</v>
      </c>
      <c r="K1535">
        <v>10842</v>
      </c>
      <c r="L1535">
        <v>500</v>
      </c>
      <c r="M1535">
        <v>499</v>
      </c>
      <c r="N1535">
        <v>1</v>
      </c>
      <c r="O1535">
        <v>4000</v>
      </c>
      <c r="P1535" s="3" t="s">
        <v>52</v>
      </c>
      <c r="Q1535">
        <v>50</v>
      </c>
      <c r="R1535">
        <v>0.999</v>
      </c>
      <c r="S1535">
        <v>1</v>
      </c>
    </row>
    <row r="1536" spans="1:19" x14ac:dyDescent="0.2">
      <c r="A1536" s="3" t="s">
        <v>54</v>
      </c>
      <c r="B1536" s="3" t="s">
        <v>55</v>
      </c>
      <c r="C1536">
        <v>46</v>
      </c>
      <c r="D1536">
        <v>20000</v>
      </c>
      <c r="E1536">
        <v>499</v>
      </c>
      <c r="F1536">
        <v>1</v>
      </c>
      <c r="G1536">
        <v>20000</v>
      </c>
      <c r="H1536">
        <v>3.7231163999999997E-2</v>
      </c>
      <c r="I1536">
        <v>15999</v>
      </c>
      <c r="J1536">
        <v>5175</v>
      </c>
      <c r="K1536">
        <v>10824</v>
      </c>
      <c r="L1536">
        <v>500</v>
      </c>
      <c r="M1536">
        <v>499</v>
      </c>
      <c r="N1536">
        <v>1</v>
      </c>
      <c r="O1536">
        <v>4001</v>
      </c>
      <c r="P1536" s="3" t="s">
        <v>52</v>
      </c>
      <c r="Q1536">
        <v>50</v>
      </c>
      <c r="R1536">
        <v>0.999</v>
      </c>
      <c r="S1536">
        <v>1</v>
      </c>
    </row>
    <row r="1537" spans="1:19" x14ac:dyDescent="0.2">
      <c r="A1537" s="3" t="s">
        <v>54</v>
      </c>
      <c r="B1537" s="3" t="s">
        <v>55</v>
      </c>
      <c r="C1537">
        <v>21</v>
      </c>
      <c r="D1537">
        <v>20000</v>
      </c>
      <c r="E1537">
        <v>499</v>
      </c>
      <c r="F1537">
        <v>1</v>
      </c>
      <c r="G1537">
        <v>20000</v>
      </c>
      <c r="H1537">
        <v>3.7220164E-2</v>
      </c>
      <c r="I1537">
        <v>16000</v>
      </c>
      <c r="J1537">
        <v>5152</v>
      </c>
      <c r="K1537">
        <v>10848</v>
      </c>
      <c r="L1537">
        <v>500</v>
      </c>
      <c r="M1537">
        <v>499</v>
      </c>
      <c r="N1537">
        <v>1</v>
      </c>
      <c r="O1537">
        <v>4000</v>
      </c>
      <c r="P1537" s="3" t="s">
        <v>52</v>
      </c>
      <c r="Q1537">
        <v>50</v>
      </c>
      <c r="R1537">
        <v>0.999</v>
      </c>
      <c r="S1537">
        <v>1</v>
      </c>
    </row>
    <row r="1538" spans="1:19" x14ac:dyDescent="0.2">
      <c r="A1538" s="3" t="s">
        <v>54</v>
      </c>
      <c r="B1538" s="3" t="s">
        <v>55</v>
      </c>
      <c r="C1538">
        <v>19</v>
      </c>
      <c r="D1538">
        <v>20000</v>
      </c>
      <c r="E1538">
        <v>499</v>
      </c>
      <c r="F1538">
        <v>1</v>
      </c>
      <c r="G1538">
        <v>20000</v>
      </c>
      <c r="H1538">
        <v>3.7198833000000001E-2</v>
      </c>
      <c r="I1538">
        <v>15998</v>
      </c>
      <c r="J1538">
        <v>5169</v>
      </c>
      <c r="K1538">
        <v>10829</v>
      </c>
      <c r="L1538">
        <v>500</v>
      </c>
      <c r="M1538">
        <v>499</v>
      </c>
      <c r="N1538">
        <v>1</v>
      </c>
      <c r="O1538">
        <v>4002</v>
      </c>
      <c r="P1538" s="3" t="s">
        <v>52</v>
      </c>
      <c r="Q1538">
        <v>50</v>
      </c>
      <c r="R1538">
        <v>0.999</v>
      </c>
      <c r="S1538">
        <v>1</v>
      </c>
    </row>
    <row r="1539" spans="1:19" x14ac:dyDescent="0.2">
      <c r="A1539" s="3" t="s">
        <v>54</v>
      </c>
      <c r="B1539" s="3" t="s">
        <v>55</v>
      </c>
      <c r="C1539">
        <v>44</v>
      </c>
      <c r="D1539">
        <v>15000</v>
      </c>
      <c r="E1539">
        <v>499</v>
      </c>
      <c r="F1539">
        <v>1</v>
      </c>
      <c r="G1539">
        <v>15000</v>
      </c>
      <c r="H1539">
        <v>3.7175274000000001E-2</v>
      </c>
      <c r="I1539">
        <v>13469</v>
      </c>
      <c r="J1539">
        <v>5006</v>
      </c>
      <c r="K1539">
        <v>8463</v>
      </c>
      <c r="L1539">
        <v>500</v>
      </c>
      <c r="M1539">
        <v>499</v>
      </c>
      <c r="N1539">
        <v>1</v>
      </c>
      <c r="O1539">
        <v>1531</v>
      </c>
      <c r="P1539" s="3" t="s">
        <v>51</v>
      </c>
      <c r="Q1539">
        <v>50</v>
      </c>
      <c r="R1539">
        <v>0.999</v>
      </c>
      <c r="S1539">
        <v>1</v>
      </c>
    </row>
    <row r="1540" spans="1:19" x14ac:dyDescent="0.2">
      <c r="A1540" s="3" t="s">
        <v>54</v>
      </c>
      <c r="B1540" s="3" t="s">
        <v>55</v>
      </c>
      <c r="C1540">
        <v>34</v>
      </c>
      <c r="D1540">
        <v>18000</v>
      </c>
      <c r="E1540">
        <v>499</v>
      </c>
      <c r="F1540">
        <v>1</v>
      </c>
      <c r="G1540">
        <v>18000</v>
      </c>
      <c r="H1540">
        <v>3.7164790000000003E-2</v>
      </c>
      <c r="I1540">
        <v>15221</v>
      </c>
      <c r="J1540">
        <v>4911</v>
      </c>
      <c r="K1540">
        <v>10310</v>
      </c>
      <c r="L1540">
        <v>500</v>
      </c>
      <c r="M1540">
        <v>499</v>
      </c>
      <c r="N1540">
        <v>1</v>
      </c>
      <c r="O1540">
        <v>2779</v>
      </c>
      <c r="P1540" s="3" t="s">
        <v>50</v>
      </c>
      <c r="Q1540">
        <v>50</v>
      </c>
      <c r="R1540">
        <v>0.999</v>
      </c>
      <c r="S1540">
        <v>1</v>
      </c>
    </row>
    <row r="1541" spans="1:19" x14ac:dyDescent="0.2">
      <c r="A1541" s="3" t="s">
        <v>54</v>
      </c>
      <c r="B1541" s="3" t="s">
        <v>55</v>
      </c>
      <c r="C1541">
        <v>16</v>
      </c>
      <c r="D1541">
        <v>20000</v>
      </c>
      <c r="E1541">
        <v>499</v>
      </c>
      <c r="F1541">
        <v>1</v>
      </c>
      <c r="G1541">
        <v>20000</v>
      </c>
      <c r="H1541">
        <v>3.7110467000000001E-2</v>
      </c>
      <c r="I1541">
        <v>15980</v>
      </c>
      <c r="J1541">
        <v>5154</v>
      </c>
      <c r="K1541">
        <v>10826</v>
      </c>
      <c r="L1541">
        <v>500</v>
      </c>
      <c r="M1541">
        <v>499</v>
      </c>
      <c r="N1541">
        <v>1</v>
      </c>
      <c r="O1541">
        <v>4020</v>
      </c>
      <c r="P1541" s="3" t="s">
        <v>52</v>
      </c>
      <c r="Q1541">
        <v>50</v>
      </c>
      <c r="R1541">
        <v>0.999</v>
      </c>
      <c r="S1541">
        <v>1</v>
      </c>
    </row>
    <row r="1542" spans="1:19" x14ac:dyDescent="0.2">
      <c r="A1542" s="3" t="s">
        <v>54</v>
      </c>
      <c r="B1542" s="3" t="s">
        <v>55</v>
      </c>
      <c r="C1542">
        <v>33</v>
      </c>
      <c r="D1542">
        <v>15000</v>
      </c>
      <c r="E1542">
        <v>499</v>
      </c>
      <c r="F1542">
        <v>1</v>
      </c>
      <c r="G1542">
        <v>15000</v>
      </c>
      <c r="H1542">
        <v>3.7074608000000002E-2</v>
      </c>
      <c r="I1542">
        <v>13497</v>
      </c>
      <c r="J1542">
        <v>5012</v>
      </c>
      <c r="K1542">
        <v>8485</v>
      </c>
      <c r="L1542">
        <v>500</v>
      </c>
      <c r="M1542">
        <v>499</v>
      </c>
      <c r="N1542">
        <v>1</v>
      </c>
      <c r="O1542">
        <v>1503</v>
      </c>
      <c r="P1542" s="3" t="s">
        <v>51</v>
      </c>
      <c r="Q1542">
        <v>50</v>
      </c>
      <c r="R1542">
        <v>0.999</v>
      </c>
      <c r="S1542">
        <v>1</v>
      </c>
    </row>
    <row r="1543" spans="1:19" x14ac:dyDescent="0.2">
      <c r="A1543" s="3" t="s">
        <v>54</v>
      </c>
      <c r="B1543" s="3" t="s">
        <v>55</v>
      </c>
      <c r="C1543">
        <v>20</v>
      </c>
      <c r="D1543">
        <v>20000</v>
      </c>
      <c r="E1543">
        <v>499</v>
      </c>
      <c r="F1543">
        <v>1</v>
      </c>
      <c r="G1543">
        <v>20000</v>
      </c>
      <c r="H1543">
        <v>3.7064872999999998E-2</v>
      </c>
      <c r="I1543">
        <v>16009</v>
      </c>
      <c r="J1543">
        <v>5146</v>
      </c>
      <c r="K1543">
        <v>10863</v>
      </c>
      <c r="L1543">
        <v>500</v>
      </c>
      <c r="M1543">
        <v>499</v>
      </c>
      <c r="N1543">
        <v>1</v>
      </c>
      <c r="O1543">
        <v>3991</v>
      </c>
      <c r="P1543" s="3" t="s">
        <v>52</v>
      </c>
      <c r="Q1543">
        <v>50</v>
      </c>
      <c r="R1543">
        <v>0.999</v>
      </c>
      <c r="S1543">
        <v>1</v>
      </c>
    </row>
    <row r="1544" spans="1:19" x14ac:dyDescent="0.2">
      <c r="A1544" s="3" t="s">
        <v>54</v>
      </c>
      <c r="B1544" s="3" t="s">
        <v>55</v>
      </c>
      <c r="C1544">
        <v>49</v>
      </c>
      <c r="D1544">
        <v>15000</v>
      </c>
      <c r="E1544">
        <v>499</v>
      </c>
      <c r="F1544">
        <v>1</v>
      </c>
      <c r="G1544">
        <v>15000</v>
      </c>
      <c r="H1544">
        <v>3.7018782E-2</v>
      </c>
      <c r="I1544">
        <v>13469</v>
      </c>
      <c r="J1544">
        <v>4995</v>
      </c>
      <c r="K1544">
        <v>8474</v>
      </c>
      <c r="L1544">
        <v>500</v>
      </c>
      <c r="M1544">
        <v>499</v>
      </c>
      <c r="N1544">
        <v>1</v>
      </c>
      <c r="O1544">
        <v>1531</v>
      </c>
      <c r="P1544" s="3" t="s">
        <v>51</v>
      </c>
      <c r="Q1544">
        <v>50</v>
      </c>
      <c r="R1544">
        <v>0.999</v>
      </c>
      <c r="S1544">
        <v>1</v>
      </c>
    </row>
    <row r="1545" spans="1:19" x14ac:dyDescent="0.2">
      <c r="A1545" s="3" t="s">
        <v>54</v>
      </c>
      <c r="B1545" s="3" t="s">
        <v>55</v>
      </c>
      <c r="C1545">
        <v>50</v>
      </c>
      <c r="D1545">
        <v>20000</v>
      </c>
      <c r="E1545">
        <v>499</v>
      </c>
      <c r="F1545">
        <v>1</v>
      </c>
      <c r="G1545">
        <v>20000</v>
      </c>
      <c r="H1545">
        <v>3.7003546999999998E-2</v>
      </c>
      <c r="I1545">
        <v>16008</v>
      </c>
      <c r="J1545">
        <v>5199</v>
      </c>
      <c r="K1545">
        <v>10809</v>
      </c>
      <c r="L1545">
        <v>500</v>
      </c>
      <c r="M1545">
        <v>499</v>
      </c>
      <c r="N1545">
        <v>1</v>
      </c>
      <c r="O1545">
        <v>3992</v>
      </c>
      <c r="P1545" s="3" t="s">
        <v>52</v>
      </c>
      <c r="Q1545">
        <v>50</v>
      </c>
      <c r="R1545">
        <v>0.999</v>
      </c>
      <c r="S1545">
        <v>1</v>
      </c>
    </row>
    <row r="1546" spans="1:19" x14ac:dyDescent="0.2">
      <c r="A1546" s="3" t="s">
        <v>54</v>
      </c>
      <c r="B1546" s="3" t="s">
        <v>55</v>
      </c>
      <c r="C1546">
        <v>25</v>
      </c>
      <c r="D1546">
        <v>20000</v>
      </c>
      <c r="E1546">
        <v>499</v>
      </c>
      <c r="F1546">
        <v>1</v>
      </c>
      <c r="G1546">
        <v>20000</v>
      </c>
      <c r="H1546">
        <v>3.6986178000000001E-2</v>
      </c>
      <c r="I1546">
        <v>16014</v>
      </c>
      <c r="J1546">
        <v>5189</v>
      </c>
      <c r="K1546">
        <v>10825</v>
      </c>
      <c r="L1546">
        <v>500</v>
      </c>
      <c r="M1546">
        <v>499</v>
      </c>
      <c r="N1546">
        <v>1</v>
      </c>
      <c r="O1546">
        <v>3986</v>
      </c>
      <c r="P1546" s="3" t="s">
        <v>52</v>
      </c>
      <c r="Q1546">
        <v>50</v>
      </c>
      <c r="R1546">
        <v>0.999</v>
      </c>
      <c r="S1546">
        <v>1</v>
      </c>
    </row>
    <row r="1547" spans="1:19" x14ac:dyDescent="0.2">
      <c r="A1547" s="3" t="s">
        <v>54</v>
      </c>
      <c r="B1547" s="3" t="s">
        <v>55</v>
      </c>
      <c r="C1547">
        <v>43</v>
      </c>
      <c r="D1547">
        <v>20000</v>
      </c>
      <c r="E1547">
        <v>499</v>
      </c>
      <c r="F1547">
        <v>1</v>
      </c>
      <c r="G1547">
        <v>20000</v>
      </c>
      <c r="H1547">
        <v>3.6977916999999999E-2</v>
      </c>
      <c r="I1547">
        <v>15987</v>
      </c>
      <c r="J1547">
        <v>5140</v>
      </c>
      <c r="K1547">
        <v>10847</v>
      </c>
      <c r="L1547">
        <v>500</v>
      </c>
      <c r="M1547">
        <v>499</v>
      </c>
      <c r="N1547">
        <v>1</v>
      </c>
      <c r="O1547">
        <v>4013</v>
      </c>
      <c r="P1547" s="3" t="s">
        <v>52</v>
      </c>
      <c r="Q1547">
        <v>50</v>
      </c>
      <c r="R1547">
        <v>0.999</v>
      </c>
      <c r="S1547">
        <v>1</v>
      </c>
    </row>
    <row r="1548" spans="1:19" x14ac:dyDescent="0.2">
      <c r="A1548" s="3" t="s">
        <v>54</v>
      </c>
      <c r="B1548" s="3" t="s">
        <v>55</v>
      </c>
      <c r="C1548">
        <v>13</v>
      </c>
      <c r="D1548">
        <v>15000</v>
      </c>
      <c r="E1548">
        <v>499</v>
      </c>
      <c r="F1548">
        <v>1</v>
      </c>
      <c r="G1548">
        <v>15000</v>
      </c>
      <c r="H1548">
        <v>3.6969869000000002E-2</v>
      </c>
      <c r="I1548">
        <v>13486</v>
      </c>
      <c r="J1548">
        <v>5000</v>
      </c>
      <c r="K1548">
        <v>8486</v>
      </c>
      <c r="L1548">
        <v>500</v>
      </c>
      <c r="M1548">
        <v>499</v>
      </c>
      <c r="N1548">
        <v>1</v>
      </c>
      <c r="O1548">
        <v>1514</v>
      </c>
      <c r="P1548" s="3" t="s">
        <v>51</v>
      </c>
      <c r="Q1548">
        <v>50</v>
      </c>
      <c r="R1548">
        <v>0.999</v>
      </c>
      <c r="S1548">
        <v>1</v>
      </c>
    </row>
    <row r="1549" spans="1:19" x14ac:dyDescent="0.2">
      <c r="A1549" s="3" t="s">
        <v>54</v>
      </c>
      <c r="B1549" s="3" t="s">
        <v>55</v>
      </c>
      <c r="C1549">
        <v>7</v>
      </c>
      <c r="D1549">
        <v>13000</v>
      </c>
      <c r="E1549">
        <v>499</v>
      </c>
      <c r="F1549">
        <v>1</v>
      </c>
      <c r="G1549">
        <v>13000</v>
      </c>
      <c r="H1549">
        <v>3.6960610999999997E-2</v>
      </c>
      <c r="I1549">
        <v>12544</v>
      </c>
      <c r="J1549">
        <v>4840</v>
      </c>
      <c r="K1549">
        <v>7704</v>
      </c>
      <c r="L1549">
        <v>500</v>
      </c>
      <c r="M1549">
        <v>499</v>
      </c>
      <c r="N1549">
        <v>1</v>
      </c>
      <c r="O1549">
        <v>456</v>
      </c>
      <c r="P1549" s="3" t="s">
        <v>51</v>
      </c>
      <c r="Q1549">
        <v>50</v>
      </c>
      <c r="R1549">
        <v>0.999</v>
      </c>
      <c r="S1549">
        <v>1</v>
      </c>
    </row>
    <row r="1550" spans="1:19" x14ac:dyDescent="0.2">
      <c r="A1550" s="3" t="s">
        <v>54</v>
      </c>
      <c r="B1550" s="3" t="s">
        <v>55</v>
      </c>
      <c r="C1550">
        <v>50</v>
      </c>
      <c r="D1550">
        <v>15000</v>
      </c>
      <c r="E1550">
        <v>499</v>
      </c>
      <c r="F1550">
        <v>1</v>
      </c>
      <c r="G1550">
        <v>15000</v>
      </c>
      <c r="H1550">
        <v>3.6947567000000001E-2</v>
      </c>
      <c r="I1550">
        <v>13462</v>
      </c>
      <c r="J1550">
        <v>4995</v>
      </c>
      <c r="K1550">
        <v>8467</v>
      </c>
      <c r="L1550">
        <v>500</v>
      </c>
      <c r="M1550">
        <v>499</v>
      </c>
      <c r="N1550">
        <v>1</v>
      </c>
      <c r="O1550">
        <v>1538</v>
      </c>
      <c r="P1550" s="3" t="s">
        <v>51</v>
      </c>
      <c r="Q1550">
        <v>50</v>
      </c>
      <c r="R1550">
        <v>0.999</v>
      </c>
      <c r="S1550">
        <v>1</v>
      </c>
    </row>
    <row r="1551" spans="1:19" x14ac:dyDescent="0.2">
      <c r="A1551" s="3" t="s">
        <v>54</v>
      </c>
      <c r="B1551" s="3" t="s">
        <v>55</v>
      </c>
      <c r="C1551">
        <v>37</v>
      </c>
      <c r="D1551">
        <v>15000</v>
      </c>
      <c r="E1551">
        <v>499</v>
      </c>
      <c r="F1551">
        <v>1</v>
      </c>
      <c r="G1551">
        <v>15000</v>
      </c>
      <c r="H1551">
        <v>3.6931663000000003E-2</v>
      </c>
      <c r="I1551">
        <v>13469</v>
      </c>
      <c r="J1551">
        <v>4985</v>
      </c>
      <c r="K1551">
        <v>8484</v>
      </c>
      <c r="L1551">
        <v>500</v>
      </c>
      <c r="M1551">
        <v>499</v>
      </c>
      <c r="N1551">
        <v>1</v>
      </c>
      <c r="O1551">
        <v>1531</v>
      </c>
      <c r="P1551" s="3" t="s">
        <v>51</v>
      </c>
      <c r="Q1551">
        <v>50</v>
      </c>
      <c r="R1551">
        <v>0.999</v>
      </c>
      <c r="S1551">
        <v>1</v>
      </c>
    </row>
    <row r="1552" spans="1:19" x14ac:dyDescent="0.2">
      <c r="A1552" s="3" t="s">
        <v>54</v>
      </c>
      <c r="B1552" s="3" t="s">
        <v>55</v>
      </c>
      <c r="C1552">
        <v>1</v>
      </c>
      <c r="D1552">
        <v>20000</v>
      </c>
      <c r="E1552">
        <v>499</v>
      </c>
      <c r="F1552">
        <v>1</v>
      </c>
      <c r="G1552">
        <v>20000</v>
      </c>
      <c r="H1552">
        <v>3.6923706000000001E-2</v>
      </c>
      <c r="I1552">
        <v>15982</v>
      </c>
      <c r="J1552">
        <v>5126</v>
      </c>
      <c r="K1552">
        <v>10856</v>
      </c>
      <c r="L1552">
        <v>500</v>
      </c>
      <c r="M1552">
        <v>499</v>
      </c>
      <c r="N1552">
        <v>1</v>
      </c>
      <c r="O1552">
        <v>4018</v>
      </c>
      <c r="P1552" s="3" t="s">
        <v>52</v>
      </c>
      <c r="Q1552">
        <v>50</v>
      </c>
      <c r="R1552">
        <v>0.999</v>
      </c>
      <c r="S1552">
        <v>1</v>
      </c>
    </row>
    <row r="1553" spans="1:19" x14ac:dyDescent="0.2">
      <c r="A1553" s="3" t="s">
        <v>54</v>
      </c>
      <c r="B1553" s="3" t="s">
        <v>55</v>
      </c>
      <c r="C1553">
        <v>45</v>
      </c>
      <c r="D1553">
        <v>15000</v>
      </c>
      <c r="E1553">
        <v>499</v>
      </c>
      <c r="F1553">
        <v>1</v>
      </c>
      <c r="G1553">
        <v>15000</v>
      </c>
      <c r="H1553">
        <v>3.6879816000000003E-2</v>
      </c>
      <c r="I1553">
        <v>13485</v>
      </c>
      <c r="J1553">
        <v>5001</v>
      </c>
      <c r="K1553">
        <v>8484</v>
      </c>
      <c r="L1553">
        <v>500</v>
      </c>
      <c r="M1553">
        <v>499</v>
      </c>
      <c r="N1553">
        <v>1</v>
      </c>
      <c r="O1553">
        <v>1515</v>
      </c>
      <c r="P1553" s="3" t="s">
        <v>51</v>
      </c>
      <c r="Q1553">
        <v>50</v>
      </c>
      <c r="R1553">
        <v>0.999</v>
      </c>
      <c r="S1553">
        <v>1</v>
      </c>
    </row>
    <row r="1554" spans="1:19" x14ac:dyDescent="0.2">
      <c r="A1554" s="3" t="s">
        <v>54</v>
      </c>
      <c r="B1554" s="3" t="s">
        <v>55</v>
      </c>
      <c r="C1554">
        <v>47</v>
      </c>
      <c r="D1554">
        <v>15000</v>
      </c>
      <c r="E1554">
        <v>499</v>
      </c>
      <c r="F1554">
        <v>1</v>
      </c>
      <c r="G1554">
        <v>15000</v>
      </c>
      <c r="H1554">
        <v>3.6844377999999997E-2</v>
      </c>
      <c r="I1554">
        <v>13495</v>
      </c>
      <c r="J1554">
        <v>4991</v>
      </c>
      <c r="K1554">
        <v>8504</v>
      </c>
      <c r="L1554">
        <v>500</v>
      </c>
      <c r="M1554">
        <v>499</v>
      </c>
      <c r="N1554">
        <v>1</v>
      </c>
      <c r="O1554">
        <v>1505</v>
      </c>
      <c r="P1554" s="3" t="s">
        <v>51</v>
      </c>
      <c r="Q1554">
        <v>50</v>
      </c>
      <c r="R1554">
        <v>0.999</v>
      </c>
      <c r="S1554">
        <v>1</v>
      </c>
    </row>
    <row r="1555" spans="1:19" x14ac:dyDescent="0.2">
      <c r="A1555" s="3" t="s">
        <v>54</v>
      </c>
      <c r="B1555" s="3" t="s">
        <v>55</v>
      </c>
      <c r="C1555">
        <v>22</v>
      </c>
      <c r="D1555">
        <v>20000</v>
      </c>
      <c r="E1555">
        <v>499</v>
      </c>
      <c r="F1555">
        <v>1</v>
      </c>
      <c r="G1555">
        <v>20000</v>
      </c>
      <c r="H1555">
        <v>3.6814714999999998E-2</v>
      </c>
      <c r="I1555">
        <v>15961</v>
      </c>
      <c r="J1555">
        <v>5178</v>
      </c>
      <c r="K1555">
        <v>10783</v>
      </c>
      <c r="L1555">
        <v>500</v>
      </c>
      <c r="M1555">
        <v>499</v>
      </c>
      <c r="N1555">
        <v>1</v>
      </c>
      <c r="O1555">
        <v>4039</v>
      </c>
      <c r="P1555" s="3" t="s">
        <v>52</v>
      </c>
      <c r="Q1555">
        <v>50</v>
      </c>
      <c r="R1555">
        <v>0.999</v>
      </c>
      <c r="S1555">
        <v>1</v>
      </c>
    </row>
    <row r="1556" spans="1:19" x14ac:dyDescent="0.2">
      <c r="A1556" s="3" t="s">
        <v>54</v>
      </c>
      <c r="B1556" s="3" t="s">
        <v>55</v>
      </c>
      <c r="C1556">
        <v>4</v>
      </c>
      <c r="D1556">
        <v>15000</v>
      </c>
      <c r="E1556">
        <v>499</v>
      </c>
      <c r="F1556">
        <v>1</v>
      </c>
      <c r="G1556">
        <v>15000</v>
      </c>
      <c r="H1556">
        <v>3.6774380000000002E-2</v>
      </c>
      <c r="I1556">
        <v>13479</v>
      </c>
      <c r="J1556">
        <v>4993</v>
      </c>
      <c r="K1556">
        <v>8486</v>
      </c>
      <c r="L1556">
        <v>500</v>
      </c>
      <c r="M1556">
        <v>499</v>
      </c>
      <c r="N1556">
        <v>1</v>
      </c>
      <c r="O1556">
        <v>1521</v>
      </c>
      <c r="P1556" s="3" t="s">
        <v>51</v>
      </c>
      <c r="Q1556">
        <v>50</v>
      </c>
      <c r="R1556">
        <v>0.999</v>
      </c>
      <c r="S1556">
        <v>1</v>
      </c>
    </row>
    <row r="1557" spans="1:19" x14ac:dyDescent="0.2">
      <c r="A1557" s="3" t="s">
        <v>54</v>
      </c>
      <c r="B1557" s="3" t="s">
        <v>55</v>
      </c>
      <c r="C1557">
        <v>19</v>
      </c>
      <c r="D1557">
        <v>15000</v>
      </c>
      <c r="E1557">
        <v>499</v>
      </c>
      <c r="F1557">
        <v>1</v>
      </c>
      <c r="G1557">
        <v>15000</v>
      </c>
      <c r="H1557">
        <v>3.6764911999999997E-2</v>
      </c>
      <c r="I1557">
        <v>13485</v>
      </c>
      <c r="J1557">
        <v>5004</v>
      </c>
      <c r="K1557">
        <v>8481</v>
      </c>
      <c r="L1557">
        <v>500</v>
      </c>
      <c r="M1557">
        <v>499</v>
      </c>
      <c r="N1557">
        <v>1</v>
      </c>
      <c r="O1557">
        <v>1515</v>
      </c>
      <c r="P1557" s="3" t="s">
        <v>51</v>
      </c>
      <c r="Q1557">
        <v>50</v>
      </c>
      <c r="R1557">
        <v>0.999</v>
      </c>
      <c r="S1557">
        <v>1</v>
      </c>
    </row>
    <row r="1558" spans="1:19" x14ac:dyDescent="0.2">
      <c r="A1558" s="3" t="s">
        <v>54</v>
      </c>
      <c r="B1558" s="3" t="s">
        <v>55</v>
      </c>
      <c r="C1558">
        <v>10</v>
      </c>
      <c r="D1558">
        <v>15000</v>
      </c>
      <c r="E1558">
        <v>499</v>
      </c>
      <c r="F1558">
        <v>1</v>
      </c>
      <c r="G1558">
        <v>15000</v>
      </c>
      <c r="H1558">
        <v>3.6752822999999997E-2</v>
      </c>
      <c r="I1558">
        <v>13481</v>
      </c>
      <c r="J1558">
        <v>5005</v>
      </c>
      <c r="K1558">
        <v>8476</v>
      </c>
      <c r="L1558">
        <v>500</v>
      </c>
      <c r="M1558">
        <v>499</v>
      </c>
      <c r="N1558">
        <v>1</v>
      </c>
      <c r="O1558">
        <v>1519</v>
      </c>
      <c r="P1558" s="3" t="s">
        <v>51</v>
      </c>
      <c r="Q1558">
        <v>50</v>
      </c>
      <c r="R1558">
        <v>0.999</v>
      </c>
      <c r="S1558">
        <v>1</v>
      </c>
    </row>
    <row r="1559" spans="1:19" x14ac:dyDescent="0.2">
      <c r="A1559" s="3" t="s">
        <v>54</v>
      </c>
      <c r="B1559" s="3" t="s">
        <v>55</v>
      </c>
      <c r="C1559">
        <v>32</v>
      </c>
      <c r="D1559">
        <v>19000</v>
      </c>
      <c r="E1559">
        <v>499</v>
      </c>
      <c r="F1559">
        <v>1</v>
      </c>
      <c r="G1559">
        <v>19000</v>
      </c>
      <c r="H1559">
        <v>3.6743958E-2</v>
      </c>
      <c r="I1559">
        <v>15602</v>
      </c>
      <c r="J1559">
        <v>5004</v>
      </c>
      <c r="K1559">
        <v>10598</v>
      </c>
      <c r="L1559">
        <v>500</v>
      </c>
      <c r="M1559">
        <v>499</v>
      </c>
      <c r="N1559">
        <v>1</v>
      </c>
      <c r="O1559">
        <v>3398</v>
      </c>
      <c r="P1559" s="3" t="s">
        <v>50</v>
      </c>
      <c r="Q1559">
        <v>50</v>
      </c>
      <c r="R1559">
        <v>0.999</v>
      </c>
      <c r="S1559">
        <v>1</v>
      </c>
    </row>
    <row r="1560" spans="1:19" x14ac:dyDescent="0.2">
      <c r="A1560" s="3" t="s">
        <v>54</v>
      </c>
      <c r="B1560" s="3" t="s">
        <v>55</v>
      </c>
      <c r="C1560">
        <v>36</v>
      </c>
      <c r="D1560">
        <v>15000</v>
      </c>
      <c r="E1560">
        <v>499</v>
      </c>
      <c r="F1560">
        <v>1</v>
      </c>
      <c r="G1560">
        <v>15000</v>
      </c>
      <c r="H1560">
        <v>3.6700058000000001E-2</v>
      </c>
      <c r="I1560">
        <v>13467</v>
      </c>
      <c r="J1560">
        <v>4991</v>
      </c>
      <c r="K1560">
        <v>8476</v>
      </c>
      <c r="L1560">
        <v>500</v>
      </c>
      <c r="M1560">
        <v>499</v>
      </c>
      <c r="N1560">
        <v>1</v>
      </c>
      <c r="O1560">
        <v>1533</v>
      </c>
      <c r="P1560" s="3" t="s">
        <v>51</v>
      </c>
      <c r="Q1560">
        <v>50</v>
      </c>
      <c r="R1560">
        <v>0.999</v>
      </c>
      <c r="S1560">
        <v>1</v>
      </c>
    </row>
    <row r="1561" spans="1:19" x14ac:dyDescent="0.2">
      <c r="A1561" s="3" t="s">
        <v>54</v>
      </c>
      <c r="B1561" s="3" t="s">
        <v>55</v>
      </c>
      <c r="C1561">
        <v>47</v>
      </c>
      <c r="D1561">
        <v>20000</v>
      </c>
      <c r="E1561">
        <v>499</v>
      </c>
      <c r="F1561">
        <v>1</v>
      </c>
      <c r="G1561">
        <v>20000</v>
      </c>
      <c r="H1561">
        <v>3.6690562000000003E-2</v>
      </c>
      <c r="I1561">
        <v>15981</v>
      </c>
      <c r="J1561">
        <v>5163</v>
      </c>
      <c r="K1561">
        <v>10818</v>
      </c>
      <c r="L1561">
        <v>500</v>
      </c>
      <c r="M1561">
        <v>499</v>
      </c>
      <c r="N1561">
        <v>1</v>
      </c>
      <c r="O1561">
        <v>4019</v>
      </c>
      <c r="P1561" s="3" t="s">
        <v>52</v>
      </c>
      <c r="Q1561">
        <v>50</v>
      </c>
      <c r="R1561">
        <v>0.999</v>
      </c>
      <c r="S1561">
        <v>1</v>
      </c>
    </row>
    <row r="1562" spans="1:19" x14ac:dyDescent="0.2">
      <c r="A1562" s="3" t="s">
        <v>54</v>
      </c>
      <c r="B1562" s="3" t="s">
        <v>55</v>
      </c>
      <c r="C1562">
        <v>17</v>
      </c>
      <c r="D1562">
        <v>15000</v>
      </c>
      <c r="E1562">
        <v>499</v>
      </c>
      <c r="F1562">
        <v>1</v>
      </c>
      <c r="G1562">
        <v>15000</v>
      </c>
      <c r="H1562">
        <v>3.6688975999999998E-2</v>
      </c>
      <c r="I1562">
        <v>13464</v>
      </c>
      <c r="J1562">
        <v>5005</v>
      </c>
      <c r="K1562">
        <v>8459</v>
      </c>
      <c r="L1562">
        <v>500</v>
      </c>
      <c r="M1562">
        <v>499</v>
      </c>
      <c r="N1562">
        <v>1</v>
      </c>
      <c r="O1562">
        <v>1536</v>
      </c>
      <c r="P1562" s="3" t="s">
        <v>51</v>
      </c>
      <c r="Q1562">
        <v>50</v>
      </c>
      <c r="R1562">
        <v>0.999</v>
      </c>
      <c r="S1562">
        <v>1</v>
      </c>
    </row>
    <row r="1563" spans="1:19" x14ac:dyDescent="0.2">
      <c r="A1563" s="3" t="s">
        <v>54</v>
      </c>
      <c r="B1563" s="3" t="s">
        <v>55</v>
      </c>
      <c r="C1563">
        <v>3</v>
      </c>
      <c r="D1563">
        <v>15000</v>
      </c>
      <c r="E1563">
        <v>499</v>
      </c>
      <c r="F1563">
        <v>1</v>
      </c>
      <c r="G1563">
        <v>15000</v>
      </c>
      <c r="H1563">
        <v>3.6666562E-2</v>
      </c>
      <c r="I1563">
        <v>13472</v>
      </c>
      <c r="J1563">
        <v>5007</v>
      </c>
      <c r="K1563">
        <v>8465</v>
      </c>
      <c r="L1563">
        <v>500</v>
      </c>
      <c r="M1563">
        <v>499</v>
      </c>
      <c r="N1563">
        <v>1</v>
      </c>
      <c r="O1563">
        <v>1528</v>
      </c>
      <c r="P1563" s="3" t="s">
        <v>51</v>
      </c>
      <c r="Q1563">
        <v>50</v>
      </c>
      <c r="R1563">
        <v>0.999</v>
      </c>
      <c r="S1563">
        <v>1</v>
      </c>
    </row>
    <row r="1564" spans="1:19" x14ac:dyDescent="0.2">
      <c r="A1564" s="3" t="s">
        <v>54</v>
      </c>
      <c r="B1564" s="3" t="s">
        <v>55</v>
      </c>
      <c r="C1564">
        <v>44</v>
      </c>
      <c r="D1564">
        <v>18000</v>
      </c>
      <c r="E1564">
        <v>499</v>
      </c>
      <c r="F1564">
        <v>1</v>
      </c>
      <c r="G1564">
        <v>18000</v>
      </c>
      <c r="H1564">
        <v>3.6655526000000001E-2</v>
      </c>
      <c r="I1564">
        <v>15237</v>
      </c>
      <c r="J1564">
        <v>4913</v>
      </c>
      <c r="K1564">
        <v>10324</v>
      </c>
      <c r="L1564">
        <v>500</v>
      </c>
      <c r="M1564">
        <v>499</v>
      </c>
      <c r="N1564">
        <v>1</v>
      </c>
      <c r="O1564">
        <v>2763</v>
      </c>
      <c r="P1564" s="3" t="s">
        <v>52</v>
      </c>
      <c r="Q1564">
        <v>50</v>
      </c>
      <c r="R1564">
        <v>0.999</v>
      </c>
      <c r="S1564">
        <v>1</v>
      </c>
    </row>
    <row r="1565" spans="1:19" x14ac:dyDescent="0.2">
      <c r="A1565" s="3" t="s">
        <v>54</v>
      </c>
      <c r="B1565" s="3" t="s">
        <v>55</v>
      </c>
      <c r="C1565">
        <v>41</v>
      </c>
      <c r="D1565">
        <v>15000</v>
      </c>
      <c r="E1565">
        <v>499</v>
      </c>
      <c r="F1565">
        <v>1</v>
      </c>
      <c r="G1565">
        <v>15000</v>
      </c>
      <c r="H1565">
        <v>3.6654509000000002E-2</v>
      </c>
      <c r="I1565">
        <v>13482</v>
      </c>
      <c r="J1565">
        <v>4982</v>
      </c>
      <c r="K1565">
        <v>8500</v>
      </c>
      <c r="L1565">
        <v>500</v>
      </c>
      <c r="M1565">
        <v>499</v>
      </c>
      <c r="N1565">
        <v>1</v>
      </c>
      <c r="O1565">
        <v>1518</v>
      </c>
      <c r="P1565" s="3" t="s">
        <v>51</v>
      </c>
      <c r="Q1565">
        <v>50</v>
      </c>
      <c r="R1565">
        <v>0.999</v>
      </c>
      <c r="S1565">
        <v>1</v>
      </c>
    </row>
    <row r="1566" spans="1:19" x14ac:dyDescent="0.2">
      <c r="A1566" s="3" t="s">
        <v>54</v>
      </c>
      <c r="B1566" s="3" t="s">
        <v>55</v>
      </c>
      <c r="C1566">
        <v>49</v>
      </c>
      <c r="D1566">
        <v>13000</v>
      </c>
      <c r="E1566">
        <v>499</v>
      </c>
      <c r="F1566">
        <v>1</v>
      </c>
      <c r="G1566">
        <v>13000</v>
      </c>
      <c r="H1566">
        <v>3.6627880000000002E-2</v>
      </c>
      <c r="I1566">
        <v>12541</v>
      </c>
      <c r="J1566">
        <v>4818</v>
      </c>
      <c r="K1566">
        <v>7723</v>
      </c>
      <c r="L1566">
        <v>500</v>
      </c>
      <c r="M1566">
        <v>499</v>
      </c>
      <c r="N1566">
        <v>1</v>
      </c>
      <c r="O1566">
        <v>459</v>
      </c>
      <c r="P1566" s="3" t="s">
        <v>51</v>
      </c>
      <c r="Q1566">
        <v>50</v>
      </c>
      <c r="R1566">
        <v>0.999</v>
      </c>
      <c r="S1566">
        <v>1</v>
      </c>
    </row>
    <row r="1567" spans="1:19" x14ac:dyDescent="0.2">
      <c r="A1567" s="3" t="s">
        <v>54</v>
      </c>
      <c r="B1567" s="3" t="s">
        <v>55</v>
      </c>
      <c r="C1567">
        <v>25</v>
      </c>
      <c r="D1567">
        <v>19000</v>
      </c>
      <c r="E1567">
        <v>499</v>
      </c>
      <c r="F1567">
        <v>1</v>
      </c>
      <c r="G1567">
        <v>19000</v>
      </c>
      <c r="H1567">
        <v>3.6583257000000001E-2</v>
      </c>
      <c r="I1567">
        <v>15633</v>
      </c>
      <c r="J1567">
        <v>5037</v>
      </c>
      <c r="K1567">
        <v>10596</v>
      </c>
      <c r="L1567">
        <v>500</v>
      </c>
      <c r="M1567">
        <v>499</v>
      </c>
      <c r="N1567">
        <v>1</v>
      </c>
      <c r="O1567">
        <v>3367</v>
      </c>
      <c r="P1567" s="3" t="s">
        <v>50</v>
      </c>
      <c r="Q1567">
        <v>50</v>
      </c>
      <c r="R1567">
        <v>0.999</v>
      </c>
      <c r="S1567">
        <v>1</v>
      </c>
    </row>
    <row r="1568" spans="1:19" x14ac:dyDescent="0.2">
      <c r="A1568" s="3" t="s">
        <v>54</v>
      </c>
      <c r="B1568" s="3" t="s">
        <v>55</v>
      </c>
      <c r="C1568">
        <v>20</v>
      </c>
      <c r="D1568">
        <v>15000</v>
      </c>
      <c r="E1568">
        <v>499</v>
      </c>
      <c r="F1568">
        <v>1</v>
      </c>
      <c r="G1568">
        <v>15000</v>
      </c>
      <c r="H1568">
        <v>3.6560560999999998E-2</v>
      </c>
      <c r="I1568">
        <v>13493</v>
      </c>
      <c r="J1568">
        <v>5012</v>
      </c>
      <c r="K1568">
        <v>8481</v>
      </c>
      <c r="L1568">
        <v>500</v>
      </c>
      <c r="M1568">
        <v>499</v>
      </c>
      <c r="N1568">
        <v>1</v>
      </c>
      <c r="O1568">
        <v>1507</v>
      </c>
      <c r="P1568" s="3" t="s">
        <v>51</v>
      </c>
      <c r="Q1568">
        <v>50</v>
      </c>
      <c r="R1568">
        <v>0.999</v>
      </c>
      <c r="S1568">
        <v>1</v>
      </c>
    </row>
    <row r="1569" spans="1:19" x14ac:dyDescent="0.2">
      <c r="A1569" s="3" t="s">
        <v>54</v>
      </c>
      <c r="B1569" s="3" t="s">
        <v>55</v>
      </c>
      <c r="C1569">
        <v>23</v>
      </c>
      <c r="D1569">
        <v>15000</v>
      </c>
      <c r="E1569">
        <v>499</v>
      </c>
      <c r="F1569">
        <v>1</v>
      </c>
      <c r="G1569">
        <v>15000</v>
      </c>
      <c r="H1569">
        <v>3.6549459999999999E-2</v>
      </c>
      <c r="I1569">
        <v>13496</v>
      </c>
      <c r="J1569">
        <v>5009</v>
      </c>
      <c r="K1569">
        <v>8487</v>
      </c>
      <c r="L1569">
        <v>500</v>
      </c>
      <c r="M1569">
        <v>499</v>
      </c>
      <c r="N1569">
        <v>1</v>
      </c>
      <c r="O1569">
        <v>1504</v>
      </c>
      <c r="P1569" s="3" t="s">
        <v>51</v>
      </c>
      <c r="Q1569">
        <v>50</v>
      </c>
      <c r="R1569">
        <v>0.999</v>
      </c>
      <c r="S1569">
        <v>1</v>
      </c>
    </row>
    <row r="1570" spans="1:19" x14ac:dyDescent="0.2">
      <c r="A1570" s="3" t="s">
        <v>54</v>
      </c>
      <c r="B1570" s="3" t="s">
        <v>55</v>
      </c>
      <c r="C1570">
        <v>25</v>
      </c>
      <c r="D1570">
        <v>15000</v>
      </c>
      <c r="E1570">
        <v>499</v>
      </c>
      <c r="F1570">
        <v>1</v>
      </c>
      <c r="G1570">
        <v>15000</v>
      </c>
      <c r="H1570">
        <v>3.6520328999999997E-2</v>
      </c>
      <c r="I1570">
        <v>13478</v>
      </c>
      <c r="J1570">
        <v>5006</v>
      </c>
      <c r="K1570">
        <v>8472</v>
      </c>
      <c r="L1570">
        <v>500</v>
      </c>
      <c r="M1570">
        <v>499</v>
      </c>
      <c r="N1570">
        <v>1</v>
      </c>
      <c r="O1570">
        <v>1522</v>
      </c>
      <c r="P1570" s="3" t="s">
        <v>51</v>
      </c>
      <c r="Q1570">
        <v>50</v>
      </c>
      <c r="R1570">
        <v>0.999</v>
      </c>
      <c r="S1570">
        <v>1</v>
      </c>
    </row>
    <row r="1571" spans="1:19" x14ac:dyDescent="0.2">
      <c r="A1571" s="3" t="s">
        <v>54</v>
      </c>
      <c r="B1571" s="3" t="s">
        <v>55</v>
      </c>
      <c r="C1571">
        <v>28</v>
      </c>
      <c r="D1571">
        <v>15000</v>
      </c>
      <c r="E1571">
        <v>499</v>
      </c>
      <c r="F1571">
        <v>1</v>
      </c>
      <c r="G1571">
        <v>15000</v>
      </c>
      <c r="H1571">
        <v>3.6518531E-2</v>
      </c>
      <c r="I1571">
        <v>13490</v>
      </c>
      <c r="J1571">
        <v>5008</v>
      </c>
      <c r="K1571">
        <v>8482</v>
      </c>
      <c r="L1571">
        <v>500</v>
      </c>
      <c r="M1571">
        <v>499</v>
      </c>
      <c r="N1571">
        <v>1</v>
      </c>
      <c r="O1571">
        <v>1510</v>
      </c>
      <c r="P1571" s="3" t="s">
        <v>51</v>
      </c>
      <c r="Q1571">
        <v>50</v>
      </c>
      <c r="R1571">
        <v>0.999</v>
      </c>
      <c r="S1571">
        <v>1</v>
      </c>
    </row>
    <row r="1572" spans="1:19" x14ac:dyDescent="0.2">
      <c r="A1572" s="3" t="s">
        <v>54</v>
      </c>
      <c r="B1572" s="3" t="s">
        <v>55</v>
      </c>
      <c r="C1572">
        <v>39</v>
      </c>
      <c r="D1572">
        <v>15000</v>
      </c>
      <c r="E1572">
        <v>499</v>
      </c>
      <c r="F1572">
        <v>1</v>
      </c>
      <c r="G1572">
        <v>15000</v>
      </c>
      <c r="H1572">
        <v>3.6491188000000001E-2</v>
      </c>
      <c r="I1572">
        <v>13482</v>
      </c>
      <c r="J1572">
        <v>4998</v>
      </c>
      <c r="K1572">
        <v>8484</v>
      </c>
      <c r="L1572">
        <v>500</v>
      </c>
      <c r="M1572">
        <v>499</v>
      </c>
      <c r="N1572">
        <v>1</v>
      </c>
      <c r="O1572">
        <v>1518</v>
      </c>
      <c r="P1572" s="3" t="s">
        <v>51</v>
      </c>
      <c r="Q1572">
        <v>50</v>
      </c>
      <c r="R1572">
        <v>0.999</v>
      </c>
      <c r="S1572">
        <v>1</v>
      </c>
    </row>
    <row r="1573" spans="1:19" x14ac:dyDescent="0.2">
      <c r="A1573" s="3" t="s">
        <v>54</v>
      </c>
      <c r="B1573" s="3" t="s">
        <v>55</v>
      </c>
      <c r="C1573">
        <v>30</v>
      </c>
      <c r="D1573">
        <v>15000</v>
      </c>
      <c r="E1573">
        <v>499</v>
      </c>
      <c r="F1573">
        <v>1</v>
      </c>
      <c r="G1573">
        <v>15000</v>
      </c>
      <c r="H1573">
        <v>3.6450625E-2</v>
      </c>
      <c r="I1573">
        <v>13466</v>
      </c>
      <c r="J1573">
        <v>4989</v>
      </c>
      <c r="K1573">
        <v>8477</v>
      </c>
      <c r="L1573">
        <v>500</v>
      </c>
      <c r="M1573">
        <v>499</v>
      </c>
      <c r="N1573">
        <v>1</v>
      </c>
      <c r="O1573">
        <v>1534</v>
      </c>
      <c r="P1573" s="3" t="s">
        <v>51</v>
      </c>
      <c r="Q1573">
        <v>50</v>
      </c>
      <c r="R1573">
        <v>0.999</v>
      </c>
      <c r="S1573">
        <v>1</v>
      </c>
    </row>
    <row r="1574" spans="1:19" x14ac:dyDescent="0.2">
      <c r="A1574" s="3" t="s">
        <v>54</v>
      </c>
      <c r="B1574" s="3" t="s">
        <v>55</v>
      </c>
      <c r="C1574">
        <v>2</v>
      </c>
      <c r="D1574">
        <v>15000</v>
      </c>
      <c r="E1574">
        <v>499</v>
      </c>
      <c r="F1574">
        <v>1</v>
      </c>
      <c r="G1574">
        <v>15000</v>
      </c>
      <c r="H1574">
        <v>3.6430954000000002E-2</v>
      </c>
      <c r="I1574">
        <v>13459</v>
      </c>
      <c r="J1574">
        <v>4997</v>
      </c>
      <c r="K1574">
        <v>8462</v>
      </c>
      <c r="L1574">
        <v>500</v>
      </c>
      <c r="M1574">
        <v>499</v>
      </c>
      <c r="N1574">
        <v>1</v>
      </c>
      <c r="O1574">
        <v>1541</v>
      </c>
      <c r="P1574" s="3" t="s">
        <v>51</v>
      </c>
      <c r="Q1574">
        <v>50</v>
      </c>
      <c r="R1574">
        <v>0.999</v>
      </c>
      <c r="S1574">
        <v>1</v>
      </c>
    </row>
    <row r="1575" spans="1:19" x14ac:dyDescent="0.2">
      <c r="A1575" s="3" t="s">
        <v>54</v>
      </c>
      <c r="B1575" s="3" t="s">
        <v>55</v>
      </c>
      <c r="C1575">
        <v>7</v>
      </c>
      <c r="D1575">
        <v>19000</v>
      </c>
      <c r="E1575">
        <v>499</v>
      </c>
      <c r="F1575">
        <v>1</v>
      </c>
      <c r="G1575">
        <v>19000</v>
      </c>
      <c r="H1575">
        <v>3.6403270000000001E-2</v>
      </c>
      <c r="I1575">
        <v>15638</v>
      </c>
      <c r="J1575">
        <v>5039</v>
      </c>
      <c r="K1575">
        <v>10599</v>
      </c>
      <c r="L1575">
        <v>500</v>
      </c>
      <c r="M1575">
        <v>499</v>
      </c>
      <c r="N1575">
        <v>1</v>
      </c>
      <c r="O1575">
        <v>3362</v>
      </c>
      <c r="P1575" s="3" t="s">
        <v>52</v>
      </c>
      <c r="Q1575">
        <v>50</v>
      </c>
      <c r="R1575">
        <v>0.999</v>
      </c>
      <c r="S1575">
        <v>1</v>
      </c>
    </row>
    <row r="1576" spans="1:19" x14ac:dyDescent="0.2">
      <c r="A1576" s="3" t="s">
        <v>54</v>
      </c>
      <c r="B1576" s="3" t="s">
        <v>55</v>
      </c>
      <c r="C1576">
        <v>37</v>
      </c>
      <c r="D1576">
        <v>12000</v>
      </c>
      <c r="E1576">
        <v>499</v>
      </c>
      <c r="F1576">
        <v>1</v>
      </c>
      <c r="G1576">
        <v>50533.323552418398</v>
      </c>
      <c r="H1576">
        <v>3.6372543E-2</v>
      </c>
      <c r="I1576">
        <v>11866</v>
      </c>
      <c r="J1576">
        <v>4048</v>
      </c>
      <c r="K1576">
        <v>7818</v>
      </c>
      <c r="L1576">
        <v>500</v>
      </c>
      <c r="M1576">
        <v>499</v>
      </c>
      <c r="N1576">
        <v>1</v>
      </c>
      <c r="O1576">
        <v>504.66450840120001</v>
      </c>
      <c r="P1576" s="3" t="s">
        <v>51</v>
      </c>
      <c r="Q1576">
        <v>50</v>
      </c>
      <c r="R1576">
        <v>0.999</v>
      </c>
      <c r="S1576">
        <v>0</v>
      </c>
    </row>
    <row r="1577" spans="1:19" x14ac:dyDescent="0.2">
      <c r="A1577" s="3" t="s">
        <v>54</v>
      </c>
      <c r="B1577" s="3" t="s">
        <v>55</v>
      </c>
      <c r="C1577">
        <v>1</v>
      </c>
      <c r="D1577">
        <v>19000</v>
      </c>
      <c r="E1577">
        <v>499</v>
      </c>
      <c r="F1577">
        <v>1</v>
      </c>
      <c r="G1577">
        <v>19000</v>
      </c>
      <c r="H1577">
        <v>3.6320073000000001E-2</v>
      </c>
      <c r="I1577">
        <v>15590</v>
      </c>
      <c r="J1577">
        <v>5033</v>
      </c>
      <c r="K1577">
        <v>10557</v>
      </c>
      <c r="L1577">
        <v>500</v>
      </c>
      <c r="M1577">
        <v>499</v>
      </c>
      <c r="N1577">
        <v>1</v>
      </c>
      <c r="O1577">
        <v>3410</v>
      </c>
      <c r="P1577" s="3" t="s">
        <v>50</v>
      </c>
      <c r="Q1577">
        <v>50</v>
      </c>
      <c r="R1577">
        <v>0.999</v>
      </c>
      <c r="S1577">
        <v>1</v>
      </c>
    </row>
    <row r="1578" spans="1:19" x14ac:dyDescent="0.2">
      <c r="A1578" s="3" t="s">
        <v>54</v>
      </c>
      <c r="B1578" s="3" t="s">
        <v>55</v>
      </c>
      <c r="C1578">
        <v>37</v>
      </c>
      <c r="D1578">
        <v>13000</v>
      </c>
      <c r="E1578">
        <v>499</v>
      </c>
      <c r="F1578">
        <v>1</v>
      </c>
      <c r="G1578">
        <v>13000</v>
      </c>
      <c r="H1578">
        <v>3.6303436000000001E-2</v>
      </c>
      <c r="I1578">
        <v>12546</v>
      </c>
      <c r="J1578">
        <v>4817</v>
      </c>
      <c r="K1578">
        <v>7729</v>
      </c>
      <c r="L1578">
        <v>500</v>
      </c>
      <c r="M1578">
        <v>499</v>
      </c>
      <c r="N1578">
        <v>1</v>
      </c>
      <c r="O1578">
        <v>454</v>
      </c>
      <c r="P1578" s="3" t="s">
        <v>51</v>
      </c>
      <c r="Q1578">
        <v>50</v>
      </c>
      <c r="R1578">
        <v>0.999</v>
      </c>
      <c r="S1578">
        <v>1</v>
      </c>
    </row>
    <row r="1579" spans="1:19" x14ac:dyDescent="0.2">
      <c r="A1579" s="3" t="s">
        <v>54</v>
      </c>
      <c r="B1579" s="3" t="s">
        <v>55</v>
      </c>
      <c r="C1579">
        <v>5</v>
      </c>
      <c r="D1579">
        <v>19000</v>
      </c>
      <c r="E1579">
        <v>499</v>
      </c>
      <c r="F1579">
        <v>1</v>
      </c>
      <c r="G1579">
        <v>19000</v>
      </c>
      <c r="H1579">
        <v>3.6300348000000003E-2</v>
      </c>
      <c r="I1579">
        <v>15633</v>
      </c>
      <c r="J1579">
        <v>5055</v>
      </c>
      <c r="K1579">
        <v>10578</v>
      </c>
      <c r="L1579">
        <v>500</v>
      </c>
      <c r="M1579">
        <v>499</v>
      </c>
      <c r="N1579">
        <v>1</v>
      </c>
      <c r="O1579">
        <v>3367</v>
      </c>
      <c r="P1579" s="3" t="s">
        <v>50</v>
      </c>
      <c r="Q1579">
        <v>50</v>
      </c>
      <c r="R1579">
        <v>0.999</v>
      </c>
      <c r="S1579">
        <v>1</v>
      </c>
    </row>
    <row r="1580" spans="1:19" x14ac:dyDescent="0.2">
      <c r="A1580" s="3" t="s">
        <v>54</v>
      </c>
      <c r="B1580" s="3" t="s">
        <v>55</v>
      </c>
      <c r="C1580">
        <v>6</v>
      </c>
      <c r="D1580">
        <v>19000</v>
      </c>
      <c r="E1580">
        <v>499</v>
      </c>
      <c r="F1580">
        <v>1</v>
      </c>
      <c r="G1580">
        <v>19000</v>
      </c>
      <c r="H1580">
        <v>3.6299018000000002E-2</v>
      </c>
      <c r="I1580">
        <v>15635</v>
      </c>
      <c r="J1580">
        <v>5045</v>
      </c>
      <c r="K1580">
        <v>10590</v>
      </c>
      <c r="L1580">
        <v>500</v>
      </c>
      <c r="M1580">
        <v>499</v>
      </c>
      <c r="N1580">
        <v>1</v>
      </c>
      <c r="O1580">
        <v>3365</v>
      </c>
      <c r="P1580" s="3" t="s">
        <v>50</v>
      </c>
      <c r="Q1580">
        <v>50</v>
      </c>
      <c r="R1580">
        <v>0.999</v>
      </c>
      <c r="S1580">
        <v>1</v>
      </c>
    </row>
    <row r="1581" spans="1:19" x14ac:dyDescent="0.2">
      <c r="A1581" s="3" t="s">
        <v>54</v>
      </c>
      <c r="B1581" s="3" t="s">
        <v>55</v>
      </c>
      <c r="C1581">
        <v>10</v>
      </c>
      <c r="D1581">
        <v>19000</v>
      </c>
      <c r="E1581">
        <v>499</v>
      </c>
      <c r="F1581">
        <v>1</v>
      </c>
      <c r="G1581">
        <v>19000</v>
      </c>
      <c r="H1581">
        <v>3.6255878999999998E-2</v>
      </c>
      <c r="I1581">
        <v>15645</v>
      </c>
      <c r="J1581">
        <v>5054</v>
      </c>
      <c r="K1581">
        <v>10591</v>
      </c>
      <c r="L1581">
        <v>500</v>
      </c>
      <c r="M1581">
        <v>499</v>
      </c>
      <c r="N1581">
        <v>1</v>
      </c>
      <c r="O1581">
        <v>3355</v>
      </c>
      <c r="P1581" s="3" t="s">
        <v>52</v>
      </c>
      <c r="Q1581">
        <v>50</v>
      </c>
      <c r="R1581">
        <v>0.999</v>
      </c>
      <c r="S1581">
        <v>1</v>
      </c>
    </row>
    <row r="1582" spans="1:19" x14ac:dyDescent="0.2">
      <c r="A1582" s="3" t="s">
        <v>54</v>
      </c>
      <c r="B1582" s="3" t="s">
        <v>55</v>
      </c>
      <c r="C1582">
        <v>10</v>
      </c>
      <c r="D1582">
        <v>19000</v>
      </c>
      <c r="E1582">
        <v>499</v>
      </c>
      <c r="F1582">
        <v>1</v>
      </c>
      <c r="G1582">
        <v>19000</v>
      </c>
      <c r="H1582">
        <v>3.6254396000000001E-2</v>
      </c>
      <c r="I1582">
        <v>15628</v>
      </c>
      <c r="J1582">
        <v>5048</v>
      </c>
      <c r="K1582">
        <v>10580</v>
      </c>
      <c r="L1582">
        <v>500</v>
      </c>
      <c r="M1582">
        <v>499</v>
      </c>
      <c r="N1582">
        <v>1</v>
      </c>
      <c r="O1582">
        <v>3372</v>
      </c>
      <c r="P1582" s="3" t="s">
        <v>50</v>
      </c>
      <c r="Q1582">
        <v>50</v>
      </c>
      <c r="R1582">
        <v>0.999</v>
      </c>
      <c r="S1582">
        <v>1</v>
      </c>
    </row>
    <row r="1583" spans="1:19" x14ac:dyDescent="0.2">
      <c r="A1583" s="3" t="s">
        <v>54</v>
      </c>
      <c r="B1583" s="3" t="s">
        <v>55</v>
      </c>
      <c r="C1583">
        <v>6</v>
      </c>
      <c r="D1583">
        <v>15000</v>
      </c>
      <c r="E1583">
        <v>499</v>
      </c>
      <c r="F1583">
        <v>1</v>
      </c>
      <c r="G1583">
        <v>15000</v>
      </c>
      <c r="H1583">
        <v>3.6236391E-2</v>
      </c>
      <c r="I1583">
        <v>13492</v>
      </c>
      <c r="J1583">
        <v>5008</v>
      </c>
      <c r="K1583">
        <v>8484</v>
      </c>
      <c r="L1583">
        <v>500</v>
      </c>
      <c r="M1583">
        <v>499</v>
      </c>
      <c r="N1583">
        <v>1</v>
      </c>
      <c r="O1583">
        <v>1508</v>
      </c>
      <c r="P1583" s="3" t="s">
        <v>51</v>
      </c>
      <c r="Q1583">
        <v>50</v>
      </c>
      <c r="R1583">
        <v>0.999</v>
      </c>
      <c r="S1583">
        <v>1</v>
      </c>
    </row>
    <row r="1584" spans="1:19" x14ac:dyDescent="0.2">
      <c r="A1584" s="3" t="s">
        <v>54</v>
      </c>
      <c r="B1584" s="3" t="s">
        <v>55</v>
      </c>
      <c r="C1584">
        <v>42</v>
      </c>
      <c r="D1584">
        <v>15000</v>
      </c>
      <c r="E1584">
        <v>499</v>
      </c>
      <c r="F1584">
        <v>1</v>
      </c>
      <c r="G1584">
        <v>15000</v>
      </c>
      <c r="H1584">
        <v>3.6215042000000003E-2</v>
      </c>
      <c r="I1584">
        <v>13468</v>
      </c>
      <c r="J1584">
        <v>5001</v>
      </c>
      <c r="K1584">
        <v>8467</v>
      </c>
      <c r="L1584">
        <v>500</v>
      </c>
      <c r="M1584">
        <v>499</v>
      </c>
      <c r="N1584">
        <v>1</v>
      </c>
      <c r="O1584">
        <v>1532</v>
      </c>
      <c r="P1584" s="3" t="s">
        <v>51</v>
      </c>
      <c r="Q1584">
        <v>50</v>
      </c>
      <c r="R1584">
        <v>0.999</v>
      </c>
      <c r="S1584">
        <v>1</v>
      </c>
    </row>
    <row r="1585" spans="1:19" x14ac:dyDescent="0.2">
      <c r="A1585" s="3" t="s">
        <v>54</v>
      </c>
      <c r="B1585" s="3" t="s">
        <v>55</v>
      </c>
      <c r="C1585">
        <v>48</v>
      </c>
      <c r="D1585">
        <v>15000</v>
      </c>
      <c r="E1585">
        <v>499</v>
      </c>
      <c r="F1585">
        <v>1</v>
      </c>
      <c r="G1585">
        <v>15000</v>
      </c>
      <c r="H1585">
        <v>3.6200393999999997E-2</v>
      </c>
      <c r="I1585">
        <v>13476</v>
      </c>
      <c r="J1585">
        <v>5000</v>
      </c>
      <c r="K1585">
        <v>8476</v>
      </c>
      <c r="L1585">
        <v>500</v>
      </c>
      <c r="M1585">
        <v>499</v>
      </c>
      <c r="N1585">
        <v>1</v>
      </c>
      <c r="O1585">
        <v>1524</v>
      </c>
      <c r="P1585" s="3" t="s">
        <v>51</v>
      </c>
      <c r="Q1585">
        <v>50</v>
      </c>
      <c r="R1585">
        <v>0.999</v>
      </c>
      <c r="S1585">
        <v>1</v>
      </c>
    </row>
    <row r="1586" spans="1:19" x14ac:dyDescent="0.2">
      <c r="A1586" s="3" t="s">
        <v>54</v>
      </c>
      <c r="B1586" s="3" t="s">
        <v>55</v>
      </c>
      <c r="C1586">
        <v>38</v>
      </c>
      <c r="D1586">
        <v>15000</v>
      </c>
      <c r="E1586">
        <v>499</v>
      </c>
      <c r="F1586">
        <v>1</v>
      </c>
      <c r="G1586">
        <v>15000</v>
      </c>
      <c r="H1586">
        <v>3.6171675E-2</v>
      </c>
      <c r="I1586">
        <v>13478</v>
      </c>
      <c r="J1586">
        <v>4989</v>
      </c>
      <c r="K1586">
        <v>8489</v>
      </c>
      <c r="L1586">
        <v>500</v>
      </c>
      <c r="M1586">
        <v>499</v>
      </c>
      <c r="N1586">
        <v>1</v>
      </c>
      <c r="O1586">
        <v>1522</v>
      </c>
      <c r="P1586" s="3" t="s">
        <v>51</v>
      </c>
      <c r="Q1586">
        <v>50</v>
      </c>
      <c r="R1586">
        <v>0.999</v>
      </c>
      <c r="S1586">
        <v>1</v>
      </c>
    </row>
    <row r="1587" spans="1:19" x14ac:dyDescent="0.2">
      <c r="A1587" s="3" t="s">
        <v>54</v>
      </c>
      <c r="B1587" s="3" t="s">
        <v>55</v>
      </c>
      <c r="C1587">
        <v>3</v>
      </c>
      <c r="D1587">
        <v>19000</v>
      </c>
      <c r="E1587">
        <v>499</v>
      </c>
      <c r="F1587">
        <v>1</v>
      </c>
      <c r="G1587">
        <v>19000</v>
      </c>
      <c r="H1587">
        <v>3.6141553999999999E-2</v>
      </c>
      <c r="I1587">
        <v>15634</v>
      </c>
      <c r="J1587">
        <v>5036</v>
      </c>
      <c r="K1587">
        <v>10598</v>
      </c>
      <c r="L1587">
        <v>500</v>
      </c>
      <c r="M1587">
        <v>499</v>
      </c>
      <c r="N1587">
        <v>1</v>
      </c>
      <c r="O1587">
        <v>3366</v>
      </c>
      <c r="P1587" s="3" t="s">
        <v>50</v>
      </c>
      <c r="Q1587">
        <v>50</v>
      </c>
      <c r="R1587">
        <v>0.999</v>
      </c>
      <c r="S1587">
        <v>1</v>
      </c>
    </row>
    <row r="1588" spans="1:19" x14ac:dyDescent="0.2">
      <c r="A1588" s="3" t="s">
        <v>54</v>
      </c>
      <c r="B1588" s="3" t="s">
        <v>55</v>
      </c>
      <c r="C1588">
        <v>13</v>
      </c>
      <c r="D1588">
        <v>19000</v>
      </c>
      <c r="E1588">
        <v>499</v>
      </c>
      <c r="F1588">
        <v>1</v>
      </c>
      <c r="G1588">
        <v>19000</v>
      </c>
      <c r="H1588">
        <v>3.6077698999999998E-2</v>
      </c>
      <c r="I1588">
        <v>15575</v>
      </c>
      <c r="J1588">
        <v>5045</v>
      </c>
      <c r="K1588">
        <v>10530</v>
      </c>
      <c r="L1588">
        <v>500</v>
      </c>
      <c r="M1588">
        <v>499</v>
      </c>
      <c r="N1588">
        <v>1</v>
      </c>
      <c r="O1588">
        <v>3425</v>
      </c>
      <c r="P1588" s="3" t="s">
        <v>50</v>
      </c>
      <c r="Q1588">
        <v>50</v>
      </c>
      <c r="R1588">
        <v>0.999</v>
      </c>
      <c r="S1588">
        <v>1</v>
      </c>
    </row>
    <row r="1589" spans="1:19" x14ac:dyDescent="0.2">
      <c r="A1589" s="3" t="s">
        <v>54</v>
      </c>
      <c r="B1589" s="3" t="s">
        <v>55</v>
      </c>
      <c r="C1589">
        <v>45</v>
      </c>
      <c r="D1589">
        <v>14000</v>
      </c>
      <c r="E1589">
        <v>499</v>
      </c>
      <c r="F1589">
        <v>1</v>
      </c>
      <c r="G1589">
        <v>14000</v>
      </c>
      <c r="H1589">
        <v>3.6018674000000001E-2</v>
      </c>
      <c r="I1589">
        <v>13033</v>
      </c>
      <c r="J1589">
        <v>4849</v>
      </c>
      <c r="K1589">
        <v>8184</v>
      </c>
      <c r="L1589">
        <v>500</v>
      </c>
      <c r="M1589">
        <v>499</v>
      </c>
      <c r="N1589">
        <v>1</v>
      </c>
      <c r="O1589">
        <v>967</v>
      </c>
      <c r="P1589" s="3" t="s">
        <v>51</v>
      </c>
      <c r="Q1589">
        <v>50</v>
      </c>
      <c r="R1589">
        <v>0.999</v>
      </c>
      <c r="S1589">
        <v>1</v>
      </c>
    </row>
    <row r="1590" spans="1:19" x14ac:dyDescent="0.2">
      <c r="A1590" s="3" t="s">
        <v>54</v>
      </c>
      <c r="B1590" s="3" t="s">
        <v>55</v>
      </c>
      <c r="C1590">
        <v>13</v>
      </c>
      <c r="D1590">
        <v>19000</v>
      </c>
      <c r="E1590">
        <v>499</v>
      </c>
      <c r="F1590">
        <v>1</v>
      </c>
      <c r="G1590">
        <v>19000</v>
      </c>
      <c r="H1590">
        <v>3.5991974000000003E-2</v>
      </c>
      <c r="I1590">
        <v>15624</v>
      </c>
      <c r="J1590">
        <v>4974</v>
      </c>
      <c r="K1590">
        <v>10650</v>
      </c>
      <c r="L1590">
        <v>500</v>
      </c>
      <c r="M1590">
        <v>499</v>
      </c>
      <c r="N1590">
        <v>1</v>
      </c>
      <c r="O1590">
        <v>3376</v>
      </c>
      <c r="P1590" s="3" t="s">
        <v>52</v>
      </c>
      <c r="Q1590">
        <v>50</v>
      </c>
      <c r="R1590">
        <v>0.999</v>
      </c>
      <c r="S1590">
        <v>1</v>
      </c>
    </row>
    <row r="1591" spans="1:19" x14ac:dyDescent="0.2">
      <c r="A1591" s="3" t="s">
        <v>54</v>
      </c>
      <c r="B1591" s="3" t="s">
        <v>55</v>
      </c>
      <c r="C1591">
        <v>12</v>
      </c>
      <c r="D1591">
        <v>19000</v>
      </c>
      <c r="E1591">
        <v>499</v>
      </c>
      <c r="F1591">
        <v>1</v>
      </c>
      <c r="G1591">
        <v>19000</v>
      </c>
      <c r="H1591">
        <v>3.5973857999999997E-2</v>
      </c>
      <c r="I1591">
        <v>15636</v>
      </c>
      <c r="J1591">
        <v>5036</v>
      </c>
      <c r="K1591">
        <v>10600</v>
      </c>
      <c r="L1591">
        <v>500</v>
      </c>
      <c r="M1591">
        <v>499</v>
      </c>
      <c r="N1591">
        <v>1</v>
      </c>
      <c r="O1591">
        <v>3364</v>
      </c>
      <c r="P1591" s="3" t="s">
        <v>50</v>
      </c>
      <c r="Q1591">
        <v>50</v>
      </c>
      <c r="R1591">
        <v>0.999</v>
      </c>
      <c r="S1591">
        <v>1</v>
      </c>
    </row>
    <row r="1592" spans="1:19" x14ac:dyDescent="0.2">
      <c r="A1592" s="3" t="s">
        <v>54</v>
      </c>
      <c r="B1592" s="3" t="s">
        <v>55</v>
      </c>
      <c r="C1592">
        <v>4</v>
      </c>
      <c r="D1592">
        <v>19000</v>
      </c>
      <c r="E1592">
        <v>499</v>
      </c>
      <c r="F1592">
        <v>1</v>
      </c>
      <c r="G1592">
        <v>19000</v>
      </c>
      <c r="H1592">
        <v>3.5925054999999997E-2</v>
      </c>
      <c r="I1592">
        <v>15622</v>
      </c>
      <c r="J1592">
        <v>5035</v>
      </c>
      <c r="K1592">
        <v>10587</v>
      </c>
      <c r="L1592">
        <v>500</v>
      </c>
      <c r="M1592">
        <v>499</v>
      </c>
      <c r="N1592">
        <v>1</v>
      </c>
      <c r="O1592">
        <v>3378</v>
      </c>
      <c r="P1592" s="3" t="s">
        <v>50</v>
      </c>
      <c r="Q1592">
        <v>50</v>
      </c>
      <c r="R1592">
        <v>0.999</v>
      </c>
      <c r="S1592">
        <v>1</v>
      </c>
    </row>
    <row r="1593" spans="1:19" x14ac:dyDescent="0.2">
      <c r="A1593" s="3" t="s">
        <v>54</v>
      </c>
      <c r="B1593" s="3" t="s">
        <v>55</v>
      </c>
      <c r="C1593">
        <v>9</v>
      </c>
      <c r="D1593">
        <v>19000</v>
      </c>
      <c r="E1593">
        <v>499</v>
      </c>
      <c r="F1593">
        <v>1</v>
      </c>
      <c r="G1593">
        <v>19000</v>
      </c>
      <c r="H1593">
        <v>3.5870789E-2</v>
      </c>
      <c r="I1593">
        <v>15637</v>
      </c>
      <c r="J1593">
        <v>5024</v>
      </c>
      <c r="K1593">
        <v>10613</v>
      </c>
      <c r="L1593">
        <v>500</v>
      </c>
      <c r="M1593">
        <v>499</v>
      </c>
      <c r="N1593">
        <v>1</v>
      </c>
      <c r="O1593">
        <v>3363</v>
      </c>
      <c r="P1593" s="3" t="s">
        <v>52</v>
      </c>
      <c r="Q1593">
        <v>50</v>
      </c>
      <c r="R1593">
        <v>0.999</v>
      </c>
      <c r="S1593">
        <v>1</v>
      </c>
    </row>
    <row r="1594" spans="1:19" x14ac:dyDescent="0.2">
      <c r="A1594" s="3" t="s">
        <v>54</v>
      </c>
      <c r="B1594" s="3" t="s">
        <v>55</v>
      </c>
      <c r="C1594">
        <v>48</v>
      </c>
      <c r="D1594">
        <v>19000</v>
      </c>
      <c r="E1594">
        <v>499</v>
      </c>
      <c r="F1594">
        <v>1</v>
      </c>
      <c r="G1594">
        <v>19000</v>
      </c>
      <c r="H1594">
        <v>3.5780333999999997E-2</v>
      </c>
      <c r="I1594">
        <v>15607</v>
      </c>
      <c r="J1594">
        <v>5053</v>
      </c>
      <c r="K1594">
        <v>10554</v>
      </c>
      <c r="L1594">
        <v>500</v>
      </c>
      <c r="M1594">
        <v>499</v>
      </c>
      <c r="N1594">
        <v>1</v>
      </c>
      <c r="O1594">
        <v>3393</v>
      </c>
      <c r="P1594" s="3" t="s">
        <v>50</v>
      </c>
      <c r="Q1594">
        <v>50</v>
      </c>
      <c r="R1594">
        <v>0.999</v>
      </c>
      <c r="S1594">
        <v>1</v>
      </c>
    </row>
    <row r="1595" spans="1:19" x14ac:dyDescent="0.2">
      <c r="A1595" s="3" t="s">
        <v>54</v>
      </c>
      <c r="B1595" s="3" t="s">
        <v>55</v>
      </c>
      <c r="C1595">
        <v>21</v>
      </c>
      <c r="D1595">
        <v>19000</v>
      </c>
      <c r="E1595">
        <v>499</v>
      </c>
      <c r="F1595">
        <v>1</v>
      </c>
      <c r="G1595">
        <v>19000</v>
      </c>
      <c r="H1595">
        <v>3.5757454000000001E-2</v>
      </c>
      <c r="I1595">
        <v>15577</v>
      </c>
      <c r="J1595">
        <v>5016</v>
      </c>
      <c r="K1595">
        <v>10561</v>
      </c>
      <c r="L1595">
        <v>500</v>
      </c>
      <c r="M1595">
        <v>499</v>
      </c>
      <c r="N1595">
        <v>1</v>
      </c>
      <c r="O1595">
        <v>3423</v>
      </c>
      <c r="P1595" s="3" t="s">
        <v>52</v>
      </c>
      <c r="Q1595">
        <v>50</v>
      </c>
      <c r="R1595">
        <v>0.999</v>
      </c>
      <c r="S1595">
        <v>1</v>
      </c>
    </row>
    <row r="1596" spans="1:19" x14ac:dyDescent="0.2">
      <c r="A1596" s="3" t="s">
        <v>54</v>
      </c>
      <c r="B1596" s="3" t="s">
        <v>55</v>
      </c>
      <c r="C1596">
        <v>2</v>
      </c>
      <c r="D1596">
        <v>19000</v>
      </c>
      <c r="E1596">
        <v>499</v>
      </c>
      <c r="F1596">
        <v>1</v>
      </c>
      <c r="G1596">
        <v>19000</v>
      </c>
      <c r="H1596">
        <v>3.5757158999999997E-2</v>
      </c>
      <c r="I1596">
        <v>15628</v>
      </c>
      <c r="J1596">
        <v>5015</v>
      </c>
      <c r="K1596">
        <v>10613</v>
      </c>
      <c r="L1596">
        <v>500</v>
      </c>
      <c r="M1596">
        <v>499</v>
      </c>
      <c r="N1596">
        <v>1</v>
      </c>
      <c r="O1596">
        <v>3372</v>
      </c>
      <c r="P1596" s="3" t="s">
        <v>52</v>
      </c>
      <c r="Q1596">
        <v>50</v>
      </c>
      <c r="R1596">
        <v>0.999</v>
      </c>
      <c r="S1596">
        <v>1</v>
      </c>
    </row>
    <row r="1597" spans="1:19" x14ac:dyDescent="0.2">
      <c r="A1597" s="3" t="s">
        <v>54</v>
      </c>
      <c r="B1597" s="3" t="s">
        <v>55</v>
      </c>
      <c r="C1597">
        <v>33</v>
      </c>
      <c r="D1597">
        <v>19000</v>
      </c>
      <c r="E1597">
        <v>499</v>
      </c>
      <c r="F1597">
        <v>1</v>
      </c>
      <c r="G1597">
        <v>19000</v>
      </c>
      <c r="H1597">
        <v>3.5754270999999997E-2</v>
      </c>
      <c r="I1597">
        <v>15624</v>
      </c>
      <c r="J1597">
        <v>5040</v>
      </c>
      <c r="K1597">
        <v>10584</v>
      </c>
      <c r="L1597">
        <v>500</v>
      </c>
      <c r="M1597">
        <v>499</v>
      </c>
      <c r="N1597">
        <v>1</v>
      </c>
      <c r="O1597">
        <v>3376</v>
      </c>
      <c r="P1597" s="3" t="s">
        <v>50</v>
      </c>
      <c r="Q1597">
        <v>50</v>
      </c>
      <c r="R1597">
        <v>0.999</v>
      </c>
      <c r="S1597">
        <v>1</v>
      </c>
    </row>
    <row r="1598" spans="1:19" x14ac:dyDescent="0.2">
      <c r="A1598" s="3" t="s">
        <v>54</v>
      </c>
      <c r="B1598" s="3" t="s">
        <v>55</v>
      </c>
      <c r="C1598">
        <v>21</v>
      </c>
      <c r="D1598">
        <v>19000</v>
      </c>
      <c r="E1598">
        <v>499</v>
      </c>
      <c r="F1598">
        <v>1</v>
      </c>
      <c r="G1598">
        <v>19000</v>
      </c>
      <c r="H1598">
        <v>3.5574011000000003E-2</v>
      </c>
      <c r="I1598">
        <v>15607</v>
      </c>
      <c r="J1598">
        <v>5021</v>
      </c>
      <c r="K1598">
        <v>10586</v>
      </c>
      <c r="L1598">
        <v>500</v>
      </c>
      <c r="M1598">
        <v>499</v>
      </c>
      <c r="N1598">
        <v>1</v>
      </c>
      <c r="O1598">
        <v>3393</v>
      </c>
      <c r="P1598" s="3" t="s">
        <v>50</v>
      </c>
      <c r="Q1598">
        <v>50</v>
      </c>
      <c r="R1598">
        <v>0.999</v>
      </c>
      <c r="S1598">
        <v>1</v>
      </c>
    </row>
    <row r="1599" spans="1:19" x14ac:dyDescent="0.2">
      <c r="A1599" s="3" t="s">
        <v>54</v>
      </c>
      <c r="B1599" s="3" t="s">
        <v>55</v>
      </c>
      <c r="C1599">
        <v>18</v>
      </c>
      <c r="D1599">
        <v>19000</v>
      </c>
      <c r="E1599">
        <v>499</v>
      </c>
      <c r="F1599">
        <v>1</v>
      </c>
      <c r="G1599">
        <v>19000</v>
      </c>
      <c r="H1599">
        <v>3.5567062000000003E-2</v>
      </c>
      <c r="I1599">
        <v>15618</v>
      </c>
      <c r="J1599">
        <v>5043</v>
      </c>
      <c r="K1599">
        <v>10575</v>
      </c>
      <c r="L1599">
        <v>500</v>
      </c>
      <c r="M1599">
        <v>499</v>
      </c>
      <c r="N1599">
        <v>1</v>
      </c>
      <c r="O1599">
        <v>3382</v>
      </c>
      <c r="P1599" s="3" t="s">
        <v>50</v>
      </c>
      <c r="Q1599">
        <v>50</v>
      </c>
      <c r="R1599">
        <v>0.999</v>
      </c>
      <c r="S1599">
        <v>1</v>
      </c>
    </row>
    <row r="1600" spans="1:19" x14ac:dyDescent="0.2">
      <c r="A1600" s="3" t="s">
        <v>54</v>
      </c>
      <c r="B1600" s="3" t="s">
        <v>55</v>
      </c>
      <c r="C1600">
        <v>11</v>
      </c>
      <c r="D1600">
        <v>19000</v>
      </c>
      <c r="E1600">
        <v>499</v>
      </c>
      <c r="F1600">
        <v>1</v>
      </c>
      <c r="G1600">
        <v>19000</v>
      </c>
      <c r="H1600">
        <v>3.5496752999999999E-2</v>
      </c>
      <c r="I1600">
        <v>15576</v>
      </c>
      <c r="J1600">
        <v>5031</v>
      </c>
      <c r="K1600">
        <v>10545</v>
      </c>
      <c r="L1600">
        <v>500</v>
      </c>
      <c r="M1600">
        <v>499</v>
      </c>
      <c r="N1600">
        <v>1</v>
      </c>
      <c r="O1600">
        <v>3424</v>
      </c>
      <c r="P1600" s="3" t="s">
        <v>50</v>
      </c>
      <c r="Q1600">
        <v>50</v>
      </c>
      <c r="R1600">
        <v>0.999</v>
      </c>
      <c r="S1600">
        <v>1</v>
      </c>
    </row>
    <row r="1601" spans="1:19" x14ac:dyDescent="0.2">
      <c r="A1601" s="3" t="s">
        <v>54</v>
      </c>
      <c r="B1601" s="3" t="s">
        <v>55</v>
      </c>
      <c r="C1601">
        <v>8</v>
      </c>
      <c r="D1601">
        <v>19000</v>
      </c>
      <c r="E1601">
        <v>499</v>
      </c>
      <c r="F1601">
        <v>1</v>
      </c>
      <c r="G1601">
        <v>19000</v>
      </c>
      <c r="H1601">
        <v>3.5479943E-2</v>
      </c>
      <c r="I1601">
        <v>15604</v>
      </c>
      <c r="J1601">
        <v>5043</v>
      </c>
      <c r="K1601">
        <v>10561</v>
      </c>
      <c r="L1601">
        <v>500</v>
      </c>
      <c r="M1601">
        <v>499</v>
      </c>
      <c r="N1601">
        <v>1</v>
      </c>
      <c r="O1601">
        <v>3396</v>
      </c>
      <c r="P1601" s="3" t="s">
        <v>50</v>
      </c>
      <c r="Q1601">
        <v>50</v>
      </c>
      <c r="R1601">
        <v>0.999</v>
      </c>
      <c r="S1601">
        <v>1</v>
      </c>
    </row>
    <row r="1602" spans="1:19" x14ac:dyDescent="0.2">
      <c r="A1602" s="3" t="s">
        <v>54</v>
      </c>
      <c r="B1602" s="3" t="s">
        <v>55</v>
      </c>
      <c r="C1602">
        <v>22</v>
      </c>
      <c r="D1602">
        <v>19000</v>
      </c>
      <c r="E1602">
        <v>499</v>
      </c>
      <c r="F1602">
        <v>1</v>
      </c>
      <c r="G1602">
        <v>19000</v>
      </c>
      <c r="H1602">
        <v>3.5463047999999997E-2</v>
      </c>
      <c r="I1602">
        <v>15628</v>
      </c>
      <c r="J1602">
        <v>5027</v>
      </c>
      <c r="K1602">
        <v>10601</v>
      </c>
      <c r="L1602">
        <v>500</v>
      </c>
      <c r="M1602">
        <v>499</v>
      </c>
      <c r="N1602">
        <v>1</v>
      </c>
      <c r="O1602">
        <v>3372</v>
      </c>
      <c r="P1602" s="3" t="s">
        <v>50</v>
      </c>
      <c r="Q1602">
        <v>50</v>
      </c>
      <c r="R1602">
        <v>0.999</v>
      </c>
      <c r="S1602">
        <v>1</v>
      </c>
    </row>
    <row r="1603" spans="1:19" x14ac:dyDescent="0.2">
      <c r="A1603" s="3" t="s">
        <v>54</v>
      </c>
      <c r="B1603" s="3" t="s">
        <v>55</v>
      </c>
      <c r="C1603">
        <v>27</v>
      </c>
      <c r="D1603">
        <v>19000</v>
      </c>
      <c r="E1603">
        <v>499</v>
      </c>
      <c r="F1603">
        <v>1</v>
      </c>
      <c r="G1603">
        <v>19000</v>
      </c>
      <c r="H1603">
        <v>3.5418655E-2</v>
      </c>
      <c r="I1603">
        <v>15603</v>
      </c>
      <c r="J1603">
        <v>5043</v>
      </c>
      <c r="K1603">
        <v>10560</v>
      </c>
      <c r="L1603">
        <v>500</v>
      </c>
      <c r="M1603">
        <v>499</v>
      </c>
      <c r="N1603">
        <v>1</v>
      </c>
      <c r="O1603">
        <v>3397</v>
      </c>
      <c r="P1603" s="3" t="s">
        <v>50</v>
      </c>
      <c r="Q1603">
        <v>50</v>
      </c>
      <c r="R1603">
        <v>0.999</v>
      </c>
      <c r="S1603">
        <v>1</v>
      </c>
    </row>
    <row r="1604" spans="1:19" x14ac:dyDescent="0.2">
      <c r="A1604" s="3" t="s">
        <v>54</v>
      </c>
      <c r="B1604" s="3" t="s">
        <v>55</v>
      </c>
      <c r="C1604">
        <v>39</v>
      </c>
      <c r="D1604">
        <v>19000</v>
      </c>
      <c r="E1604">
        <v>499</v>
      </c>
      <c r="F1604">
        <v>1</v>
      </c>
      <c r="G1604">
        <v>19000</v>
      </c>
      <c r="H1604">
        <v>3.5415427999999999E-2</v>
      </c>
      <c r="I1604">
        <v>15621</v>
      </c>
      <c r="J1604">
        <v>5016</v>
      </c>
      <c r="K1604">
        <v>10605</v>
      </c>
      <c r="L1604">
        <v>500</v>
      </c>
      <c r="M1604">
        <v>499</v>
      </c>
      <c r="N1604">
        <v>1</v>
      </c>
      <c r="O1604">
        <v>3379</v>
      </c>
      <c r="P1604" s="3" t="s">
        <v>50</v>
      </c>
      <c r="Q1604">
        <v>50</v>
      </c>
      <c r="R1604">
        <v>0.999</v>
      </c>
      <c r="S1604">
        <v>1</v>
      </c>
    </row>
    <row r="1605" spans="1:19" x14ac:dyDescent="0.2">
      <c r="A1605" s="3" t="s">
        <v>54</v>
      </c>
      <c r="B1605" s="3" t="s">
        <v>55</v>
      </c>
      <c r="C1605">
        <v>40</v>
      </c>
      <c r="D1605">
        <v>19000</v>
      </c>
      <c r="E1605">
        <v>499</v>
      </c>
      <c r="F1605">
        <v>1</v>
      </c>
      <c r="G1605">
        <v>19000</v>
      </c>
      <c r="H1605">
        <v>3.5405262E-2</v>
      </c>
      <c r="I1605">
        <v>15613</v>
      </c>
      <c r="J1605">
        <v>5021</v>
      </c>
      <c r="K1605">
        <v>10592</v>
      </c>
      <c r="L1605">
        <v>500</v>
      </c>
      <c r="M1605">
        <v>499</v>
      </c>
      <c r="N1605">
        <v>1</v>
      </c>
      <c r="O1605">
        <v>3387</v>
      </c>
      <c r="P1605" s="3" t="s">
        <v>50</v>
      </c>
      <c r="Q1605">
        <v>50</v>
      </c>
      <c r="R1605">
        <v>0.999</v>
      </c>
      <c r="S1605">
        <v>1</v>
      </c>
    </row>
    <row r="1606" spans="1:19" x14ac:dyDescent="0.2">
      <c r="A1606" s="3" t="s">
        <v>54</v>
      </c>
      <c r="B1606" s="3" t="s">
        <v>55</v>
      </c>
      <c r="C1606">
        <v>15</v>
      </c>
      <c r="D1606">
        <v>19000</v>
      </c>
      <c r="E1606">
        <v>499</v>
      </c>
      <c r="F1606">
        <v>1</v>
      </c>
      <c r="G1606">
        <v>19000</v>
      </c>
      <c r="H1606">
        <v>3.5399945000000002E-2</v>
      </c>
      <c r="I1606">
        <v>15615</v>
      </c>
      <c r="J1606">
        <v>5094</v>
      </c>
      <c r="K1606">
        <v>10521</v>
      </c>
      <c r="L1606">
        <v>500</v>
      </c>
      <c r="M1606">
        <v>499</v>
      </c>
      <c r="N1606">
        <v>1</v>
      </c>
      <c r="O1606">
        <v>3385</v>
      </c>
      <c r="P1606" s="3" t="s">
        <v>50</v>
      </c>
      <c r="Q1606">
        <v>50</v>
      </c>
      <c r="R1606">
        <v>0.999</v>
      </c>
      <c r="S1606">
        <v>1</v>
      </c>
    </row>
    <row r="1607" spans="1:19" x14ac:dyDescent="0.2">
      <c r="A1607" s="3" t="s">
        <v>54</v>
      </c>
      <c r="B1607" s="3" t="s">
        <v>55</v>
      </c>
      <c r="C1607">
        <v>36</v>
      </c>
      <c r="D1607">
        <v>19000</v>
      </c>
      <c r="E1607">
        <v>499</v>
      </c>
      <c r="F1607">
        <v>1</v>
      </c>
      <c r="G1607">
        <v>19000</v>
      </c>
      <c r="H1607">
        <v>3.5359768E-2</v>
      </c>
      <c r="I1607">
        <v>15619</v>
      </c>
      <c r="J1607">
        <v>5049</v>
      </c>
      <c r="K1607">
        <v>10570</v>
      </c>
      <c r="L1607">
        <v>500</v>
      </c>
      <c r="M1607">
        <v>499</v>
      </c>
      <c r="N1607">
        <v>1</v>
      </c>
      <c r="O1607">
        <v>3381</v>
      </c>
      <c r="P1607" s="3" t="s">
        <v>50</v>
      </c>
      <c r="Q1607">
        <v>50</v>
      </c>
      <c r="R1607">
        <v>0.999</v>
      </c>
      <c r="S1607">
        <v>1</v>
      </c>
    </row>
    <row r="1608" spans="1:19" x14ac:dyDescent="0.2">
      <c r="A1608" s="3" t="s">
        <v>54</v>
      </c>
      <c r="B1608" s="3" t="s">
        <v>55</v>
      </c>
      <c r="C1608">
        <v>37</v>
      </c>
      <c r="D1608">
        <v>19000</v>
      </c>
      <c r="E1608">
        <v>499</v>
      </c>
      <c r="F1608">
        <v>1</v>
      </c>
      <c r="G1608">
        <v>19000</v>
      </c>
      <c r="H1608">
        <v>3.5349986999999999E-2</v>
      </c>
      <c r="I1608">
        <v>15604</v>
      </c>
      <c r="J1608">
        <v>5038</v>
      </c>
      <c r="K1608">
        <v>10566</v>
      </c>
      <c r="L1608">
        <v>500</v>
      </c>
      <c r="M1608">
        <v>499</v>
      </c>
      <c r="N1608">
        <v>1</v>
      </c>
      <c r="O1608">
        <v>3396</v>
      </c>
      <c r="P1608" s="3" t="s">
        <v>50</v>
      </c>
      <c r="Q1608">
        <v>50</v>
      </c>
      <c r="R1608">
        <v>0.999</v>
      </c>
      <c r="S1608">
        <v>1</v>
      </c>
    </row>
    <row r="1609" spans="1:19" x14ac:dyDescent="0.2">
      <c r="A1609" s="3" t="s">
        <v>54</v>
      </c>
      <c r="B1609" s="3" t="s">
        <v>55</v>
      </c>
      <c r="C1609">
        <v>32</v>
      </c>
      <c r="D1609">
        <v>14000</v>
      </c>
      <c r="E1609">
        <v>499</v>
      </c>
      <c r="F1609">
        <v>1</v>
      </c>
      <c r="G1609">
        <v>14000</v>
      </c>
      <c r="H1609">
        <v>3.5348518000000002E-2</v>
      </c>
      <c r="I1609">
        <v>13040</v>
      </c>
      <c r="J1609">
        <v>4842</v>
      </c>
      <c r="K1609">
        <v>8198</v>
      </c>
      <c r="L1609">
        <v>500</v>
      </c>
      <c r="M1609">
        <v>499</v>
      </c>
      <c r="N1609">
        <v>1</v>
      </c>
      <c r="O1609">
        <v>960</v>
      </c>
      <c r="P1609" s="3" t="s">
        <v>51</v>
      </c>
      <c r="Q1609">
        <v>50</v>
      </c>
      <c r="R1609">
        <v>0.999</v>
      </c>
      <c r="S1609">
        <v>1</v>
      </c>
    </row>
    <row r="1610" spans="1:19" x14ac:dyDescent="0.2">
      <c r="A1610" s="3" t="s">
        <v>54</v>
      </c>
      <c r="B1610" s="3" t="s">
        <v>55</v>
      </c>
      <c r="C1610">
        <v>29</v>
      </c>
      <c r="D1610">
        <v>19000</v>
      </c>
      <c r="E1610">
        <v>499</v>
      </c>
      <c r="F1610">
        <v>1</v>
      </c>
      <c r="G1610">
        <v>19000</v>
      </c>
      <c r="H1610">
        <v>3.5344375999999997E-2</v>
      </c>
      <c r="I1610">
        <v>15600</v>
      </c>
      <c r="J1610">
        <v>5021</v>
      </c>
      <c r="K1610">
        <v>10579</v>
      </c>
      <c r="L1610">
        <v>500</v>
      </c>
      <c r="M1610">
        <v>499</v>
      </c>
      <c r="N1610">
        <v>1</v>
      </c>
      <c r="O1610">
        <v>3400</v>
      </c>
      <c r="P1610" s="3" t="s">
        <v>50</v>
      </c>
      <c r="Q1610">
        <v>50</v>
      </c>
      <c r="R1610">
        <v>0.999</v>
      </c>
      <c r="S1610">
        <v>1</v>
      </c>
    </row>
    <row r="1611" spans="1:19" x14ac:dyDescent="0.2">
      <c r="A1611" s="3" t="s">
        <v>54</v>
      </c>
      <c r="B1611" s="3" t="s">
        <v>55</v>
      </c>
      <c r="C1611">
        <v>15</v>
      </c>
      <c r="D1611">
        <v>19000</v>
      </c>
      <c r="E1611">
        <v>499</v>
      </c>
      <c r="F1611">
        <v>1</v>
      </c>
      <c r="G1611">
        <v>19000</v>
      </c>
      <c r="H1611">
        <v>3.5344358999999999E-2</v>
      </c>
      <c r="I1611">
        <v>15607</v>
      </c>
      <c r="J1611">
        <v>5020</v>
      </c>
      <c r="K1611">
        <v>10587</v>
      </c>
      <c r="L1611">
        <v>500</v>
      </c>
      <c r="M1611">
        <v>499</v>
      </c>
      <c r="N1611">
        <v>1</v>
      </c>
      <c r="O1611">
        <v>3393</v>
      </c>
      <c r="P1611" s="3" t="s">
        <v>52</v>
      </c>
      <c r="Q1611">
        <v>50</v>
      </c>
      <c r="R1611">
        <v>0.999</v>
      </c>
      <c r="S1611">
        <v>1</v>
      </c>
    </row>
    <row r="1612" spans="1:19" x14ac:dyDescent="0.2">
      <c r="A1612" s="3" t="s">
        <v>54</v>
      </c>
      <c r="B1612" s="3" t="s">
        <v>55</v>
      </c>
      <c r="C1612">
        <v>49</v>
      </c>
      <c r="D1612">
        <v>19000</v>
      </c>
      <c r="E1612">
        <v>499</v>
      </c>
      <c r="F1612">
        <v>1</v>
      </c>
      <c r="G1612">
        <v>19000</v>
      </c>
      <c r="H1612">
        <v>3.5328390000000001E-2</v>
      </c>
      <c r="I1612">
        <v>15629</v>
      </c>
      <c r="J1612">
        <v>5025</v>
      </c>
      <c r="K1612">
        <v>10604</v>
      </c>
      <c r="L1612">
        <v>500</v>
      </c>
      <c r="M1612">
        <v>499</v>
      </c>
      <c r="N1612">
        <v>1</v>
      </c>
      <c r="O1612">
        <v>3371</v>
      </c>
      <c r="P1612" s="3" t="s">
        <v>50</v>
      </c>
      <c r="Q1612">
        <v>50</v>
      </c>
      <c r="R1612">
        <v>0.999</v>
      </c>
      <c r="S1612">
        <v>1</v>
      </c>
    </row>
    <row r="1613" spans="1:19" x14ac:dyDescent="0.2">
      <c r="A1613" s="3" t="s">
        <v>54</v>
      </c>
      <c r="B1613" s="3" t="s">
        <v>55</v>
      </c>
      <c r="C1613">
        <v>26</v>
      </c>
      <c r="D1613">
        <v>19000</v>
      </c>
      <c r="E1613">
        <v>499</v>
      </c>
      <c r="F1613">
        <v>1</v>
      </c>
      <c r="G1613">
        <v>19000</v>
      </c>
      <c r="H1613">
        <v>3.5307874000000003E-2</v>
      </c>
      <c r="I1613">
        <v>15619</v>
      </c>
      <c r="J1613">
        <v>5036</v>
      </c>
      <c r="K1613">
        <v>10583</v>
      </c>
      <c r="L1613">
        <v>500</v>
      </c>
      <c r="M1613">
        <v>499</v>
      </c>
      <c r="N1613">
        <v>1</v>
      </c>
      <c r="O1613">
        <v>3381</v>
      </c>
      <c r="P1613" s="3" t="s">
        <v>50</v>
      </c>
      <c r="Q1613">
        <v>50</v>
      </c>
      <c r="R1613">
        <v>0.999</v>
      </c>
      <c r="S1613">
        <v>1</v>
      </c>
    </row>
    <row r="1614" spans="1:19" x14ac:dyDescent="0.2">
      <c r="A1614" s="3" t="s">
        <v>54</v>
      </c>
      <c r="B1614" s="3" t="s">
        <v>55</v>
      </c>
      <c r="C1614">
        <v>26</v>
      </c>
      <c r="D1614">
        <v>13000</v>
      </c>
      <c r="E1614">
        <v>499</v>
      </c>
      <c r="F1614">
        <v>1</v>
      </c>
      <c r="G1614">
        <v>13000</v>
      </c>
      <c r="H1614">
        <v>3.5294538E-2</v>
      </c>
      <c r="I1614">
        <v>12553</v>
      </c>
      <c r="J1614">
        <v>4823</v>
      </c>
      <c r="K1614">
        <v>7730</v>
      </c>
      <c r="L1614">
        <v>500</v>
      </c>
      <c r="M1614">
        <v>499</v>
      </c>
      <c r="N1614">
        <v>1</v>
      </c>
      <c r="O1614">
        <v>447</v>
      </c>
      <c r="P1614" s="3" t="s">
        <v>51</v>
      </c>
      <c r="Q1614">
        <v>50</v>
      </c>
      <c r="R1614">
        <v>0.999</v>
      </c>
      <c r="S1614">
        <v>1</v>
      </c>
    </row>
    <row r="1615" spans="1:19" x14ac:dyDescent="0.2">
      <c r="A1615" s="3" t="s">
        <v>54</v>
      </c>
      <c r="B1615" s="3" t="s">
        <v>55</v>
      </c>
      <c r="C1615">
        <v>23</v>
      </c>
      <c r="D1615">
        <v>19000</v>
      </c>
      <c r="E1615">
        <v>499</v>
      </c>
      <c r="F1615">
        <v>1</v>
      </c>
      <c r="G1615">
        <v>19000</v>
      </c>
      <c r="H1615">
        <v>3.5276883000000002E-2</v>
      </c>
      <c r="I1615">
        <v>15599</v>
      </c>
      <c r="J1615">
        <v>5051</v>
      </c>
      <c r="K1615">
        <v>10548</v>
      </c>
      <c r="L1615">
        <v>500</v>
      </c>
      <c r="M1615">
        <v>499</v>
      </c>
      <c r="N1615">
        <v>1</v>
      </c>
      <c r="O1615">
        <v>3401</v>
      </c>
      <c r="P1615" s="3" t="s">
        <v>50</v>
      </c>
      <c r="Q1615">
        <v>50</v>
      </c>
      <c r="R1615">
        <v>0.999</v>
      </c>
      <c r="S1615">
        <v>1</v>
      </c>
    </row>
    <row r="1616" spans="1:19" x14ac:dyDescent="0.2">
      <c r="A1616" s="3" t="s">
        <v>54</v>
      </c>
      <c r="B1616" s="3" t="s">
        <v>55</v>
      </c>
      <c r="C1616">
        <v>42</v>
      </c>
      <c r="D1616">
        <v>19000</v>
      </c>
      <c r="E1616">
        <v>499</v>
      </c>
      <c r="F1616">
        <v>1</v>
      </c>
      <c r="G1616">
        <v>19000</v>
      </c>
      <c r="H1616">
        <v>3.5270484999999997E-2</v>
      </c>
      <c r="I1616">
        <v>15608</v>
      </c>
      <c r="J1616">
        <v>5025</v>
      </c>
      <c r="K1616">
        <v>10583</v>
      </c>
      <c r="L1616">
        <v>500</v>
      </c>
      <c r="M1616">
        <v>499</v>
      </c>
      <c r="N1616">
        <v>1</v>
      </c>
      <c r="O1616">
        <v>3392</v>
      </c>
      <c r="P1616" s="3" t="s">
        <v>50</v>
      </c>
      <c r="Q1616">
        <v>50</v>
      </c>
      <c r="R1616">
        <v>0.999</v>
      </c>
      <c r="S1616">
        <v>1</v>
      </c>
    </row>
    <row r="1617" spans="1:19" x14ac:dyDescent="0.2">
      <c r="A1617" s="3" t="s">
        <v>54</v>
      </c>
      <c r="B1617" s="3" t="s">
        <v>55</v>
      </c>
      <c r="C1617">
        <v>30</v>
      </c>
      <c r="D1617">
        <v>19000</v>
      </c>
      <c r="E1617">
        <v>499</v>
      </c>
      <c r="F1617">
        <v>1</v>
      </c>
      <c r="G1617">
        <v>19000</v>
      </c>
      <c r="H1617">
        <v>3.5234818000000001E-2</v>
      </c>
      <c r="I1617">
        <v>15618</v>
      </c>
      <c r="J1617">
        <v>5057</v>
      </c>
      <c r="K1617">
        <v>10561</v>
      </c>
      <c r="L1617">
        <v>500</v>
      </c>
      <c r="M1617">
        <v>499</v>
      </c>
      <c r="N1617">
        <v>1</v>
      </c>
      <c r="O1617">
        <v>3382</v>
      </c>
      <c r="P1617" s="3" t="s">
        <v>50</v>
      </c>
      <c r="Q1617">
        <v>50</v>
      </c>
      <c r="R1617">
        <v>0.999</v>
      </c>
      <c r="S1617">
        <v>1</v>
      </c>
    </row>
    <row r="1618" spans="1:19" x14ac:dyDescent="0.2">
      <c r="A1618" s="3" t="s">
        <v>54</v>
      </c>
      <c r="B1618" s="3" t="s">
        <v>55</v>
      </c>
      <c r="C1618">
        <v>38</v>
      </c>
      <c r="D1618">
        <v>19000</v>
      </c>
      <c r="E1618">
        <v>499</v>
      </c>
      <c r="F1618">
        <v>1</v>
      </c>
      <c r="G1618">
        <v>19000</v>
      </c>
      <c r="H1618">
        <v>3.5199322999999998E-2</v>
      </c>
      <c r="I1618">
        <v>15608</v>
      </c>
      <c r="J1618">
        <v>5000</v>
      </c>
      <c r="K1618">
        <v>10608</v>
      </c>
      <c r="L1618">
        <v>500</v>
      </c>
      <c r="M1618">
        <v>499</v>
      </c>
      <c r="N1618">
        <v>1</v>
      </c>
      <c r="O1618">
        <v>3392</v>
      </c>
      <c r="P1618" s="3" t="s">
        <v>50</v>
      </c>
      <c r="Q1618">
        <v>50</v>
      </c>
      <c r="R1618">
        <v>0.999</v>
      </c>
      <c r="S1618">
        <v>1</v>
      </c>
    </row>
    <row r="1619" spans="1:19" x14ac:dyDescent="0.2">
      <c r="A1619" s="3" t="s">
        <v>54</v>
      </c>
      <c r="B1619" s="3" t="s">
        <v>55</v>
      </c>
      <c r="C1619">
        <v>17</v>
      </c>
      <c r="D1619">
        <v>19000</v>
      </c>
      <c r="E1619">
        <v>499</v>
      </c>
      <c r="F1619">
        <v>1</v>
      </c>
      <c r="G1619">
        <v>19000</v>
      </c>
      <c r="H1619">
        <v>3.5185602000000003E-2</v>
      </c>
      <c r="I1619">
        <v>15634</v>
      </c>
      <c r="J1619">
        <v>5040</v>
      </c>
      <c r="K1619">
        <v>10594</v>
      </c>
      <c r="L1619">
        <v>500</v>
      </c>
      <c r="M1619">
        <v>499</v>
      </c>
      <c r="N1619">
        <v>1</v>
      </c>
      <c r="O1619">
        <v>3366</v>
      </c>
      <c r="P1619" s="3" t="s">
        <v>50</v>
      </c>
      <c r="Q1619">
        <v>50</v>
      </c>
      <c r="R1619">
        <v>0.999</v>
      </c>
      <c r="S1619">
        <v>1</v>
      </c>
    </row>
    <row r="1620" spans="1:19" x14ac:dyDescent="0.2">
      <c r="A1620" s="3" t="s">
        <v>54</v>
      </c>
      <c r="B1620" s="3" t="s">
        <v>55</v>
      </c>
      <c r="C1620">
        <v>24</v>
      </c>
      <c r="D1620">
        <v>19000</v>
      </c>
      <c r="E1620">
        <v>499</v>
      </c>
      <c r="F1620">
        <v>1</v>
      </c>
      <c r="G1620">
        <v>19000</v>
      </c>
      <c r="H1620">
        <v>3.5132177000000001E-2</v>
      </c>
      <c r="I1620">
        <v>15619</v>
      </c>
      <c r="J1620">
        <v>5078</v>
      </c>
      <c r="K1620">
        <v>10541</v>
      </c>
      <c r="L1620">
        <v>500</v>
      </c>
      <c r="M1620">
        <v>499</v>
      </c>
      <c r="N1620">
        <v>1</v>
      </c>
      <c r="O1620">
        <v>3381</v>
      </c>
      <c r="P1620" s="3" t="s">
        <v>50</v>
      </c>
      <c r="Q1620">
        <v>50</v>
      </c>
      <c r="R1620">
        <v>0.999</v>
      </c>
      <c r="S1620">
        <v>1</v>
      </c>
    </row>
    <row r="1621" spans="1:19" x14ac:dyDescent="0.2">
      <c r="A1621" s="3" t="s">
        <v>54</v>
      </c>
      <c r="B1621" s="3" t="s">
        <v>55</v>
      </c>
      <c r="C1621">
        <v>4</v>
      </c>
      <c r="D1621">
        <v>19000</v>
      </c>
      <c r="E1621">
        <v>499</v>
      </c>
      <c r="F1621">
        <v>1</v>
      </c>
      <c r="G1621">
        <v>19000</v>
      </c>
      <c r="H1621">
        <v>3.5128219000000002E-2</v>
      </c>
      <c r="I1621">
        <v>15614</v>
      </c>
      <c r="J1621">
        <v>5008</v>
      </c>
      <c r="K1621">
        <v>10606</v>
      </c>
      <c r="L1621">
        <v>500</v>
      </c>
      <c r="M1621">
        <v>499</v>
      </c>
      <c r="N1621">
        <v>1</v>
      </c>
      <c r="O1621">
        <v>3386</v>
      </c>
      <c r="P1621" s="3" t="s">
        <v>52</v>
      </c>
      <c r="Q1621">
        <v>50</v>
      </c>
      <c r="R1621">
        <v>0.999</v>
      </c>
      <c r="S1621">
        <v>1</v>
      </c>
    </row>
    <row r="1622" spans="1:19" x14ac:dyDescent="0.2">
      <c r="A1622" s="3" t="s">
        <v>54</v>
      </c>
      <c r="B1622" s="3" t="s">
        <v>55</v>
      </c>
      <c r="C1622">
        <v>16</v>
      </c>
      <c r="D1622">
        <v>19000</v>
      </c>
      <c r="E1622">
        <v>499</v>
      </c>
      <c r="F1622">
        <v>1</v>
      </c>
      <c r="G1622">
        <v>19000</v>
      </c>
      <c r="H1622">
        <v>3.5126744000000001E-2</v>
      </c>
      <c r="I1622">
        <v>15629</v>
      </c>
      <c r="J1622">
        <v>5045</v>
      </c>
      <c r="K1622">
        <v>10584</v>
      </c>
      <c r="L1622">
        <v>500</v>
      </c>
      <c r="M1622">
        <v>499</v>
      </c>
      <c r="N1622">
        <v>1</v>
      </c>
      <c r="O1622">
        <v>3371</v>
      </c>
      <c r="P1622" s="3" t="s">
        <v>50</v>
      </c>
      <c r="Q1622">
        <v>50</v>
      </c>
      <c r="R1622">
        <v>0.999</v>
      </c>
      <c r="S1622">
        <v>1</v>
      </c>
    </row>
    <row r="1623" spans="1:19" x14ac:dyDescent="0.2">
      <c r="A1623" s="3" t="s">
        <v>54</v>
      </c>
      <c r="B1623" s="3" t="s">
        <v>55</v>
      </c>
      <c r="C1623">
        <v>31</v>
      </c>
      <c r="D1623">
        <v>19000</v>
      </c>
      <c r="E1623">
        <v>499</v>
      </c>
      <c r="F1623">
        <v>1</v>
      </c>
      <c r="G1623">
        <v>19000</v>
      </c>
      <c r="H1623">
        <v>3.5126632999999997E-2</v>
      </c>
      <c r="I1623">
        <v>15629</v>
      </c>
      <c r="J1623">
        <v>5007</v>
      </c>
      <c r="K1623">
        <v>10622</v>
      </c>
      <c r="L1623">
        <v>500</v>
      </c>
      <c r="M1623">
        <v>499</v>
      </c>
      <c r="N1623">
        <v>1</v>
      </c>
      <c r="O1623">
        <v>3371</v>
      </c>
      <c r="P1623" s="3" t="s">
        <v>52</v>
      </c>
      <c r="Q1623">
        <v>50</v>
      </c>
      <c r="R1623">
        <v>0.999</v>
      </c>
      <c r="S1623">
        <v>1</v>
      </c>
    </row>
    <row r="1624" spans="1:19" x14ac:dyDescent="0.2">
      <c r="A1624" s="3" t="s">
        <v>54</v>
      </c>
      <c r="B1624" s="3" t="s">
        <v>55</v>
      </c>
      <c r="C1624">
        <v>20</v>
      </c>
      <c r="D1624">
        <v>19000</v>
      </c>
      <c r="E1624">
        <v>499</v>
      </c>
      <c r="F1624">
        <v>1</v>
      </c>
      <c r="G1624">
        <v>19000</v>
      </c>
      <c r="H1624">
        <v>3.5106310000000002E-2</v>
      </c>
      <c r="I1624">
        <v>15630</v>
      </c>
      <c r="J1624">
        <v>5046</v>
      </c>
      <c r="K1624">
        <v>10584</v>
      </c>
      <c r="L1624">
        <v>500</v>
      </c>
      <c r="M1624">
        <v>499</v>
      </c>
      <c r="N1624">
        <v>1</v>
      </c>
      <c r="O1624">
        <v>3370</v>
      </c>
      <c r="P1624" s="3" t="s">
        <v>50</v>
      </c>
      <c r="Q1624">
        <v>50</v>
      </c>
      <c r="R1624">
        <v>0.999</v>
      </c>
      <c r="S1624">
        <v>1</v>
      </c>
    </row>
    <row r="1625" spans="1:19" x14ac:dyDescent="0.2">
      <c r="A1625" s="3" t="s">
        <v>54</v>
      </c>
      <c r="B1625" s="3" t="s">
        <v>55</v>
      </c>
      <c r="C1625">
        <v>9</v>
      </c>
      <c r="D1625">
        <v>19000</v>
      </c>
      <c r="E1625">
        <v>499</v>
      </c>
      <c r="F1625">
        <v>1</v>
      </c>
      <c r="G1625">
        <v>19000</v>
      </c>
      <c r="H1625">
        <v>3.5101324000000003E-2</v>
      </c>
      <c r="I1625">
        <v>15609</v>
      </c>
      <c r="J1625">
        <v>5039</v>
      </c>
      <c r="K1625">
        <v>10570</v>
      </c>
      <c r="L1625">
        <v>500</v>
      </c>
      <c r="M1625">
        <v>499</v>
      </c>
      <c r="N1625">
        <v>1</v>
      </c>
      <c r="O1625">
        <v>3391</v>
      </c>
      <c r="P1625" s="3" t="s">
        <v>50</v>
      </c>
      <c r="Q1625">
        <v>50</v>
      </c>
      <c r="R1625">
        <v>0.999</v>
      </c>
      <c r="S1625">
        <v>1</v>
      </c>
    </row>
    <row r="1626" spans="1:19" x14ac:dyDescent="0.2">
      <c r="A1626" s="3" t="s">
        <v>54</v>
      </c>
      <c r="B1626" s="3" t="s">
        <v>55</v>
      </c>
      <c r="C1626">
        <v>28</v>
      </c>
      <c r="D1626">
        <v>19000</v>
      </c>
      <c r="E1626">
        <v>499</v>
      </c>
      <c r="F1626">
        <v>1</v>
      </c>
      <c r="G1626">
        <v>19000</v>
      </c>
      <c r="H1626">
        <v>3.5091551999999998E-2</v>
      </c>
      <c r="I1626">
        <v>15591</v>
      </c>
      <c r="J1626">
        <v>5002</v>
      </c>
      <c r="K1626">
        <v>10589</v>
      </c>
      <c r="L1626">
        <v>500</v>
      </c>
      <c r="M1626">
        <v>499</v>
      </c>
      <c r="N1626">
        <v>1</v>
      </c>
      <c r="O1626">
        <v>3409</v>
      </c>
      <c r="P1626" s="3" t="s">
        <v>50</v>
      </c>
      <c r="Q1626">
        <v>50</v>
      </c>
      <c r="R1626">
        <v>0.999</v>
      </c>
      <c r="S1626">
        <v>1</v>
      </c>
    </row>
    <row r="1627" spans="1:19" x14ac:dyDescent="0.2">
      <c r="A1627" s="3" t="s">
        <v>54</v>
      </c>
      <c r="B1627" s="3" t="s">
        <v>55</v>
      </c>
      <c r="C1627">
        <v>19</v>
      </c>
      <c r="D1627">
        <v>19000</v>
      </c>
      <c r="E1627">
        <v>499</v>
      </c>
      <c r="F1627">
        <v>1</v>
      </c>
      <c r="G1627">
        <v>19000</v>
      </c>
      <c r="H1627">
        <v>3.5083346000000001E-2</v>
      </c>
      <c r="I1627">
        <v>15569</v>
      </c>
      <c r="J1627">
        <v>5019</v>
      </c>
      <c r="K1627">
        <v>10550</v>
      </c>
      <c r="L1627">
        <v>500</v>
      </c>
      <c r="M1627">
        <v>499</v>
      </c>
      <c r="N1627">
        <v>1</v>
      </c>
      <c r="O1627">
        <v>3431</v>
      </c>
      <c r="P1627" s="3" t="s">
        <v>52</v>
      </c>
      <c r="Q1627">
        <v>50</v>
      </c>
      <c r="R1627">
        <v>0.999</v>
      </c>
      <c r="S1627">
        <v>1</v>
      </c>
    </row>
    <row r="1628" spans="1:19" x14ac:dyDescent="0.2">
      <c r="A1628" s="3" t="s">
        <v>54</v>
      </c>
      <c r="B1628" s="3" t="s">
        <v>55</v>
      </c>
      <c r="C1628">
        <v>45</v>
      </c>
      <c r="D1628">
        <v>19000</v>
      </c>
      <c r="E1628">
        <v>499</v>
      </c>
      <c r="F1628">
        <v>1</v>
      </c>
      <c r="G1628">
        <v>19000</v>
      </c>
      <c r="H1628">
        <v>3.5071312E-2</v>
      </c>
      <c r="I1628">
        <v>15612</v>
      </c>
      <c r="J1628">
        <v>5022</v>
      </c>
      <c r="K1628">
        <v>10590</v>
      </c>
      <c r="L1628">
        <v>500</v>
      </c>
      <c r="M1628">
        <v>499</v>
      </c>
      <c r="N1628">
        <v>1</v>
      </c>
      <c r="O1628">
        <v>3388</v>
      </c>
      <c r="P1628" s="3" t="s">
        <v>50</v>
      </c>
      <c r="Q1628">
        <v>50</v>
      </c>
      <c r="R1628">
        <v>0.999</v>
      </c>
      <c r="S1628">
        <v>1</v>
      </c>
    </row>
    <row r="1629" spans="1:19" x14ac:dyDescent="0.2">
      <c r="A1629" s="3" t="s">
        <v>54</v>
      </c>
      <c r="B1629" s="3" t="s">
        <v>55</v>
      </c>
      <c r="C1629">
        <v>16</v>
      </c>
      <c r="D1629">
        <v>19000</v>
      </c>
      <c r="E1629">
        <v>499</v>
      </c>
      <c r="F1629">
        <v>1</v>
      </c>
      <c r="G1629">
        <v>19000</v>
      </c>
      <c r="H1629">
        <v>3.5010408E-2</v>
      </c>
      <c r="I1629">
        <v>15614</v>
      </c>
      <c r="J1629">
        <v>5065</v>
      </c>
      <c r="K1629">
        <v>10549</v>
      </c>
      <c r="L1629">
        <v>500</v>
      </c>
      <c r="M1629">
        <v>499</v>
      </c>
      <c r="N1629">
        <v>1</v>
      </c>
      <c r="O1629">
        <v>3386</v>
      </c>
      <c r="P1629" s="3" t="s">
        <v>52</v>
      </c>
      <c r="Q1629">
        <v>50</v>
      </c>
      <c r="R1629">
        <v>0.999</v>
      </c>
      <c r="S1629">
        <v>1</v>
      </c>
    </row>
    <row r="1630" spans="1:19" x14ac:dyDescent="0.2">
      <c r="A1630" s="3" t="s">
        <v>54</v>
      </c>
      <c r="B1630" s="3" t="s">
        <v>55</v>
      </c>
      <c r="C1630">
        <v>50</v>
      </c>
      <c r="D1630">
        <v>19000</v>
      </c>
      <c r="E1630">
        <v>499</v>
      </c>
      <c r="F1630">
        <v>1</v>
      </c>
      <c r="G1630">
        <v>19000</v>
      </c>
      <c r="H1630">
        <v>3.5002067999999997E-2</v>
      </c>
      <c r="I1630">
        <v>15603</v>
      </c>
      <c r="J1630">
        <v>5047</v>
      </c>
      <c r="K1630">
        <v>10556</v>
      </c>
      <c r="L1630">
        <v>500</v>
      </c>
      <c r="M1630">
        <v>499</v>
      </c>
      <c r="N1630">
        <v>1</v>
      </c>
      <c r="O1630">
        <v>3397</v>
      </c>
      <c r="P1630" s="3" t="s">
        <v>50</v>
      </c>
      <c r="Q1630">
        <v>50</v>
      </c>
      <c r="R1630">
        <v>0.999</v>
      </c>
      <c r="S1630">
        <v>1</v>
      </c>
    </row>
    <row r="1631" spans="1:19" x14ac:dyDescent="0.2">
      <c r="A1631" s="3" t="s">
        <v>54</v>
      </c>
      <c r="B1631" s="3" t="s">
        <v>55</v>
      </c>
      <c r="C1631">
        <v>43</v>
      </c>
      <c r="D1631">
        <v>19000</v>
      </c>
      <c r="E1631">
        <v>499</v>
      </c>
      <c r="F1631">
        <v>1</v>
      </c>
      <c r="G1631">
        <v>19000</v>
      </c>
      <c r="H1631">
        <v>3.4966812999999999E-2</v>
      </c>
      <c r="I1631">
        <v>15614</v>
      </c>
      <c r="J1631">
        <v>5072</v>
      </c>
      <c r="K1631">
        <v>10542</v>
      </c>
      <c r="L1631">
        <v>500</v>
      </c>
      <c r="M1631">
        <v>499</v>
      </c>
      <c r="N1631">
        <v>1</v>
      </c>
      <c r="O1631">
        <v>3386</v>
      </c>
      <c r="P1631" s="3" t="s">
        <v>50</v>
      </c>
      <c r="Q1631">
        <v>50</v>
      </c>
      <c r="R1631">
        <v>0.999</v>
      </c>
      <c r="S1631">
        <v>1</v>
      </c>
    </row>
    <row r="1632" spans="1:19" x14ac:dyDescent="0.2">
      <c r="A1632" s="3" t="s">
        <v>54</v>
      </c>
      <c r="B1632" s="3" t="s">
        <v>55</v>
      </c>
      <c r="C1632">
        <v>41</v>
      </c>
      <c r="D1632">
        <v>19000</v>
      </c>
      <c r="E1632">
        <v>499</v>
      </c>
      <c r="F1632">
        <v>1</v>
      </c>
      <c r="G1632">
        <v>19000</v>
      </c>
      <c r="H1632">
        <v>3.4958847000000001E-2</v>
      </c>
      <c r="I1632">
        <v>15602</v>
      </c>
      <c r="J1632">
        <v>4979</v>
      </c>
      <c r="K1632">
        <v>10623</v>
      </c>
      <c r="L1632">
        <v>500</v>
      </c>
      <c r="M1632">
        <v>499</v>
      </c>
      <c r="N1632">
        <v>1</v>
      </c>
      <c r="O1632">
        <v>3398</v>
      </c>
      <c r="P1632" s="3" t="s">
        <v>50</v>
      </c>
      <c r="Q1632">
        <v>50</v>
      </c>
      <c r="R1632">
        <v>0.999</v>
      </c>
      <c r="S1632">
        <v>1</v>
      </c>
    </row>
    <row r="1633" spans="1:19" x14ac:dyDescent="0.2">
      <c r="A1633" s="3" t="s">
        <v>54</v>
      </c>
      <c r="B1633" s="3" t="s">
        <v>55</v>
      </c>
      <c r="C1633">
        <v>35</v>
      </c>
      <c r="D1633">
        <v>19000</v>
      </c>
      <c r="E1633">
        <v>499</v>
      </c>
      <c r="F1633">
        <v>1</v>
      </c>
      <c r="G1633">
        <v>19000</v>
      </c>
      <c r="H1633">
        <v>3.4916221999999997E-2</v>
      </c>
      <c r="I1633">
        <v>15643</v>
      </c>
      <c r="J1633">
        <v>5045</v>
      </c>
      <c r="K1633">
        <v>10598</v>
      </c>
      <c r="L1633">
        <v>500</v>
      </c>
      <c r="M1633">
        <v>499</v>
      </c>
      <c r="N1633">
        <v>1</v>
      </c>
      <c r="O1633">
        <v>3357</v>
      </c>
      <c r="P1633" s="3" t="s">
        <v>50</v>
      </c>
      <c r="Q1633">
        <v>50</v>
      </c>
      <c r="R1633">
        <v>0.999</v>
      </c>
      <c r="S1633">
        <v>1</v>
      </c>
    </row>
    <row r="1634" spans="1:19" x14ac:dyDescent="0.2">
      <c r="A1634" s="3" t="s">
        <v>54</v>
      </c>
      <c r="B1634" s="3" t="s">
        <v>55</v>
      </c>
      <c r="C1634">
        <v>47</v>
      </c>
      <c r="D1634">
        <v>19000</v>
      </c>
      <c r="E1634">
        <v>499</v>
      </c>
      <c r="F1634">
        <v>1</v>
      </c>
      <c r="G1634">
        <v>19000</v>
      </c>
      <c r="H1634">
        <v>3.4823327000000001E-2</v>
      </c>
      <c r="I1634">
        <v>15613</v>
      </c>
      <c r="J1634">
        <v>5038</v>
      </c>
      <c r="K1634">
        <v>10575</v>
      </c>
      <c r="L1634">
        <v>500</v>
      </c>
      <c r="M1634">
        <v>499</v>
      </c>
      <c r="N1634">
        <v>1</v>
      </c>
      <c r="O1634">
        <v>3387</v>
      </c>
      <c r="P1634" s="3" t="s">
        <v>50</v>
      </c>
      <c r="Q1634">
        <v>50</v>
      </c>
      <c r="R1634">
        <v>0.999</v>
      </c>
      <c r="S1634">
        <v>1</v>
      </c>
    </row>
    <row r="1635" spans="1:19" x14ac:dyDescent="0.2">
      <c r="A1635" s="3" t="s">
        <v>54</v>
      </c>
      <c r="B1635" s="3" t="s">
        <v>55</v>
      </c>
      <c r="C1635">
        <v>32</v>
      </c>
      <c r="D1635">
        <v>18000</v>
      </c>
      <c r="E1635">
        <v>499</v>
      </c>
      <c r="F1635">
        <v>1</v>
      </c>
      <c r="G1635">
        <v>18000</v>
      </c>
      <c r="H1635">
        <v>3.4787761E-2</v>
      </c>
      <c r="I1635">
        <v>15217</v>
      </c>
      <c r="J1635">
        <v>4819</v>
      </c>
      <c r="K1635">
        <v>10398</v>
      </c>
      <c r="L1635">
        <v>500</v>
      </c>
      <c r="M1635">
        <v>499</v>
      </c>
      <c r="N1635">
        <v>1</v>
      </c>
      <c r="O1635">
        <v>2783</v>
      </c>
      <c r="P1635" s="3" t="s">
        <v>52</v>
      </c>
      <c r="Q1635">
        <v>50</v>
      </c>
      <c r="R1635">
        <v>0.999</v>
      </c>
      <c r="S1635">
        <v>1</v>
      </c>
    </row>
    <row r="1636" spans="1:19" x14ac:dyDescent="0.2">
      <c r="A1636" s="3" t="s">
        <v>54</v>
      </c>
      <c r="B1636" s="3" t="s">
        <v>55</v>
      </c>
      <c r="C1636">
        <v>38</v>
      </c>
      <c r="D1636">
        <v>14000</v>
      </c>
      <c r="E1636">
        <v>499</v>
      </c>
      <c r="F1636">
        <v>1</v>
      </c>
      <c r="G1636">
        <v>14000</v>
      </c>
      <c r="H1636">
        <v>3.4778779000000003E-2</v>
      </c>
      <c r="I1636">
        <v>13020</v>
      </c>
      <c r="J1636">
        <v>4835</v>
      </c>
      <c r="K1636">
        <v>8185</v>
      </c>
      <c r="L1636">
        <v>500</v>
      </c>
      <c r="M1636">
        <v>499</v>
      </c>
      <c r="N1636">
        <v>1</v>
      </c>
      <c r="O1636">
        <v>980</v>
      </c>
      <c r="P1636" s="3" t="s">
        <v>51</v>
      </c>
      <c r="Q1636">
        <v>50</v>
      </c>
      <c r="R1636">
        <v>0.999</v>
      </c>
      <c r="S1636">
        <v>1</v>
      </c>
    </row>
    <row r="1637" spans="1:19" x14ac:dyDescent="0.2">
      <c r="A1637" s="3" t="s">
        <v>54</v>
      </c>
      <c r="B1637" s="3" t="s">
        <v>55</v>
      </c>
      <c r="C1637">
        <v>11</v>
      </c>
      <c r="D1637">
        <v>19000</v>
      </c>
      <c r="E1637">
        <v>499</v>
      </c>
      <c r="F1637">
        <v>1</v>
      </c>
      <c r="G1637">
        <v>19000</v>
      </c>
      <c r="H1637">
        <v>3.4751670999999998E-2</v>
      </c>
      <c r="I1637">
        <v>15632</v>
      </c>
      <c r="J1637">
        <v>5002</v>
      </c>
      <c r="K1637">
        <v>10630</v>
      </c>
      <c r="L1637">
        <v>500</v>
      </c>
      <c r="M1637">
        <v>499</v>
      </c>
      <c r="N1637">
        <v>1</v>
      </c>
      <c r="O1637">
        <v>3368</v>
      </c>
      <c r="P1637" s="3" t="s">
        <v>52</v>
      </c>
      <c r="Q1637">
        <v>50</v>
      </c>
      <c r="R1637">
        <v>0.999</v>
      </c>
      <c r="S1637">
        <v>1</v>
      </c>
    </row>
    <row r="1638" spans="1:19" x14ac:dyDescent="0.2">
      <c r="A1638" s="3" t="s">
        <v>54</v>
      </c>
      <c r="B1638" s="3" t="s">
        <v>55</v>
      </c>
      <c r="C1638">
        <v>34</v>
      </c>
      <c r="D1638">
        <v>19000</v>
      </c>
      <c r="E1638">
        <v>499</v>
      </c>
      <c r="F1638">
        <v>1</v>
      </c>
      <c r="G1638">
        <v>19000</v>
      </c>
      <c r="H1638">
        <v>3.4730836000000001E-2</v>
      </c>
      <c r="I1638">
        <v>15646</v>
      </c>
      <c r="J1638">
        <v>5030</v>
      </c>
      <c r="K1638">
        <v>10616</v>
      </c>
      <c r="L1638">
        <v>500</v>
      </c>
      <c r="M1638">
        <v>499</v>
      </c>
      <c r="N1638">
        <v>1</v>
      </c>
      <c r="O1638">
        <v>3354</v>
      </c>
      <c r="P1638" s="3" t="s">
        <v>50</v>
      </c>
      <c r="Q1638">
        <v>50</v>
      </c>
      <c r="R1638">
        <v>0.999</v>
      </c>
      <c r="S1638">
        <v>1</v>
      </c>
    </row>
    <row r="1639" spans="1:19" x14ac:dyDescent="0.2">
      <c r="A1639" s="3" t="s">
        <v>54</v>
      </c>
      <c r="B1639" s="3" t="s">
        <v>55</v>
      </c>
      <c r="C1639">
        <v>44</v>
      </c>
      <c r="D1639">
        <v>19000</v>
      </c>
      <c r="E1639">
        <v>499</v>
      </c>
      <c r="F1639">
        <v>1</v>
      </c>
      <c r="G1639">
        <v>19000</v>
      </c>
      <c r="H1639">
        <v>3.4711310000000002E-2</v>
      </c>
      <c r="I1639">
        <v>15593</v>
      </c>
      <c r="J1639">
        <v>5028</v>
      </c>
      <c r="K1639">
        <v>10565</v>
      </c>
      <c r="L1639">
        <v>500</v>
      </c>
      <c r="M1639">
        <v>499</v>
      </c>
      <c r="N1639">
        <v>1</v>
      </c>
      <c r="O1639">
        <v>3407</v>
      </c>
      <c r="P1639" s="3" t="s">
        <v>50</v>
      </c>
      <c r="Q1639">
        <v>50</v>
      </c>
      <c r="R1639">
        <v>0.999</v>
      </c>
      <c r="S1639">
        <v>1</v>
      </c>
    </row>
    <row r="1640" spans="1:19" x14ac:dyDescent="0.2">
      <c r="A1640" s="3" t="s">
        <v>54</v>
      </c>
      <c r="B1640" s="3" t="s">
        <v>55</v>
      </c>
      <c r="C1640">
        <v>32</v>
      </c>
      <c r="D1640">
        <v>19000</v>
      </c>
      <c r="E1640">
        <v>499</v>
      </c>
      <c r="F1640">
        <v>1</v>
      </c>
      <c r="G1640">
        <v>19000</v>
      </c>
      <c r="H1640">
        <v>3.4672095999999999E-2</v>
      </c>
      <c r="I1640">
        <v>15627</v>
      </c>
      <c r="J1640">
        <v>5019</v>
      </c>
      <c r="K1640">
        <v>10608</v>
      </c>
      <c r="L1640">
        <v>500</v>
      </c>
      <c r="M1640">
        <v>499</v>
      </c>
      <c r="N1640">
        <v>1</v>
      </c>
      <c r="O1640">
        <v>3373</v>
      </c>
      <c r="P1640" s="3" t="s">
        <v>52</v>
      </c>
      <c r="Q1640">
        <v>50</v>
      </c>
      <c r="R1640">
        <v>0.999</v>
      </c>
      <c r="S1640">
        <v>1</v>
      </c>
    </row>
    <row r="1641" spans="1:19" x14ac:dyDescent="0.2">
      <c r="A1641" s="3" t="s">
        <v>54</v>
      </c>
      <c r="B1641" s="3" t="s">
        <v>55</v>
      </c>
      <c r="C1641">
        <v>11</v>
      </c>
      <c r="D1641">
        <v>17000</v>
      </c>
      <c r="E1641">
        <v>499</v>
      </c>
      <c r="F1641">
        <v>1</v>
      </c>
      <c r="G1641">
        <v>17000</v>
      </c>
      <c r="H1641">
        <v>3.4670399999999997E-2</v>
      </c>
      <c r="I1641">
        <v>14753</v>
      </c>
      <c r="J1641">
        <v>4730</v>
      </c>
      <c r="K1641">
        <v>10023</v>
      </c>
      <c r="L1641">
        <v>500</v>
      </c>
      <c r="M1641">
        <v>499</v>
      </c>
      <c r="N1641">
        <v>1</v>
      </c>
      <c r="O1641">
        <v>2247</v>
      </c>
      <c r="P1641" s="3" t="s">
        <v>52</v>
      </c>
      <c r="Q1641">
        <v>50</v>
      </c>
      <c r="R1641">
        <v>0.999</v>
      </c>
      <c r="S1641">
        <v>1</v>
      </c>
    </row>
    <row r="1642" spans="1:19" x14ac:dyDescent="0.2">
      <c r="A1642" s="3" t="s">
        <v>54</v>
      </c>
      <c r="B1642" s="3" t="s">
        <v>55</v>
      </c>
      <c r="C1642">
        <v>42</v>
      </c>
      <c r="D1642">
        <v>17000</v>
      </c>
      <c r="E1642">
        <v>499</v>
      </c>
      <c r="F1642">
        <v>1</v>
      </c>
      <c r="G1642">
        <v>17000</v>
      </c>
      <c r="H1642">
        <v>3.4586937999999998E-2</v>
      </c>
      <c r="I1642">
        <v>14768</v>
      </c>
      <c r="J1642">
        <v>4747</v>
      </c>
      <c r="K1642">
        <v>10021</v>
      </c>
      <c r="L1642">
        <v>500</v>
      </c>
      <c r="M1642">
        <v>499</v>
      </c>
      <c r="N1642">
        <v>1</v>
      </c>
      <c r="O1642">
        <v>2232</v>
      </c>
      <c r="P1642" s="3" t="s">
        <v>50</v>
      </c>
      <c r="Q1642">
        <v>50</v>
      </c>
      <c r="R1642">
        <v>0.999</v>
      </c>
      <c r="S1642">
        <v>1</v>
      </c>
    </row>
    <row r="1643" spans="1:19" x14ac:dyDescent="0.2">
      <c r="A1643" s="3" t="s">
        <v>54</v>
      </c>
      <c r="B1643" s="3" t="s">
        <v>55</v>
      </c>
      <c r="C1643">
        <v>12</v>
      </c>
      <c r="D1643">
        <v>19000</v>
      </c>
      <c r="E1643">
        <v>499</v>
      </c>
      <c r="F1643">
        <v>1</v>
      </c>
      <c r="G1643">
        <v>19000</v>
      </c>
      <c r="H1643">
        <v>3.4569448000000003E-2</v>
      </c>
      <c r="I1643">
        <v>15636</v>
      </c>
      <c r="J1643">
        <v>5018</v>
      </c>
      <c r="K1643">
        <v>10618</v>
      </c>
      <c r="L1643">
        <v>500</v>
      </c>
      <c r="M1643">
        <v>499</v>
      </c>
      <c r="N1643">
        <v>1</v>
      </c>
      <c r="O1643">
        <v>3364</v>
      </c>
      <c r="P1643" s="3" t="s">
        <v>52</v>
      </c>
      <c r="Q1643">
        <v>50</v>
      </c>
      <c r="R1643">
        <v>0.999</v>
      </c>
      <c r="S1643">
        <v>1</v>
      </c>
    </row>
    <row r="1644" spans="1:19" x14ac:dyDescent="0.2">
      <c r="A1644" s="3" t="s">
        <v>54</v>
      </c>
      <c r="B1644" s="3" t="s">
        <v>55</v>
      </c>
      <c r="C1644">
        <v>32</v>
      </c>
      <c r="D1644">
        <v>17000</v>
      </c>
      <c r="E1644">
        <v>499</v>
      </c>
      <c r="F1644">
        <v>1</v>
      </c>
      <c r="G1644">
        <v>17000</v>
      </c>
      <c r="H1644">
        <v>3.4451444999999997E-2</v>
      </c>
      <c r="I1644">
        <v>14764</v>
      </c>
      <c r="J1644">
        <v>4699</v>
      </c>
      <c r="K1644">
        <v>10065</v>
      </c>
      <c r="L1644">
        <v>500</v>
      </c>
      <c r="M1644">
        <v>499</v>
      </c>
      <c r="N1644">
        <v>1</v>
      </c>
      <c r="O1644">
        <v>2236</v>
      </c>
      <c r="P1644" s="3" t="s">
        <v>50</v>
      </c>
      <c r="Q1644">
        <v>50</v>
      </c>
      <c r="R1644">
        <v>0.999</v>
      </c>
      <c r="S1644">
        <v>1</v>
      </c>
    </row>
    <row r="1645" spans="1:19" x14ac:dyDescent="0.2">
      <c r="A1645" s="3" t="s">
        <v>54</v>
      </c>
      <c r="B1645" s="3" t="s">
        <v>55</v>
      </c>
      <c r="C1645">
        <v>46</v>
      </c>
      <c r="D1645">
        <v>19000</v>
      </c>
      <c r="E1645">
        <v>499</v>
      </c>
      <c r="F1645">
        <v>1</v>
      </c>
      <c r="G1645">
        <v>19000</v>
      </c>
      <c r="H1645">
        <v>3.4429847999999999E-2</v>
      </c>
      <c r="I1645">
        <v>15621</v>
      </c>
      <c r="J1645">
        <v>5058</v>
      </c>
      <c r="K1645">
        <v>10563</v>
      </c>
      <c r="L1645">
        <v>500</v>
      </c>
      <c r="M1645">
        <v>499</v>
      </c>
      <c r="N1645">
        <v>1</v>
      </c>
      <c r="O1645">
        <v>3379</v>
      </c>
      <c r="P1645" s="3" t="s">
        <v>52</v>
      </c>
      <c r="Q1645">
        <v>50</v>
      </c>
      <c r="R1645">
        <v>0.999</v>
      </c>
      <c r="S1645">
        <v>1</v>
      </c>
    </row>
    <row r="1646" spans="1:19" x14ac:dyDescent="0.2">
      <c r="A1646" s="3" t="s">
        <v>54</v>
      </c>
      <c r="B1646" s="3" t="s">
        <v>55</v>
      </c>
      <c r="C1646">
        <v>6</v>
      </c>
      <c r="D1646">
        <v>19000</v>
      </c>
      <c r="E1646">
        <v>499</v>
      </c>
      <c r="F1646">
        <v>1</v>
      </c>
      <c r="G1646">
        <v>19000</v>
      </c>
      <c r="H1646">
        <v>3.4405154E-2</v>
      </c>
      <c r="I1646">
        <v>15627</v>
      </c>
      <c r="J1646">
        <v>5009</v>
      </c>
      <c r="K1646">
        <v>10618</v>
      </c>
      <c r="L1646">
        <v>500</v>
      </c>
      <c r="M1646">
        <v>499</v>
      </c>
      <c r="N1646">
        <v>1</v>
      </c>
      <c r="O1646">
        <v>3373</v>
      </c>
      <c r="P1646" s="3" t="s">
        <v>52</v>
      </c>
      <c r="Q1646">
        <v>50</v>
      </c>
      <c r="R1646">
        <v>0.999</v>
      </c>
      <c r="S1646">
        <v>1</v>
      </c>
    </row>
    <row r="1647" spans="1:19" x14ac:dyDescent="0.2">
      <c r="A1647" s="3" t="s">
        <v>54</v>
      </c>
      <c r="B1647" s="3" t="s">
        <v>55</v>
      </c>
      <c r="C1647">
        <v>47</v>
      </c>
      <c r="D1647">
        <v>19000</v>
      </c>
      <c r="E1647">
        <v>499</v>
      </c>
      <c r="F1647">
        <v>1</v>
      </c>
      <c r="G1647">
        <v>19000</v>
      </c>
      <c r="H1647">
        <v>3.4403046E-2</v>
      </c>
      <c r="I1647">
        <v>15612</v>
      </c>
      <c r="J1647">
        <v>5043</v>
      </c>
      <c r="K1647">
        <v>10569</v>
      </c>
      <c r="L1647">
        <v>500</v>
      </c>
      <c r="M1647">
        <v>499</v>
      </c>
      <c r="N1647">
        <v>1</v>
      </c>
      <c r="O1647">
        <v>3388</v>
      </c>
      <c r="P1647" s="3" t="s">
        <v>52</v>
      </c>
      <c r="Q1647">
        <v>50</v>
      </c>
      <c r="R1647">
        <v>0.999</v>
      </c>
      <c r="S1647">
        <v>1</v>
      </c>
    </row>
    <row r="1648" spans="1:19" x14ac:dyDescent="0.2">
      <c r="A1648" s="3" t="s">
        <v>54</v>
      </c>
      <c r="B1648" s="3" t="s">
        <v>55</v>
      </c>
      <c r="C1648">
        <v>27</v>
      </c>
      <c r="D1648">
        <v>19000</v>
      </c>
      <c r="E1648">
        <v>499</v>
      </c>
      <c r="F1648">
        <v>1</v>
      </c>
      <c r="G1648">
        <v>19000</v>
      </c>
      <c r="H1648">
        <v>3.4401378000000003E-2</v>
      </c>
      <c r="I1648">
        <v>15623</v>
      </c>
      <c r="J1648">
        <v>4997</v>
      </c>
      <c r="K1648">
        <v>10626</v>
      </c>
      <c r="L1648">
        <v>500</v>
      </c>
      <c r="M1648">
        <v>499</v>
      </c>
      <c r="N1648">
        <v>1</v>
      </c>
      <c r="O1648">
        <v>3377</v>
      </c>
      <c r="P1648" s="3" t="s">
        <v>52</v>
      </c>
      <c r="Q1648">
        <v>50</v>
      </c>
      <c r="R1648">
        <v>0.999</v>
      </c>
      <c r="S1648">
        <v>1</v>
      </c>
    </row>
    <row r="1649" spans="1:19" x14ac:dyDescent="0.2">
      <c r="A1649" s="3" t="s">
        <v>54</v>
      </c>
      <c r="B1649" s="3" t="s">
        <v>55</v>
      </c>
      <c r="C1649">
        <v>5</v>
      </c>
      <c r="D1649">
        <v>19000</v>
      </c>
      <c r="E1649">
        <v>499</v>
      </c>
      <c r="F1649">
        <v>1</v>
      </c>
      <c r="G1649">
        <v>19000</v>
      </c>
      <c r="H1649">
        <v>3.4344141000000002E-2</v>
      </c>
      <c r="I1649">
        <v>15597</v>
      </c>
      <c r="J1649">
        <v>5038</v>
      </c>
      <c r="K1649">
        <v>10559</v>
      </c>
      <c r="L1649">
        <v>500</v>
      </c>
      <c r="M1649">
        <v>499</v>
      </c>
      <c r="N1649">
        <v>1</v>
      </c>
      <c r="O1649">
        <v>3403</v>
      </c>
      <c r="P1649" s="3" t="s">
        <v>52</v>
      </c>
      <c r="Q1649">
        <v>50</v>
      </c>
      <c r="R1649">
        <v>0.999</v>
      </c>
      <c r="S1649">
        <v>1</v>
      </c>
    </row>
    <row r="1650" spans="1:19" x14ac:dyDescent="0.2">
      <c r="A1650" s="3" t="s">
        <v>54</v>
      </c>
      <c r="B1650" s="3" t="s">
        <v>55</v>
      </c>
      <c r="C1650">
        <v>3</v>
      </c>
      <c r="D1650">
        <v>19000</v>
      </c>
      <c r="E1650">
        <v>499</v>
      </c>
      <c r="F1650">
        <v>1</v>
      </c>
      <c r="G1650">
        <v>19000</v>
      </c>
      <c r="H1650">
        <v>3.4301352E-2</v>
      </c>
      <c r="I1650">
        <v>15608</v>
      </c>
      <c r="J1650">
        <v>5046</v>
      </c>
      <c r="K1650">
        <v>10562</v>
      </c>
      <c r="L1650">
        <v>500</v>
      </c>
      <c r="M1650">
        <v>499</v>
      </c>
      <c r="N1650">
        <v>1</v>
      </c>
      <c r="O1650">
        <v>3392</v>
      </c>
      <c r="P1650" s="3" t="s">
        <v>52</v>
      </c>
      <c r="Q1650">
        <v>50</v>
      </c>
      <c r="R1650">
        <v>0.999</v>
      </c>
      <c r="S1650">
        <v>1</v>
      </c>
    </row>
    <row r="1651" spans="1:19" x14ac:dyDescent="0.2">
      <c r="A1651" s="3" t="s">
        <v>54</v>
      </c>
      <c r="B1651" s="3" t="s">
        <v>55</v>
      </c>
      <c r="C1651">
        <v>35</v>
      </c>
      <c r="D1651">
        <v>18000</v>
      </c>
      <c r="E1651">
        <v>499</v>
      </c>
      <c r="F1651">
        <v>1</v>
      </c>
      <c r="G1651">
        <v>18000</v>
      </c>
      <c r="H1651">
        <v>3.4186822999999998E-2</v>
      </c>
      <c r="I1651">
        <v>15211</v>
      </c>
      <c r="J1651">
        <v>4863</v>
      </c>
      <c r="K1651">
        <v>10348</v>
      </c>
      <c r="L1651">
        <v>500</v>
      </c>
      <c r="M1651">
        <v>499</v>
      </c>
      <c r="N1651">
        <v>1</v>
      </c>
      <c r="O1651">
        <v>2789</v>
      </c>
      <c r="P1651" s="3" t="s">
        <v>50</v>
      </c>
      <c r="Q1651">
        <v>50</v>
      </c>
      <c r="R1651">
        <v>0.999</v>
      </c>
      <c r="S1651">
        <v>1</v>
      </c>
    </row>
    <row r="1652" spans="1:19" x14ac:dyDescent="0.2">
      <c r="A1652" s="3" t="s">
        <v>54</v>
      </c>
      <c r="B1652" s="3" t="s">
        <v>55</v>
      </c>
      <c r="C1652">
        <v>28</v>
      </c>
      <c r="D1652">
        <v>18000</v>
      </c>
      <c r="E1652">
        <v>499</v>
      </c>
      <c r="F1652">
        <v>1</v>
      </c>
      <c r="G1652">
        <v>18000</v>
      </c>
      <c r="H1652">
        <v>3.4182009999999999E-2</v>
      </c>
      <c r="I1652">
        <v>15200</v>
      </c>
      <c r="J1652">
        <v>4845</v>
      </c>
      <c r="K1652">
        <v>10355</v>
      </c>
      <c r="L1652">
        <v>500</v>
      </c>
      <c r="M1652">
        <v>499</v>
      </c>
      <c r="N1652">
        <v>1</v>
      </c>
      <c r="O1652">
        <v>2800</v>
      </c>
      <c r="P1652" s="3" t="s">
        <v>52</v>
      </c>
      <c r="Q1652">
        <v>50</v>
      </c>
      <c r="R1652">
        <v>0.999</v>
      </c>
      <c r="S1652">
        <v>1</v>
      </c>
    </row>
    <row r="1653" spans="1:19" x14ac:dyDescent="0.2">
      <c r="A1653" s="3" t="s">
        <v>54</v>
      </c>
      <c r="B1653" s="3" t="s">
        <v>55</v>
      </c>
      <c r="C1653">
        <v>49</v>
      </c>
      <c r="D1653">
        <v>19000</v>
      </c>
      <c r="E1653">
        <v>499</v>
      </c>
      <c r="F1653">
        <v>1</v>
      </c>
      <c r="G1653">
        <v>19000</v>
      </c>
      <c r="H1653">
        <v>3.4173549999999997E-2</v>
      </c>
      <c r="I1653">
        <v>15587</v>
      </c>
      <c r="J1653">
        <v>5011</v>
      </c>
      <c r="K1653">
        <v>10576</v>
      </c>
      <c r="L1653">
        <v>500</v>
      </c>
      <c r="M1653">
        <v>499</v>
      </c>
      <c r="N1653">
        <v>1</v>
      </c>
      <c r="O1653">
        <v>3413</v>
      </c>
      <c r="P1653" s="3" t="s">
        <v>52</v>
      </c>
      <c r="Q1653">
        <v>50</v>
      </c>
      <c r="R1653">
        <v>0.999</v>
      </c>
      <c r="S1653">
        <v>1</v>
      </c>
    </row>
    <row r="1654" spans="1:19" x14ac:dyDescent="0.2">
      <c r="A1654" s="3" t="s">
        <v>54</v>
      </c>
      <c r="B1654" s="3" t="s">
        <v>55</v>
      </c>
      <c r="C1654">
        <v>48</v>
      </c>
      <c r="D1654">
        <v>19000</v>
      </c>
      <c r="E1654">
        <v>499</v>
      </c>
      <c r="F1654">
        <v>1</v>
      </c>
      <c r="G1654">
        <v>19000</v>
      </c>
      <c r="H1654">
        <v>3.4164290999999999E-2</v>
      </c>
      <c r="I1654">
        <v>15590</v>
      </c>
      <c r="J1654">
        <v>5030</v>
      </c>
      <c r="K1654">
        <v>10560</v>
      </c>
      <c r="L1654">
        <v>500</v>
      </c>
      <c r="M1654">
        <v>499</v>
      </c>
      <c r="N1654">
        <v>1</v>
      </c>
      <c r="O1654">
        <v>3410</v>
      </c>
      <c r="P1654" s="3" t="s">
        <v>52</v>
      </c>
      <c r="Q1654">
        <v>50</v>
      </c>
      <c r="R1654">
        <v>0.999</v>
      </c>
      <c r="S1654">
        <v>1</v>
      </c>
    </row>
    <row r="1655" spans="1:19" x14ac:dyDescent="0.2">
      <c r="A1655" s="3" t="s">
        <v>54</v>
      </c>
      <c r="B1655" s="3" t="s">
        <v>55</v>
      </c>
      <c r="C1655">
        <v>18</v>
      </c>
      <c r="D1655">
        <v>18000</v>
      </c>
      <c r="E1655">
        <v>499</v>
      </c>
      <c r="F1655">
        <v>1</v>
      </c>
      <c r="G1655">
        <v>18000</v>
      </c>
      <c r="H1655">
        <v>3.4133666E-2</v>
      </c>
      <c r="I1655">
        <v>15188</v>
      </c>
      <c r="J1655">
        <v>4846</v>
      </c>
      <c r="K1655">
        <v>10342</v>
      </c>
      <c r="L1655">
        <v>500</v>
      </c>
      <c r="M1655">
        <v>499</v>
      </c>
      <c r="N1655">
        <v>1</v>
      </c>
      <c r="O1655">
        <v>2812</v>
      </c>
      <c r="P1655" s="3" t="s">
        <v>50</v>
      </c>
      <c r="Q1655">
        <v>50</v>
      </c>
      <c r="R1655">
        <v>0.999</v>
      </c>
      <c r="S1655">
        <v>1</v>
      </c>
    </row>
    <row r="1656" spans="1:19" x14ac:dyDescent="0.2">
      <c r="A1656" s="3" t="s">
        <v>54</v>
      </c>
      <c r="B1656" s="3" t="s">
        <v>55</v>
      </c>
      <c r="C1656">
        <v>25</v>
      </c>
      <c r="D1656">
        <v>18000</v>
      </c>
      <c r="E1656">
        <v>499</v>
      </c>
      <c r="F1656">
        <v>1</v>
      </c>
      <c r="G1656">
        <v>18000</v>
      </c>
      <c r="H1656">
        <v>3.4102361999999997E-2</v>
      </c>
      <c r="I1656">
        <v>15226</v>
      </c>
      <c r="J1656">
        <v>4878</v>
      </c>
      <c r="K1656">
        <v>10348</v>
      </c>
      <c r="L1656">
        <v>500</v>
      </c>
      <c r="M1656">
        <v>499</v>
      </c>
      <c r="N1656">
        <v>1</v>
      </c>
      <c r="O1656">
        <v>2774</v>
      </c>
      <c r="P1656" s="3" t="s">
        <v>50</v>
      </c>
      <c r="Q1656">
        <v>50</v>
      </c>
      <c r="R1656">
        <v>0.999</v>
      </c>
      <c r="S1656">
        <v>1</v>
      </c>
    </row>
    <row r="1657" spans="1:19" x14ac:dyDescent="0.2">
      <c r="A1657" s="3" t="s">
        <v>54</v>
      </c>
      <c r="B1657" s="3" t="s">
        <v>55</v>
      </c>
      <c r="C1657">
        <v>21</v>
      </c>
      <c r="D1657">
        <v>18000</v>
      </c>
      <c r="E1657">
        <v>499</v>
      </c>
      <c r="F1657">
        <v>1</v>
      </c>
      <c r="G1657">
        <v>18000</v>
      </c>
      <c r="H1657">
        <v>3.4020531E-2</v>
      </c>
      <c r="I1657">
        <v>15222</v>
      </c>
      <c r="J1657">
        <v>4855</v>
      </c>
      <c r="K1657">
        <v>10367</v>
      </c>
      <c r="L1657">
        <v>500</v>
      </c>
      <c r="M1657">
        <v>499</v>
      </c>
      <c r="N1657">
        <v>1</v>
      </c>
      <c r="O1657">
        <v>2778</v>
      </c>
      <c r="P1657" s="3" t="s">
        <v>50</v>
      </c>
      <c r="Q1657">
        <v>50</v>
      </c>
      <c r="R1657">
        <v>0.999</v>
      </c>
      <c r="S1657">
        <v>1</v>
      </c>
    </row>
    <row r="1658" spans="1:19" x14ac:dyDescent="0.2">
      <c r="A1658" s="3" t="s">
        <v>54</v>
      </c>
      <c r="B1658" s="3" t="s">
        <v>55</v>
      </c>
      <c r="C1658">
        <v>10</v>
      </c>
      <c r="D1658">
        <v>18000</v>
      </c>
      <c r="E1658">
        <v>499</v>
      </c>
      <c r="F1658">
        <v>1</v>
      </c>
      <c r="G1658">
        <v>18000</v>
      </c>
      <c r="H1658">
        <v>3.3983386999999997E-2</v>
      </c>
      <c r="I1658">
        <v>15185</v>
      </c>
      <c r="J1658">
        <v>4883</v>
      </c>
      <c r="K1658">
        <v>10302</v>
      </c>
      <c r="L1658">
        <v>500</v>
      </c>
      <c r="M1658">
        <v>499</v>
      </c>
      <c r="N1658">
        <v>1</v>
      </c>
      <c r="O1658">
        <v>2815</v>
      </c>
      <c r="P1658" s="3" t="s">
        <v>50</v>
      </c>
      <c r="Q1658">
        <v>50</v>
      </c>
      <c r="R1658">
        <v>0.999</v>
      </c>
      <c r="S1658">
        <v>1</v>
      </c>
    </row>
    <row r="1659" spans="1:19" x14ac:dyDescent="0.2">
      <c r="A1659" s="3" t="s">
        <v>54</v>
      </c>
      <c r="B1659" s="3" t="s">
        <v>55</v>
      </c>
      <c r="C1659">
        <v>33</v>
      </c>
      <c r="D1659">
        <v>19000</v>
      </c>
      <c r="E1659">
        <v>499</v>
      </c>
      <c r="F1659">
        <v>1</v>
      </c>
      <c r="G1659">
        <v>19000</v>
      </c>
      <c r="H1659">
        <v>3.3937354000000003E-2</v>
      </c>
      <c r="I1659">
        <v>15641</v>
      </c>
      <c r="J1659">
        <v>5072</v>
      </c>
      <c r="K1659">
        <v>10569</v>
      </c>
      <c r="L1659">
        <v>500</v>
      </c>
      <c r="M1659">
        <v>499</v>
      </c>
      <c r="N1659">
        <v>1</v>
      </c>
      <c r="O1659">
        <v>3359</v>
      </c>
      <c r="P1659" s="3" t="s">
        <v>52</v>
      </c>
      <c r="Q1659">
        <v>50</v>
      </c>
      <c r="R1659">
        <v>0.999</v>
      </c>
      <c r="S1659">
        <v>1</v>
      </c>
    </row>
    <row r="1660" spans="1:19" x14ac:dyDescent="0.2">
      <c r="A1660" s="3" t="s">
        <v>54</v>
      </c>
      <c r="B1660" s="3" t="s">
        <v>55</v>
      </c>
      <c r="C1660">
        <v>19</v>
      </c>
      <c r="D1660">
        <v>18000</v>
      </c>
      <c r="E1660">
        <v>499</v>
      </c>
      <c r="F1660">
        <v>1</v>
      </c>
      <c r="G1660">
        <v>18000</v>
      </c>
      <c r="H1660">
        <v>3.3922943999999997E-2</v>
      </c>
      <c r="I1660">
        <v>15241</v>
      </c>
      <c r="J1660">
        <v>4835</v>
      </c>
      <c r="K1660">
        <v>10406</v>
      </c>
      <c r="L1660">
        <v>500</v>
      </c>
      <c r="M1660">
        <v>499</v>
      </c>
      <c r="N1660">
        <v>1</v>
      </c>
      <c r="O1660">
        <v>2759</v>
      </c>
      <c r="P1660" s="3" t="s">
        <v>50</v>
      </c>
      <c r="Q1660">
        <v>50</v>
      </c>
      <c r="R1660">
        <v>0.999</v>
      </c>
      <c r="S1660">
        <v>1</v>
      </c>
    </row>
    <row r="1661" spans="1:19" x14ac:dyDescent="0.2">
      <c r="A1661" s="3" t="s">
        <v>54</v>
      </c>
      <c r="B1661" s="3" t="s">
        <v>55</v>
      </c>
      <c r="C1661">
        <v>50</v>
      </c>
      <c r="D1661">
        <v>19000</v>
      </c>
      <c r="E1661">
        <v>499</v>
      </c>
      <c r="F1661">
        <v>1</v>
      </c>
      <c r="G1661">
        <v>19000</v>
      </c>
      <c r="H1661">
        <v>3.3910990000000002E-2</v>
      </c>
      <c r="I1661">
        <v>15597</v>
      </c>
      <c r="J1661">
        <v>5018</v>
      </c>
      <c r="K1661">
        <v>10579</v>
      </c>
      <c r="L1661">
        <v>500</v>
      </c>
      <c r="M1661">
        <v>499</v>
      </c>
      <c r="N1661">
        <v>1</v>
      </c>
      <c r="O1661">
        <v>3403</v>
      </c>
      <c r="P1661" s="3" t="s">
        <v>52</v>
      </c>
      <c r="Q1661">
        <v>50</v>
      </c>
      <c r="R1661">
        <v>0.999</v>
      </c>
      <c r="S1661">
        <v>1</v>
      </c>
    </row>
    <row r="1662" spans="1:19" x14ac:dyDescent="0.2">
      <c r="A1662" s="3" t="s">
        <v>54</v>
      </c>
      <c r="B1662" s="3" t="s">
        <v>55</v>
      </c>
      <c r="C1662">
        <v>8</v>
      </c>
      <c r="D1662">
        <v>19000</v>
      </c>
      <c r="E1662">
        <v>499</v>
      </c>
      <c r="F1662">
        <v>1</v>
      </c>
      <c r="G1662">
        <v>19000</v>
      </c>
      <c r="H1662">
        <v>3.3907698999999999E-2</v>
      </c>
      <c r="I1662">
        <v>15592</v>
      </c>
      <c r="J1662">
        <v>5032</v>
      </c>
      <c r="K1662">
        <v>10560</v>
      </c>
      <c r="L1662">
        <v>500</v>
      </c>
      <c r="M1662">
        <v>499</v>
      </c>
      <c r="N1662">
        <v>1</v>
      </c>
      <c r="O1662">
        <v>3408</v>
      </c>
      <c r="P1662" s="3" t="s">
        <v>52</v>
      </c>
      <c r="Q1662">
        <v>50</v>
      </c>
      <c r="R1662">
        <v>0.999</v>
      </c>
      <c r="S1662">
        <v>1</v>
      </c>
    </row>
    <row r="1663" spans="1:19" x14ac:dyDescent="0.2">
      <c r="A1663" s="3" t="s">
        <v>54</v>
      </c>
      <c r="B1663" s="3" t="s">
        <v>55</v>
      </c>
      <c r="C1663">
        <v>43</v>
      </c>
      <c r="D1663">
        <v>19000</v>
      </c>
      <c r="E1663">
        <v>499</v>
      </c>
      <c r="F1663">
        <v>1</v>
      </c>
      <c r="G1663">
        <v>19000</v>
      </c>
      <c r="H1663">
        <v>3.3852222000000001E-2</v>
      </c>
      <c r="I1663">
        <v>15629</v>
      </c>
      <c r="J1663">
        <v>5027</v>
      </c>
      <c r="K1663">
        <v>10602</v>
      </c>
      <c r="L1663">
        <v>500</v>
      </c>
      <c r="M1663">
        <v>499</v>
      </c>
      <c r="N1663">
        <v>1</v>
      </c>
      <c r="O1663">
        <v>3371</v>
      </c>
      <c r="P1663" s="3" t="s">
        <v>52</v>
      </c>
      <c r="Q1663">
        <v>50</v>
      </c>
      <c r="R1663">
        <v>0.999</v>
      </c>
      <c r="S1663">
        <v>1</v>
      </c>
    </row>
    <row r="1664" spans="1:19" x14ac:dyDescent="0.2">
      <c r="A1664" s="3" t="s">
        <v>54</v>
      </c>
      <c r="B1664" s="3" t="s">
        <v>55</v>
      </c>
      <c r="C1664">
        <v>35</v>
      </c>
      <c r="D1664">
        <v>19000</v>
      </c>
      <c r="E1664">
        <v>499</v>
      </c>
      <c r="F1664">
        <v>1</v>
      </c>
      <c r="G1664">
        <v>19000</v>
      </c>
      <c r="H1664">
        <v>3.3848418999999998E-2</v>
      </c>
      <c r="I1664">
        <v>15622</v>
      </c>
      <c r="J1664">
        <v>5045</v>
      </c>
      <c r="K1664">
        <v>10577</v>
      </c>
      <c r="L1664">
        <v>500</v>
      </c>
      <c r="M1664">
        <v>499</v>
      </c>
      <c r="N1664">
        <v>1</v>
      </c>
      <c r="O1664">
        <v>3378</v>
      </c>
      <c r="P1664" s="3" t="s">
        <v>52</v>
      </c>
      <c r="Q1664">
        <v>50</v>
      </c>
      <c r="R1664">
        <v>0.999</v>
      </c>
      <c r="S1664">
        <v>1</v>
      </c>
    </row>
    <row r="1665" spans="1:19" x14ac:dyDescent="0.2">
      <c r="A1665" s="3" t="s">
        <v>54</v>
      </c>
      <c r="B1665" s="3" t="s">
        <v>55</v>
      </c>
      <c r="C1665">
        <v>20</v>
      </c>
      <c r="D1665">
        <v>16000</v>
      </c>
      <c r="E1665">
        <v>499</v>
      </c>
      <c r="F1665">
        <v>1</v>
      </c>
      <c r="G1665">
        <v>16000</v>
      </c>
      <c r="H1665">
        <v>3.3845502999999999E-2</v>
      </c>
      <c r="I1665">
        <v>14353</v>
      </c>
      <c r="J1665">
        <v>4556</v>
      </c>
      <c r="K1665">
        <v>9797</v>
      </c>
      <c r="L1665">
        <v>500</v>
      </c>
      <c r="M1665">
        <v>499</v>
      </c>
      <c r="N1665">
        <v>1</v>
      </c>
      <c r="O1665">
        <v>1647</v>
      </c>
      <c r="P1665" s="3" t="s">
        <v>52</v>
      </c>
      <c r="Q1665">
        <v>50</v>
      </c>
      <c r="R1665">
        <v>0.999</v>
      </c>
      <c r="S1665">
        <v>1</v>
      </c>
    </row>
    <row r="1666" spans="1:19" x14ac:dyDescent="0.2">
      <c r="A1666" s="3" t="s">
        <v>54</v>
      </c>
      <c r="B1666" s="3" t="s">
        <v>55</v>
      </c>
      <c r="C1666">
        <v>49</v>
      </c>
      <c r="D1666">
        <v>14000</v>
      </c>
      <c r="E1666">
        <v>499</v>
      </c>
      <c r="F1666">
        <v>1</v>
      </c>
      <c r="G1666">
        <v>14000</v>
      </c>
      <c r="H1666">
        <v>3.3841670999999997E-2</v>
      </c>
      <c r="I1666">
        <v>13030</v>
      </c>
      <c r="J1666">
        <v>4854</v>
      </c>
      <c r="K1666">
        <v>8176</v>
      </c>
      <c r="L1666">
        <v>500</v>
      </c>
      <c r="M1666">
        <v>499</v>
      </c>
      <c r="N1666">
        <v>1</v>
      </c>
      <c r="O1666">
        <v>970</v>
      </c>
      <c r="P1666" s="3" t="s">
        <v>51</v>
      </c>
      <c r="Q1666">
        <v>50</v>
      </c>
      <c r="R1666">
        <v>0.999</v>
      </c>
      <c r="S1666">
        <v>1</v>
      </c>
    </row>
    <row r="1667" spans="1:19" x14ac:dyDescent="0.2">
      <c r="A1667" s="3" t="s">
        <v>54</v>
      </c>
      <c r="B1667" s="3" t="s">
        <v>55</v>
      </c>
      <c r="C1667">
        <v>20</v>
      </c>
      <c r="D1667">
        <v>19000</v>
      </c>
      <c r="E1667">
        <v>499</v>
      </c>
      <c r="F1667">
        <v>1</v>
      </c>
      <c r="G1667">
        <v>19000</v>
      </c>
      <c r="H1667">
        <v>3.3813393999999997E-2</v>
      </c>
      <c r="I1667">
        <v>15616</v>
      </c>
      <c r="J1667">
        <v>5050</v>
      </c>
      <c r="K1667">
        <v>10566</v>
      </c>
      <c r="L1667">
        <v>500</v>
      </c>
      <c r="M1667">
        <v>499</v>
      </c>
      <c r="N1667">
        <v>1</v>
      </c>
      <c r="O1667">
        <v>3384</v>
      </c>
      <c r="P1667" s="3" t="s">
        <v>52</v>
      </c>
      <c r="Q1667">
        <v>50</v>
      </c>
      <c r="R1667">
        <v>0.999</v>
      </c>
      <c r="S1667">
        <v>1</v>
      </c>
    </row>
    <row r="1668" spans="1:19" x14ac:dyDescent="0.2">
      <c r="A1668" s="3" t="s">
        <v>54</v>
      </c>
      <c r="B1668" s="3" t="s">
        <v>55</v>
      </c>
      <c r="C1668">
        <v>42</v>
      </c>
      <c r="D1668">
        <v>19000</v>
      </c>
      <c r="E1668">
        <v>499</v>
      </c>
      <c r="F1668">
        <v>1</v>
      </c>
      <c r="G1668">
        <v>19000</v>
      </c>
      <c r="H1668">
        <v>3.3811991E-2</v>
      </c>
      <c r="I1668">
        <v>15615</v>
      </c>
      <c r="J1668">
        <v>5047</v>
      </c>
      <c r="K1668">
        <v>10568</v>
      </c>
      <c r="L1668">
        <v>500</v>
      </c>
      <c r="M1668">
        <v>499</v>
      </c>
      <c r="N1668">
        <v>1</v>
      </c>
      <c r="O1668">
        <v>3385</v>
      </c>
      <c r="P1668" s="3" t="s">
        <v>52</v>
      </c>
      <c r="Q1668">
        <v>50</v>
      </c>
      <c r="R1668">
        <v>0.999</v>
      </c>
      <c r="S1668">
        <v>1</v>
      </c>
    </row>
    <row r="1669" spans="1:19" x14ac:dyDescent="0.2">
      <c r="A1669" s="3" t="s">
        <v>54</v>
      </c>
      <c r="B1669" s="3" t="s">
        <v>55</v>
      </c>
      <c r="C1669">
        <v>30</v>
      </c>
      <c r="D1669">
        <v>19000</v>
      </c>
      <c r="E1669">
        <v>499</v>
      </c>
      <c r="F1669">
        <v>1</v>
      </c>
      <c r="G1669">
        <v>19000</v>
      </c>
      <c r="H1669">
        <v>3.3790374999999997E-2</v>
      </c>
      <c r="I1669">
        <v>15595</v>
      </c>
      <c r="J1669">
        <v>5033</v>
      </c>
      <c r="K1669">
        <v>10562</v>
      </c>
      <c r="L1669">
        <v>500</v>
      </c>
      <c r="M1669">
        <v>499</v>
      </c>
      <c r="N1669">
        <v>1</v>
      </c>
      <c r="O1669">
        <v>3405</v>
      </c>
      <c r="P1669" s="3" t="s">
        <v>52</v>
      </c>
      <c r="Q1669">
        <v>50</v>
      </c>
      <c r="R1669">
        <v>0.999</v>
      </c>
      <c r="S1669">
        <v>1</v>
      </c>
    </row>
    <row r="1670" spans="1:19" x14ac:dyDescent="0.2">
      <c r="A1670" s="3" t="s">
        <v>54</v>
      </c>
      <c r="B1670" s="3" t="s">
        <v>55</v>
      </c>
      <c r="C1670">
        <v>1</v>
      </c>
      <c r="D1670">
        <v>19000</v>
      </c>
      <c r="E1670">
        <v>499</v>
      </c>
      <c r="F1670">
        <v>1</v>
      </c>
      <c r="G1670">
        <v>19000</v>
      </c>
      <c r="H1670">
        <v>3.3784060999999997E-2</v>
      </c>
      <c r="I1670">
        <v>15608</v>
      </c>
      <c r="J1670">
        <v>4966</v>
      </c>
      <c r="K1670">
        <v>10642</v>
      </c>
      <c r="L1670">
        <v>500</v>
      </c>
      <c r="M1670">
        <v>499</v>
      </c>
      <c r="N1670">
        <v>1</v>
      </c>
      <c r="O1670">
        <v>3392</v>
      </c>
      <c r="P1670" s="3" t="s">
        <v>52</v>
      </c>
      <c r="Q1670">
        <v>50</v>
      </c>
      <c r="R1670">
        <v>0.999</v>
      </c>
      <c r="S1670">
        <v>1</v>
      </c>
    </row>
    <row r="1671" spans="1:19" x14ac:dyDescent="0.2">
      <c r="A1671" s="3" t="s">
        <v>54</v>
      </c>
      <c r="B1671" s="3" t="s">
        <v>55</v>
      </c>
      <c r="C1671">
        <v>44</v>
      </c>
      <c r="D1671">
        <v>19000</v>
      </c>
      <c r="E1671">
        <v>499</v>
      </c>
      <c r="F1671">
        <v>1</v>
      </c>
      <c r="G1671">
        <v>19000</v>
      </c>
      <c r="H1671">
        <v>3.3778311999999998E-2</v>
      </c>
      <c r="I1671">
        <v>15633</v>
      </c>
      <c r="J1671">
        <v>5041</v>
      </c>
      <c r="K1671">
        <v>10592</v>
      </c>
      <c r="L1671">
        <v>500</v>
      </c>
      <c r="M1671">
        <v>499</v>
      </c>
      <c r="N1671">
        <v>1</v>
      </c>
      <c r="O1671">
        <v>3367</v>
      </c>
      <c r="P1671" s="3" t="s">
        <v>52</v>
      </c>
      <c r="Q1671">
        <v>50</v>
      </c>
      <c r="R1671">
        <v>0.999</v>
      </c>
      <c r="S1671">
        <v>1</v>
      </c>
    </row>
    <row r="1672" spans="1:19" x14ac:dyDescent="0.2">
      <c r="A1672" s="3" t="s">
        <v>54</v>
      </c>
      <c r="B1672" s="3" t="s">
        <v>55</v>
      </c>
      <c r="C1672">
        <v>28</v>
      </c>
      <c r="D1672">
        <v>19000</v>
      </c>
      <c r="E1672">
        <v>499</v>
      </c>
      <c r="F1672">
        <v>1</v>
      </c>
      <c r="G1672">
        <v>19000</v>
      </c>
      <c r="H1672">
        <v>3.3747447999999999E-2</v>
      </c>
      <c r="I1672">
        <v>15626</v>
      </c>
      <c r="J1672">
        <v>5022</v>
      </c>
      <c r="K1672">
        <v>10604</v>
      </c>
      <c r="L1672">
        <v>500</v>
      </c>
      <c r="M1672">
        <v>499</v>
      </c>
      <c r="N1672">
        <v>1</v>
      </c>
      <c r="O1672">
        <v>3374</v>
      </c>
      <c r="P1672" s="3" t="s">
        <v>52</v>
      </c>
      <c r="Q1672">
        <v>50</v>
      </c>
      <c r="R1672">
        <v>0.999</v>
      </c>
      <c r="S1672">
        <v>1</v>
      </c>
    </row>
    <row r="1673" spans="1:19" x14ac:dyDescent="0.2">
      <c r="A1673" s="3" t="s">
        <v>54</v>
      </c>
      <c r="B1673" s="3" t="s">
        <v>55</v>
      </c>
      <c r="C1673">
        <v>26</v>
      </c>
      <c r="D1673">
        <v>19000</v>
      </c>
      <c r="E1673">
        <v>499</v>
      </c>
      <c r="F1673">
        <v>1</v>
      </c>
      <c r="G1673">
        <v>19000</v>
      </c>
      <c r="H1673">
        <v>3.3729390999999997E-2</v>
      </c>
      <c r="I1673">
        <v>15633</v>
      </c>
      <c r="J1673">
        <v>5052</v>
      </c>
      <c r="K1673">
        <v>10581</v>
      </c>
      <c r="L1673">
        <v>500</v>
      </c>
      <c r="M1673">
        <v>499</v>
      </c>
      <c r="N1673">
        <v>1</v>
      </c>
      <c r="O1673">
        <v>3367</v>
      </c>
      <c r="P1673" s="3" t="s">
        <v>52</v>
      </c>
      <c r="Q1673">
        <v>50</v>
      </c>
      <c r="R1673">
        <v>0.999</v>
      </c>
      <c r="S1673">
        <v>1</v>
      </c>
    </row>
    <row r="1674" spans="1:19" x14ac:dyDescent="0.2">
      <c r="A1674" s="3" t="s">
        <v>54</v>
      </c>
      <c r="B1674" s="3" t="s">
        <v>55</v>
      </c>
      <c r="C1674">
        <v>18</v>
      </c>
      <c r="D1674">
        <v>19000</v>
      </c>
      <c r="E1674">
        <v>499</v>
      </c>
      <c r="F1674">
        <v>1</v>
      </c>
      <c r="G1674">
        <v>19000</v>
      </c>
      <c r="H1674">
        <v>3.3724430999999999E-2</v>
      </c>
      <c r="I1674">
        <v>15617</v>
      </c>
      <c r="J1674">
        <v>5042</v>
      </c>
      <c r="K1674">
        <v>10575</v>
      </c>
      <c r="L1674">
        <v>500</v>
      </c>
      <c r="M1674">
        <v>499</v>
      </c>
      <c r="N1674">
        <v>1</v>
      </c>
      <c r="O1674">
        <v>3383</v>
      </c>
      <c r="P1674" s="3" t="s">
        <v>52</v>
      </c>
      <c r="Q1674">
        <v>50</v>
      </c>
      <c r="R1674">
        <v>0.999</v>
      </c>
      <c r="S1674">
        <v>1</v>
      </c>
    </row>
    <row r="1675" spans="1:19" x14ac:dyDescent="0.2">
      <c r="A1675" s="3" t="s">
        <v>54</v>
      </c>
      <c r="B1675" s="3" t="s">
        <v>55</v>
      </c>
      <c r="C1675">
        <v>38</v>
      </c>
      <c r="D1675">
        <v>19000</v>
      </c>
      <c r="E1675">
        <v>499</v>
      </c>
      <c r="F1675">
        <v>1</v>
      </c>
      <c r="G1675">
        <v>19000</v>
      </c>
      <c r="H1675">
        <v>3.3717345000000003E-2</v>
      </c>
      <c r="I1675">
        <v>15642</v>
      </c>
      <c r="J1675">
        <v>5053</v>
      </c>
      <c r="K1675">
        <v>10589</v>
      </c>
      <c r="L1675">
        <v>500</v>
      </c>
      <c r="M1675">
        <v>499</v>
      </c>
      <c r="N1675">
        <v>1</v>
      </c>
      <c r="O1675">
        <v>3358</v>
      </c>
      <c r="P1675" s="3" t="s">
        <v>52</v>
      </c>
      <c r="Q1675">
        <v>50</v>
      </c>
      <c r="R1675">
        <v>0.999</v>
      </c>
      <c r="S1675">
        <v>1</v>
      </c>
    </row>
    <row r="1676" spans="1:19" x14ac:dyDescent="0.2">
      <c r="A1676" s="3" t="s">
        <v>54</v>
      </c>
      <c r="B1676" s="3" t="s">
        <v>55</v>
      </c>
      <c r="C1676">
        <v>21</v>
      </c>
      <c r="D1676">
        <v>17000</v>
      </c>
      <c r="E1676">
        <v>499</v>
      </c>
      <c r="F1676">
        <v>1</v>
      </c>
      <c r="G1676">
        <v>17000</v>
      </c>
      <c r="H1676">
        <v>3.367647E-2</v>
      </c>
      <c r="I1676">
        <v>14782</v>
      </c>
      <c r="J1676">
        <v>4747</v>
      </c>
      <c r="K1676">
        <v>10035</v>
      </c>
      <c r="L1676">
        <v>500</v>
      </c>
      <c r="M1676">
        <v>499</v>
      </c>
      <c r="N1676">
        <v>1</v>
      </c>
      <c r="O1676">
        <v>2218</v>
      </c>
      <c r="P1676" s="3" t="s">
        <v>50</v>
      </c>
      <c r="Q1676">
        <v>50</v>
      </c>
      <c r="R1676">
        <v>0.999</v>
      </c>
      <c r="S1676">
        <v>1</v>
      </c>
    </row>
    <row r="1677" spans="1:19" x14ac:dyDescent="0.2">
      <c r="A1677" s="3" t="s">
        <v>54</v>
      </c>
      <c r="B1677" s="3" t="s">
        <v>55</v>
      </c>
      <c r="C1677">
        <v>24</v>
      </c>
      <c r="D1677">
        <v>19000</v>
      </c>
      <c r="E1677">
        <v>499</v>
      </c>
      <c r="F1677">
        <v>1</v>
      </c>
      <c r="G1677">
        <v>19000</v>
      </c>
      <c r="H1677">
        <v>3.3675847000000002E-2</v>
      </c>
      <c r="I1677">
        <v>15610</v>
      </c>
      <c r="J1677">
        <v>5036</v>
      </c>
      <c r="K1677">
        <v>10574</v>
      </c>
      <c r="L1677">
        <v>500</v>
      </c>
      <c r="M1677">
        <v>499</v>
      </c>
      <c r="N1677">
        <v>1</v>
      </c>
      <c r="O1677">
        <v>3390</v>
      </c>
      <c r="P1677" s="3" t="s">
        <v>52</v>
      </c>
      <c r="Q1677">
        <v>50</v>
      </c>
      <c r="R1677">
        <v>0.999</v>
      </c>
      <c r="S1677">
        <v>1</v>
      </c>
    </row>
    <row r="1678" spans="1:19" x14ac:dyDescent="0.2">
      <c r="A1678" s="3" t="s">
        <v>54</v>
      </c>
      <c r="B1678" s="3" t="s">
        <v>55</v>
      </c>
      <c r="C1678">
        <v>22</v>
      </c>
      <c r="D1678">
        <v>19000</v>
      </c>
      <c r="E1678">
        <v>499</v>
      </c>
      <c r="F1678">
        <v>1</v>
      </c>
      <c r="G1678">
        <v>19000</v>
      </c>
      <c r="H1678">
        <v>3.3651739E-2</v>
      </c>
      <c r="I1678">
        <v>15599</v>
      </c>
      <c r="J1678">
        <v>5017</v>
      </c>
      <c r="K1678">
        <v>10582</v>
      </c>
      <c r="L1678">
        <v>500</v>
      </c>
      <c r="M1678">
        <v>499</v>
      </c>
      <c r="N1678">
        <v>1</v>
      </c>
      <c r="O1678">
        <v>3401</v>
      </c>
      <c r="P1678" s="3" t="s">
        <v>52</v>
      </c>
      <c r="Q1678">
        <v>50</v>
      </c>
      <c r="R1678">
        <v>0.999</v>
      </c>
      <c r="S1678">
        <v>1</v>
      </c>
    </row>
    <row r="1679" spans="1:19" x14ac:dyDescent="0.2">
      <c r="A1679" s="3" t="s">
        <v>54</v>
      </c>
      <c r="B1679" s="3" t="s">
        <v>55</v>
      </c>
      <c r="C1679">
        <v>25</v>
      </c>
      <c r="D1679">
        <v>19000</v>
      </c>
      <c r="E1679">
        <v>499</v>
      </c>
      <c r="F1679">
        <v>1</v>
      </c>
      <c r="G1679">
        <v>19000</v>
      </c>
      <c r="H1679">
        <v>3.3650436999999998E-2</v>
      </c>
      <c r="I1679">
        <v>15644</v>
      </c>
      <c r="J1679">
        <v>4987</v>
      </c>
      <c r="K1679">
        <v>10657</v>
      </c>
      <c r="L1679">
        <v>500</v>
      </c>
      <c r="M1679">
        <v>499</v>
      </c>
      <c r="N1679">
        <v>1</v>
      </c>
      <c r="O1679">
        <v>3356</v>
      </c>
      <c r="P1679" s="3" t="s">
        <v>52</v>
      </c>
      <c r="Q1679">
        <v>50</v>
      </c>
      <c r="R1679">
        <v>0.999</v>
      </c>
      <c r="S1679">
        <v>1</v>
      </c>
    </row>
    <row r="1680" spans="1:19" x14ac:dyDescent="0.2">
      <c r="A1680" s="3" t="s">
        <v>54</v>
      </c>
      <c r="B1680" s="3" t="s">
        <v>55</v>
      </c>
      <c r="C1680">
        <v>19</v>
      </c>
      <c r="D1680">
        <v>14000</v>
      </c>
      <c r="E1680">
        <v>499</v>
      </c>
      <c r="F1680">
        <v>1</v>
      </c>
      <c r="G1680">
        <v>14000</v>
      </c>
      <c r="H1680">
        <v>3.3570726000000002E-2</v>
      </c>
      <c r="I1680">
        <v>13039</v>
      </c>
      <c r="J1680">
        <v>4844</v>
      </c>
      <c r="K1680">
        <v>8195</v>
      </c>
      <c r="L1680">
        <v>500</v>
      </c>
      <c r="M1680">
        <v>499</v>
      </c>
      <c r="N1680">
        <v>1</v>
      </c>
      <c r="O1680">
        <v>961</v>
      </c>
      <c r="P1680" s="3" t="s">
        <v>51</v>
      </c>
      <c r="Q1680">
        <v>50</v>
      </c>
      <c r="R1680">
        <v>0.999</v>
      </c>
      <c r="S1680">
        <v>1</v>
      </c>
    </row>
    <row r="1681" spans="1:19" x14ac:dyDescent="0.2">
      <c r="A1681" s="3" t="s">
        <v>54</v>
      </c>
      <c r="B1681" s="3" t="s">
        <v>55</v>
      </c>
      <c r="C1681">
        <v>23</v>
      </c>
      <c r="D1681">
        <v>19000</v>
      </c>
      <c r="E1681">
        <v>499</v>
      </c>
      <c r="F1681">
        <v>1</v>
      </c>
      <c r="G1681">
        <v>19000</v>
      </c>
      <c r="H1681">
        <v>3.3569320999999999E-2</v>
      </c>
      <c r="I1681">
        <v>15588</v>
      </c>
      <c r="J1681">
        <v>5037</v>
      </c>
      <c r="K1681">
        <v>10551</v>
      </c>
      <c r="L1681">
        <v>500</v>
      </c>
      <c r="M1681">
        <v>499</v>
      </c>
      <c r="N1681">
        <v>1</v>
      </c>
      <c r="O1681">
        <v>3412</v>
      </c>
      <c r="P1681" s="3" t="s">
        <v>52</v>
      </c>
      <c r="Q1681">
        <v>50</v>
      </c>
      <c r="R1681">
        <v>0.999</v>
      </c>
      <c r="S1681">
        <v>1</v>
      </c>
    </row>
    <row r="1682" spans="1:19" x14ac:dyDescent="0.2">
      <c r="A1682" s="3" t="s">
        <v>54</v>
      </c>
      <c r="B1682" s="3" t="s">
        <v>55</v>
      </c>
      <c r="C1682">
        <v>40</v>
      </c>
      <c r="D1682">
        <v>13000</v>
      </c>
      <c r="E1682">
        <v>499</v>
      </c>
      <c r="F1682">
        <v>1</v>
      </c>
      <c r="G1682">
        <v>53044.701099550097</v>
      </c>
      <c r="H1682">
        <v>3.3539695000000001E-2</v>
      </c>
      <c r="I1682">
        <v>12477</v>
      </c>
      <c r="J1682">
        <v>4078</v>
      </c>
      <c r="K1682">
        <v>8399</v>
      </c>
      <c r="L1682">
        <v>500</v>
      </c>
      <c r="M1682">
        <v>499</v>
      </c>
      <c r="N1682">
        <v>1</v>
      </c>
      <c r="O1682">
        <v>1922.2725441345001</v>
      </c>
      <c r="P1682" s="3" t="s">
        <v>51</v>
      </c>
      <c r="Q1682">
        <v>50</v>
      </c>
      <c r="R1682">
        <v>0.999</v>
      </c>
      <c r="S1682">
        <v>0</v>
      </c>
    </row>
    <row r="1683" spans="1:19" x14ac:dyDescent="0.2">
      <c r="A1683" s="3" t="s">
        <v>54</v>
      </c>
      <c r="B1683" s="3" t="s">
        <v>55</v>
      </c>
      <c r="C1683">
        <v>28</v>
      </c>
      <c r="D1683">
        <v>14000</v>
      </c>
      <c r="E1683">
        <v>499</v>
      </c>
      <c r="F1683">
        <v>1</v>
      </c>
      <c r="G1683">
        <v>14000</v>
      </c>
      <c r="H1683">
        <v>3.3539668000000002E-2</v>
      </c>
      <c r="I1683">
        <v>13039</v>
      </c>
      <c r="J1683">
        <v>4856</v>
      </c>
      <c r="K1683">
        <v>8183</v>
      </c>
      <c r="L1683">
        <v>500</v>
      </c>
      <c r="M1683">
        <v>499</v>
      </c>
      <c r="N1683">
        <v>1</v>
      </c>
      <c r="O1683">
        <v>961</v>
      </c>
      <c r="P1683" s="3" t="s">
        <v>51</v>
      </c>
      <c r="Q1683">
        <v>50</v>
      </c>
      <c r="R1683">
        <v>0.999</v>
      </c>
      <c r="S1683">
        <v>1</v>
      </c>
    </row>
    <row r="1684" spans="1:19" x14ac:dyDescent="0.2">
      <c r="A1684" s="3" t="s">
        <v>54</v>
      </c>
      <c r="B1684" s="3" t="s">
        <v>55</v>
      </c>
      <c r="C1684">
        <v>39</v>
      </c>
      <c r="D1684">
        <v>19000</v>
      </c>
      <c r="E1684">
        <v>499</v>
      </c>
      <c r="F1684">
        <v>1</v>
      </c>
      <c r="G1684">
        <v>19000</v>
      </c>
      <c r="H1684">
        <v>3.3518905000000002E-2</v>
      </c>
      <c r="I1684">
        <v>15596</v>
      </c>
      <c r="J1684">
        <v>5037</v>
      </c>
      <c r="K1684">
        <v>10559</v>
      </c>
      <c r="L1684">
        <v>500</v>
      </c>
      <c r="M1684">
        <v>499</v>
      </c>
      <c r="N1684">
        <v>1</v>
      </c>
      <c r="O1684">
        <v>3404</v>
      </c>
      <c r="P1684" s="3" t="s">
        <v>52</v>
      </c>
      <c r="Q1684">
        <v>50</v>
      </c>
      <c r="R1684">
        <v>0.999</v>
      </c>
      <c r="S1684">
        <v>1</v>
      </c>
    </row>
    <row r="1685" spans="1:19" x14ac:dyDescent="0.2">
      <c r="A1685" s="3" t="s">
        <v>54</v>
      </c>
      <c r="B1685" s="3" t="s">
        <v>55</v>
      </c>
      <c r="C1685">
        <v>40</v>
      </c>
      <c r="D1685">
        <v>19000</v>
      </c>
      <c r="E1685">
        <v>499</v>
      </c>
      <c r="F1685">
        <v>1</v>
      </c>
      <c r="G1685">
        <v>19000</v>
      </c>
      <c r="H1685">
        <v>3.3486876999999998E-2</v>
      </c>
      <c r="I1685">
        <v>15636</v>
      </c>
      <c r="J1685">
        <v>5065</v>
      </c>
      <c r="K1685">
        <v>10571</v>
      </c>
      <c r="L1685">
        <v>500</v>
      </c>
      <c r="M1685">
        <v>499</v>
      </c>
      <c r="N1685">
        <v>1</v>
      </c>
      <c r="O1685">
        <v>3364</v>
      </c>
      <c r="P1685" s="3" t="s">
        <v>52</v>
      </c>
      <c r="Q1685">
        <v>50</v>
      </c>
      <c r="R1685">
        <v>0.999</v>
      </c>
      <c r="S1685">
        <v>1</v>
      </c>
    </row>
    <row r="1686" spans="1:19" x14ac:dyDescent="0.2">
      <c r="A1686" s="3" t="s">
        <v>54</v>
      </c>
      <c r="B1686" s="3" t="s">
        <v>55</v>
      </c>
      <c r="C1686">
        <v>41</v>
      </c>
      <c r="D1686">
        <v>18000</v>
      </c>
      <c r="E1686">
        <v>499</v>
      </c>
      <c r="F1686">
        <v>1</v>
      </c>
      <c r="G1686">
        <v>18000</v>
      </c>
      <c r="H1686">
        <v>3.3484815000000001E-2</v>
      </c>
      <c r="I1686">
        <v>15222</v>
      </c>
      <c r="J1686">
        <v>4885</v>
      </c>
      <c r="K1686">
        <v>10337</v>
      </c>
      <c r="L1686">
        <v>500</v>
      </c>
      <c r="M1686">
        <v>499</v>
      </c>
      <c r="N1686">
        <v>1</v>
      </c>
      <c r="O1686">
        <v>2778</v>
      </c>
      <c r="P1686" s="3" t="s">
        <v>50</v>
      </c>
      <c r="Q1686">
        <v>50</v>
      </c>
      <c r="R1686">
        <v>0.999</v>
      </c>
      <c r="S1686">
        <v>1</v>
      </c>
    </row>
    <row r="1687" spans="1:19" x14ac:dyDescent="0.2">
      <c r="A1687" s="3" t="s">
        <v>54</v>
      </c>
      <c r="B1687" s="3" t="s">
        <v>55</v>
      </c>
      <c r="C1687">
        <v>30</v>
      </c>
      <c r="D1687">
        <v>18000</v>
      </c>
      <c r="E1687">
        <v>499</v>
      </c>
      <c r="F1687">
        <v>1</v>
      </c>
      <c r="G1687">
        <v>18000</v>
      </c>
      <c r="H1687">
        <v>3.3481504000000002E-2</v>
      </c>
      <c r="I1687">
        <v>15219</v>
      </c>
      <c r="J1687">
        <v>4881</v>
      </c>
      <c r="K1687">
        <v>10338</v>
      </c>
      <c r="L1687">
        <v>500</v>
      </c>
      <c r="M1687">
        <v>499</v>
      </c>
      <c r="N1687">
        <v>1</v>
      </c>
      <c r="O1687">
        <v>2781</v>
      </c>
      <c r="P1687" s="3" t="s">
        <v>50</v>
      </c>
      <c r="Q1687">
        <v>50</v>
      </c>
      <c r="R1687">
        <v>0.999</v>
      </c>
      <c r="S1687">
        <v>1</v>
      </c>
    </row>
    <row r="1688" spans="1:19" x14ac:dyDescent="0.2">
      <c r="A1688" s="3" t="s">
        <v>54</v>
      </c>
      <c r="B1688" s="3" t="s">
        <v>55</v>
      </c>
      <c r="C1688">
        <v>29</v>
      </c>
      <c r="D1688">
        <v>18000</v>
      </c>
      <c r="E1688">
        <v>499</v>
      </c>
      <c r="F1688">
        <v>1</v>
      </c>
      <c r="G1688">
        <v>18000</v>
      </c>
      <c r="H1688">
        <v>3.3474393999999998E-2</v>
      </c>
      <c r="I1688">
        <v>15185</v>
      </c>
      <c r="J1688">
        <v>4904</v>
      </c>
      <c r="K1688">
        <v>10281</v>
      </c>
      <c r="L1688">
        <v>500</v>
      </c>
      <c r="M1688">
        <v>499</v>
      </c>
      <c r="N1688">
        <v>1</v>
      </c>
      <c r="O1688">
        <v>2815</v>
      </c>
      <c r="P1688" s="3" t="s">
        <v>50</v>
      </c>
      <c r="Q1688">
        <v>50</v>
      </c>
      <c r="R1688">
        <v>0.999</v>
      </c>
      <c r="S1688">
        <v>1</v>
      </c>
    </row>
    <row r="1689" spans="1:19" x14ac:dyDescent="0.2">
      <c r="A1689" s="3" t="s">
        <v>54</v>
      </c>
      <c r="B1689" s="3" t="s">
        <v>55</v>
      </c>
      <c r="C1689">
        <v>39</v>
      </c>
      <c r="D1689">
        <v>14000</v>
      </c>
      <c r="E1689">
        <v>499</v>
      </c>
      <c r="F1689">
        <v>1</v>
      </c>
      <c r="G1689">
        <v>14000</v>
      </c>
      <c r="H1689">
        <v>3.3473823E-2</v>
      </c>
      <c r="I1689">
        <v>13041</v>
      </c>
      <c r="J1689">
        <v>4857</v>
      </c>
      <c r="K1689">
        <v>8184</v>
      </c>
      <c r="L1689">
        <v>500</v>
      </c>
      <c r="M1689">
        <v>499</v>
      </c>
      <c r="N1689">
        <v>1</v>
      </c>
      <c r="O1689">
        <v>959</v>
      </c>
      <c r="P1689" s="3" t="s">
        <v>51</v>
      </c>
      <c r="Q1689">
        <v>50</v>
      </c>
      <c r="R1689">
        <v>0.999</v>
      </c>
      <c r="S1689">
        <v>1</v>
      </c>
    </row>
    <row r="1690" spans="1:19" x14ac:dyDescent="0.2">
      <c r="A1690" s="3" t="s">
        <v>54</v>
      </c>
      <c r="B1690" s="3" t="s">
        <v>55</v>
      </c>
      <c r="C1690">
        <v>49</v>
      </c>
      <c r="D1690">
        <v>18000</v>
      </c>
      <c r="E1690">
        <v>499</v>
      </c>
      <c r="F1690">
        <v>1</v>
      </c>
      <c r="G1690">
        <v>18000</v>
      </c>
      <c r="H1690">
        <v>3.3472477E-2</v>
      </c>
      <c r="I1690">
        <v>15189</v>
      </c>
      <c r="J1690">
        <v>4875</v>
      </c>
      <c r="K1690">
        <v>10314</v>
      </c>
      <c r="L1690">
        <v>500</v>
      </c>
      <c r="M1690">
        <v>499</v>
      </c>
      <c r="N1690">
        <v>1</v>
      </c>
      <c r="O1690">
        <v>2811</v>
      </c>
      <c r="P1690" s="3" t="s">
        <v>50</v>
      </c>
      <c r="Q1690">
        <v>50</v>
      </c>
      <c r="R1690">
        <v>0.999</v>
      </c>
      <c r="S1690">
        <v>1</v>
      </c>
    </row>
    <row r="1691" spans="1:19" x14ac:dyDescent="0.2">
      <c r="A1691" s="3" t="s">
        <v>54</v>
      </c>
      <c r="B1691" s="3" t="s">
        <v>55</v>
      </c>
      <c r="C1691">
        <v>41</v>
      </c>
      <c r="D1691">
        <v>19000</v>
      </c>
      <c r="E1691">
        <v>499</v>
      </c>
      <c r="F1691">
        <v>1</v>
      </c>
      <c r="G1691">
        <v>19000</v>
      </c>
      <c r="H1691">
        <v>3.3453346000000002E-2</v>
      </c>
      <c r="I1691">
        <v>15595</v>
      </c>
      <c r="J1691">
        <v>4977</v>
      </c>
      <c r="K1691">
        <v>10618</v>
      </c>
      <c r="L1691">
        <v>500</v>
      </c>
      <c r="M1691">
        <v>499</v>
      </c>
      <c r="N1691">
        <v>1</v>
      </c>
      <c r="O1691">
        <v>3405</v>
      </c>
      <c r="P1691" s="3" t="s">
        <v>52</v>
      </c>
      <c r="Q1691">
        <v>50</v>
      </c>
      <c r="R1691">
        <v>0.999</v>
      </c>
      <c r="S1691">
        <v>1</v>
      </c>
    </row>
    <row r="1692" spans="1:19" x14ac:dyDescent="0.2">
      <c r="A1692" s="3" t="s">
        <v>54</v>
      </c>
      <c r="B1692" s="3" t="s">
        <v>55</v>
      </c>
      <c r="C1692">
        <v>33</v>
      </c>
      <c r="D1692">
        <v>14000</v>
      </c>
      <c r="E1692">
        <v>499</v>
      </c>
      <c r="F1692">
        <v>1</v>
      </c>
      <c r="G1692">
        <v>14000</v>
      </c>
      <c r="H1692">
        <v>3.3450476E-2</v>
      </c>
      <c r="I1692">
        <v>13053</v>
      </c>
      <c r="J1692">
        <v>4867</v>
      </c>
      <c r="K1692">
        <v>8186</v>
      </c>
      <c r="L1692">
        <v>500</v>
      </c>
      <c r="M1692">
        <v>499</v>
      </c>
      <c r="N1692">
        <v>1</v>
      </c>
      <c r="O1692">
        <v>947</v>
      </c>
      <c r="P1692" s="3" t="s">
        <v>51</v>
      </c>
      <c r="Q1692">
        <v>50</v>
      </c>
      <c r="R1692">
        <v>0.999</v>
      </c>
      <c r="S1692">
        <v>1</v>
      </c>
    </row>
    <row r="1693" spans="1:19" x14ac:dyDescent="0.2">
      <c r="A1693" s="3" t="s">
        <v>54</v>
      </c>
      <c r="B1693" s="3" t="s">
        <v>55</v>
      </c>
      <c r="C1693">
        <v>45</v>
      </c>
      <c r="D1693">
        <v>19000</v>
      </c>
      <c r="E1693">
        <v>499</v>
      </c>
      <c r="F1693">
        <v>1</v>
      </c>
      <c r="G1693">
        <v>19000</v>
      </c>
      <c r="H1693">
        <v>3.3411838999999999E-2</v>
      </c>
      <c r="I1693">
        <v>15620</v>
      </c>
      <c r="J1693">
        <v>5057</v>
      </c>
      <c r="K1693">
        <v>10563</v>
      </c>
      <c r="L1693">
        <v>500</v>
      </c>
      <c r="M1693">
        <v>499</v>
      </c>
      <c r="N1693">
        <v>1</v>
      </c>
      <c r="O1693">
        <v>3380</v>
      </c>
      <c r="P1693" s="3" t="s">
        <v>52</v>
      </c>
      <c r="Q1693">
        <v>50</v>
      </c>
      <c r="R1693">
        <v>0.999</v>
      </c>
      <c r="S1693">
        <v>1</v>
      </c>
    </row>
    <row r="1694" spans="1:19" x14ac:dyDescent="0.2">
      <c r="A1694" s="3" t="s">
        <v>54</v>
      </c>
      <c r="B1694" s="3" t="s">
        <v>55</v>
      </c>
      <c r="C1694">
        <v>47</v>
      </c>
      <c r="D1694">
        <v>18000</v>
      </c>
      <c r="E1694">
        <v>499</v>
      </c>
      <c r="F1694">
        <v>1</v>
      </c>
      <c r="G1694">
        <v>18000</v>
      </c>
      <c r="H1694">
        <v>3.3399957000000001E-2</v>
      </c>
      <c r="I1694">
        <v>15188</v>
      </c>
      <c r="J1694">
        <v>4848</v>
      </c>
      <c r="K1694">
        <v>10340</v>
      </c>
      <c r="L1694">
        <v>500</v>
      </c>
      <c r="M1694">
        <v>499</v>
      </c>
      <c r="N1694">
        <v>1</v>
      </c>
      <c r="O1694">
        <v>2812</v>
      </c>
      <c r="P1694" s="3" t="s">
        <v>50</v>
      </c>
      <c r="Q1694">
        <v>50</v>
      </c>
      <c r="R1694">
        <v>0.999</v>
      </c>
      <c r="S1694">
        <v>1</v>
      </c>
    </row>
    <row r="1695" spans="1:19" x14ac:dyDescent="0.2">
      <c r="A1695" s="3" t="s">
        <v>54</v>
      </c>
      <c r="B1695" s="3" t="s">
        <v>55</v>
      </c>
      <c r="C1695">
        <v>17</v>
      </c>
      <c r="D1695">
        <v>19000</v>
      </c>
      <c r="E1695">
        <v>499</v>
      </c>
      <c r="F1695">
        <v>1</v>
      </c>
      <c r="G1695">
        <v>19000</v>
      </c>
      <c r="H1695">
        <v>3.3381672000000001E-2</v>
      </c>
      <c r="I1695">
        <v>15606</v>
      </c>
      <c r="J1695">
        <v>5032</v>
      </c>
      <c r="K1695">
        <v>10574</v>
      </c>
      <c r="L1695">
        <v>500</v>
      </c>
      <c r="M1695">
        <v>499</v>
      </c>
      <c r="N1695">
        <v>1</v>
      </c>
      <c r="O1695">
        <v>3394</v>
      </c>
      <c r="P1695" s="3" t="s">
        <v>52</v>
      </c>
      <c r="Q1695">
        <v>50</v>
      </c>
      <c r="R1695">
        <v>0.999</v>
      </c>
      <c r="S1695">
        <v>1</v>
      </c>
    </row>
    <row r="1696" spans="1:19" x14ac:dyDescent="0.2">
      <c r="A1696" s="3" t="s">
        <v>54</v>
      </c>
      <c r="B1696" s="3" t="s">
        <v>55</v>
      </c>
      <c r="C1696">
        <v>36</v>
      </c>
      <c r="D1696">
        <v>19000</v>
      </c>
      <c r="E1696">
        <v>499</v>
      </c>
      <c r="F1696">
        <v>1</v>
      </c>
      <c r="G1696">
        <v>19000</v>
      </c>
      <c r="H1696">
        <v>3.3381405000000003E-2</v>
      </c>
      <c r="I1696">
        <v>15605</v>
      </c>
      <c r="J1696">
        <v>5022</v>
      </c>
      <c r="K1696">
        <v>10583</v>
      </c>
      <c r="L1696">
        <v>500</v>
      </c>
      <c r="M1696">
        <v>499</v>
      </c>
      <c r="N1696">
        <v>1</v>
      </c>
      <c r="O1696">
        <v>3395</v>
      </c>
      <c r="P1696" s="3" t="s">
        <v>52</v>
      </c>
      <c r="Q1696">
        <v>50</v>
      </c>
      <c r="R1696">
        <v>0.999</v>
      </c>
      <c r="S1696">
        <v>1</v>
      </c>
    </row>
    <row r="1697" spans="1:19" x14ac:dyDescent="0.2">
      <c r="A1697" s="3" t="s">
        <v>54</v>
      </c>
      <c r="B1697" s="3" t="s">
        <v>55</v>
      </c>
      <c r="C1697">
        <v>22</v>
      </c>
      <c r="D1697">
        <v>18000</v>
      </c>
      <c r="E1697">
        <v>499</v>
      </c>
      <c r="F1697">
        <v>1</v>
      </c>
      <c r="G1697">
        <v>18000</v>
      </c>
      <c r="H1697">
        <v>3.3351659999999998E-2</v>
      </c>
      <c r="I1697">
        <v>15207</v>
      </c>
      <c r="J1697">
        <v>4863</v>
      </c>
      <c r="K1697">
        <v>10344</v>
      </c>
      <c r="L1697">
        <v>500</v>
      </c>
      <c r="M1697">
        <v>499</v>
      </c>
      <c r="N1697">
        <v>1</v>
      </c>
      <c r="O1697">
        <v>2793</v>
      </c>
      <c r="P1697" s="3" t="s">
        <v>50</v>
      </c>
      <c r="Q1697">
        <v>50</v>
      </c>
      <c r="R1697">
        <v>0.999</v>
      </c>
      <c r="S1697">
        <v>1</v>
      </c>
    </row>
    <row r="1698" spans="1:19" x14ac:dyDescent="0.2">
      <c r="A1698" s="3" t="s">
        <v>54</v>
      </c>
      <c r="B1698" s="3" t="s">
        <v>55</v>
      </c>
      <c r="C1698">
        <v>18</v>
      </c>
      <c r="D1698">
        <v>18000</v>
      </c>
      <c r="E1698">
        <v>499</v>
      </c>
      <c r="F1698">
        <v>1</v>
      </c>
      <c r="G1698">
        <v>18000</v>
      </c>
      <c r="H1698">
        <v>3.3301601E-2</v>
      </c>
      <c r="I1698">
        <v>15213</v>
      </c>
      <c r="J1698">
        <v>4839</v>
      </c>
      <c r="K1698">
        <v>10374</v>
      </c>
      <c r="L1698">
        <v>500</v>
      </c>
      <c r="M1698">
        <v>499</v>
      </c>
      <c r="N1698">
        <v>1</v>
      </c>
      <c r="O1698">
        <v>2787</v>
      </c>
      <c r="P1698" s="3" t="s">
        <v>52</v>
      </c>
      <c r="Q1698">
        <v>50</v>
      </c>
      <c r="R1698">
        <v>0.999</v>
      </c>
      <c r="S1698">
        <v>1</v>
      </c>
    </row>
    <row r="1699" spans="1:19" x14ac:dyDescent="0.2">
      <c r="A1699" s="3" t="s">
        <v>54</v>
      </c>
      <c r="B1699" s="3" t="s">
        <v>55</v>
      </c>
      <c r="C1699">
        <v>12</v>
      </c>
      <c r="D1699">
        <v>18000</v>
      </c>
      <c r="E1699">
        <v>499</v>
      </c>
      <c r="F1699">
        <v>1</v>
      </c>
      <c r="G1699">
        <v>18000</v>
      </c>
      <c r="H1699">
        <v>3.3287153999999999E-2</v>
      </c>
      <c r="I1699">
        <v>15213</v>
      </c>
      <c r="J1699">
        <v>4834</v>
      </c>
      <c r="K1699">
        <v>10379</v>
      </c>
      <c r="L1699">
        <v>500</v>
      </c>
      <c r="M1699">
        <v>499</v>
      </c>
      <c r="N1699">
        <v>1</v>
      </c>
      <c r="O1699">
        <v>2787</v>
      </c>
      <c r="P1699" s="3" t="s">
        <v>50</v>
      </c>
      <c r="Q1699">
        <v>50</v>
      </c>
      <c r="R1699">
        <v>0.999</v>
      </c>
      <c r="S1699">
        <v>1</v>
      </c>
    </row>
    <row r="1700" spans="1:19" x14ac:dyDescent="0.2">
      <c r="A1700" s="3" t="s">
        <v>54</v>
      </c>
      <c r="B1700" s="3" t="s">
        <v>55</v>
      </c>
      <c r="C1700">
        <v>16</v>
      </c>
      <c r="D1700">
        <v>14000</v>
      </c>
      <c r="E1700">
        <v>499</v>
      </c>
      <c r="F1700">
        <v>1</v>
      </c>
      <c r="G1700">
        <v>14000</v>
      </c>
      <c r="H1700">
        <v>3.3275816999999999E-2</v>
      </c>
      <c r="I1700">
        <v>13042</v>
      </c>
      <c r="J1700">
        <v>4853</v>
      </c>
      <c r="K1700">
        <v>8189</v>
      </c>
      <c r="L1700">
        <v>500</v>
      </c>
      <c r="M1700">
        <v>499</v>
      </c>
      <c r="N1700">
        <v>1</v>
      </c>
      <c r="O1700">
        <v>958</v>
      </c>
      <c r="P1700" s="3" t="s">
        <v>51</v>
      </c>
      <c r="Q1700">
        <v>50</v>
      </c>
      <c r="R1700">
        <v>0.999</v>
      </c>
      <c r="S1700">
        <v>1</v>
      </c>
    </row>
    <row r="1701" spans="1:19" x14ac:dyDescent="0.2">
      <c r="A1701" s="3" t="s">
        <v>54</v>
      </c>
      <c r="B1701" s="3" t="s">
        <v>55</v>
      </c>
      <c r="C1701">
        <v>34</v>
      </c>
      <c r="D1701">
        <v>14000</v>
      </c>
      <c r="E1701">
        <v>499</v>
      </c>
      <c r="F1701">
        <v>1</v>
      </c>
      <c r="G1701">
        <v>14000</v>
      </c>
      <c r="H1701">
        <v>3.3275035000000001E-2</v>
      </c>
      <c r="I1701">
        <v>13020</v>
      </c>
      <c r="J1701">
        <v>4837</v>
      </c>
      <c r="K1701">
        <v>8183</v>
      </c>
      <c r="L1701">
        <v>500</v>
      </c>
      <c r="M1701">
        <v>499</v>
      </c>
      <c r="N1701">
        <v>1</v>
      </c>
      <c r="O1701">
        <v>980</v>
      </c>
      <c r="P1701" s="3" t="s">
        <v>51</v>
      </c>
      <c r="Q1701">
        <v>50</v>
      </c>
      <c r="R1701">
        <v>0.999</v>
      </c>
      <c r="S1701">
        <v>1</v>
      </c>
    </row>
    <row r="1702" spans="1:19" x14ac:dyDescent="0.2">
      <c r="A1702" s="3" t="s">
        <v>54</v>
      </c>
      <c r="B1702" s="3" t="s">
        <v>55</v>
      </c>
      <c r="C1702">
        <v>45</v>
      </c>
      <c r="D1702">
        <v>18000</v>
      </c>
      <c r="E1702">
        <v>499</v>
      </c>
      <c r="F1702">
        <v>1</v>
      </c>
      <c r="G1702">
        <v>18000</v>
      </c>
      <c r="H1702">
        <v>3.3262854000000001E-2</v>
      </c>
      <c r="I1702">
        <v>15226</v>
      </c>
      <c r="J1702">
        <v>4855</v>
      </c>
      <c r="K1702">
        <v>10371</v>
      </c>
      <c r="L1702">
        <v>500</v>
      </c>
      <c r="M1702">
        <v>499</v>
      </c>
      <c r="N1702">
        <v>1</v>
      </c>
      <c r="O1702">
        <v>2774</v>
      </c>
      <c r="P1702" s="3" t="s">
        <v>50</v>
      </c>
      <c r="Q1702">
        <v>50</v>
      </c>
      <c r="R1702">
        <v>0.999</v>
      </c>
      <c r="S1702">
        <v>1</v>
      </c>
    </row>
    <row r="1703" spans="1:19" x14ac:dyDescent="0.2">
      <c r="A1703" s="3" t="s">
        <v>54</v>
      </c>
      <c r="B1703" s="3" t="s">
        <v>55</v>
      </c>
      <c r="C1703">
        <v>37</v>
      </c>
      <c r="D1703">
        <v>19000</v>
      </c>
      <c r="E1703">
        <v>499</v>
      </c>
      <c r="F1703">
        <v>1</v>
      </c>
      <c r="G1703">
        <v>19000</v>
      </c>
      <c r="H1703">
        <v>3.3254117999999999E-2</v>
      </c>
      <c r="I1703">
        <v>15622</v>
      </c>
      <c r="J1703">
        <v>5024</v>
      </c>
      <c r="K1703">
        <v>10598</v>
      </c>
      <c r="L1703">
        <v>500</v>
      </c>
      <c r="M1703">
        <v>499</v>
      </c>
      <c r="N1703">
        <v>1</v>
      </c>
      <c r="O1703">
        <v>3378</v>
      </c>
      <c r="P1703" s="3" t="s">
        <v>52</v>
      </c>
      <c r="Q1703">
        <v>50</v>
      </c>
      <c r="R1703">
        <v>0.999</v>
      </c>
      <c r="S1703">
        <v>1</v>
      </c>
    </row>
    <row r="1704" spans="1:19" x14ac:dyDescent="0.2">
      <c r="A1704" s="3" t="s">
        <v>54</v>
      </c>
      <c r="B1704" s="3" t="s">
        <v>55</v>
      </c>
      <c r="C1704">
        <v>26</v>
      </c>
      <c r="D1704">
        <v>14000</v>
      </c>
      <c r="E1704">
        <v>499</v>
      </c>
      <c r="F1704">
        <v>1</v>
      </c>
      <c r="G1704">
        <v>14000</v>
      </c>
      <c r="H1704">
        <v>3.3242806999999999E-2</v>
      </c>
      <c r="I1704">
        <v>13045</v>
      </c>
      <c r="J1704">
        <v>4850</v>
      </c>
      <c r="K1704">
        <v>8195</v>
      </c>
      <c r="L1704">
        <v>500</v>
      </c>
      <c r="M1704">
        <v>499</v>
      </c>
      <c r="N1704">
        <v>1</v>
      </c>
      <c r="O1704">
        <v>955</v>
      </c>
      <c r="P1704" s="3" t="s">
        <v>51</v>
      </c>
      <c r="Q1704">
        <v>50</v>
      </c>
      <c r="R1704">
        <v>0.999</v>
      </c>
      <c r="S1704">
        <v>1</v>
      </c>
    </row>
    <row r="1705" spans="1:19" x14ac:dyDescent="0.2">
      <c r="A1705" s="3" t="s">
        <v>54</v>
      </c>
      <c r="B1705" s="3" t="s">
        <v>55</v>
      </c>
      <c r="C1705">
        <v>43</v>
      </c>
      <c r="D1705">
        <v>18000</v>
      </c>
      <c r="E1705">
        <v>499</v>
      </c>
      <c r="F1705">
        <v>1</v>
      </c>
      <c r="G1705">
        <v>18000</v>
      </c>
      <c r="H1705">
        <v>3.3235500000000001E-2</v>
      </c>
      <c r="I1705">
        <v>15194</v>
      </c>
      <c r="J1705">
        <v>4879</v>
      </c>
      <c r="K1705">
        <v>10315</v>
      </c>
      <c r="L1705">
        <v>500</v>
      </c>
      <c r="M1705">
        <v>499</v>
      </c>
      <c r="N1705">
        <v>1</v>
      </c>
      <c r="O1705">
        <v>2806</v>
      </c>
      <c r="P1705" s="3" t="s">
        <v>50</v>
      </c>
      <c r="Q1705">
        <v>50</v>
      </c>
      <c r="R1705">
        <v>0.999</v>
      </c>
      <c r="S1705">
        <v>1</v>
      </c>
    </row>
    <row r="1706" spans="1:19" x14ac:dyDescent="0.2">
      <c r="A1706" s="3" t="s">
        <v>54</v>
      </c>
      <c r="B1706" s="3" t="s">
        <v>55</v>
      </c>
      <c r="C1706">
        <v>29</v>
      </c>
      <c r="D1706">
        <v>18000</v>
      </c>
      <c r="E1706">
        <v>499</v>
      </c>
      <c r="F1706">
        <v>1</v>
      </c>
      <c r="G1706">
        <v>18000</v>
      </c>
      <c r="H1706">
        <v>3.3203526999999997E-2</v>
      </c>
      <c r="I1706">
        <v>15188</v>
      </c>
      <c r="J1706">
        <v>4838</v>
      </c>
      <c r="K1706">
        <v>10350</v>
      </c>
      <c r="L1706">
        <v>500</v>
      </c>
      <c r="M1706">
        <v>499</v>
      </c>
      <c r="N1706">
        <v>1</v>
      </c>
      <c r="O1706">
        <v>2812</v>
      </c>
      <c r="P1706" s="3" t="s">
        <v>52</v>
      </c>
      <c r="Q1706">
        <v>50</v>
      </c>
      <c r="R1706">
        <v>0.999</v>
      </c>
      <c r="S1706">
        <v>1</v>
      </c>
    </row>
    <row r="1707" spans="1:19" x14ac:dyDescent="0.2">
      <c r="A1707" s="3" t="s">
        <v>54</v>
      </c>
      <c r="B1707" s="3" t="s">
        <v>55</v>
      </c>
      <c r="C1707">
        <v>40</v>
      </c>
      <c r="D1707">
        <v>18000</v>
      </c>
      <c r="E1707">
        <v>499</v>
      </c>
      <c r="F1707">
        <v>1</v>
      </c>
      <c r="G1707">
        <v>18000</v>
      </c>
      <c r="H1707">
        <v>3.3178631E-2</v>
      </c>
      <c r="I1707">
        <v>15223</v>
      </c>
      <c r="J1707">
        <v>4836</v>
      </c>
      <c r="K1707">
        <v>10387</v>
      </c>
      <c r="L1707">
        <v>500</v>
      </c>
      <c r="M1707">
        <v>499</v>
      </c>
      <c r="N1707">
        <v>1</v>
      </c>
      <c r="O1707">
        <v>2777</v>
      </c>
      <c r="P1707" s="3" t="s">
        <v>50</v>
      </c>
      <c r="Q1707">
        <v>50</v>
      </c>
      <c r="R1707">
        <v>0.999</v>
      </c>
      <c r="S1707">
        <v>1</v>
      </c>
    </row>
    <row r="1708" spans="1:19" x14ac:dyDescent="0.2">
      <c r="A1708" s="3" t="s">
        <v>54</v>
      </c>
      <c r="B1708" s="3" t="s">
        <v>55</v>
      </c>
      <c r="C1708">
        <v>48</v>
      </c>
      <c r="D1708">
        <v>18000</v>
      </c>
      <c r="E1708">
        <v>499</v>
      </c>
      <c r="F1708">
        <v>1</v>
      </c>
      <c r="G1708">
        <v>18000</v>
      </c>
      <c r="H1708">
        <v>3.3162496999999999E-2</v>
      </c>
      <c r="I1708">
        <v>15200</v>
      </c>
      <c r="J1708">
        <v>4897</v>
      </c>
      <c r="K1708">
        <v>10303</v>
      </c>
      <c r="L1708">
        <v>500</v>
      </c>
      <c r="M1708">
        <v>499</v>
      </c>
      <c r="N1708">
        <v>1</v>
      </c>
      <c r="O1708">
        <v>2800</v>
      </c>
      <c r="P1708" s="3" t="s">
        <v>50</v>
      </c>
      <c r="Q1708">
        <v>50</v>
      </c>
      <c r="R1708">
        <v>0.999</v>
      </c>
      <c r="S1708">
        <v>1</v>
      </c>
    </row>
    <row r="1709" spans="1:19" x14ac:dyDescent="0.2">
      <c r="A1709" s="3" t="s">
        <v>54</v>
      </c>
      <c r="B1709" s="3" t="s">
        <v>55</v>
      </c>
      <c r="C1709">
        <v>24</v>
      </c>
      <c r="D1709">
        <v>18000</v>
      </c>
      <c r="E1709">
        <v>499</v>
      </c>
      <c r="F1709">
        <v>1</v>
      </c>
      <c r="G1709">
        <v>18000</v>
      </c>
      <c r="H1709">
        <v>3.3123723000000001E-2</v>
      </c>
      <c r="I1709">
        <v>15200</v>
      </c>
      <c r="J1709">
        <v>4828</v>
      </c>
      <c r="K1709">
        <v>10372</v>
      </c>
      <c r="L1709">
        <v>500</v>
      </c>
      <c r="M1709">
        <v>499</v>
      </c>
      <c r="N1709">
        <v>1</v>
      </c>
      <c r="O1709">
        <v>2800</v>
      </c>
      <c r="P1709" s="3" t="s">
        <v>50</v>
      </c>
      <c r="Q1709">
        <v>50</v>
      </c>
      <c r="R1709">
        <v>0.999</v>
      </c>
      <c r="S1709">
        <v>1</v>
      </c>
    </row>
    <row r="1710" spans="1:19" x14ac:dyDescent="0.2">
      <c r="A1710" s="3" t="s">
        <v>54</v>
      </c>
      <c r="B1710" s="3" t="s">
        <v>55</v>
      </c>
      <c r="C1710">
        <v>29</v>
      </c>
      <c r="D1710">
        <v>19000</v>
      </c>
      <c r="E1710">
        <v>499</v>
      </c>
      <c r="F1710">
        <v>1</v>
      </c>
      <c r="G1710">
        <v>19000</v>
      </c>
      <c r="H1710">
        <v>3.3105865999999998E-2</v>
      </c>
      <c r="I1710">
        <v>15595</v>
      </c>
      <c r="J1710">
        <v>5030</v>
      </c>
      <c r="K1710">
        <v>10565</v>
      </c>
      <c r="L1710">
        <v>500</v>
      </c>
      <c r="M1710">
        <v>499</v>
      </c>
      <c r="N1710">
        <v>1</v>
      </c>
      <c r="O1710">
        <v>3405</v>
      </c>
      <c r="P1710" s="3" t="s">
        <v>52</v>
      </c>
      <c r="Q1710">
        <v>50</v>
      </c>
      <c r="R1710">
        <v>0.999</v>
      </c>
      <c r="S1710">
        <v>1</v>
      </c>
    </row>
    <row r="1711" spans="1:19" x14ac:dyDescent="0.2">
      <c r="A1711" s="3" t="s">
        <v>54</v>
      </c>
      <c r="B1711" s="3" t="s">
        <v>55</v>
      </c>
      <c r="C1711">
        <v>28</v>
      </c>
      <c r="D1711">
        <v>18000</v>
      </c>
      <c r="E1711">
        <v>499</v>
      </c>
      <c r="F1711">
        <v>1</v>
      </c>
      <c r="G1711">
        <v>18000</v>
      </c>
      <c r="H1711">
        <v>3.3091445999999997E-2</v>
      </c>
      <c r="I1711">
        <v>15210</v>
      </c>
      <c r="J1711">
        <v>4899</v>
      </c>
      <c r="K1711">
        <v>10311</v>
      </c>
      <c r="L1711">
        <v>500</v>
      </c>
      <c r="M1711">
        <v>499</v>
      </c>
      <c r="N1711">
        <v>1</v>
      </c>
      <c r="O1711">
        <v>2790</v>
      </c>
      <c r="P1711" s="3" t="s">
        <v>50</v>
      </c>
      <c r="Q1711">
        <v>50</v>
      </c>
      <c r="R1711">
        <v>0.999</v>
      </c>
      <c r="S1711">
        <v>1</v>
      </c>
    </row>
    <row r="1712" spans="1:19" x14ac:dyDescent="0.2">
      <c r="A1712" s="3" t="s">
        <v>54</v>
      </c>
      <c r="B1712" s="3" t="s">
        <v>55</v>
      </c>
      <c r="C1712">
        <v>14</v>
      </c>
      <c r="D1712">
        <v>18000</v>
      </c>
      <c r="E1712">
        <v>499</v>
      </c>
      <c r="F1712">
        <v>1</v>
      </c>
      <c r="G1712">
        <v>18000</v>
      </c>
      <c r="H1712">
        <v>3.3044091999999997E-2</v>
      </c>
      <c r="I1712">
        <v>15202</v>
      </c>
      <c r="J1712">
        <v>4882</v>
      </c>
      <c r="K1712">
        <v>10320</v>
      </c>
      <c r="L1712">
        <v>500</v>
      </c>
      <c r="M1712">
        <v>499</v>
      </c>
      <c r="N1712">
        <v>1</v>
      </c>
      <c r="O1712">
        <v>2798</v>
      </c>
      <c r="P1712" s="3" t="s">
        <v>50</v>
      </c>
      <c r="Q1712">
        <v>50</v>
      </c>
      <c r="R1712">
        <v>0.999</v>
      </c>
      <c r="S1712">
        <v>1</v>
      </c>
    </row>
    <row r="1713" spans="1:19" x14ac:dyDescent="0.2">
      <c r="A1713" s="3" t="s">
        <v>54</v>
      </c>
      <c r="B1713" s="3" t="s">
        <v>55</v>
      </c>
      <c r="C1713">
        <v>20</v>
      </c>
      <c r="D1713">
        <v>14000</v>
      </c>
      <c r="E1713">
        <v>499</v>
      </c>
      <c r="F1713">
        <v>1</v>
      </c>
      <c r="G1713">
        <v>14000</v>
      </c>
      <c r="H1713">
        <v>3.3030388000000001E-2</v>
      </c>
      <c r="I1713">
        <v>13035</v>
      </c>
      <c r="J1713">
        <v>4845</v>
      </c>
      <c r="K1713">
        <v>8190</v>
      </c>
      <c r="L1713">
        <v>500</v>
      </c>
      <c r="M1713">
        <v>499</v>
      </c>
      <c r="N1713">
        <v>1</v>
      </c>
      <c r="O1713">
        <v>965</v>
      </c>
      <c r="P1713" s="3" t="s">
        <v>51</v>
      </c>
      <c r="Q1713">
        <v>50</v>
      </c>
      <c r="R1713">
        <v>0.999</v>
      </c>
      <c r="S1713">
        <v>1</v>
      </c>
    </row>
    <row r="1714" spans="1:19" x14ac:dyDescent="0.2">
      <c r="A1714" s="3" t="s">
        <v>54</v>
      </c>
      <c r="B1714" s="3" t="s">
        <v>55</v>
      </c>
      <c r="C1714">
        <v>27</v>
      </c>
      <c r="D1714">
        <v>18000</v>
      </c>
      <c r="E1714">
        <v>499</v>
      </c>
      <c r="F1714">
        <v>1</v>
      </c>
      <c r="G1714">
        <v>18000</v>
      </c>
      <c r="H1714">
        <v>3.3008764000000003E-2</v>
      </c>
      <c r="I1714">
        <v>15200</v>
      </c>
      <c r="J1714">
        <v>4893</v>
      </c>
      <c r="K1714">
        <v>10307</v>
      </c>
      <c r="L1714">
        <v>500</v>
      </c>
      <c r="M1714">
        <v>499</v>
      </c>
      <c r="N1714">
        <v>1</v>
      </c>
      <c r="O1714">
        <v>2800</v>
      </c>
      <c r="P1714" s="3" t="s">
        <v>52</v>
      </c>
      <c r="Q1714">
        <v>50</v>
      </c>
      <c r="R1714">
        <v>0.999</v>
      </c>
      <c r="S1714">
        <v>1</v>
      </c>
    </row>
    <row r="1715" spans="1:19" x14ac:dyDescent="0.2">
      <c r="A1715" s="3" t="s">
        <v>54</v>
      </c>
      <c r="B1715" s="3" t="s">
        <v>55</v>
      </c>
      <c r="C1715">
        <v>34</v>
      </c>
      <c r="D1715">
        <v>19000</v>
      </c>
      <c r="E1715">
        <v>499</v>
      </c>
      <c r="F1715">
        <v>1</v>
      </c>
      <c r="G1715">
        <v>19000</v>
      </c>
      <c r="H1715">
        <v>3.2968559000000001E-2</v>
      </c>
      <c r="I1715">
        <v>15614</v>
      </c>
      <c r="J1715">
        <v>5056</v>
      </c>
      <c r="K1715">
        <v>10558</v>
      </c>
      <c r="L1715">
        <v>500</v>
      </c>
      <c r="M1715">
        <v>499</v>
      </c>
      <c r="N1715">
        <v>1</v>
      </c>
      <c r="O1715">
        <v>3386</v>
      </c>
      <c r="P1715" s="3" t="s">
        <v>52</v>
      </c>
      <c r="Q1715">
        <v>50</v>
      </c>
      <c r="R1715">
        <v>0.999</v>
      </c>
      <c r="S1715">
        <v>1</v>
      </c>
    </row>
    <row r="1716" spans="1:19" x14ac:dyDescent="0.2">
      <c r="A1716" s="3" t="s">
        <v>54</v>
      </c>
      <c r="B1716" s="3" t="s">
        <v>55</v>
      </c>
      <c r="C1716">
        <v>15</v>
      </c>
      <c r="D1716">
        <v>18000</v>
      </c>
      <c r="E1716">
        <v>499</v>
      </c>
      <c r="F1716">
        <v>1</v>
      </c>
      <c r="G1716">
        <v>18000</v>
      </c>
      <c r="H1716">
        <v>3.2908132999999999E-2</v>
      </c>
      <c r="I1716">
        <v>15201</v>
      </c>
      <c r="J1716">
        <v>4912</v>
      </c>
      <c r="K1716">
        <v>10289</v>
      </c>
      <c r="L1716">
        <v>500</v>
      </c>
      <c r="M1716">
        <v>499</v>
      </c>
      <c r="N1716">
        <v>1</v>
      </c>
      <c r="O1716">
        <v>2799</v>
      </c>
      <c r="P1716" s="3" t="s">
        <v>50</v>
      </c>
      <c r="Q1716">
        <v>50</v>
      </c>
      <c r="R1716">
        <v>0.999</v>
      </c>
      <c r="S1716">
        <v>1</v>
      </c>
    </row>
    <row r="1717" spans="1:19" x14ac:dyDescent="0.2">
      <c r="A1717" s="3" t="s">
        <v>54</v>
      </c>
      <c r="B1717" s="3" t="s">
        <v>55</v>
      </c>
      <c r="C1717">
        <v>8</v>
      </c>
      <c r="D1717">
        <v>18000</v>
      </c>
      <c r="E1717">
        <v>499</v>
      </c>
      <c r="F1717">
        <v>1</v>
      </c>
      <c r="G1717">
        <v>18000</v>
      </c>
      <c r="H1717">
        <v>3.2907006000000003E-2</v>
      </c>
      <c r="I1717">
        <v>15234</v>
      </c>
      <c r="J1717">
        <v>4866</v>
      </c>
      <c r="K1717">
        <v>10368</v>
      </c>
      <c r="L1717">
        <v>500</v>
      </c>
      <c r="M1717">
        <v>499</v>
      </c>
      <c r="N1717">
        <v>1</v>
      </c>
      <c r="O1717">
        <v>2766</v>
      </c>
      <c r="P1717" s="3" t="s">
        <v>50</v>
      </c>
      <c r="Q1717">
        <v>50</v>
      </c>
      <c r="R1717">
        <v>0.999</v>
      </c>
      <c r="S1717">
        <v>1</v>
      </c>
    </row>
    <row r="1718" spans="1:19" x14ac:dyDescent="0.2">
      <c r="A1718" s="3" t="s">
        <v>54</v>
      </c>
      <c r="B1718" s="3" t="s">
        <v>55</v>
      </c>
      <c r="C1718">
        <v>30</v>
      </c>
      <c r="D1718">
        <v>14000</v>
      </c>
      <c r="E1718">
        <v>499</v>
      </c>
      <c r="F1718">
        <v>1</v>
      </c>
      <c r="G1718">
        <v>14000</v>
      </c>
      <c r="H1718">
        <v>3.2902038000000002E-2</v>
      </c>
      <c r="I1718">
        <v>13047</v>
      </c>
      <c r="J1718">
        <v>4849</v>
      </c>
      <c r="K1718">
        <v>8198</v>
      </c>
      <c r="L1718">
        <v>500</v>
      </c>
      <c r="M1718">
        <v>499</v>
      </c>
      <c r="N1718">
        <v>1</v>
      </c>
      <c r="O1718">
        <v>953</v>
      </c>
      <c r="P1718" s="3" t="s">
        <v>51</v>
      </c>
      <c r="Q1718">
        <v>50</v>
      </c>
      <c r="R1718">
        <v>0.999</v>
      </c>
      <c r="S1718">
        <v>1</v>
      </c>
    </row>
    <row r="1719" spans="1:19" x14ac:dyDescent="0.2">
      <c r="A1719" s="3" t="s">
        <v>54</v>
      </c>
      <c r="B1719" s="3" t="s">
        <v>55</v>
      </c>
      <c r="C1719">
        <v>16</v>
      </c>
      <c r="D1719">
        <v>18000</v>
      </c>
      <c r="E1719">
        <v>499</v>
      </c>
      <c r="F1719">
        <v>1</v>
      </c>
      <c r="G1719">
        <v>18000</v>
      </c>
      <c r="H1719">
        <v>3.2881219000000003E-2</v>
      </c>
      <c r="I1719">
        <v>15185</v>
      </c>
      <c r="J1719">
        <v>4850</v>
      </c>
      <c r="K1719">
        <v>10335</v>
      </c>
      <c r="L1719">
        <v>500</v>
      </c>
      <c r="M1719">
        <v>499</v>
      </c>
      <c r="N1719">
        <v>1</v>
      </c>
      <c r="O1719">
        <v>2815</v>
      </c>
      <c r="P1719" s="3" t="s">
        <v>50</v>
      </c>
      <c r="Q1719">
        <v>50</v>
      </c>
      <c r="R1719">
        <v>0.999</v>
      </c>
      <c r="S1719">
        <v>1</v>
      </c>
    </row>
    <row r="1720" spans="1:19" x14ac:dyDescent="0.2">
      <c r="A1720" s="3" t="s">
        <v>54</v>
      </c>
      <c r="B1720" s="3" t="s">
        <v>55</v>
      </c>
      <c r="C1720">
        <v>17</v>
      </c>
      <c r="D1720">
        <v>18000</v>
      </c>
      <c r="E1720">
        <v>499</v>
      </c>
      <c r="F1720">
        <v>1</v>
      </c>
      <c r="G1720">
        <v>18000</v>
      </c>
      <c r="H1720">
        <v>3.2813304000000001E-2</v>
      </c>
      <c r="I1720">
        <v>15207</v>
      </c>
      <c r="J1720">
        <v>4849</v>
      </c>
      <c r="K1720">
        <v>10358</v>
      </c>
      <c r="L1720">
        <v>500</v>
      </c>
      <c r="M1720">
        <v>499</v>
      </c>
      <c r="N1720">
        <v>1</v>
      </c>
      <c r="O1720">
        <v>2793</v>
      </c>
      <c r="P1720" s="3" t="s">
        <v>52</v>
      </c>
      <c r="Q1720">
        <v>50</v>
      </c>
      <c r="R1720">
        <v>0.999</v>
      </c>
      <c r="S1720">
        <v>1</v>
      </c>
    </row>
    <row r="1721" spans="1:19" x14ac:dyDescent="0.2">
      <c r="A1721" s="3" t="s">
        <v>54</v>
      </c>
      <c r="B1721" s="3" t="s">
        <v>55</v>
      </c>
      <c r="C1721">
        <v>27</v>
      </c>
      <c r="D1721">
        <v>18000</v>
      </c>
      <c r="E1721">
        <v>499</v>
      </c>
      <c r="F1721">
        <v>1</v>
      </c>
      <c r="G1721">
        <v>18000</v>
      </c>
      <c r="H1721">
        <v>3.2812570999999999E-2</v>
      </c>
      <c r="I1721">
        <v>15219</v>
      </c>
      <c r="J1721">
        <v>4852</v>
      </c>
      <c r="K1721">
        <v>10367</v>
      </c>
      <c r="L1721">
        <v>500</v>
      </c>
      <c r="M1721">
        <v>499</v>
      </c>
      <c r="N1721">
        <v>1</v>
      </c>
      <c r="O1721">
        <v>2781</v>
      </c>
      <c r="P1721" s="3" t="s">
        <v>50</v>
      </c>
      <c r="Q1721">
        <v>50</v>
      </c>
      <c r="R1721">
        <v>0.999</v>
      </c>
      <c r="S1721">
        <v>1</v>
      </c>
    </row>
    <row r="1722" spans="1:19" x14ac:dyDescent="0.2">
      <c r="A1722" s="3" t="s">
        <v>54</v>
      </c>
      <c r="B1722" s="3" t="s">
        <v>55</v>
      </c>
      <c r="C1722">
        <v>46</v>
      </c>
      <c r="D1722">
        <v>18000</v>
      </c>
      <c r="E1722">
        <v>499</v>
      </c>
      <c r="F1722">
        <v>1</v>
      </c>
      <c r="G1722">
        <v>18000</v>
      </c>
      <c r="H1722">
        <v>3.2800003000000001E-2</v>
      </c>
      <c r="I1722">
        <v>15239</v>
      </c>
      <c r="J1722">
        <v>4882</v>
      </c>
      <c r="K1722">
        <v>10357</v>
      </c>
      <c r="L1722">
        <v>500</v>
      </c>
      <c r="M1722">
        <v>499</v>
      </c>
      <c r="N1722">
        <v>1</v>
      </c>
      <c r="O1722">
        <v>2761</v>
      </c>
      <c r="P1722" s="3" t="s">
        <v>50</v>
      </c>
      <c r="Q1722">
        <v>50</v>
      </c>
      <c r="R1722">
        <v>0.999</v>
      </c>
      <c r="S1722">
        <v>1</v>
      </c>
    </row>
    <row r="1723" spans="1:19" x14ac:dyDescent="0.2">
      <c r="A1723" s="3" t="s">
        <v>54</v>
      </c>
      <c r="B1723" s="3" t="s">
        <v>55</v>
      </c>
      <c r="C1723">
        <v>37</v>
      </c>
      <c r="D1723">
        <v>18000</v>
      </c>
      <c r="E1723">
        <v>499</v>
      </c>
      <c r="F1723">
        <v>1</v>
      </c>
      <c r="G1723">
        <v>18000</v>
      </c>
      <c r="H1723">
        <v>3.2794649000000002E-2</v>
      </c>
      <c r="I1723">
        <v>15220</v>
      </c>
      <c r="J1723">
        <v>4881</v>
      </c>
      <c r="K1723">
        <v>10339</v>
      </c>
      <c r="L1723">
        <v>500</v>
      </c>
      <c r="M1723">
        <v>499</v>
      </c>
      <c r="N1723">
        <v>1</v>
      </c>
      <c r="O1723">
        <v>2780</v>
      </c>
      <c r="P1723" s="3" t="s">
        <v>50</v>
      </c>
      <c r="Q1723">
        <v>50</v>
      </c>
      <c r="R1723">
        <v>0.999</v>
      </c>
      <c r="S1723">
        <v>1</v>
      </c>
    </row>
    <row r="1724" spans="1:19" x14ac:dyDescent="0.2">
      <c r="A1724" s="3" t="s">
        <v>54</v>
      </c>
      <c r="B1724" s="3" t="s">
        <v>55</v>
      </c>
      <c r="C1724">
        <v>44</v>
      </c>
      <c r="D1724">
        <v>14000</v>
      </c>
      <c r="E1724">
        <v>499</v>
      </c>
      <c r="F1724">
        <v>1</v>
      </c>
      <c r="G1724">
        <v>14000</v>
      </c>
      <c r="H1724">
        <v>3.2793514000000003E-2</v>
      </c>
      <c r="I1724">
        <v>13043</v>
      </c>
      <c r="J1724">
        <v>4853</v>
      </c>
      <c r="K1724">
        <v>8190</v>
      </c>
      <c r="L1724">
        <v>500</v>
      </c>
      <c r="M1724">
        <v>499</v>
      </c>
      <c r="N1724">
        <v>1</v>
      </c>
      <c r="O1724">
        <v>957</v>
      </c>
      <c r="P1724" s="3" t="s">
        <v>51</v>
      </c>
      <c r="Q1724">
        <v>50</v>
      </c>
      <c r="R1724">
        <v>0.999</v>
      </c>
      <c r="S1724">
        <v>1</v>
      </c>
    </row>
    <row r="1725" spans="1:19" x14ac:dyDescent="0.2">
      <c r="A1725" s="3" t="s">
        <v>54</v>
      </c>
      <c r="B1725" s="3" t="s">
        <v>55</v>
      </c>
      <c r="C1725">
        <v>23</v>
      </c>
      <c r="D1725">
        <v>18000</v>
      </c>
      <c r="E1725">
        <v>499</v>
      </c>
      <c r="F1725">
        <v>1</v>
      </c>
      <c r="G1725">
        <v>18000</v>
      </c>
      <c r="H1725">
        <v>3.277045E-2</v>
      </c>
      <c r="I1725">
        <v>15210</v>
      </c>
      <c r="J1725">
        <v>4871</v>
      </c>
      <c r="K1725">
        <v>10339</v>
      </c>
      <c r="L1725">
        <v>500</v>
      </c>
      <c r="M1725">
        <v>499</v>
      </c>
      <c r="N1725">
        <v>1</v>
      </c>
      <c r="O1725">
        <v>2790</v>
      </c>
      <c r="P1725" s="3" t="s">
        <v>50</v>
      </c>
      <c r="Q1725">
        <v>50</v>
      </c>
      <c r="R1725">
        <v>0.999</v>
      </c>
      <c r="S1725">
        <v>1</v>
      </c>
    </row>
    <row r="1726" spans="1:19" x14ac:dyDescent="0.2">
      <c r="A1726" s="3" t="s">
        <v>54</v>
      </c>
      <c r="B1726" s="3" t="s">
        <v>55</v>
      </c>
      <c r="C1726">
        <v>10</v>
      </c>
      <c r="D1726">
        <v>14000</v>
      </c>
      <c r="E1726">
        <v>499</v>
      </c>
      <c r="F1726">
        <v>1</v>
      </c>
      <c r="G1726">
        <v>14000</v>
      </c>
      <c r="H1726">
        <v>3.2750401999999998E-2</v>
      </c>
      <c r="I1726">
        <v>13050</v>
      </c>
      <c r="J1726">
        <v>4846</v>
      </c>
      <c r="K1726">
        <v>8204</v>
      </c>
      <c r="L1726">
        <v>500</v>
      </c>
      <c r="M1726">
        <v>499</v>
      </c>
      <c r="N1726">
        <v>1</v>
      </c>
      <c r="O1726">
        <v>950</v>
      </c>
      <c r="P1726" s="3" t="s">
        <v>51</v>
      </c>
      <c r="Q1726">
        <v>50</v>
      </c>
      <c r="R1726">
        <v>0.999</v>
      </c>
      <c r="S1726">
        <v>1</v>
      </c>
    </row>
    <row r="1727" spans="1:19" x14ac:dyDescent="0.2">
      <c r="A1727" s="3" t="s">
        <v>54</v>
      </c>
      <c r="B1727" s="3" t="s">
        <v>55</v>
      </c>
      <c r="C1727">
        <v>26</v>
      </c>
      <c r="D1727">
        <v>18000</v>
      </c>
      <c r="E1727">
        <v>499</v>
      </c>
      <c r="F1727">
        <v>1</v>
      </c>
      <c r="G1727">
        <v>18000</v>
      </c>
      <c r="H1727">
        <v>3.2735148999999998E-2</v>
      </c>
      <c r="I1727">
        <v>15190</v>
      </c>
      <c r="J1727">
        <v>4880</v>
      </c>
      <c r="K1727">
        <v>10310</v>
      </c>
      <c r="L1727">
        <v>500</v>
      </c>
      <c r="M1727">
        <v>499</v>
      </c>
      <c r="N1727">
        <v>1</v>
      </c>
      <c r="O1727">
        <v>2810</v>
      </c>
      <c r="P1727" s="3" t="s">
        <v>50</v>
      </c>
      <c r="Q1727">
        <v>50</v>
      </c>
      <c r="R1727">
        <v>0.999</v>
      </c>
      <c r="S1727">
        <v>1</v>
      </c>
    </row>
    <row r="1728" spans="1:19" x14ac:dyDescent="0.2">
      <c r="A1728" s="3" t="s">
        <v>54</v>
      </c>
      <c r="B1728" s="3" t="s">
        <v>55</v>
      </c>
      <c r="C1728">
        <v>33</v>
      </c>
      <c r="D1728">
        <v>18000</v>
      </c>
      <c r="E1728">
        <v>499</v>
      </c>
      <c r="F1728">
        <v>1</v>
      </c>
      <c r="G1728">
        <v>18000</v>
      </c>
      <c r="H1728">
        <v>3.2731464000000002E-2</v>
      </c>
      <c r="I1728">
        <v>15211</v>
      </c>
      <c r="J1728">
        <v>4872</v>
      </c>
      <c r="K1728">
        <v>10339</v>
      </c>
      <c r="L1728">
        <v>500</v>
      </c>
      <c r="M1728">
        <v>499</v>
      </c>
      <c r="N1728">
        <v>1</v>
      </c>
      <c r="O1728">
        <v>2789</v>
      </c>
      <c r="P1728" s="3" t="s">
        <v>50</v>
      </c>
      <c r="Q1728">
        <v>50</v>
      </c>
      <c r="R1728">
        <v>0.999</v>
      </c>
      <c r="S1728">
        <v>1</v>
      </c>
    </row>
    <row r="1729" spans="1:19" x14ac:dyDescent="0.2">
      <c r="A1729" s="3" t="s">
        <v>54</v>
      </c>
      <c r="B1729" s="3" t="s">
        <v>55</v>
      </c>
      <c r="C1729">
        <v>8</v>
      </c>
      <c r="D1729">
        <v>14000</v>
      </c>
      <c r="E1729">
        <v>499</v>
      </c>
      <c r="F1729">
        <v>1</v>
      </c>
      <c r="G1729">
        <v>14000</v>
      </c>
      <c r="H1729">
        <v>3.2721884999999999E-2</v>
      </c>
      <c r="I1729">
        <v>13024</v>
      </c>
      <c r="J1729">
        <v>4852</v>
      </c>
      <c r="K1729">
        <v>8172</v>
      </c>
      <c r="L1729">
        <v>500</v>
      </c>
      <c r="M1729">
        <v>499</v>
      </c>
      <c r="N1729">
        <v>1</v>
      </c>
      <c r="O1729">
        <v>976</v>
      </c>
      <c r="P1729" s="3" t="s">
        <v>51</v>
      </c>
      <c r="Q1729">
        <v>50</v>
      </c>
      <c r="R1729">
        <v>0.999</v>
      </c>
      <c r="S1729">
        <v>1</v>
      </c>
    </row>
    <row r="1730" spans="1:19" x14ac:dyDescent="0.2">
      <c r="A1730" s="3" t="s">
        <v>54</v>
      </c>
      <c r="B1730" s="3" t="s">
        <v>55</v>
      </c>
      <c r="C1730">
        <v>7</v>
      </c>
      <c r="D1730">
        <v>18000</v>
      </c>
      <c r="E1730">
        <v>499</v>
      </c>
      <c r="F1730">
        <v>1</v>
      </c>
      <c r="G1730">
        <v>18000</v>
      </c>
      <c r="H1730">
        <v>3.2705770000000002E-2</v>
      </c>
      <c r="I1730">
        <v>15236</v>
      </c>
      <c r="J1730">
        <v>4871</v>
      </c>
      <c r="K1730">
        <v>10365</v>
      </c>
      <c r="L1730">
        <v>500</v>
      </c>
      <c r="M1730">
        <v>499</v>
      </c>
      <c r="N1730">
        <v>1</v>
      </c>
      <c r="O1730">
        <v>2764</v>
      </c>
      <c r="P1730" s="3" t="s">
        <v>50</v>
      </c>
      <c r="Q1730">
        <v>50</v>
      </c>
      <c r="R1730">
        <v>0.999</v>
      </c>
      <c r="S1730">
        <v>1</v>
      </c>
    </row>
    <row r="1731" spans="1:19" x14ac:dyDescent="0.2">
      <c r="A1731" s="3" t="s">
        <v>54</v>
      </c>
      <c r="B1731" s="3" t="s">
        <v>55</v>
      </c>
      <c r="C1731">
        <v>46</v>
      </c>
      <c r="D1731">
        <v>18000</v>
      </c>
      <c r="E1731">
        <v>499</v>
      </c>
      <c r="F1731">
        <v>1</v>
      </c>
      <c r="G1731">
        <v>18000</v>
      </c>
      <c r="H1731">
        <v>3.2691340999999999E-2</v>
      </c>
      <c r="I1731">
        <v>15214</v>
      </c>
      <c r="J1731">
        <v>4877</v>
      </c>
      <c r="K1731">
        <v>10337</v>
      </c>
      <c r="L1731">
        <v>500</v>
      </c>
      <c r="M1731">
        <v>499</v>
      </c>
      <c r="N1731">
        <v>1</v>
      </c>
      <c r="O1731">
        <v>2786</v>
      </c>
      <c r="P1731" s="3" t="s">
        <v>52</v>
      </c>
      <c r="Q1731">
        <v>50</v>
      </c>
      <c r="R1731">
        <v>0.999</v>
      </c>
      <c r="S1731">
        <v>1</v>
      </c>
    </row>
    <row r="1732" spans="1:19" x14ac:dyDescent="0.2">
      <c r="A1732" s="3" t="s">
        <v>54</v>
      </c>
      <c r="B1732" s="3" t="s">
        <v>55</v>
      </c>
      <c r="C1732">
        <v>1</v>
      </c>
      <c r="D1732">
        <v>14000</v>
      </c>
      <c r="E1732">
        <v>499</v>
      </c>
      <c r="F1732">
        <v>1</v>
      </c>
      <c r="G1732">
        <v>14000</v>
      </c>
      <c r="H1732">
        <v>3.2687895000000002E-2</v>
      </c>
      <c r="I1732">
        <v>13038</v>
      </c>
      <c r="J1732">
        <v>4862</v>
      </c>
      <c r="K1732">
        <v>8176</v>
      </c>
      <c r="L1732">
        <v>500</v>
      </c>
      <c r="M1732">
        <v>499</v>
      </c>
      <c r="N1732">
        <v>1</v>
      </c>
      <c r="O1732">
        <v>962</v>
      </c>
      <c r="P1732" s="3" t="s">
        <v>51</v>
      </c>
      <c r="Q1732">
        <v>50</v>
      </c>
      <c r="R1732">
        <v>0.999</v>
      </c>
      <c r="S1732">
        <v>1</v>
      </c>
    </row>
    <row r="1733" spans="1:19" x14ac:dyDescent="0.2">
      <c r="A1733" s="3" t="s">
        <v>54</v>
      </c>
      <c r="B1733" s="3" t="s">
        <v>55</v>
      </c>
      <c r="C1733">
        <v>17</v>
      </c>
      <c r="D1733">
        <v>18000</v>
      </c>
      <c r="E1733">
        <v>499</v>
      </c>
      <c r="F1733">
        <v>1</v>
      </c>
      <c r="G1733">
        <v>18000</v>
      </c>
      <c r="H1733">
        <v>3.2644061000000002E-2</v>
      </c>
      <c r="I1733">
        <v>15187</v>
      </c>
      <c r="J1733">
        <v>4868</v>
      </c>
      <c r="K1733">
        <v>10319</v>
      </c>
      <c r="L1733">
        <v>500</v>
      </c>
      <c r="M1733">
        <v>499</v>
      </c>
      <c r="N1733">
        <v>1</v>
      </c>
      <c r="O1733">
        <v>2813</v>
      </c>
      <c r="P1733" s="3" t="s">
        <v>50</v>
      </c>
      <c r="Q1733">
        <v>50</v>
      </c>
      <c r="R1733">
        <v>0.999</v>
      </c>
      <c r="S1733">
        <v>1</v>
      </c>
    </row>
    <row r="1734" spans="1:19" x14ac:dyDescent="0.2">
      <c r="A1734" s="3" t="s">
        <v>54</v>
      </c>
      <c r="B1734" s="3" t="s">
        <v>55</v>
      </c>
      <c r="C1734">
        <v>46</v>
      </c>
      <c r="D1734">
        <v>14000</v>
      </c>
      <c r="E1734">
        <v>499</v>
      </c>
      <c r="F1734">
        <v>1</v>
      </c>
      <c r="G1734">
        <v>14000</v>
      </c>
      <c r="H1734">
        <v>3.2630858999999998E-2</v>
      </c>
      <c r="I1734">
        <v>13011</v>
      </c>
      <c r="J1734">
        <v>4853</v>
      </c>
      <c r="K1734">
        <v>8158</v>
      </c>
      <c r="L1734">
        <v>500</v>
      </c>
      <c r="M1734">
        <v>499</v>
      </c>
      <c r="N1734">
        <v>1</v>
      </c>
      <c r="O1734">
        <v>989</v>
      </c>
      <c r="P1734" s="3" t="s">
        <v>51</v>
      </c>
      <c r="Q1734">
        <v>50</v>
      </c>
      <c r="R1734">
        <v>0.999</v>
      </c>
      <c r="S1734">
        <v>1</v>
      </c>
    </row>
    <row r="1735" spans="1:19" x14ac:dyDescent="0.2">
      <c r="A1735" s="3" t="s">
        <v>54</v>
      </c>
      <c r="B1735" s="3" t="s">
        <v>55</v>
      </c>
      <c r="C1735">
        <v>43</v>
      </c>
      <c r="D1735">
        <v>14000</v>
      </c>
      <c r="E1735">
        <v>499</v>
      </c>
      <c r="F1735">
        <v>1</v>
      </c>
      <c r="G1735">
        <v>14000</v>
      </c>
      <c r="H1735">
        <v>3.2626807000000001E-2</v>
      </c>
      <c r="I1735">
        <v>13038</v>
      </c>
      <c r="J1735">
        <v>4850</v>
      </c>
      <c r="K1735">
        <v>8188</v>
      </c>
      <c r="L1735">
        <v>500</v>
      </c>
      <c r="M1735">
        <v>499</v>
      </c>
      <c r="N1735">
        <v>1</v>
      </c>
      <c r="O1735">
        <v>962</v>
      </c>
      <c r="P1735" s="3" t="s">
        <v>51</v>
      </c>
      <c r="Q1735">
        <v>50</v>
      </c>
      <c r="R1735">
        <v>0.999</v>
      </c>
      <c r="S1735">
        <v>1</v>
      </c>
    </row>
    <row r="1736" spans="1:19" x14ac:dyDescent="0.2">
      <c r="A1736" s="3" t="s">
        <v>54</v>
      </c>
      <c r="B1736" s="3" t="s">
        <v>55</v>
      </c>
      <c r="C1736">
        <v>5</v>
      </c>
      <c r="D1736">
        <v>18000</v>
      </c>
      <c r="E1736">
        <v>499</v>
      </c>
      <c r="F1736">
        <v>1</v>
      </c>
      <c r="G1736">
        <v>18000</v>
      </c>
      <c r="H1736">
        <v>3.2624452999999998E-2</v>
      </c>
      <c r="I1736">
        <v>15214</v>
      </c>
      <c r="J1736">
        <v>4868</v>
      </c>
      <c r="K1736">
        <v>10346</v>
      </c>
      <c r="L1736">
        <v>500</v>
      </c>
      <c r="M1736">
        <v>499</v>
      </c>
      <c r="N1736">
        <v>1</v>
      </c>
      <c r="O1736">
        <v>2786</v>
      </c>
      <c r="P1736" s="3" t="s">
        <v>50</v>
      </c>
      <c r="Q1736">
        <v>50</v>
      </c>
      <c r="R1736">
        <v>0.999</v>
      </c>
      <c r="S1736">
        <v>1</v>
      </c>
    </row>
    <row r="1737" spans="1:19" x14ac:dyDescent="0.2">
      <c r="A1737" s="3" t="s">
        <v>54</v>
      </c>
      <c r="B1737" s="3" t="s">
        <v>55</v>
      </c>
      <c r="C1737">
        <v>5</v>
      </c>
      <c r="D1737">
        <v>14000</v>
      </c>
      <c r="E1737">
        <v>499</v>
      </c>
      <c r="F1737">
        <v>1</v>
      </c>
      <c r="G1737">
        <v>14000</v>
      </c>
      <c r="H1737">
        <v>3.2614790999999997E-2</v>
      </c>
      <c r="I1737">
        <v>13012</v>
      </c>
      <c r="J1737">
        <v>4829</v>
      </c>
      <c r="K1737">
        <v>8183</v>
      </c>
      <c r="L1737">
        <v>500</v>
      </c>
      <c r="M1737">
        <v>499</v>
      </c>
      <c r="N1737">
        <v>1</v>
      </c>
      <c r="O1737">
        <v>988</v>
      </c>
      <c r="P1737" s="3" t="s">
        <v>51</v>
      </c>
      <c r="Q1737">
        <v>50</v>
      </c>
      <c r="R1737">
        <v>0.999</v>
      </c>
      <c r="S1737">
        <v>1</v>
      </c>
    </row>
    <row r="1738" spans="1:19" x14ac:dyDescent="0.2">
      <c r="A1738" s="3" t="s">
        <v>54</v>
      </c>
      <c r="B1738" s="3" t="s">
        <v>55</v>
      </c>
      <c r="C1738">
        <v>38</v>
      </c>
      <c r="D1738">
        <v>18000</v>
      </c>
      <c r="E1738">
        <v>499</v>
      </c>
      <c r="F1738">
        <v>1</v>
      </c>
      <c r="G1738">
        <v>18000</v>
      </c>
      <c r="H1738">
        <v>3.2610566000000001E-2</v>
      </c>
      <c r="I1738">
        <v>15229</v>
      </c>
      <c r="J1738">
        <v>4906</v>
      </c>
      <c r="K1738">
        <v>10323</v>
      </c>
      <c r="L1738">
        <v>500</v>
      </c>
      <c r="M1738">
        <v>499</v>
      </c>
      <c r="N1738">
        <v>1</v>
      </c>
      <c r="O1738">
        <v>2771</v>
      </c>
      <c r="P1738" s="3" t="s">
        <v>50</v>
      </c>
      <c r="Q1738">
        <v>50</v>
      </c>
      <c r="R1738">
        <v>0.999</v>
      </c>
      <c r="S1738">
        <v>1</v>
      </c>
    </row>
    <row r="1739" spans="1:19" x14ac:dyDescent="0.2">
      <c r="A1739" s="3" t="s">
        <v>54</v>
      </c>
      <c r="B1739" s="3" t="s">
        <v>55</v>
      </c>
      <c r="C1739">
        <v>7</v>
      </c>
      <c r="D1739">
        <v>14000</v>
      </c>
      <c r="E1739">
        <v>499</v>
      </c>
      <c r="F1739">
        <v>1</v>
      </c>
      <c r="G1739">
        <v>14000</v>
      </c>
      <c r="H1739">
        <v>3.2606623000000001E-2</v>
      </c>
      <c r="I1739">
        <v>13021</v>
      </c>
      <c r="J1739">
        <v>4842</v>
      </c>
      <c r="K1739">
        <v>8179</v>
      </c>
      <c r="L1739">
        <v>500</v>
      </c>
      <c r="M1739">
        <v>499</v>
      </c>
      <c r="N1739">
        <v>1</v>
      </c>
      <c r="O1739">
        <v>979</v>
      </c>
      <c r="P1739" s="3" t="s">
        <v>51</v>
      </c>
      <c r="Q1739">
        <v>50</v>
      </c>
      <c r="R1739">
        <v>0.999</v>
      </c>
      <c r="S1739">
        <v>1</v>
      </c>
    </row>
    <row r="1740" spans="1:19" x14ac:dyDescent="0.2">
      <c r="A1740" s="3" t="s">
        <v>54</v>
      </c>
      <c r="B1740" s="3" t="s">
        <v>55</v>
      </c>
      <c r="C1740">
        <v>36</v>
      </c>
      <c r="D1740">
        <v>18000</v>
      </c>
      <c r="E1740">
        <v>499</v>
      </c>
      <c r="F1740">
        <v>1</v>
      </c>
      <c r="G1740">
        <v>18000</v>
      </c>
      <c r="H1740">
        <v>3.2588858999999998E-2</v>
      </c>
      <c r="I1740">
        <v>15196</v>
      </c>
      <c r="J1740">
        <v>4868</v>
      </c>
      <c r="K1740">
        <v>10328</v>
      </c>
      <c r="L1740">
        <v>500</v>
      </c>
      <c r="M1740">
        <v>499</v>
      </c>
      <c r="N1740">
        <v>1</v>
      </c>
      <c r="O1740">
        <v>2804</v>
      </c>
      <c r="P1740" s="3" t="s">
        <v>50</v>
      </c>
      <c r="Q1740">
        <v>50</v>
      </c>
      <c r="R1740">
        <v>0.999</v>
      </c>
      <c r="S1740">
        <v>1</v>
      </c>
    </row>
    <row r="1741" spans="1:19" x14ac:dyDescent="0.2">
      <c r="A1741" s="3" t="s">
        <v>54</v>
      </c>
      <c r="B1741" s="3" t="s">
        <v>55</v>
      </c>
      <c r="C1741">
        <v>8</v>
      </c>
      <c r="D1741">
        <v>18000</v>
      </c>
      <c r="E1741">
        <v>499</v>
      </c>
      <c r="F1741">
        <v>1</v>
      </c>
      <c r="G1741">
        <v>18000</v>
      </c>
      <c r="H1741">
        <v>3.2587761E-2</v>
      </c>
      <c r="I1741">
        <v>15203</v>
      </c>
      <c r="J1741">
        <v>4855</v>
      </c>
      <c r="K1741">
        <v>10348</v>
      </c>
      <c r="L1741">
        <v>500</v>
      </c>
      <c r="M1741">
        <v>499</v>
      </c>
      <c r="N1741">
        <v>1</v>
      </c>
      <c r="O1741">
        <v>2797</v>
      </c>
      <c r="P1741" s="3" t="s">
        <v>52</v>
      </c>
      <c r="Q1741">
        <v>50</v>
      </c>
      <c r="R1741">
        <v>0.999</v>
      </c>
      <c r="S1741">
        <v>1</v>
      </c>
    </row>
    <row r="1742" spans="1:19" x14ac:dyDescent="0.2">
      <c r="A1742" s="3" t="s">
        <v>54</v>
      </c>
      <c r="B1742" s="3" t="s">
        <v>55</v>
      </c>
      <c r="C1742">
        <v>1</v>
      </c>
      <c r="D1742">
        <v>18000</v>
      </c>
      <c r="E1742">
        <v>499</v>
      </c>
      <c r="F1742">
        <v>1</v>
      </c>
      <c r="G1742">
        <v>18000</v>
      </c>
      <c r="H1742">
        <v>3.2572376E-2</v>
      </c>
      <c r="I1742">
        <v>15196</v>
      </c>
      <c r="J1742">
        <v>4834</v>
      </c>
      <c r="K1742">
        <v>10362</v>
      </c>
      <c r="L1742">
        <v>500</v>
      </c>
      <c r="M1742">
        <v>499</v>
      </c>
      <c r="N1742">
        <v>1</v>
      </c>
      <c r="O1742">
        <v>2804</v>
      </c>
      <c r="P1742" s="3" t="s">
        <v>52</v>
      </c>
      <c r="Q1742">
        <v>50</v>
      </c>
      <c r="R1742">
        <v>0.999</v>
      </c>
      <c r="S1742">
        <v>1</v>
      </c>
    </row>
    <row r="1743" spans="1:19" x14ac:dyDescent="0.2">
      <c r="A1743" s="3" t="s">
        <v>54</v>
      </c>
      <c r="B1743" s="3" t="s">
        <v>55</v>
      </c>
      <c r="C1743">
        <v>13</v>
      </c>
      <c r="D1743">
        <v>14000</v>
      </c>
      <c r="E1743">
        <v>499</v>
      </c>
      <c r="F1743">
        <v>1</v>
      </c>
      <c r="G1743">
        <v>14000</v>
      </c>
      <c r="H1743">
        <v>3.2539597000000003E-2</v>
      </c>
      <c r="I1743">
        <v>13033</v>
      </c>
      <c r="J1743">
        <v>4850</v>
      </c>
      <c r="K1743">
        <v>8183</v>
      </c>
      <c r="L1743">
        <v>500</v>
      </c>
      <c r="M1743">
        <v>499</v>
      </c>
      <c r="N1743">
        <v>1</v>
      </c>
      <c r="O1743">
        <v>967</v>
      </c>
      <c r="P1743" s="3" t="s">
        <v>51</v>
      </c>
      <c r="Q1743">
        <v>50</v>
      </c>
      <c r="R1743">
        <v>0.999</v>
      </c>
      <c r="S1743">
        <v>1</v>
      </c>
    </row>
    <row r="1744" spans="1:19" x14ac:dyDescent="0.2">
      <c r="A1744" s="3" t="s">
        <v>54</v>
      </c>
      <c r="B1744" s="3" t="s">
        <v>55</v>
      </c>
      <c r="C1744">
        <v>9</v>
      </c>
      <c r="D1744">
        <v>18000</v>
      </c>
      <c r="E1744">
        <v>499</v>
      </c>
      <c r="F1744">
        <v>1</v>
      </c>
      <c r="G1744">
        <v>18000</v>
      </c>
      <c r="H1744">
        <v>3.2512869E-2</v>
      </c>
      <c r="I1744">
        <v>15226</v>
      </c>
      <c r="J1744">
        <v>4879</v>
      </c>
      <c r="K1744">
        <v>10347</v>
      </c>
      <c r="L1744">
        <v>500</v>
      </c>
      <c r="M1744">
        <v>499</v>
      </c>
      <c r="N1744">
        <v>1</v>
      </c>
      <c r="O1744">
        <v>2774</v>
      </c>
      <c r="P1744" s="3" t="s">
        <v>50</v>
      </c>
      <c r="Q1744">
        <v>50</v>
      </c>
      <c r="R1744">
        <v>0.999</v>
      </c>
      <c r="S1744">
        <v>1</v>
      </c>
    </row>
    <row r="1745" spans="1:19" x14ac:dyDescent="0.2">
      <c r="A1745" s="3" t="s">
        <v>54</v>
      </c>
      <c r="B1745" s="3" t="s">
        <v>55</v>
      </c>
      <c r="C1745">
        <v>34</v>
      </c>
      <c r="D1745">
        <v>15000</v>
      </c>
      <c r="E1745">
        <v>499</v>
      </c>
      <c r="F1745">
        <v>1</v>
      </c>
      <c r="G1745">
        <v>15000</v>
      </c>
      <c r="H1745">
        <v>3.2489705000000001E-2</v>
      </c>
      <c r="I1745">
        <v>13777</v>
      </c>
      <c r="J1745">
        <v>4348</v>
      </c>
      <c r="K1745">
        <v>9429</v>
      </c>
      <c r="L1745">
        <v>500</v>
      </c>
      <c r="M1745">
        <v>499</v>
      </c>
      <c r="N1745">
        <v>1</v>
      </c>
      <c r="O1745">
        <v>1223</v>
      </c>
      <c r="P1745" s="3" t="s">
        <v>52</v>
      </c>
      <c r="Q1745">
        <v>50</v>
      </c>
      <c r="R1745">
        <v>0.999</v>
      </c>
      <c r="S1745">
        <v>1</v>
      </c>
    </row>
    <row r="1746" spans="1:19" x14ac:dyDescent="0.2">
      <c r="A1746" s="3" t="s">
        <v>54</v>
      </c>
      <c r="B1746" s="3" t="s">
        <v>55</v>
      </c>
      <c r="C1746">
        <v>17</v>
      </c>
      <c r="D1746">
        <v>14000</v>
      </c>
      <c r="E1746">
        <v>499</v>
      </c>
      <c r="F1746">
        <v>1</v>
      </c>
      <c r="G1746">
        <v>14000</v>
      </c>
      <c r="H1746">
        <v>3.2476987999999998E-2</v>
      </c>
      <c r="I1746">
        <v>13029</v>
      </c>
      <c r="J1746">
        <v>4848</v>
      </c>
      <c r="K1746">
        <v>8181</v>
      </c>
      <c r="L1746">
        <v>500</v>
      </c>
      <c r="M1746">
        <v>499</v>
      </c>
      <c r="N1746">
        <v>1</v>
      </c>
      <c r="O1746">
        <v>971</v>
      </c>
      <c r="P1746" s="3" t="s">
        <v>51</v>
      </c>
      <c r="Q1746">
        <v>50</v>
      </c>
      <c r="R1746">
        <v>0.999</v>
      </c>
      <c r="S1746">
        <v>1</v>
      </c>
    </row>
    <row r="1747" spans="1:19" x14ac:dyDescent="0.2">
      <c r="A1747" s="3" t="s">
        <v>54</v>
      </c>
      <c r="B1747" s="3" t="s">
        <v>55</v>
      </c>
      <c r="C1747">
        <v>42</v>
      </c>
      <c r="D1747">
        <v>18000</v>
      </c>
      <c r="E1747">
        <v>499</v>
      </c>
      <c r="F1747">
        <v>1</v>
      </c>
      <c r="G1747">
        <v>18000</v>
      </c>
      <c r="H1747">
        <v>3.2435364000000001E-2</v>
      </c>
      <c r="I1747">
        <v>15203</v>
      </c>
      <c r="J1747">
        <v>4863</v>
      </c>
      <c r="K1747">
        <v>10340</v>
      </c>
      <c r="L1747">
        <v>500</v>
      </c>
      <c r="M1747">
        <v>499</v>
      </c>
      <c r="N1747">
        <v>1</v>
      </c>
      <c r="O1747">
        <v>2797</v>
      </c>
      <c r="P1747" s="3" t="s">
        <v>50</v>
      </c>
      <c r="Q1747">
        <v>50</v>
      </c>
      <c r="R1747">
        <v>0.999</v>
      </c>
      <c r="S1747">
        <v>1</v>
      </c>
    </row>
    <row r="1748" spans="1:19" x14ac:dyDescent="0.2">
      <c r="A1748" s="3" t="s">
        <v>54</v>
      </c>
      <c r="B1748" s="3" t="s">
        <v>55</v>
      </c>
      <c r="C1748">
        <v>6</v>
      </c>
      <c r="D1748">
        <v>14000</v>
      </c>
      <c r="E1748">
        <v>499</v>
      </c>
      <c r="F1748">
        <v>1</v>
      </c>
      <c r="G1748">
        <v>14000</v>
      </c>
      <c r="H1748">
        <v>3.2403858000000001E-2</v>
      </c>
      <c r="I1748">
        <v>13007</v>
      </c>
      <c r="J1748">
        <v>4841</v>
      </c>
      <c r="K1748">
        <v>8166</v>
      </c>
      <c r="L1748">
        <v>500</v>
      </c>
      <c r="M1748">
        <v>499</v>
      </c>
      <c r="N1748">
        <v>1</v>
      </c>
      <c r="O1748">
        <v>993</v>
      </c>
      <c r="P1748" s="3" t="s">
        <v>51</v>
      </c>
      <c r="Q1748">
        <v>50</v>
      </c>
      <c r="R1748">
        <v>0.999</v>
      </c>
      <c r="S1748">
        <v>1</v>
      </c>
    </row>
    <row r="1749" spans="1:19" x14ac:dyDescent="0.2">
      <c r="A1749" s="3" t="s">
        <v>54</v>
      </c>
      <c r="B1749" s="3" t="s">
        <v>55</v>
      </c>
      <c r="C1749">
        <v>11</v>
      </c>
      <c r="D1749">
        <v>18000</v>
      </c>
      <c r="E1749">
        <v>499</v>
      </c>
      <c r="F1749">
        <v>1</v>
      </c>
      <c r="G1749">
        <v>18000</v>
      </c>
      <c r="H1749">
        <v>3.2384578999999997E-2</v>
      </c>
      <c r="I1749">
        <v>15205</v>
      </c>
      <c r="J1749">
        <v>4866</v>
      </c>
      <c r="K1749">
        <v>10339</v>
      </c>
      <c r="L1749">
        <v>500</v>
      </c>
      <c r="M1749">
        <v>499</v>
      </c>
      <c r="N1749">
        <v>1</v>
      </c>
      <c r="O1749">
        <v>2795</v>
      </c>
      <c r="P1749" s="3" t="s">
        <v>50</v>
      </c>
      <c r="Q1749">
        <v>50</v>
      </c>
      <c r="R1749">
        <v>0.999</v>
      </c>
      <c r="S1749">
        <v>1</v>
      </c>
    </row>
    <row r="1750" spans="1:19" x14ac:dyDescent="0.2">
      <c r="A1750" s="3" t="s">
        <v>54</v>
      </c>
      <c r="B1750" s="3" t="s">
        <v>55</v>
      </c>
      <c r="C1750">
        <v>31</v>
      </c>
      <c r="D1750">
        <v>18000</v>
      </c>
      <c r="E1750">
        <v>499</v>
      </c>
      <c r="F1750">
        <v>1</v>
      </c>
      <c r="G1750">
        <v>18000</v>
      </c>
      <c r="H1750">
        <v>3.2381994999999997E-2</v>
      </c>
      <c r="I1750">
        <v>15206</v>
      </c>
      <c r="J1750">
        <v>4871</v>
      </c>
      <c r="K1750">
        <v>10335</v>
      </c>
      <c r="L1750">
        <v>500</v>
      </c>
      <c r="M1750">
        <v>499</v>
      </c>
      <c r="N1750">
        <v>1</v>
      </c>
      <c r="O1750">
        <v>2794</v>
      </c>
      <c r="P1750" s="3" t="s">
        <v>50</v>
      </c>
      <c r="Q1750">
        <v>50</v>
      </c>
      <c r="R1750">
        <v>0.999</v>
      </c>
      <c r="S1750">
        <v>1</v>
      </c>
    </row>
    <row r="1751" spans="1:19" x14ac:dyDescent="0.2">
      <c r="A1751" s="3" t="s">
        <v>54</v>
      </c>
      <c r="B1751" s="3" t="s">
        <v>55</v>
      </c>
      <c r="C1751">
        <v>39</v>
      </c>
      <c r="D1751">
        <v>18000</v>
      </c>
      <c r="E1751">
        <v>499</v>
      </c>
      <c r="F1751">
        <v>1</v>
      </c>
      <c r="G1751">
        <v>18000</v>
      </c>
      <c r="H1751">
        <v>3.2379986999999999E-2</v>
      </c>
      <c r="I1751">
        <v>15208</v>
      </c>
      <c r="J1751">
        <v>4888</v>
      </c>
      <c r="K1751">
        <v>10320</v>
      </c>
      <c r="L1751">
        <v>500</v>
      </c>
      <c r="M1751">
        <v>499</v>
      </c>
      <c r="N1751">
        <v>1</v>
      </c>
      <c r="O1751">
        <v>2792</v>
      </c>
      <c r="P1751" s="3" t="s">
        <v>52</v>
      </c>
      <c r="Q1751">
        <v>50</v>
      </c>
      <c r="R1751">
        <v>0.999</v>
      </c>
      <c r="S1751">
        <v>1</v>
      </c>
    </row>
    <row r="1752" spans="1:19" x14ac:dyDescent="0.2">
      <c r="A1752" s="3" t="s">
        <v>54</v>
      </c>
      <c r="B1752" s="3" t="s">
        <v>55</v>
      </c>
      <c r="C1752">
        <v>4</v>
      </c>
      <c r="D1752">
        <v>18000</v>
      </c>
      <c r="E1752">
        <v>499</v>
      </c>
      <c r="F1752">
        <v>1</v>
      </c>
      <c r="G1752">
        <v>18000</v>
      </c>
      <c r="H1752">
        <v>3.2373589000000001E-2</v>
      </c>
      <c r="I1752">
        <v>15224</v>
      </c>
      <c r="J1752">
        <v>4854</v>
      </c>
      <c r="K1752">
        <v>10370</v>
      </c>
      <c r="L1752">
        <v>500</v>
      </c>
      <c r="M1752">
        <v>499</v>
      </c>
      <c r="N1752">
        <v>1</v>
      </c>
      <c r="O1752">
        <v>2776</v>
      </c>
      <c r="P1752" s="3" t="s">
        <v>50</v>
      </c>
      <c r="Q1752">
        <v>50</v>
      </c>
      <c r="R1752">
        <v>0.999</v>
      </c>
      <c r="S1752">
        <v>1</v>
      </c>
    </row>
    <row r="1753" spans="1:19" x14ac:dyDescent="0.2">
      <c r="A1753" s="3" t="s">
        <v>54</v>
      </c>
      <c r="B1753" s="3" t="s">
        <v>55</v>
      </c>
      <c r="C1753">
        <v>40</v>
      </c>
      <c r="D1753">
        <v>14000</v>
      </c>
      <c r="E1753">
        <v>499</v>
      </c>
      <c r="F1753">
        <v>1</v>
      </c>
      <c r="G1753">
        <v>14000</v>
      </c>
      <c r="H1753">
        <v>3.2356559E-2</v>
      </c>
      <c r="I1753">
        <v>13015</v>
      </c>
      <c r="J1753">
        <v>4841</v>
      </c>
      <c r="K1753">
        <v>8174</v>
      </c>
      <c r="L1753">
        <v>500</v>
      </c>
      <c r="M1753">
        <v>499</v>
      </c>
      <c r="N1753">
        <v>1</v>
      </c>
      <c r="O1753">
        <v>985</v>
      </c>
      <c r="P1753" s="3" t="s">
        <v>51</v>
      </c>
      <c r="Q1753">
        <v>50</v>
      </c>
      <c r="R1753">
        <v>0.999</v>
      </c>
      <c r="S1753">
        <v>1</v>
      </c>
    </row>
    <row r="1754" spans="1:19" x14ac:dyDescent="0.2">
      <c r="A1754" s="3" t="s">
        <v>54</v>
      </c>
      <c r="B1754" s="3" t="s">
        <v>55</v>
      </c>
      <c r="C1754">
        <v>20</v>
      </c>
      <c r="D1754">
        <v>18000</v>
      </c>
      <c r="E1754">
        <v>499</v>
      </c>
      <c r="F1754">
        <v>1</v>
      </c>
      <c r="G1754">
        <v>18000</v>
      </c>
      <c r="H1754">
        <v>3.2349033999999999E-2</v>
      </c>
      <c r="I1754">
        <v>15212</v>
      </c>
      <c r="J1754">
        <v>4865</v>
      </c>
      <c r="K1754">
        <v>10347</v>
      </c>
      <c r="L1754">
        <v>500</v>
      </c>
      <c r="M1754">
        <v>499</v>
      </c>
      <c r="N1754">
        <v>1</v>
      </c>
      <c r="O1754">
        <v>2788</v>
      </c>
      <c r="P1754" s="3" t="s">
        <v>52</v>
      </c>
      <c r="Q1754">
        <v>50</v>
      </c>
      <c r="R1754">
        <v>0.999</v>
      </c>
      <c r="S1754">
        <v>1</v>
      </c>
    </row>
    <row r="1755" spans="1:19" x14ac:dyDescent="0.2">
      <c r="A1755" s="3" t="s">
        <v>54</v>
      </c>
      <c r="B1755" s="3" t="s">
        <v>55</v>
      </c>
      <c r="C1755">
        <v>13</v>
      </c>
      <c r="D1755">
        <v>18000</v>
      </c>
      <c r="E1755">
        <v>499</v>
      </c>
      <c r="F1755">
        <v>1</v>
      </c>
      <c r="G1755">
        <v>18000</v>
      </c>
      <c r="H1755">
        <v>3.2348821E-2</v>
      </c>
      <c r="I1755">
        <v>15185</v>
      </c>
      <c r="J1755">
        <v>4850</v>
      </c>
      <c r="K1755">
        <v>10335</v>
      </c>
      <c r="L1755">
        <v>500</v>
      </c>
      <c r="M1755">
        <v>499</v>
      </c>
      <c r="N1755">
        <v>1</v>
      </c>
      <c r="O1755">
        <v>2815</v>
      </c>
      <c r="P1755" s="3" t="s">
        <v>50</v>
      </c>
      <c r="Q1755">
        <v>50</v>
      </c>
      <c r="R1755">
        <v>0.999</v>
      </c>
      <c r="S1755">
        <v>1</v>
      </c>
    </row>
    <row r="1756" spans="1:19" x14ac:dyDescent="0.2">
      <c r="A1756" s="3" t="s">
        <v>54</v>
      </c>
      <c r="B1756" s="3" t="s">
        <v>55</v>
      </c>
      <c r="C1756">
        <v>50</v>
      </c>
      <c r="D1756">
        <v>18000</v>
      </c>
      <c r="E1756">
        <v>499</v>
      </c>
      <c r="F1756">
        <v>1</v>
      </c>
      <c r="G1756">
        <v>18000</v>
      </c>
      <c r="H1756">
        <v>3.2320614999999997E-2</v>
      </c>
      <c r="I1756">
        <v>15221</v>
      </c>
      <c r="J1756">
        <v>4879</v>
      </c>
      <c r="K1756">
        <v>10342</v>
      </c>
      <c r="L1756">
        <v>500</v>
      </c>
      <c r="M1756">
        <v>499</v>
      </c>
      <c r="N1756">
        <v>1</v>
      </c>
      <c r="O1756">
        <v>2779</v>
      </c>
      <c r="P1756" s="3" t="s">
        <v>50</v>
      </c>
      <c r="Q1756">
        <v>50</v>
      </c>
      <c r="R1756">
        <v>0.999</v>
      </c>
      <c r="S1756">
        <v>1</v>
      </c>
    </row>
    <row r="1757" spans="1:19" x14ac:dyDescent="0.2">
      <c r="A1757" s="3" t="s">
        <v>54</v>
      </c>
      <c r="B1757" s="3" t="s">
        <v>55</v>
      </c>
      <c r="C1757">
        <v>39</v>
      </c>
      <c r="D1757">
        <v>18000</v>
      </c>
      <c r="E1757">
        <v>499</v>
      </c>
      <c r="F1757">
        <v>1</v>
      </c>
      <c r="G1757">
        <v>18000</v>
      </c>
      <c r="H1757">
        <v>3.2313143000000003E-2</v>
      </c>
      <c r="I1757">
        <v>15234</v>
      </c>
      <c r="J1757">
        <v>4875</v>
      </c>
      <c r="K1757">
        <v>10359</v>
      </c>
      <c r="L1757">
        <v>500</v>
      </c>
      <c r="M1757">
        <v>499</v>
      </c>
      <c r="N1757">
        <v>1</v>
      </c>
      <c r="O1757">
        <v>2766</v>
      </c>
      <c r="P1757" s="3" t="s">
        <v>50</v>
      </c>
      <c r="Q1757">
        <v>50</v>
      </c>
      <c r="R1757">
        <v>0.999</v>
      </c>
      <c r="S1757">
        <v>1</v>
      </c>
    </row>
    <row r="1758" spans="1:19" x14ac:dyDescent="0.2">
      <c r="A1758" s="3" t="s">
        <v>54</v>
      </c>
      <c r="B1758" s="3" t="s">
        <v>55</v>
      </c>
      <c r="C1758">
        <v>35</v>
      </c>
      <c r="D1758">
        <v>14000</v>
      </c>
      <c r="E1758">
        <v>499</v>
      </c>
      <c r="F1758">
        <v>1</v>
      </c>
      <c r="G1758">
        <v>14000</v>
      </c>
      <c r="H1758">
        <v>3.2293838999999998E-2</v>
      </c>
      <c r="I1758">
        <v>13045</v>
      </c>
      <c r="J1758">
        <v>4878</v>
      </c>
      <c r="K1758">
        <v>8167</v>
      </c>
      <c r="L1758">
        <v>500</v>
      </c>
      <c r="M1758">
        <v>499</v>
      </c>
      <c r="N1758">
        <v>1</v>
      </c>
      <c r="O1758">
        <v>955</v>
      </c>
      <c r="P1758" s="3" t="s">
        <v>51</v>
      </c>
      <c r="Q1758">
        <v>50</v>
      </c>
      <c r="R1758">
        <v>0.999</v>
      </c>
      <c r="S1758">
        <v>1</v>
      </c>
    </row>
    <row r="1759" spans="1:19" x14ac:dyDescent="0.2">
      <c r="A1759" s="3" t="s">
        <v>54</v>
      </c>
      <c r="B1759" s="3" t="s">
        <v>55</v>
      </c>
      <c r="C1759">
        <v>2</v>
      </c>
      <c r="D1759">
        <v>18000</v>
      </c>
      <c r="E1759">
        <v>499</v>
      </c>
      <c r="F1759">
        <v>1</v>
      </c>
      <c r="G1759">
        <v>18000</v>
      </c>
      <c r="H1759">
        <v>3.2228078E-2</v>
      </c>
      <c r="I1759">
        <v>15193</v>
      </c>
      <c r="J1759">
        <v>4891</v>
      </c>
      <c r="K1759">
        <v>10302</v>
      </c>
      <c r="L1759">
        <v>500</v>
      </c>
      <c r="M1759">
        <v>499</v>
      </c>
      <c r="N1759">
        <v>1</v>
      </c>
      <c r="O1759">
        <v>2807</v>
      </c>
      <c r="P1759" s="3" t="s">
        <v>50</v>
      </c>
      <c r="Q1759">
        <v>50</v>
      </c>
      <c r="R1759">
        <v>0.999</v>
      </c>
      <c r="S1759">
        <v>1</v>
      </c>
    </row>
    <row r="1760" spans="1:19" x14ac:dyDescent="0.2">
      <c r="A1760" s="3" t="s">
        <v>54</v>
      </c>
      <c r="B1760" s="3" t="s">
        <v>55</v>
      </c>
      <c r="C1760">
        <v>9</v>
      </c>
      <c r="D1760">
        <v>14000</v>
      </c>
      <c r="E1760">
        <v>499</v>
      </c>
      <c r="F1760">
        <v>1</v>
      </c>
      <c r="G1760">
        <v>14000</v>
      </c>
      <c r="H1760">
        <v>3.2218673000000003E-2</v>
      </c>
      <c r="I1760">
        <v>13025</v>
      </c>
      <c r="J1760">
        <v>4848</v>
      </c>
      <c r="K1760">
        <v>8177</v>
      </c>
      <c r="L1760">
        <v>500</v>
      </c>
      <c r="M1760">
        <v>499</v>
      </c>
      <c r="N1760">
        <v>1</v>
      </c>
      <c r="O1760">
        <v>975</v>
      </c>
      <c r="P1760" s="3" t="s">
        <v>51</v>
      </c>
      <c r="Q1760">
        <v>50</v>
      </c>
      <c r="R1760">
        <v>0.999</v>
      </c>
      <c r="S1760">
        <v>1</v>
      </c>
    </row>
    <row r="1761" spans="1:19" x14ac:dyDescent="0.2">
      <c r="A1761" s="3" t="s">
        <v>54</v>
      </c>
      <c r="B1761" s="3" t="s">
        <v>55</v>
      </c>
      <c r="C1761">
        <v>27</v>
      </c>
      <c r="D1761">
        <v>14000</v>
      </c>
      <c r="E1761">
        <v>499</v>
      </c>
      <c r="F1761">
        <v>1</v>
      </c>
      <c r="G1761">
        <v>14000</v>
      </c>
      <c r="H1761">
        <v>3.2179494000000003E-2</v>
      </c>
      <c r="I1761">
        <v>13011</v>
      </c>
      <c r="J1761">
        <v>4842</v>
      </c>
      <c r="K1761">
        <v>8169</v>
      </c>
      <c r="L1761">
        <v>500</v>
      </c>
      <c r="M1761">
        <v>499</v>
      </c>
      <c r="N1761">
        <v>1</v>
      </c>
      <c r="O1761">
        <v>989</v>
      </c>
      <c r="P1761" s="3" t="s">
        <v>51</v>
      </c>
      <c r="Q1761">
        <v>50</v>
      </c>
      <c r="R1761">
        <v>0.999</v>
      </c>
      <c r="S1761">
        <v>1</v>
      </c>
    </row>
    <row r="1762" spans="1:19" x14ac:dyDescent="0.2">
      <c r="A1762" s="3" t="s">
        <v>54</v>
      </c>
      <c r="B1762" s="3" t="s">
        <v>55</v>
      </c>
      <c r="C1762">
        <v>15</v>
      </c>
      <c r="D1762">
        <v>14000</v>
      </c>
      <c r="E1762">
        <v>499</v>
      </c>
      <c r="F1762">
        <v>1</v>
      </c>
      <c r="G1762">
        <v>14000</v>
      </c>
      <c r="H1762">
        <v>3.2134788999999997E-2</v>
      </c>
      <c r="I1762">
        <v>13021</v>
      </c>
      <c r="J1762">
        <v>4853</v>
      </c>
      <c r="K1762">
        <v>8168</v>
      </c>
      <c r="L1762">
        <v>500</v>
      </c>
      <c r="M1762">
        <v>499</v>
      </c>
      <c r="N1762">
        <v>1</v>
      </c>
      <c r="O1762">
        <v>979</v>
      </c>
      <c r="P1762" s="3" t="s">
        <v>51</v>
      </c>
      <c r="Q1762">
        <v>50</v>
      </c>
      <c r="R1762">
        <v>0.999</v>
      </c>
      <c r="S1762">
        <v>1</v>
      </c>
    </row>
    <row r="1763" spans="1:19" x14ac:dyDescent="0.2">
      <c r="A1763" s="3" t="s">
        <v>54</v>
      </c>
      <c r="B1763" s="3" t="s">
        <v>55</v>
      </c>
      <c r="C1763">
        <v>22</v>
      </c>
      <c r="D1763">
        <v>14000</v>
      </c>
      <c r="E1763">
        <v>499</v>
      </c>
      <c r="F1763">
        <v>1</v>
      </c>
      <c r="G1763">
        <v>14000</v>
      </c>
      <c r="H1763">
        <v>3.2120058999999999E-2</v>
      </c>
      <c r="I1763">
        <v>13042</v>
      </c>
      <c r="J1763">
        <v>4865</v>
      </c>
      <c r="K1763">
        <v>8177</v>
      </c>
      <c r="L1763">
        <v>500</v>
      </c>
      <c r="M1763">
        <v>499</v>
      </c>
      <c r="N1763">
        <v>1</v>
      </c>
      <c r="O1763">
        <v>958</v>
      </c>
      <c r="P1763" s="3" t="s">
        <v>51</v>
      </c>
      <c r="Q1763">
        <v>50</v>
      </c>
      <c r="R1763">
        <v>0.999</v>
      </c>
      <c r="S1763">
        <v>1</v>
      </c>
    </row>
    <row r="1764" spans="1:19" x14ac:dyDescent="0.2">
      <c r="A1764" s="3" t="s">
        <v>54</v>
      </c>
      <c r="B1764" s="3" t="s">
        <v>55</v>
      </c>
      <c r="C1764">
        <v>18</v>
      </c>
      <c r="D1764">
        <v>14000</v>
      </c>
      <c r="E1764">
        <v>499</v>
      </c>
      <c r="F1764">
        <v>1</v>
      </c>
      <c r="G1764">
        <v>14000</v>
      </c>
      <c r="H1764">
        <v>3.2109846999999997E-2</v>
      </c>
      <c r="I1764">
        <v>13033</v>
      </c>
      <c r="J1764">
        <v>4853</v>
      </c>
      <c r="K1764">
        <v>8180</v>
      </c>
      <c r="L1764">
        <v>500</v>
      </c>
      <c r="M1764">
        <v>499</v>
      </c>
      <c r="N1764">
        <v>1</v>
      </c>
      <c r="O1764">
        <v>967</v>
      </c>
      <c r="P1764" s="3" t="s">
        <v>51</v>
      </c>
      <c r="Q1764">
        <v>50</v>
      </c>
      <c r="R1764">
        <v>0.999</v>
      </c>
      <c r="S1764">
        <v>1</v>
      </c>
    </row>
    <row r="1765" spans="1:19" x14ac:dyDescent="0.2">
      <c r="A1765" s="3" t="s">
        <v>54</v>
      </c>
      <c r="B1765" s="3" t="s">
        <v>55</v>
      </c>
      <c r="C1765">
        <v>42</v>
      </c>
      <c r="D1765">
        <v>18000</v>
      </c>
      <c r="E1765">
        <v>499</v>
      </c>
      <c r="F1765">
        <v>1</v>
      </c>
      <c r="G1765">
        <v>18000</v>
      </c>
      <c r="H1765">
        <v>3.2109086000000002E-2</v>
      </c>
      <c r="I1765">
        <v>15212</v>
      </c>
      <c r="J1765">
        <v>4891</v>
      </c>
      <c r="K1765">
        <v>10321</v>
      </c>
      <c r="L1765">
        <v>500</v>
      </c>
      <c r="M1765">
        <v>499</v>
      </c>
      <c r="N1765">
        <v>1</v>
      </c>
      <c r="O1765">
        <v>2788</v>
      </c>
      <c r="P1765" s="3" t="s">
        <v>52</v>
      </c>
      <c r="Q1765">
        <v>50</v>
      </c>
      <c r="R1765">
        <v>0.999</v>
      </c>
      <c r="S1765">
        <v>1</v>
      </c>
    </row>
    <row r="1766" spans="1:19" x14ac:dyDescent="0.2">
      <c r="A1766" s="3" t="s">
        <v>54</v>
      </c>
      <c r="B1766" s="3" t="s">
        <v>55</v>
      </c>
      <c r="C1766">
        <v>12</v>
      </c>
      <c r="D1766">
        <v>14000</v>
      </c>
      <c r="E1766">
        <v>499</v>
      </c>
      <c r="F1766">
        <v>1</v>
      </c>
      <c r="G1766">
        <v>14000</v>
      </c>
      <c r="H1766">
        <v>3.2105951000000001E-2</v>
      </c>
      <c r="I1766">
        <v>13016</v>
      </c>
      <c r="J1766">
        <v>4846</v>
      </c>
      <c r="K1766">
        <v>8170</v>
      </c>
      <c r="L1766">
        <v>500</v>
      </c>
      <c r="M1766">
        <v>499</v>
      </c>
      <c r="N1766">
        <v>1</v>
      </c>
      <c r="O1766">
        <v>984</v>
      </c>
      <c r="P1766" s="3" t="s">
        <v>51</v>
      </c>
      <c r="Q1766">
        <v>50</v>
      </c>
      <c r="R1766">
        <v>0.999</v>
      </c>
      <c r="S1766">
        <v>1</v>
      </c>
    </row>
    <row r="1767" spans="1:19" x14ac:dyDescent="0.2">
      <c r="A1767" s="3" t="s">
        <v>54</v>
      </c>
      <c r="B1767" s="3" t="s">
        <v>55</v>
      </c>
      <c r="C1767">
        <v>24</v>
      </c>
      <c r="D1767">
        <v>18000</v>
      </c>
      <c r="E1767">
        <v>499</v>
      </c>
      <c r="F1767">
        <v>1</v>
      </c>
      <c r="G1767">
        <v>18000</v>
      </c>
      <c r="H1767">
        <v>3.2095371999999997E-2</v>
      </c>
      <c r="I1767">
        <v>15217</v>
      </c>
      <c r="J1767">
        <v>4866</v>
      </c>
      <c r="K1767">
        <v>10351</v>
      </c>
      <c r="L1767">
        <v>500</v>
      </c>
      <c r="M1767">
        <v>499</v>
      </c>
      <c r="N1767">
        <v>1</v>
      </c>
      <c r="O1767">
        <v>2783</v>
      </c>
      <c r="P1767" s="3" t="s">
        <v>52</v>
      </c>
      <c r="Q1767">
        <v>50</v>
      </c>
      <c r="R1767">
        <v>0.999</v>
      </c>
      <c r="S1767">
        <v>1</v>
      </c>
    </row>
    <row r="1768" spans="1:19" x14ac:dyDescent="0.2">
      <c r="A1768" s="3" t="s">
        <v>54</v>
      </c>
      <c r="B1768" s="3" t="s">
        <v>55</v>
      </c>
      <c r="C1768">
        <v>29</v>
      </c>
      <c r="D1768">
        <v>14000</v>
      </c>
      <c r="E1768">
        <v>499</v>
      </c>
      <c r="F1768">
        <v>1</v>
      </c>
      <c r="G1768">
        <v>14000</v>
      </c>
      <c r="H1768">
        <v>3.2073061E-2</v>
      </c>
      <c r="I1768">
        <v>13036</v>
      </c>
      <c r="J1768">
        <v>4867</v>
      </c>
      <c r="K1768">
        <v>8169</v>
      </c>
      <c r="L1768">
        <v>500</v>
      </c>
      <c r="M1768">
        <v>499</v>
      </c>
      <c r="N1768">
        <v>1</v>
      </c>
      <c r="O1768">
        <v>964</v>
      </c>
      <c r="P1768" s="3" t="s">
        <v>51</v>
      </c>
      <c r="Q1768">
        <v>50</v>
      </c>
      <c r="R1768">
        <v>0.999</v>
      </c>
      <c r="S1768">
        <v>1</v>
      </c>
    </row>
    <row r="1769" spans="1:19" x14ac:dyDescent="0.2">
      <c r="A1769" s="3" t="s">
        <v>54</v>
      </c>
      <c r="B1769" s="3" t="s">
        <v>55</v>
      </c>
      <c r="C1769">
        <v>50</v>
      </c>
      <c r="D1769">
        <v>14000</v>
      </c>
      <c r="E1769">
        <v>499</v>
      </c>
      <c r="F1769">
        <v>1</v>
      </c>
      <c r="G1769">
        <v>14000</v>
      </c>
      <c r="H1769">
        <v>3.2054444000000001E-2</v>
      </c>
      <c r="I1769">
        <v>13046</v>
      </c>
      <c r="J1769">
        <v>4841</v>
      </c>
      <c r="K1769">
        <v>8205</v>
      </c>
      <c r="L1769">
        <v>500</v>
      </c>
      <c r="M1769">
        <v>499</v>
      </c>
      <c r="N1769">
        <v>1</v>
      </c>
      <c r="O1769">
        <v>954</v>
      </c>
      <c r="P1769" s="3" t="s">
        <v>51</v>
      </c>
      <c r="Q1769">
        <v>50</v>
      </c>
      <c r="R1769">
        <v>0.999</v>
      </c>
      <c r="S1769">
        <v>1</v>
      </c>
    </row>
    <row r="1770" spans="1:19" x14ac:dyDescent="0.2">
      <c r="A1770" s="3" t="s">
        <v>54</v>
      </c>
      <c r="B1770" s="3" t="s">
        <v>55</v>
      </c>
      <c r="C1770">
        <v>6</v>
      </c>
      <c r="D1770">
        <v>18000</v>
      </c>
      <c r="E1770">
        <v>499</v>
      </c>
      <c r="F1770">
        <v>1</v>
      </c>
      <c r="G1770">
        <v>18000</v>
      </c>
      <c r="H1770">
        <v>3.2045149000000002E-2</v>
      </c>
      <c r="I1770">
        <v>15219</v>
      </c>
      <c r="J1770">
        <v>4868</v>
      </c>
      <c r="K1770">
        <v>10351</v>
      </c>
      <c r="L1770">
        <v>500</v>
      </c>
      <c r="M1770">
        <v>499</v>
      </c>
      <c r="N1770">
        <v>1</v>
      </c>
      <c r="O1770">
        <v>2781</v>
      </c>
      <c r="P1770" s="3" t="s">
        <v>52</v>
      </c>
      <c r="Q1770">
        <v>50</v>
      </c>
      <c r="R1770">
        <v>0.999</v>
      </c>
      <c r="S1770">
        <v>1</v>
      </c>
    </row>
    <row r="1771" spans="1:19" x14ac:dyDescent="0.2">
      <c r="A1771" s="3" t="s">
        <v>54</v>
      </c>
      <c r="B1771" s="3" t="s">
        <v>55</v>
      </c>
      <c r="C1771">
        <v>47</v>
      </c>
      <c r="D1771">
        <v>14000</v>
      </c>
      <c r="E1771">
        <v>499</v>
      </c>
      <c r="F1771">
        <v>1</v>
      </c>
      <c r="G1771">
        <v>14000</v>
      </c>
      <c r="H1771">
        <v>3.2044517000000002E-2</v>
      </c>
      <c r="I1771">
        <v>13015</v>
      </c>
      <c r="J1771">
        <v>4839</v>
      </c>
      <c r="K1771">
        <v>8176</v>
      </c>
      <c r="L1771">
        <v>500</v>
      </c>
      <c r="M1771">
        <v>499</v>
      </c>
      <c r="N1771">
        <v>1</v>
      </c>
      <c r="O1771">
        <v>985</v>
      </c>
      <c r="P1771" s="3" t="s">
        <v>51</v>
      </c>
      <c r="Q1771">
        <v>50</v>
      </c>
      <c r="R1771">
        <v>0.999</v>
      </c>
      <c r="S1771">
        <v>1</v>
      </c>
    </row>
    <row r="1772" spans="1:19" x14ac:dyDescent="0.2">
      <c r="A1772" s="3" t="s">
        <v>54</v>
      </c>
      <c r="B1772" s="3" t="s">
        <v>55</v>
      </c>
      <c r="C1772">
        <v>42</v>
      </c>
      <c r="D1772">
        <v>14000</v>
      </c>
      <c r="E1772">
        <v>499</v>
      </c>
      <c r="F1772">
        <v>1</v>
      </c>
      <c r="G1772">
        <v>14000</v>
      </c>
      <c r="H1772">
        <v>3.2032407999999998E-2</v>
      </c>
      <c r="I1772">
        <v>13051</v>
      </c>
      <c r="J1772">
        <v>4862</v>
      </c>
      <c r="K1772">
        <v>8189</v>
      </c>
      <c r="L1772">
        <v>500</v>
      </c>
      <c r="M1772">
        <v>499</v>
      </c>
      <c r="N1772">
        <v>1</v>
      </c>
      <c r="O1772">
        <v>949</v>
      </c>
      <c r="P1772" s="3" t="s">
        <v>51</v>
      </c>
      <c r="Q1772">
        <v>50</v>
      </c>
      <c r="R1772">
        <v>0.999</v>
      </c>
      <c r="S1772">
        <v>1</v>
      </c>
    </row>
    <row r="1773" spans="1:19" x14ac:dyDescent="0.2">
      <c r="A1773" s="3" t="s">
        <v>54</v>
      </c>
      <c r="B1773" s="3" t="s">
        <v>55</v>
      </c>
      <c r="C1773">
        <v>21</v>
      </c>
      <c r="D1773">
        <v>14000</v>
      </c>
      <c r="E1773">
        <v>499</v>
      </c>
      <c r="F1773">
        <v>1</v>
      </c>
      <c r="G1773">
        <v>14000</v>
      </c>
      <c r="H1773">
        <v>3.1943580999999999E-2</v>
      </c>
      <c r="I1773">
        <v>13024</v>
      </c>
      <c r="J1773">
        <v>4856</v>
      </c>
      <c r="K1773">
        <v>8168</v>
      </c>
      <c r="L1773">
        <v>500</v>
      </c>
      <c r="M1773">
        <v>499</v>
      </c>
      <c r="N1773">
        <v>1</v>
      </c>
      <c r="O1773">
        <v>976</v>
      </c>
      <c r="P1773" s="3" t="s">
        <v>51</v>
      </c>
      <c r="Q1773">
        <v>50</v>
      </c>
      <c r="R1773">
        <v>0.999</v>
      </c>
      <c r="S1773">
        <v>1</v>
      </c>
    </row>
    <row r="1774" spans="1:19" x14ac:dyDescent="0.2">
      <c r="A1774" s="3" t="s">
        <v>54</v>
      </c>
      <c r="B1774" s="3" t="s">
        <v>55</v>
      </c>
      <c r="C1774">
        <v>37</v>
      </c>
      <c r="D1774">
        <v>18000</v>
      </c>
      <c r="E1774">
        <v>499</v>
      </c>
      <c r="F1774">
        <v>1</v>
      </c>
      <c r="G1774">
        <v>18000</v>
      </c>
      <c r="H1774">
        <v>3.1937532999999997E-2</v>
      </c>
      <c r="I1774">
        <v>15249</v>
      </c>
      <c r="J1774">
        <v>4908</v>
      </c>
      <c r="K1774">
        <v>10341</v>
      </c>
      <c r="L1774">
        <v>500</v>
      </c>
      <c r="M1774">
        <v>499</v>
      </c>
      <c r="N1774">
        <v>1</v>
      </c>
      <c r="O1774">
        <v>2751</v>
      </c>
      <c r="P1774" s="3" t="s">
        <v>52</v>
      </c>
      <c r="Q1774">
        <v>50</v>
      </c>
      <c r="R1774">
        <v>0.999</v>
      </c>
      <c r="S1774">
        <v>1</v>
      </c>
    </row>
    <row r="1775" spans="1:19" x14ac:dyDescent="0.2">
      <c r="A1775" s="3" t="s">
        <v>54</v>
      </c>
      <c r="B1775" s="3" t="s">
        <v>55</v>
      </c>
      <c r="C1775">
        <v>2</v>
      </c>
      <c r="D1775">
        <v>14000</v>
      </c>
      <c r="E1775">
        <v>499</v>
      </c>
      <c r="F1775">
        <v>1</v>
      </c>
      <c r="G1775">
        <v>14000</v>
      </c>
      <c r="H1775">
        <v>3.1935149000000003E-2</v>
      </c>
      <c r="I1775">
        <v>13039</v>
      </c>
      <c r="J1775">
        <v>4870</v>
      </c>
      <c r="K1775">
        <v>8169</v>
      </c>
      <c r="L1775">
        <v>500</v>
      </c>
      <c r="M1775">
        <v>499</v>
      </c>
      <c r="N1775">
        <v>1</v>
      </c>
      <c r="O1775">
        <v>961</v>
      </c>
      <c r="P1775" s="3" t="s">
        <v>51</v>
      </c>
      <c r="Q1775">
        <v>50</v>
      </c>
      <c r="R1775">
        <v>0.999</v>
      </c>
      <c r="S1775">
        <v>1</v>
      </c>
    </row>
    <row r="1776" spans="1:19" x14ac:dyDescent="0.2">
      <c r="A1776" s="3" t="s">
        <v>54</v>
      </c>
      <c r="B1776" s="3" t="s">
        <v>55</v>
      </c>
      <c r="C1776">
        <v>25</v>
      </c>
      <c r="D1776">
        <v>18000</v>
      </c>
      <c r="E1776">
        <v>499</v>
      </c>
      <c r="F1776">
        <v>1</v>
      </c>
      <c r="G1776">
        <v>18000</v>
      </c>
      <c r="H1776">
        <v>3.1893762999999999E-2</v>
      </c>
      <c r="I1776">
        <v>15232</v>
      </c>
      <c r="J1776">
        <v>4865</v>
      </c>
      <c r="K1776">
        <v>10367</v>
      </c>
      <c r="L1776">
        <v>500</v>
      </c>
      <c r="M1776">
        <v>499</v>
      </c>
      <c r="N1776">
        <v>1</v>
      </c>
      <c r="O1776">
        <v>2768</v>
      </c>
      <c r="P1776" s="3" t="s">
        <v>52</v>
      </c>
      <c r="Q1776">
        <v>50</v>
      </c>
      <c r="R1776">
        <v>0.999</v>
      </c>
      <c r="S1776">
        <v>1</v>
      </c>
    </row>
    <row r="1777" spans="1:19" x14ac:dyDescent="0.2">
      <c r="A1777" s="3" t="s">
        <v>54</v>
      </c>
      <c r="B1777" s="3" t="s">
        <v>55</v>
      </c>
      <c r="C1777">
        <v>24</v>
      </c>
      <c r="D1777">
        <v>14000</v>
      </c>
      <c r="E1777">
        <v>499</v>
      </c>
      <c r="F1777">
        <v>1</v>
      </c>
      <c r="G1777">
        <v>14000</v>
      </c>
      <c r="H1777">
        <v>3.1887189000000003E-2</v>
      </c>
      <c r="I1777">
        <v>13041</v>
      </c>
      <c r="J1777">
        <v>4861</v>
      </c>
      <c r="K1777">
        <v>8180</v>
      </c>
      <c r="L1777">
        <v>500</v>
      </c>
      <c r="M1777">
        <v>499</v>
      </c>
      <c r="N1777">
        <v>1</v>
      </c>
      <c r="O1777">
        <v>959</v>
      </c>
      <c r="P1777" s="3" t="s">
        <v>51</v>
      </c>
      <c r="Q1777">
        <v>50</v>
      </c>
      <c r="R1777">
        <v>0.999</v>
      </c>
      <c r="S1777">
        <v>1</v>
      </c>
    </row>
    <row r="1778" spans="1:19" x14ac:dyDescent="0.2">
      <c r="A1778" s="3" t="s">
        <v>54</v>
      </c>
      <c r="B1778" s="3" t="s">
        <v>55</v>
      </c>
      <c r="C1778">
        <v>3</v>
      </c>
      <c r="D1778">
        <v>14000</v>
      </c>
      <c r="E1778">
        <v>499</v>
      </c>
      <c r="F1778">
        <v>1</v>
      </c>
      <c r="G1778">
        <v>14000</v>
      </c>
      <c r="H1778">
        <v>3.1783725999999998E-2</v>
      </c>
      <c r="I1778">
        <v>13028</v>
      </c>
      <c r="J1778">
        <v>4838</v>
      </c>
      <c r="K1778">
        <v>8190</v>
      </c>
      <c r="L1778">
        <v>500</v>
      </c>
      <c r="M1778">
        <v>499</v>
      </c>
      <c r="N1778">
        <v>1</v>
      </c>
      <c r="O1778">
        <v>972</v>
      </c>
      <c r="P1778" s="3" t="s">
        <v>51</v>
      </c>
      <c r="Q1778">
        <v>50</v>
      </c>
      <c r="R1778">
        <v>0.999</v>
      </c>
      <c r="S1778">
        <v>1</v>
      </c>
    </row>
    <row r="1779" spans="1:19" x14ac:dyDescent="0.2">
      <c r="A1779" s="3" t="s">
        <v>54</v>
      </c>
      <c r="B1779" s="3" t="s">
        <v>55</v>
      </c>
      <c r="C1779">
        <v>25</v>
      </c>
      <c r="D1779">
        <v>14000</v>
      </c>
      <c r="E1779">
        <v>499</v>
      </c>
      <c r="F1779">
        <v>1</v>
      </c>
      <c r="G1779">
        <v>14000</v>
      </c>
      <c r="H1779">
        <v>3.1737597999999999E-2</v>
      </c>
      <c r="I1779">
        <v>13039</v>
      </c>
      <c r="J1779">
        <v>4853</v>
      </c>
      <c r="K1779">
        <v>8186</v>
      </c>
      <c r="L1779">
        <v>500</v>
      </c>
      <c r="M1779">
        <v>499</v>
      </c>
      <c r="N1779">
        <v>1</v>
      </c>
      <c r="O1779">
        <v>961</v>
      </c>
      <c r="P1779" s="3" t="s">
        <v>51</v>
      </c>
      <c r="Q1779">
        <v>50</v>
      </c>
      <c r="R1779">
        <v>0.999</v>
      </c>
      <c r="S1779">
        <v>1</v>
      </c>
    </row>
    <row r="1780" spans="1:19" x14ac:dyDescent="0.2">
      <c r="A1780" s="3" t="s">
        <v>54</v>
      </c>
      <c r="B1780" s="3" t="s">
        <v>55</v>
      </c>
      <c r="C1780">
        <v>34</v>
      </c>
      <c r="D1780">
        <v>15000</v>
      </c>
      <c r="E1780">
        <v>499</v>
      </c>
      <c r="F1780">
        <v>1</v>
      </c>
      <c r="G1780">
        <v>15000</v>
      </c>
      <c r="H1780">
        <v>3.1735830999999999E-2</v>
      </c>
      <c r="I1780">
        <v>13807</v>
      </c>
      <c r="J1780">
        <v>4371</v>
      </c>
      <c r="K1780">
        <v>9436</v>
      </c>
      <c r="L1780">
        <v>500</v>
      </c>
      <c r="M1780">
        <v>499</v>
      </c>
      <c r="N1780">
        <v>1</v>
      </c>
      <c r="O1780">
        <v>1193</v>
      </c>
      <c r="P1780" s="3" t="s">
        <v>50</v>
      </c>
      <c r="Q1780">
        <v>50</v>
      </c>
      <c r="R1780">
        <v>0.999</v>
      </c>
      <c r="S1780">
        <v>1</v>
      </c>
    </row>
    <row r="1781" spans="1:19" x14ac:dyDescent="0.2">
      <c r="A1781" s="3" t="s">
        <v>54</v>
      </c>
      <c r="B1781" s="3" t="s">
        <v>55</v>
      </c>
      <c r="C1781">
        <v>36</v>
      </c>
      <c r="D1781">
        <v>14000</v>
      </c>
      <c r="E1781">
        <v>499</v>
      </c>
      <c r="F1781">
        <v>1</v>
      </c>
      <c r="G1781">
        <v>14000</v>
      </c>
      <c r="H1781">
        <v>3.1734389000000002E-2</v>
      </c>
      <c r="I1781">
        <v>13034</v>
      </c>
      <c r="J1781">
        <v>4856</v>
      </c>
      <c r="K1781">
        <v>8178</v>
      </c>
      <c r="L1781">
        <v>500</v>
      </c>
      <c r="M1781">
        <v>499</v>
      </c>
      <c r="N1781">
        <v>1</v>
      </c>
      <c r="O1781">
        <v>966</v>
      </c>
      <c r="P1781" s="3" t="s">
        <v>51</v>
      </c>
      <c r="Q1781">
        <v>50</v>
      </c>
      <c r="R1781">
        <v>0.999</v>
      </c>
      <c r="S1781">
        <v>1</v>
      </c>
    </row>
    <row r="1782" spans="1:19" x14ac:dyDescent="0.2">
      <c r="A1782" s="3" t="s">
        <v>54</v>
      </c>
      <c r="B1782" s="3" t="s">
        <v>55</v>
      </c>
      <c r="C1782">
        <v>40</v>
      </c>
      <c r="D1782">
        <v>18000</v>
      </c>
      <c r="E1782">
        <v>499</v>
      </c>
      <c r="F1782">
        <v>1</v>
      </c>
      <c r="G1782">
        <v>18000</v>
      </c>
      <c r="H1782">
        <v>3.1728660999999998E-2</v>
      </c>
      <c r="I1782">
        <v>15207</v>
      </c>
      <c r="J1782">
        <v>4873</v>
      </c>
      <c r="K1782">
        <v>10334</v>
      </c>
      <c r="L1782">
        <v>500</v>
      </c>
      <c r="M1782">
        <v>499</v>
      </c>
      <c r="N1782">
        <v>1</v>
      </c>
      <c r="O1782">
        <v>2793</v>
      </c>
      <c r="P1782" s="3" t="s">
        <v>52</v>
      </c>
      <c r="Q1782">
        <v>50</v>
      </c>
      <c r="R1782">
        <v>0.999</v>
      </c>
      <c r="S1782">
        <v>1</v>
      </c>
    </row>
    <row r="1783" spans="1:19" x14ac:dyDescent="0.2">
      <c r="A1783" s="3" t="s">
        <v>54</v>
      </c>
      <c r="B1783" s="3" t="s">
        <v>55</v>
      </c>
      <c r="C1783">
        <v>34</v>
      </c>
      <c r="D1783">
        <v>18000</v>
      </c>
      <c r="E1783">
        <v>499</v>
      </c>
      <c r="F1783">
        <v>1</v>
      </c>
      <c r="G1783">
        <v>18000</v>
      </c>
      <c r="H1783">
        <v>3.1720109000000003E-2</v>
      </c>
      <c r="I1783">
        <v>15198</v>
      </c>
      <c r="J1783">
        <v>4848</v>
      </c>
      <c r="K1783">
        <v>10350</v>
      </c>
      <c r="L1783">
        <v>500</v>
      </c>
      <c r="M1783">
        <v>499</v>
      </c>
      <c r="N1783">
        <v>1</v>
      </c>
      <c r="O1783">
        <v>2802</v>
      </c>
      <c r="P1783" s="3" t="s">
        <v>52</v>
      </c>
      <c r="Q1783">
        <v>50</v>
      </c>
      <c r="R1783">
        <v>0.999</v>
      </c>
      <c r="S1783">
        <v>1</v>
      </c>
    </row>
    <row r="1784" spans="1:19" x14ac:dyDescent="0.2">
      <c r="A1784" s="3" t="s">
        <v>54</v>
      </c>
      <c r="B1784" s="3" t="s">
        <v>55</v>
      </c>
      <c r="C1784">
        <v>5</v>
      </c>
      <c r="D1784">
        <v>18000</v>
      </c>
      <c r="E1784">
        <v>499</v>
      </c>
      <c r="F1784">
        <v>1</v>
      </c>
      <c r="G1784">
        <v>18000</v>
      </c>
      <c r="H1784">
        <v>3.1716434000000002E-2</v>
      </c>
      <c r="I1784">
        <v>15208</v>
      </c>
      <c r="J1784">
        <v>4861</v>
      </c>
      <c r="K1784">
        <v>10347</v>
      </c>
      <c r="L1784">
        <v>500</v>
      </c>
      <c r="M1784">
        <v>499</v>
      </c>
      <c r="N1784">
        <v>1</v>
      </c>
      <c r="O1784">
        <v>2792</v>
      </c>
      <c r="P1784" s="3" t="s">
        <v>52</v>
      </c>
      <c r="Q1784">
        <v>50</v>
      </c>
      <c r="R1784">
        <v>0.999</v>
      </c>
      <c r="S1784">
        <v>1</v>
      </c>
    </row>
    <row r="1785" spans="1:19" x14ac:dyDescent="0.2">
      <c r="A1785" s="3" t="s">
        <v>54</v>
      </c>
      <c r="B1785" s="3" t="s">
        <v>55</v>
      </c>
      <c r="C1785">
        <v>31</v>
      </c>
      <c r="D1785">
        <v>14000</v>
      </c>
      <c r="E1785">
        <v>499</v>
      </c>
      <c r="F1785">
        <v>1</v>
      </c>
      <c r="G1785">
        <v>14000</v>
      </c>
      <c r="H1785">
        <v>3.1715387999999997E-2</v>
      </c>
      <c r="I1785">
        <v>13049</v>
      </c>
      <c r="J1785">
        <v>4855</v>
      </c>
      <c r="K1785">
        <v>8194</v>
      </c>
      <c r="L1785">
        <v>500</v>
      </c>
      <c r="M1785">
        <v>499</v>
      </c>
      <c r="N1785">
        <v>1</v>
      </c>
      <c r="O1785">
        <v>951</v>
      </c>
      <c r="P1785" s="3" t="s">
        <v>51</v>
      </c>
      <c r="Q1785">
        <v>50</v>
      </c>
      <c r="R1785">
        <v>0.999</v>
      </c>
      <c r="S1785">
        <v>1</v>
      </c>
    </row>
    <row r="1786" spans="1:19" x14ac:dyDescent="0.2">
      <c r="A1786" s="3" t="s">
        <v>54</v>
      </c>
      <c r="B1786" s="3" t="s">
        <v>55</v>
      </c>
      <c r="C1786">
        <v>4</v>
      </c>
      <c r="D1786">
        <v>14000</v>
      </c>
      <c r="E1786">
        <v>499</v>
      </c>
      <c r="F1786">
        <v>1</v>
      </c>
      <c r="G1786">
        <v>14000</v>
      </c>
      <c r="H1786">
        <v>3.1686678000000003E-2</v>
      </c>
      <c r="I1786">
        <v>13030</v>
      </c>
      <c r="J1786">
        <v>4867</v>
      </c>
      <c r="K1786">
        <v>8163</v>
      </c>
      <c r="L1786">
        <v>500</v>
      </c>
      <c r="M1786">
        <v>499</v>
      </c>
      <c r="N1786">
        <v>1</v>
      </c>
      <c r="O1786">
        <v>970</v>
      </c>
      <c r="P1786" s="3" t="s">
        <v>51</v>
      </c>
      <c r="Q1786">
        <v>50</v>
      </c>
      <c r="R1786">
        <v>0.999</v>
      </c>
      <c r="S1786">
        <v>1</v>
      </c>
    </row>
    <row r="1787" spans="1:19" x14ac:dyDescent="0.2">
      <c r="A1787" s="3" t="s">
        <v>54</v>
      </c>
      <c r="B1787" s="3" t="s">
        <v>55</v>
      </c>
      <c r="C1787">
        <v>14</v>
      </c>
      <c r="D1787">
        <v>14000</v>
      </c>
      <c r="E1787">
        <v>499</v>
      </c>
      <c r="F1787">
        <v>1</v>
      </c>
      <c r="G1787">
        <v>14000</v>
      </c>
      <c r="H1787">
        <v>3.1642860000000002E-2</v>
      </c>
      <c r="I1787">
        <v>13043</v>
      </c>
      <c r="J1787">
        <v>4849</v>
      </c>
      <c r="K1787">
        <v>8194</v>
      </c>
      <c r="L1787">
        <v>500</v>
      </c>
      <c r="M1787">
        <v>499</v>
      </c>
      <c r="N1787">
        <v>1</v>
      </c>
      <c r="O1787">
        <v>957</v>
      </c>
      <c r="P1787" s="3" t="s">
        <v>51</v>
      </c>
      <c r="Q1787">
        <v>50</v>
      </c>
      <c r="R1787">
        <v>0.999</v>
      </c>
      <c r="S1787">
        <v>1</v>
      </c>
    </row>
    <row r="1788" spans="1:19" x14ac:dyDescent="0.2">
      <c r="A1788" s="3" t="s">
        <v>54</v>
      </c>
      <c r="B1788" s="3" t="s">
        <v>55</v>
      </c>
      <c r="C1788">
        <v>33</v>
      </c>
      <c r="D1788">
        <v>13000</v>
      </c>
      <c r="E1788">
        <v>499</v>
      </c>
      <c r="F1788">
        <v>1</v>
      </c>
      <c r="G1788">
        <v>13000</v>
      </c>
      <c r="H1788">
        <v>3.1638076000000001E-2</v>
      </c>
      <c r="I1788">
        <v>12558</v>
      </c>
      <c r="J1788">
        <v>4837</v>
      </c>
      <c r="K1788">
        <v>7721</v>
      </c>
      <c r="L1788">
        <v>500</v>
      </c>
      <c r="M1788">
        <v>499</v>
      </c>
      <c r="N1788">
        <v>1</v>
      </c>
      <c r="O1788">
        <v>442</v>
      </c>
      <c r="P1788" s="3" t="s">
        <v>51</v>
      </c>
      <c r="Q1788">
        <v>50</v>
      </c>
      <c r="R1788">
        <v>0.999</v>
      </c>
      <c r="S1788">
        <v>1</v>
      </c>
    </row>
    <row r="1789" spans="1:19" x14ac:dyDescent="0.2">
      <c r="A1789" s="3" t="s">
        <v>54</v>
      </c>
      <c r="B1789" s="3" t="s">
        <v>55</v>
      </c>
      <c r="C1789">
        <v>19</v>
      </c>
      <c r="D1789">
        <v>13000</v>
      </c>
      <c r="E1789">
        <v>499</v>
      </c>
      <c r="F1789">
        <v>1</v>
      </c>
      <c r="G1789">
        <v>13000</v>
      </c>
      <c r="H1789">
        <v>3.163386E-2</v>
      </c>
      <c r="I1789">
        <v>12547</v>
      </c>
      <c r="J1789">
        <v>4815</v>
      </c>
      <c r="K1789">
        <v>7732</v>
      </c>
      <c r="L1789">
        <v>500</v>
      </c>
      <c r="M1789">
        <v>499</v>
      </c>
      <c r="N1789">
        <v>1</v>
      </c>
      <c r="O1789">
        <v>453</v>
      </c>
      <c r="P1789" s="3" t="s">
        <v>51</v>
      </c>
      <c r="Q1789">
        <v>50</v>
      </c>
      <c r="R1789">
        <v>0.999</v>
      </c>
      <c r="S1789">
        <v>1</v>
      </c>
    </row>
    <row r="1790" spans="1:19" x14ac:dyDescent="0.2">
      <c r="A1790" s="3" t="s">
        <v>54</v>
      </c>
      <c r="B1790" s="3" t="s">
        <v>55</v>
      </c>
      <c r="C1790">
        <v>33</v>
      </c>
      <c r="D1790">
        <v>18000</v>
      </c>
      <c r="E1790">
        <v>499</v>
      </c>
      <c r="F1790">
        <v>1</v>
      </c>
      <c r="G1790">
        <v>18000</v>
      </c>
      <c r="H1790">
        <v>3.1620293000000001E-2</v>
      </c>
      <c r="I1790">
        <v>15213</v>
      </c>
      <c r="J1790">
        <v>4896</v>
      </c>
      <c r="K1790">
        <v>10317</v>
      </c>
      <c r="L1790">
        <v>500</v>
      </c>
      <c r="M1790">
        <v>499</v>
      </c>
      <c r="N1790">
        <v>1</v>
      </c>
      <c r="O1790">
        <v>2787</v>
      </c>
      <c r="P1790" s="3" t="s">
        <v>52</v>
      </c>
      <c r="Q1790">
        <v>50</v>
      </c>
      <c r="R1790">
        <v>0.999</v>
      </c>
      <c r="S1790">
        <v>1</v>
      </c>
    </row>
    <row r="1791" spans="1:19" x14ac:dyDescent="0.2">
      <c r="A1791" s="3" t="s">
        <v>54</v>
      </c>
      <c r="B1791" s="3" t="s">
        <v>55</v>
      </c>
      <c r="C1791">
        <v>48</v>
      </c>
      <c r="D1791">
        <v>14000</v>
      </c>
      <c r="E1791">
        <v>499</v>
      </c>
      <c r="F1791">
        <v>1</v>
      </c>
      <c r="G1791">
        <v>14000</v>
      </c>
      <c r="H1791">
        <v>3.1603408999999999E-2</v>
      </c>
      <c r="I1791">
        <v>13288</v>
      </c>
      <c r="J1791">
        <v>4080</v>
      </c>
      <c r="K1791">
        <v>9208</v>
      </c>
      <c r="L1791">
        <v>500</v>
      </c>
      <c r="M1791">
        <v>499</v>
      </c>
      <c r="N1791">
        <v>1</v>
      </c>
      <c r="O1791">
        <v>712</v>
      </c>
      <c r="P1791" s="3" t="s">
        <v>50</v>
      </c>
      <c r="Q1791">
        <v>50</v>
      </c>
      <c r="R1791">
        <v>0.999</v>
      </c>
      <c r="S1791">
        <v>1</v>
      </c>
    </row>
    <row r="1792" spans="1:19" x14ac:dyDescent="0.2">
      <c r="A1792" s="3" t="s">
        <v>54</v>
      </c>
      <c r="B1792" s="3" t="s">
        <v>55</v>
      </c>
      <c r="C1792">
        <v>37</v>
      </c>
      <c r="D1792">
        <v>14000</v>
      </c>
      <c r="E1792">
        <v>499</v>
      </c>
      <c r="F1792">
        <v>1</v>
      </c>
      <c r="G1792">
        <v>14000</v>
      </c>
      <c r="H1792">
        <v>3.1550425E-2</v>
      </c>
      <c r="I1792">
        <v>13018</v>
      </c>
      <c r="J1792">
        <v>4844</v>
      </c>
      <c r="K1792">
        <v>8174</v>
      </c>
      <c r="L1792">
        <v>500</v>
      </c>
      <c r="M1792">
        <v>499</v>
      </c>
      <c r="N1792">
        <v>1</v>
      </c>
      <c r="O1792">
        <v>982</v>
      </c>
      <c r="P1792" s="3" t="s">
        <v>51</v>
      </c>
      <c r="Q1792">
        <v>50</v>
      </c>
      <c r="R1792">
        <v>0.999</v>
      </c>
      <c r="S1792">
        <v>1</v>
      </c>
    </row>
    <row r="1793" spans="1:19" x14ac:dyDescent="0.2">
      <c r="A1793" s="3" t="s">
        <v>54</v>
      </c>
      <c r="B1793" s="3" t="s">
        <v>55</v>
      </c>
      <c r="C1793">
        <v>47</v>
      </c>
      <c r="D1793">
        <v>18000</v>
      </c>
      <c r="E1793">
        <v>499</v>
      </c>
      <c r="F1793">
        <v>1</v>
      </c>
      <c r="G1793">
        <v>18000</v>
      </c>
      <c r="H1793">
        <v>3.1508818000000001E-2</v>
      </c>
      <c r="I1793">
        <v>15218</v>
      </c>
      <c r="J1793">
        <v>4897</v>
      </c>
      <c r="K1793">
        <v>10321</v>
      </c>
      <c r="L1793">
        <v>500</v>
      </c>
      <c r="M1793">
        <v>499</v>
      </c>
      <c r="N1793">
        <v>1</v>
      </c>
      <c r="O1793">
        <v>2782</v>
      </c>
      <c r="P1793" s="3" t="s">
        <v>52</v>
      </c>
      <c r="Q1793">
        <v>50</v>
      </c>
      <c r="R1793">
        <v>0.999</v>
      </c>
      <c r="S1793">
        <v>1</v>
      </c>
    </row>
    <row r="1794" spans="1:19" x14ac:dyDescent="0.2">
      <c r="A1794" s="3" t="s">
        <v>54</v>
      </c>
      <c r="B1794" s="3" t="s">
        <v>55</v>
      </c>
      <c r="C1794">
        <v>43</v>
      </c>
      <c r="D1794">
        <v>18000</v>
      </c>
      <c r="E1794">
        <v>499</v>
      </c>
      <c r="F1794">
        <v>1</v>
      </c>
      <c r="G1794">
        <v>18000</v>
      </c>
      <c r="H1794">
        <v>3.1503499999999997E-2</v>
      </c>
      <c r="I1794">
        <v>15232</v>
      </c>
      <c r="J1794">
        <v>4827</v>
      </c>
      <c r="K1794">
        <v>10405</v>
      </c>
      <c r="L1794">
        <v>500</v>
      </c>
      <c r="M1794">
        <v>499</v>
      </c>
      <c r="N1794">
        <v>1</v>
      </c>
      <c r="O1794">
        <v>2768</v>
      </c>
      <c r="P1794" s="3" t="s">
        <v>52</v>
      </c>
      <c r="Q1794">
        <v>50</v>
      </c>
      <c r="R1794">
        <v>0.999</v>
      </c>
      <c r="S1794">
        <v>1</v>
      </c>
    </row>
    <row r="1795" spans="1:19" x14ac:dyDescent="0.2">
      <c r="A1795" s="3" t="s">
        <v>54</v>
      </c>
      <c r="B1795" s="3" t="s">
        <v>55</v>
      </c>
      <c r="C1795">
        <v>22</v>
      </c>
      <c r="D1795">
        <v>17000</v>
      </c>
      <c r="E1795">
        <v>499</v>
      </c>
      <c r="F1795">
        <v>1</v>
      </c>
      <c r="G1795">
        <v>17000</v>
      </c>
      <c r="H1795">
        <v>3.147668E-2</v>
      </c>
      <c r="I1795">
        <v>14776</v>
      </c>
      <c r="J1795">
        <v>4701</v>
      </c>
      <c r="K1795">
        <v>10075</v>
      </c>
      <c r="L1795">
        <v>500</v>
      </c>
      <c r="M1795">
        <v>499</v>
      </c>
      <c r="N1795">
        <v>1</v>
      </c>
      <c r="O1795">
        <v>2224</v>
      </c>
      <c r="P1795" s="3" t="s">
        <v>50</v>
      </c>
      <c r="Q1795">
        <v>50</v>
      </c>
      <c r="R1795">
        <v>0.999</v>
      </c>
      <c r="S1795">
        <v>1</v>
      </c>
    </row>
    <row r="1796" spans="1:19" x14ac:dyDescent="0.2">
      <c r="A1796" s="3" t="s">
        <v>54</v>
      </c>
      <c r="B1796" s="3" t="s">
        <v>55</v>
      </c>
      <c r="C1796">
        <v>50</v>
      </c>
      <c r="D1796">
        <v>13000</v>
      </c>
      <c r="E1796">
        <v>499</v>
      </c>
      <c r="F1796">
        <v>1</v>
      </c>
      <c r="G1796">
        <v>53044.701099550097</v>
      </c>
      <c r="H1796">
        <v>3.1421113000000001E-2</v>
      </c>
      <c r="I1796">
        <v>12451</v>
      </c>
      <c r="J1796">
        <v>4098</v>
      </c>
      <c r="K1796">
        <v>8353</v>
      </c>
      <c r="L1796">
        <v>500</v>
      </c>
      <c r="M1796">
        <v>499</v>
      </c>
      <c r="N1796">
        <v>1</v>
      </c>
      <c r="O1796">
        <v>2016.5465210119</v>
      </c>
      <c r="P1796" s="3" t="s">
        <v>51</v>
      </c>
      <c r="Q1796">
        <v>50</v>
      </c>
      <c r="R1796">
        <v>0.999</v>
      </c>
      <c r="S1796">
        <v>0</v>
      </c>
    </row>
    <row r="1797" spans="1:19" x14ac:dyDescent="0.2">
      <c r="A1797" s="3" t="s">
        <v>54</v>
      </c>
      <c r="B1797" s="3" t="s">
        <v>55</v>
      </c>
      <c r="C1797">
        <v>41</v>
      </c>
      <c r="D1797">
        <v>14000</v>
      </c>
      <c r="E1797">
        <v>499</v>
      </c>
      <c r="F1797">
        <v>1</v>
      </c>
      <c r="G1797">
        <v>14000</v>
      </c>
      <c r="H1797">
        <v>3.1415226999999997E-2</v>
      </c>
      <c r="I1797">
        <v>13057</v>
      </c>
      <c r="J1797">
        <v>4858</v>
      </c>
      <c r="K1797">
        <v>8199</v>
      </c>
      <c r="L1797">
        <v>500</v>
      </c>
      <c r="M1797">
        <v>499</v>
      </c>
      <c r="N1797">
        <v>1</v>
      </c>
      <c r="O1797">
        <v>943</v>
      </c>
      <c r="P1797" s="3" t="s">
        <v>51</v>
      </c>
      <c r="Q1797">
        <v>50</v>
      </c>
      <c r="R1797">
        <v>0.999</v>
      </c>
      <c r="S1797">
        <v>1</v>
      </c>
    </row>
    <row r="1798" spans="1:19" x14ac:dyDescent="0.2">
      <c r="A1798" s="3" t="s">
        <v>54</v>
      </c>
      <c r="B1798" s="3" t="s">
        <v>55</v>
      </c>
      <c r="C1798">
        <v>15</v>
      </c>
      <c r="D1798">
        <v>18000</v>
      </c>
      <c r="E1798">
        <v>499</v>
      </c>
      <c r="F1798">
        <v>1</v>
      </c>
      <c r="G1798">
        <v>18000</v>
      </c>
      <c r="H1798">
        <v>3.1364296E-2</v>
      </c>
      <c r="I1798">
        <v>15188</v>
      </c>
      <c r="J1798">
        <v>4795</v>
      </c>
      <c r="K1798">
        <v>10393</v>
      </c>
      <c r="L1798">
        <v>500</v>
      </c>
      <c r="M1798">
        <v>499</v>
      </c>
      <c r="N1798">
        <v>1</v>
      </c>
      <c r="O1798">
        <v>2812</v>
      </c>
      <c r="P1798" s="3" t="s">
        <v>52</v>
      </c>
      <c r="Q1798">
        <v>50</v>
      </c>
      <c r="R1798">
        <v>0.999</v>
      </c>
      <c r="S1798">
        <v>1</v>
      </c>
    </row>
    <row r="1799" spans="1:19" x14ac:dyDescent="0.2">
      <c r="A1799" s="3" t="s">
        <v>54</v>
      </c>
      <c r="B1799" s="3" t="s">
        <v>55</v>
      </c>
      <c r="C1799">
        <v>12</v>
      </c>
      <c r="D1799">
        <v>18000</v>
      </c>
      <c r="E1799">
        <v>499</v>
      </c>
      <c r="F1799">
        <v>1</v>
      </c>
      <c r="G1799">
        <v>18000</v>
      </c>
      <c r="H1799">
        <v>3.1360226999999997E-2</v>
      </c>
      <c r="I1799">
        <v>15200</v>
      </c>
      <c r="J1799">
        <v>4866</v>
      </c>
      <c r="K1799">
        <v>10334</v>
      </c>
      <c r="L1799">
        <v>500</v>
      </c>
      <c r="M1799">
        <v>499</v>
      </c>
      <c r="N1799">
        <v>1</v>
      </c>
      <c r="O1799">
        <v>2800</v>
      </c>
      <c r="P1799" s="3" t="s">
        <v>52</v>
      </c>
      <c r="Q1799">
        <v>50</v>
      </c>
      <c r="R1799">
        <v>0.999</v>
      </c>
      <c r="S1799">
        <v>1</v>
      </c>
    </row>
    <row r="1800" spans="1:19" x14ac:dyDescent="0.2">
      <c r="A1800" s="3" t="s">
        <v>54</v>
      </c>
      <c r="B1800" s="3" t="s">
        <v>55</v>
      </c>
      <c r="C1800">
        <v>45</v>
      </c>
      <c r="D1800">
        <v>18000</v>
      </c>
      <c r="E1800">
        <v>499</v>
      </c>
      <c r="F1800">
        <v>1</v>
      </c>
      <c r="G1800">
        <v>18000</v>
      </c>
      <c r="H1800">
        <v>3.1342371000000001E-2</v>
      </c>
      <c r="I1800">
        <v>15238</v>
      </c>
      <c r="J1800">
        <v>4858</v>
      </c>
      <c r="K1800">
        <v>10380</v>
      </c>
      <c r="L1800">
        <v>500</v>
      </c>
      <c r="M1800">
        <v>499</v>
      </c>
      <c r="N1800">
        <v>1</v>
      </c>
      <c r="O1800">
        <v>2762</v>
      </c>
      <c r="P1800" s="3" t="s">
        <v>52</v>
      </c>
      <c r="Q1800">
        <v>50</v>
      </c>
      <c r="R1800">
        <v>0.999</v>
      </c>
      <c r="S1800">
        <v>1</v>
      </c>
    </row>
    <row r="1801" spans="1:19" x14ac:dyDescent="0.2">
      <c r="A1801" s="3" t="s">
        <v>54</v>
      </c>
      <c r="B1801" s="3" t="s">
        <v>55</v>
      </c>
      <c r="C1801">
        <v>24</v>
      </c>
      <c r="D1801">
        <v>17000</v>
      </c>
      <c r="E1801">
        <v>499</v>
      </c>
      <c r="F1801">
        <v>1</v>
      </c>
      <c r="G1801">
        <v>17000</v>
      </c>
      <c r="H1801">
        <v>3.1324046000000001E-2</v>
      </c>
      <c r="I1801">
        <v>14798</v>
      </c>
      <c r="J1801">
        <v>4764</v>
      </c>
      <c r="K1801">
        <v>10034</v>
      </c>
      <c r="L1801">
        <v>500</v>
      </c>
      <c r="M1801">
        <v>499</v>
      </c>
      <c r="N1801">
        <v>1</v>
      </c>
      <c r="O1801">
        <v>2202</v>
      </c>
      <c r="P1801" s="3" t="s">
        <v>50</v>
      </c>
      <c r="Q1801">
        <v>50</v>
      </c>
      <c r="R1801">
        <v>0.999</v>
      </c>
      <c r="S1801">
        <v>1</v>
      </c>
    </row>
    <row r="1802" spans="1:19" x14ac:dyDescent="0.2">
      <c r="A1802" s="3" t="s">
        <v>54</v>
      </c>
      <c r="B1802" s="3" t="s">
        <v>55</v>
      </c>
      <c r="C1802">
        <v>30</v>
      </c>
      <c r="D1802">
        <v>18000</v>
      </c>
      <c r="E1802">
        <v>499</v>
      </c>
      <c r="F1802">
        <v>1</v>
      </c>
      <c r="G1802">
        <v>18000</v>
      </c>
      <c r="H1802">
        <v>3.1311864000000002E-2</v>
      </c>
      <c r="I1802">
        <v>15213</v>
      </c>
      <c r="J1802">
        <v>4859</v>
      </c>
      <c r="K1802">
        <v>10354</v>
      </c>
      <c r="L1802">
        <v>500</v>
      </c>
      <c r="M1802">
        <v>499</v>
      </c>
      <c r="N1802">
        <v>1</v>
      </c>
      <c r="O1802">
        <v>2787</v>
      </c>
      <c r="P1802" s="3" t="s">
        <v>52</v>
      </c>
      <c r="Q1802">
        <v>50</v>
      </c>
      <c r="R1802">
        <v>0.999</v>
      </c>
      <c r="S1802">
        <v>1</v>
      </c>
    </row>
    <row r="1803" spans="1:19" x14ac:dyDescent="0.2">
      <c r="A1803" s="3" t="s">
        <v>54</v>
      </c>
      <c r="B1803" s="3" t="s">
        <v>55</v>
      </c>
      <c r="C1803">
        <v>10</v>
      </c>
      <c r="D1803">
        <v>18000</v>
      </c>
      <c r="E1803">
        <v>499</v>
      </c>
      <c r="F1803">
        <v>1</v>
      </c>
      <c r="G1803">
        <v>18000</v>
      </c>
      <c r="H1803">
        <v>3.1293465999999999E-2</v>
      </c>
      <c r="I1803">
        <v>15236</v>
      </c>
      <c r="J1803">
        <v>4872</v>
      </c>
      <c r="K1803">
        <v>10364</v>
      </c>
      <c r="L1803">
        <v>500</v>
      </c>
      <c r="M1803">
        <v>499</v>
      </c>
      <c r="N1803">
        <v>1</v>
      </c>
      <c r="O1803">
        <v>2764</v>
      </c>
      <c r="P1803" s="3" t="s">
        <v>52</v>
      </c>
      <c r="Q1803">
        <v>50</v>
      </c>
      <c r="R1803">
        <v>0.999</v>
      </c>
      <c r="S1803">
        <v>1</v>
      </c>
    </row>
    <row r="1804" spans="1:19" x14ac:dyDescent="0.2">
      <c r="A1804" s="3" t="s">
        <v>54</v>
      </c>
      <c r="B1804" s="3" t="s">
        <v>55</v>
      </c>
      <c r="C1804">
        <v>21</v>
      </c>
      <c r="D1804">
        <v>18000</v>
      </c>
      <c r="E1804">
        <v>499</v>
      </c>
      <c r="F1804">
        <v>1</v>
      </c>
      <c r="G1804">
        <v>18000</v>
      </c>
      <c r="H1804">
        <v>3.1291989999999999E-2</v>
      </c>
      <c r="I1804">
        <v>15239</v>
      </c>
      <c r="J1804">
        <v>4922</v>
      </c>
      <c r="K1804">
        <v>10317</v>
      </c>
      <c r="L1804">
        <v>500</v>
      </c>
      <c r="M1804">
        <v>499</v>
      </c>
      <c r="N1804">
        <v>1</v>
      </c>
      <c r="O1804">
        <v>2761</v>
      </c>
      <c r="P1804" s="3" t="s">
        <v>52</v>
      </c>
      <c r="Q1804">
        <v>50</v>
      </c>
      <c r="R1804">
        <v>0.999</v>
      </c>
      <c r="S1804">
        <v>1</v>
      </c>
    </row>
    <row r="1805" spans="1:19" x14ac:dyDescent="0.2">
      <c r="A1805" s="3" t="s">
        <v>54</v>
      </c>
      <c r="B1805" s="3" t="s">
        <v>55</v>
      </c>
      <c r="C1805">
        <v>14</v>
      </c>
      <c r="D1805">
        <v>18000</v>
      </c>
      <c r="E1805">
        <v>499</v>
      </c>
      <c r="F1805">
        <v>1</v>
      </c>
      <c r="G1805">
        <v>18000</v>
      </c>
      <c r="H1805">
        <v>3.1271979999999998E-2</v>
      </c>
      <c r="I1805">
        <v>15165</v>
      </c>
      <c r="J1805">
        <v>4866</v>
      </c>
      <c r="K1805">
        <v>10299</v>
      </c>
      <c r="L1805">
        <v>500</v>
      </c>
      <c r="M1805">
        <v>499</v>
      </c>
      <c r="N1805">
        <v>1</v>
      </c>
      <c r="O1805">
        <v>2835</v>
      </c>
      <c r="P1805" s="3" t="s">
        <v>52</v>
      </c>
      <c r="Q1805">
        <v>50</v>
      </c>
      <c r="R1805">
        <v>0.999</v>
      </c>
      <c r="S1805">
        <v>1</v>
      </c>
    </row>
    <row r="1806" spans="1:19" x14ac:dyDescent="0.2">
      <c r="A1806" s="3" t="s">
        <v>54</v>
      </c>
      <c r="B1806" s="3" t="s">
        <v>55</v>
      </c>
      <c r="C1806">
        <v>13</v>
      </c>
      <c r="D1806">
        <v>18000</v>
      </c>
      <c r="E1806">
        <v>499</v>
      </c>
      <c r="F1806">
        <v>1</v>
      </c>
      <c r="G1806">
        <v>18000</v>
      </c>
      <c r="H1806">
        <v>3.117959E-2</v>
      </c>
      <c r="I1806">
        <v>15181</v>
      </c>
      <c r="J1806">
        <v>4837</v>
      </c>
      <c r="K1806">
        <v>10344</v>
      </c>
      <c r="L1806">
        <v>500</v>
      </c>
      <c r="M1806">
        <v>499</v>
      </c>
      <c r="N1806">
        <v>1</v>
      </c>
      <c r="O1806">
        <v>2819</v>
      </c>
      <c r="P1806" s="3" t="s">
        <v>52</v>
      </c>
      <c r="Q1806">
        <v>50</v>
      </c>
      <c r="R1806">
        <v>0.999</v>
      </c>
      <c r="S1806">
        <v>1</v>
      </c>
    </row>
    <row r="1807" spans="1:19" x14ac:dyDescent="0.2">
      <c r="A1807" s="3" t="s">
        <v>54</v>
      </c>
      <c r="B1807" s="3" t="s">
        <v>55</v>
      </c>
      <c r="C1807">
        <v>29</v>
      </c>
      <c r="D1807">
        <v>13000</v>
      </c>
      <c r="E1807">
        <v>499</v>
      </c>
      <c r="F1807">
        <v>1</v>
      </c>
      <c r="G1807">
        <v>53044.701099550097</v>
      </c>
      <c r="H1807">
        <v>3.1158076E-2</v>
      </c>
      <c r="I1807">
        <v>12454</v>
      </c>
      <c r="J1807">
        <v>4071</v>
      </c>
      <c r="K1807">
        <v>8383</v>
      </c>
      <c r="L1807">
        <v>500</v>
      </c>
      <c r="M1807">
        <v>499</v>
      </c>
      <c r="N1807">
        <v>1</v>
      </c>
      <c r="O1807">
        <v>2016.3956464703999</v>
      </c>
      <c r="P1807" s="3" t="s">
        <v>51</v>
      </c>
      <c r="Q1807">
        <v>50</v>
      </c>
      <c r="R1807">
        <v>0.999</v>
      </c>
      <c r="S1807">
        <v>0</v>
      </c>
    </row>
    <row r="1808" spans="1:19" x14ac:dyDescent="0.2">
      <c r="A1808" s="3" t="s">
        <v>54</v>
      </c>
      <c r="B1808" s="3" t="s">
        <v>55</v>
      </c>
      <c r="C1808">
        <v>49</v>
      </c>
      <c r="D1808">
        <v>18000</v>
      </c>
      <c r="E1808">
        <v>499</v>
      </c>
      <c r="F1808">
        <v>1</v>
      </c>
      <c r="G1808">
        <v>18000</v>
      </c>
      <c r="H1808">
        <v>3.1149881000000001E-2</v>
      </c>
      <c r="I1808">
        <v>15237</v>
      </c>
      <c r="J1808">
        <v>4870</v>
      </c>
      <c r="K1808">
        <v>10367</v>
      </c>
      <c r="L1808">
        <v>500</v>
      </c>
      <c r="M1808">
        <v>499</v>
      </c>
      <c r="N1808">
        <v>1</v>
      </c>
      <c r="O1808">
        <v>2763</v>
      </c>
      <c r="P1808" s="3" t="s">
        <v>52</v>
      </c>
      <c r="Q1808">
        <v>50</v>
      </c>
      <c r="R1808">
        <v>0.999</v>
      </c>
      <c r="S1808">
        <v>1</v>
      </c>
    </row>
    <row r="1809" spans="1:19" x14ac:dyDescent="0.2">
      <c r="A1809" s="3" t="s">
        <v>54</v>
      </c>
      <c r="B1809" s="3" t="s">
        <v>55</v>
      </c>
      <c r="C1809">
        <v>11</v>
      </c>
      <c r="D1809">
        <v>18000</v>
      </c>
      <c r="E1809">
        <v>499</v>
      </c>
      <c r="F1809">
        <v>1</v>
      </c>
      <c r="G1809">
        <v>18000</v>
      </c>
      <c r="H1809">
        <v>3.1145250999999999E-2</v>
      </c>
      <c r="I1809">
        <v>15211</v>
      </c>
      <c r="J1809">
        <v>4865</v>
      </c>
      <c r="K1809">
        <v>10346</v>
      </c>
      <c r="L1809">
        <v>500</v>
      </c>
      <c r="M1809">
        <v>499</v>
      </c>
      <c r="N1809">
        <v>1</v>
      </c>
      <c r="O1809">
        <v>2789</v>
      </c>
      <c r="P1809" s="3" t="s">
        <v>52</v>
      </c>
      <c r="Q1809">
        <v>50</v>
      </c>
      <c r="R1809">
        <v>0.999</v>
      </c>
      <c r="S1809">
        <v>1</v>
      </c>
    </row>
    <row r="1810" spans="1:19" x14ac:dyDescent="0.2">
      <c r="A1810" s="3" t="s">
        <v>54</v>
      </c>
      <c r="B1810" s="3" t="s">
        <v>55</v>
      </c>
      <c r="C1810">
        <v>19</v>
      </c>
      <c r="D1810">
        <v>18000</v>
      </c>
      <c r="E1810">
        <v>499</v>
      </c>
      <c r="F1810">
        <v>1</v>
      </c>
      <c r="G1810">
        <v>18000</v>
      </c>
      <c r="H1810">
        <v>3.1116350000000001E-2</v>
      </c>
      <c r="I1810">
        <v>15192</v>
      </c>
      <c r="J1810">
        <v>4851</v>
      </c>
      <c r="K1810">
        <v>10341</v>
      </c>
      <c r="L1810">
        <v>500</v>
      </c>
      <c r="M1810">
        <v>499</v>
      </c>
      <c r="N1810">
        <v>1</v>
      </c>
      <c r="O1810">
        <v>2808</v>
      </c>
      <c r="P1810" s="3" t="s">
        <v>52</v>
      </c>
      <c r="Q1810">
        <v>50</v>
      </c>
      <c r="R1810">
        <v>0.999</v>
      </c>
      <c r="S1810">
        <v>1</v>
      </c>
    </row>
    <row r="1811" spans="1:19" x14ac:dyDescent="0.2">
      <c r="A1811" s="3" t="s">
        <v>54</v>
      </c>
      <c r="B1811" s="3" t="s">
        <v>55</v>
      </c>
      <c r="C1811">
        <v>4</v>
      </c>
      <c r="D1811">
        <v>18000</v>
      </c>
      <c r="E1811">
        <v>499</v>
      </c>
      <c r="F1811">
        <v>1</v>
      </c>
      <c r="G1811">
        <v>18000</v>
      </c>
      <c r="H1811">
        <v>3.1105219999999999E-2</v>
      </c>
      <c r="I1811">
        <v>15229</v>
      </c>
      <c r="J1811">
        <v>4889</v>
      </c>
      <c r="K1811">
        <v>10340</v>
      </c>
      <c r="L1811">
        <v>500</v>
      </c>
      <c r="M1811">
        <v>499</v>
      </c>
      <c r="N1811">
        <v>1</v>
      </c>
      <c r="O1811">
        <v>2771</v>
      </c>
      <c r="P1811" s="3" t="s">
        <v>52</v>
      </c>
      <c r="Q1811">
        <v>50</v>
      </c>
      <c r="R1811">
        <v>0.999</v>
      </c>
      <c r="S1811">
        <v>1</v>
      </c>
    </row>
    <row r="1812" spans="1:19" x14ac:dyDescent="0.2">
      <c r="A1812" s="3" t="s">
        <v>54</v>
      </c>
      <c r="B1812" s="3" t="s">
        <v>55</v>
      </c>
      <c r="C1812">
        <v>23</v>
      </c>
      <c r="D1812">
        <v>18000</v>
      </c>
      <c r="E1812">
        <v>499</v>
      </c>
      <c r="F1812">
        <v>1</v>
      </c>
      <c r="G1812">
        <v>18000</v>
      </c>
      <c r="H1812">
        <v>3.1030604E-2</v>
      </c>
      <c r="I1812">
        <v>15216</v>
      </c>
      <c r="J1812">
        <v>4892</v>
      </c>
      <c r="K1812">
        <v>10324</v>
      </c>
      <c r="L1812">
        <v>500</v>
      </c>
      <c r="M1812">
        <v>499</v>
      </c>
      <c r="N1812">
        <v>1</v>
      </c>
      <c r="O1812">
        <v>2784</v>
      </c>
      <c r="P1812" s="3" t="s">
        <v>52</v>
      </c>
      <c r="Q1812">
        <v>50</v>
      </c>
      <c r="R1812">
        <v>0.999</v>
      </c>
      <c r="S1812">
        <v>1</v>
      </c>
    </row>
    <row r="1813" spans="1:19" x14ac:dyDescent="0.2">
      <c r="A1813" s="3" t="s">
        <v>54</v>
      </c>
      <c r="B1813" s="3" t="s">
        <v>55</v>
      </c>
      <c r="C1813">
        <v>2</v>
      </c>
      <c r="D1813">
        <v>18000</v>
      </c>
      <c r="E1813">
        <v>499</v>
      </c>
      <c r="F1813">
        <v>1</v>
      </c>
      <c r="G1813">
        <v>18000</v>
      </c>
      <c r="H1813">
        <v>3.1021895000000001E-2</v>
      </c>
      <c r="I1813">
        <v>15203</v>
      </c>
      <c r="J1813">
        <v>4880</v>
      </c>
      <c r="K1813">
        <v>10323</v>
      </c>
      <c r="L1813">
        <v>500</v>
      </c>
      <c r="M1813">
        <v>499</v>
      </c>
      <c r="N1813">
        <v>1</v>
      </c>
      <c r="O1813">
        <v>2797</v>
      </c>
      <c r="P1813" s="3" t="s">
        <v>52</v>
      </c>
      <c r="Q1813">
        <v>50</v>
      </c>
      <c r="R1813">
        <v>0.999</v>
      </c>
      <c r="S1813">
        <v>1</v>
      </c>
    </row>
    <row r="1814" spans="1:19" x14ac:dyDescent="0.2">
      <c r="A1814" s="3" t="s">
        <v>54</v>
      </c>
      <c r="B1814" s="3" t="s">
        <v>55</v>
      </c>
      <c r="C1814">
        <v>9</v>
      </c>
      <c r="D1814">
        <v>18000</v>
      </c>
      <c r="E1814">
        <v>499</v>
      </c>
      <c r="F1814">
        <v>1</v>
      </c>
      <c r="G1814">
        <v>18000</v>
      </c>
      <c r="H1814">
        <v>3.1010436999999998E-2</v>
      </c>
      <c r="I1814">
        <v>15220</v>
      </c>
      <c r="J1814">
        <v>4815</v>
      </c>
      <c r="K1814">
        <v>10405</v>
      </c>
      <c r="L1814">
        <v>500</v>
      </c>
      <c r="M1814">
        <v>499</v>
      </c>
      <c r="N1814">
        <v>1</v>
      </c>
      <c r="O1814">
        <v>2780</v>
      </c>
      <c r="P1814" s="3" t="s">
        <v>52</v>
      </c>
      <c r="Q1814">
        <v>50</v>
      </c>
      <c r="R1814">
        <v>0.999</v>
      </c>
      <c r="S1814">
        <v>1</v>
      </c>
    </row>
    <row r="1815" spans="1:19" x14ac:dyDescent="0.2">
      <c r="A1815" s="3" t="s">
        <v>54</v>
      </c>
      <c r="B1815" s="3" t="s">
        <v>55</v>
      </c>
      <c r="C1815">
        <v>28</v>
      </c>
      <c r="D1815">
        <v>13000</v>
      </c>
      <c r="E1815">
        <v>499</v>
      </c>
      <c r="F1815">
        <v>1</v>
      </c>
      <c r="G1815">
        <v>13000</v>
      </c>
      <c r="H1815">
        <v>3.0994900999999998E-2</v>
      </c>
      <c r="I1815">
        <v>12563</v>
      </c>
      <c r="J1815">
        <v>4833</v>
      </c>
      <c r="K1815">
        <v>7730</v>
      </c>
      <c r="L1815">
        <v>500</v>
      </c>
      <c r="M1815">
        <v>499</v>
      </c>
      <c r="N1815">
        <v>1</v>
      </c>
      <c r="O1815">
        <v>437</v>
      </c>
      <c r="P1815" s="3" t="s">
        <v>51</v>
      </c>
      <c r="Q1815">
        <v>50</v>
      </c>
      <c r="R1815">
        <v>0.999</v>
      </c>
      <c r="S1815">
        <v>1</v>
      </c>
    </row>
    <row r="1816" spans="1:19" x14ac:dyDescent="0.2">
      <c r="A1816" s="3" t="s">
        <v>54</v>
      </c>
      <c r="B1816" s="3" t="s">
        <v>55</v>
      </c>
      <c r="C1816">
        <v>16</v>
      </c>
      <c r="D1816">
        <v>18000</v>
      </c>
      <c r="E1816">
        <v>499</v>
      </c>
      <c r="F1816">
        <v>1</v>
      </c>
      <c r="G1816">
        <v>18000</v>
      </c>
      <c r="H1816">
        <v>3.0989867000000001E-2</v>
      </c>
      <c r="I1816">
        <v>15218</v>
      </c>
      <c r="J1816">
        <v>4872</v>
      </c>
      <c r="K1816">
        <v>10346</v>
      </c>
      <c r="L1816">
        <v>500</v>
      </c>
      <c r="M1816">
        <v>499</v>
      </c>
      <c r="N1816">
        <v>1</v>
      </c>
      <c r="O1816">
        <v>2782</v>
      </c>
      <c r="P1816" s="3" t="s">
        <v>52</v>
      </c>
      <c r="Q1816">
        <v>50</v>
      </c>
      <c r="R1816">
        <v>0.999</v>
      </c>
      <c r="S1816">
        <v>1</v>
      </c>
    </row>
    <row r="1817" spans="1:19" x14ac:dyDescent="0.2">
      <c r="A1817" s="3" t="s">
        <v>54</v>
      </c>
      <c r="B1817" s="3" t="s">
        <v>55</v>
      </c>
      <c r="C1817">
        <v>3</v>
      </c>
      <c r="D1817">
        <v>18000</v>
      </c>
      <c r="E1817">
        <v>499</v>
      </c>
      <c r="F1817">
        <v>1</v>
      </c>
      <c r="G1817">
        <v>18000</v>
      </c>
      <c r="H1817">
        <v>3.0974734E-2</v>
      </c>
      <c r="I1817">
        <v>15193</v>
      </c>
      <c r="J1817">
        <v>4866</v>
      </c>
      <c r="K1817">
        <v>10327</v>
      </c>
      <c r="L1817">
        <v>500</v>
      </c>
      <c r="M1817">
        <v>499</v>
      </c>
      <c r="N1817">
        <v>1</v>
      </c>
      <c r="O1817">
        <v>2807</v>
      </c>
      <c r="P1817" s="3" t="s">
        <v>52</v>
      </c>
      <c r="Q1817">
        <v>50</v>
      </c>
      <c r="R1817">
        <v>0.999</v>
      </c>
      <c r="S1817">
        <v>1</v>
      </c>
    </row>
    <row r="1818" spans="1:19" x14ac:dyDescent="0.2">
      <c r="A1818" s="3" t="s">
        <v>54</v>
      </c>
      <c r="B1818" s="3" t="s">
        <v>55</v>
      </c>
      <c r="C1818">
        <v>41</v>
      </c>
      <c r="D1818">
        <v>18000</v>
      </c>
      <c r="E1818">
        <v>499</v>
      </c>
      <c r="F1818">
        <v>1</v>
      </c>
      <c r="G1818">
        <v>18000</v>
      </c>
      <c r="H1818">
        <v>3.0972112E-2</v>
      </c>
      <c r="I1818">
        <v>15228</v>
      </c>
      <c r="J1818">
        <v>4892</v>
      </c>
      <c r="K1818">
        <v>10336</v>
      </c>
      <c r="L1818">
        <v>500</v>
      </c>
      <c r="M1818">
        <v>499</v>
      </c>
      <c r="N1818">
        <v>1</v>
      </c>
      <c r="O1818">
        <v>2772</v>
      </c>
      <c r="P1818" s="3" t="s">
        <v>52</v>
      </c>
      <c r="Q1818">
        <v>50</v>
      </c>
      <c r="R1818">
        <v>0.999</v>
      </c>
      <c r="S1818">
        <v>1</v>
      </c>
    </row>
    <row r="1819" spans="1:19" x14ac:dyDescent="0.2">
      <c r="A1819" s="3" t="s">
        <v>54</v>
      </c>
      <c r="B1819" s="3" t="s">
        <v>55</v>
      </c>
      <c r="C1819">
        <v>48</v>
      </c>
      <c r="D1819">
        <v>18000</v>
      </c>
      <c r="E1819">
        <v>499</v>
      </c>
      <c r="F1819">
        <v>1</v>
      </c>
      <c r="G1819">
        <v>18000</v>
      </c>
      <c r="H1819">
        <v>3.0969067999999999E-2</v>
      </c>
      <c r="I1819">
        <v>15215</v>
      </c>
      <c r="J1819">
        <v>4864</v>
      </c>
      <c r="K1819">
        <v>10351</v>
      </c>
      <c r="L1819">
        <v>500</v>
      </c>
      <c r="M1819">
        <v>499</v>
      </c>
      <c r="N1819">
        <v>1</v>
      </c>
      <c r="O1819">
        <v>2785</v>
      </c>
      <c r="P1819" s="3" t="s">
        <v>52</v>
      </c>
      <c r="Q1819">
        <v>50</v>
      </c>
      <c r="R1819">
        <v>0.999</v>
      </c>
      <c r="S1819">
        <v>1</v>
      </c>
    </row>
    <row r="1820" spans="1:19" x14ac:dyDescent="0.2">
      <c r="A1820" s="3" t="s">
        <v>54</v>
      </c>
      <c r="B1820" s="3" t="s">
        <v>55</v>
      </c>
      <c r="C1820">
        <v>31</v>
      </c>
      <c r="D1820">
        <v>18000</v>
      </c>
      <c r="E1820">
        <v>499</v>
      </c>
      <c r="F1820">
        <v>1</v>
      </c>
      <c r="G1820">
        <v>18000</v>
      </c>
      <c r="H1820">
        <v>3.0945785999999999E-2</v>
      </c>
      <c r="I1820">
        <v>15214</v>
      </c>
      <c r="J1820">
        <v>4860</v>
      </c>
      <c r="K1820">
        <v>10354</v>
      </c>
      <c r="L1820">
        <v>500</v>
      </c>
      <c r="M1820">
        <v>499</v>
      </c>
      <c r="N1820">
        <v>1</v>
      </c>
      <c r="O1820">
        <v>2786</v>
      </c>
      <c r="P1820" s="3" t="s">
        <v>52</v>
      </c>
      <c r="Q1820">
        <v>50</v>
      </c>
      <c r="R1820">
        <v>0.999</v>
      </c>
      <c r="S1820">
        <v>1</v>
      </c>
    </row>
    <row r="1821" spans="1:19" x14ac:dyDescent="0.2">
      <c r="A1821" s="3" t="s">
        <v>54</v>
      </c>
      <c r="B1821" s="3" t="s">
        <v>55</v>
      </c>
      <c r="C1821">
        <v>26</v>
      </c>
      <c r="D1821">
        <v>18000</v>
      </c>
      <c r="E1821">
        <v>499</v>
      </c>
      <c r="F1821">
        <v>1</v>
      </c>
      <c r="G1821">
        <v>18000</v>
      </c>
      <c r="H1821">
        <v>3.0902132999999998E-2</v>
      </c>
      <c r="I1821">
        <v>15224</v>
      </c>
      <c r="J1821">
        <v>4878</v>
      </c>
      <c r="K1821">
        <v>10346</v>
      </c>
      <c r="L1821">
        <v>500</v>
      </c>
      <c r="M1821">
        <v>499</v>
      </c>
      <c r="N1821">
        <v>1</v>
      </c>
      <c r="O1821">
        <v>2776</v>
      </c>
      <c r="P1821" s="3" t="s">
        <v>52</v>
      </c>
      <c r="Q1821">
        <v>50</v>
      </c>
      <c r="R1821">
        <v>0.999</v>
      </c>
      <c r="S1821">
        <v>1</v>
      </c>
    </row>
    <row r="1822" spans="1:19" x14ac:dyDescent="0.2">
      <c r="A1822" s="3" t="s">
        <v>54</v>
      </c>
      <c r="B1822" s="3" t="s">
        <v>55</v>
      </c>
      <c r="C1822">
        <v>14</v>
      </c>
      <c r="D1822">
        <v>17000</v>
      </c>
      <c r="E1822">
        <v>499</v>
      </c>
      <c r="F1822">
        <v>1</v>
      </c>
      <c r="G1822">
        <v>17000</v>
      </c>
      <c r="H1822">
        <v>3.0890556E-2</v>
      </c>
      <c r="I1822">
        <v>14781</v>
      </c>
      <c r="J1822">
        <v>4723</v>
      </c>
      <c r="K1822">
        <v>10058</v>
      </c>
      <c r="L1822">
        <v>500</v>
      </c>
      <c r="M1822">
        <v>499</v>
      </c>
      <c r="N1822">
        <v>1</v>
      </c>
      <c r="O1822">
        <v>2219</v>
      </c>
      <c r="P1822" s="3" t="s">
        <v>50</v>
      </c>
      <c r="Q1822">
        <v>50</v>
      </c>
      <c r="R1822">
        <v>0.999</v>
      </c>
      <c r="S1822">
        <v>1</v>
      </c>
    </row>
    <row r="1823" spans="1:19" x14ac:dyDescent="0.2">
      <c r="A1823" s="3" t="s">
        <v>54</v>
      </c>
      <c r="B1823" s="3" t="s">
        <v>55</v>
      </c>
      <c r="C1823">
        <v>50</v>
      </c>
      <c r="D1823">
        <v>18000</v>
      </c>
      <c r="E1823">
        <v>499</v>
      </c>
      <c r="F1823">
        <v>1</v>
      </c>
      <c r="G1823">
        <v>18000</v>
      </c>
      <c r="H1823">
        <v>3.0873615E-2</v>
      </c>
      <c r="I1823">
        <v>15210</v>
      </c>
      <c r="J1823">
        <v>4877</v>
      </c>
      <c r="K1823">
        <v>10333</v>
      </c>
      <c r="L1823">
        <v>500</v>
      </c>
      <c r="M1823">
        <v>499</v>
      </c>
      <c r="N1823">
        <v>1</v>
      </c>
      <c r="O1823">
        <v>2790</v>
      </c>
      <c r="P1823" s="3" t="s">
        <v>52</v>
      </c>
      <c r="Q1823">
        <v>50</v>
      </c>
      <c r="R1823">
        <v>0.999</v>
      </c>
      <c r="S1823">
        <v>1</v>
      </c>
    </row>
    <row r="1824" spans="1:19" x14ac:dyDescent="0.2">
      <c r="A1824" s="3" t="s">
        <v>54</v>
      </c>
      <c r="B1824" s="3" t="s">
        <v>55</v>
      </c>
      <c r="C1824">
        <v>1</v>
      </c>
      <c r="D1824">
        <v>17000</v>
      </c>
      <c r="E1824">
        <v>499</v>
      </c>
      <c r="F1824">
        <v>1</v>
      </c>
      <c r="G1824">
        <v>17000</v>
      </c>
      <c r="H1824">
        <v>3.0793536999999999E-2</v>
      </c>
      <c r="I1824">
        <v>14771</v>
      </c>
      <c r="J1824">
        <v>4723</v>
      </c>
      <c r="K1824">
        <v>10048</v>
      </c>
      <c r="L1824">
        <v>500</v>
      </c>
      <c r="M1824">
        <v>499</v>
      </c>
      <c r="N1824">
        <v>1</v>
      </c>
      <c r="O1824">
        <v>2229</v>
      </c>
      <c r="P1824" s="3" t="s">
        <v>50</v>
      </c>
      <c r="Q1824">
        <v>50</v>
      </c>
      <c r="R1824">
        <v>0.999</v>
      </c>
      <c r="S1824">
        <v>1</v>
      </c>
    </row>
    <row r="1825" spans="1:19" x14ac:dyDescent="0.2">
      <c r="A1825" s="3" t="s">
        <v>54</v>
      </c>
      <c r="B1825" s="3" t="s">
        <v>55</v>
      </c>
      <c r="C1825">
        <v>23</v>
      </c>
      <c r="D1825">
        <v>17000</v>
      </c>
      <c r="E1825">
        <v>499</v>
      </c>
      <c r="F1825">
        <v>1</v>
      </c>
      <c r="G1825">
        <v>17000</v>
      </c>
      <c r="H1825">
        <v>3.0783828999999999E-2</v>
      </c>
      <c r="I1825">
        <v>14766</v>
      </c>
      <c r="J1825">
        <v>4718</v>
      </c>
      <c r="K1825">
        <v>10048</v>
      </c>
      <c r="L1825">
        <v>500</v>
      </c>
      <c r="M1825">
        <v>499</v>
      </c>
      <c r="N1825">
        <v>1</v>
      </c>
      <c r="O1825">
        <v>2234</v>
      </c>
      <c r="P1825" s="3" t="s">
        <v>50</v>
      </c>
      <c r="Q1825">
        <v>50</v>
      </c>
      <c r="R1825">
        <v>0.999</v>
      </c>
      <c r="S1825">
        <v>1</v>
      </c>
    </row>
    <row r="1826" spans="1:19" x14ac:dyDescent="0.2">
      <c r="A1826" s="3" t="s">
        <v>54</v>
      </c>
      <c r="B1826" s="3" t="s">
        <v>55</v>
      </c>
      <c r="C1826">
        <v>22</v>
      </c>
      <c r="D1826">
        <v>18000</v>
      </c>
      <c r="E1826">
        <v>499</v>
      </c>
      <c r="F1826">
        <v>1</v>
      </c>
      <c r="G1826">
        <v>18000</v>
      </c>
      <c r="H1826">
        <v>3.0779767999999999E-2</v>
      </c>
      <c r="I1826">
        <v>15196</v>
      </c>
      <c r="J1826">
        <v>4877</v>
      </c>
      <c r="K1826">
        <v>10319</v>
      </c>
      <c r="L1826">
        <v>500</v>
      </c>
      <c r="M1826">
        <v>499</v>
      </c>
      <c r="N1826">
        <v>1</v>
      </c>
      <c r="O1826">
        <v>2804</v>
      </c>
      <c r="P1826" s="3" t="s">
        <v>52</v>
      </c>
      <c r="Q1826">
        <v>50</v>
      </c>
      <c r="R1826">
        <v>0.999</v>
      </c>
      <c r="S1826">
        <v>1</v>
      </c>
    </row>
    <row r="1827" spans="1:19" x14ac:dyDescent="0.2">
      <c r="A1827" s="3" t="s">
        <v>54</v>
      </c>
      <c r="B1827" s="3" t="s">
        <v>55</v>
      </c>
      <c r="C1827">
        <v>7</v>
      </c>
      <c r="D1827">
        <v>18000</v>
      </c>
      <c r="E1827">
        <v>499</v>
      </c>
      <c r="F1827">
        <v>1</v>
      </c>
      <c r="G1827">
        <v>18000</v>
      </c>
      <c r="H1827">
        <v>3.0779401000000001E-2</v>
      </c>
      <c r="I1827">
        <v>15193</v>
      </c>
      <c r="J1827">
        <v>4860</v>
      </c>
      <c r="K1827">
        <v>10333</v>
      </c>
      <c r="L1827">
        <v>500</v>
      </c>
      <c r="M1827">
        <v>499</v>
      </c>
      <c r="N1827">
        <v>1</v>
      </c>
      <c r="O1827">
        <v>2807</v>
      </c>
      <c r="P1827" s="3" t="s">
        <v>52</v>
      </c>
      <c r="Q1827">
        <v>50</v>
      </c>
      <c r="R1827">
        <v>0.999</v>
      </c>
      <c r="S1827">
        <v>1</v>
      </c>
    </row>
    <row r="1828" spans="1:19" x14ac:dyDescent="0.2">
      <c r="A1828" s="3" t="s">
        <v>54</v>
      </c>
      <c r="B1828" s="3" t="s">
        <v>55</v>
      </c>
      <c r="C1828">
        <v>35</v>
      </c>
      <c r="D1828">
        <v>18000</v>
      </c>
      <c r="E1828">
        <v>499</v>
      </c>
      <c r="F1828">
        <v>1</v>
      </c>
      <c r="G1828">
        <v>18000</v>
      </c>
      <c r="H1828">
        <v>3.0753945000000001E-2</v>
      </c>
      <c r="I1828">
        <v>15221</v>
      </c>
      <c r="J1828">
        <v>4863</v>
      </c>
      <c r="K1828">
        <v>10358</v>
      </c>
      <c r="L1828">
        <v>500</v>
      </c>
      <c r="M1828">
        <v>499</v>
      </c>
      <c r="N1828">
        <v>1</v>
      </c>
      <c r="O1828">
        <v>2779</v>
      </c>
      <c r="P1828" s="3" t="s">
        <v>52</v>
      </c>
      <c r="Q1828">
        <v>50</v>
      </c>
      <c r="R1828">
        <v>0.999</v>
      </c>
      <c r="S1828">
        <v>1</v>
      </c>
    </row>
    <row r="1829" spans="1:19" x14ac:dyDescent="0.2">
      <c r="A1829" s="3" t="s">
        <v>54</v>
      </c>
      <c r="B1829" s="3" t="s">
        <v>55</v>
      </c>
      <c r="C1829">
        <v>36</v>
      </c>
      <c r="D1829">
        <v>18000</v>
      </c>
      <c r="E1829">
        <v>499</v>
      </c>
      <c r="F1829">
        <v>1</v>
      </c>
      <c r="G1829">
        <v>18000</v>
      </c>
      <c r="H1829">
        <v>3.0745136999999999E-2</v>
      </c>
      <c r="I1829">
        <v>15239</v>
      </c>
      <c r="J1829">
        <v>4877</v>
      </c>
      <c r="K1829">
        <v>10362</v>
      </c>
      <c r="L1829">
        <v>500</v>
      </c>
      <c r="M1829">
        <v>499</v>
      </c>
      <c r="N1829">
        <v>1</v>
      </c>
      <c r="O1829">
        <v>2761</v>
      </c>
      <c r="P1829" s="3" t="s">
        <v>52</v>
      </c>
      <c r="Q1829">
        <v>50</v>
      </c>
      <c r="R1829">
        <v>0.999</v>
      </c>
      <c r="S1829">
        <v>1</v>
      </c>
    </row>
    <row r="1830" spans="1:19" x14ac:dyDescent="0.2">
      <c r="A1830" s="3" t="s">
        <v>54</v>
      </c>
      <c r="B1830" s="3" t="s">
        <v>55</v>
      </c>
      <c r="C1830">
        <v>38</v>
      </c>
      <c r="D1830">
        <v>18000</v>
      </c>
      <c r="E1830">
        <v>499</v>
      </c>
      <c r="F1830">
        <v>1</v>
      </c>
      <c r="G1830">
        <v>18000</v>
      </c>
      <c r="H1830">
        <v>3.0740287000000002E-2</v>
      </c>
      <c r="I1830">
        <v>15210</v>
      </c>
      <c r="J1830">
        <v>4877</v>
      </c>
      <c r="K1830">
        <v>10333</v>
      </c>
      <c r="L1830">
        <v>500</v>
      </c>
      <c r="M1830">
        <v>499</v>
      </c>
      <c r="N1830">
        <v>1</v>
      </c>
      <c r="O1830">
        <v>2790</v>
      </c>
      <c r="P1830" s="3" t="s">
        <v>52</v>
      </c>
      <c r="Q1830">
        <v>50</v>
      </c>
      <c r="R1830">
        <v>0.999</v>
      </c>
      <c r="S1830">
        <v>1</v>
      </c>
    </row>
    <row r="1831" spans="1:19" x14ac:dyDescent="0.2">
      <c r="A1831" s="3" t="s">
        <v>54</v>
      </c>
      <c r="B1831" s="3" t="s">
        <v>55</v>
      </c>
      <c r="C1831">
        <v>44</v>
      </c>
      <c r="D1831">
        <v>13000</v>
      </c>
      <c r="E1831">
        <v>499</v>
      </c>
      <c r="F1831">
        <v>1</v>
      </c>
      <c r="G1831">
        <v>53044.701099550097</v>
      </c>
      <c r="H1831">
        <v>3.0665148999999999E-2</v>
      </c>
      <c r="I1831">
        <v>12447</v>
      </c>
      <c r="J1831">
        <v>4081</v>
      </c>
      <c r="K1831">
        <v>8366</v>
      </c>
      <c r="L1831">
        <v>500</v>
      </c>
      <c r="M1831">
        <v>499</v>
      </c>
      <c r="N1831">
        <v>1</v>
      </c>
      <c r="O1831">
        <v>2043.0390685965999</v>
      </c>
      <c r="P1831" s="3" t="s">
        <v>51</v>
      </c>
      <c r="Q1831">
        <v>50</v>
      </c>
      <c r="R1831">
        <v>0.999</v>
      </c>
      <c r="S1831">
        <v>0</v>
      </c>
    </row>
    <row r="1832" spans="1:19" x14ac:dyDescent="0.2">
      <c r="A1832" s="3" t="s">
        <v>54</v>
      </c>
      <c r="B1832" s="3" t="s">
        <v>55</v>
      </c>
      <c r="C1832">
        <v>13</v>
      </c>
      <c r="D1832">
        <v>13000</v>
      </c>
      <c r="E1832">
        <v>499</v>
      </c>
      <c r="F1832">
        <v>1</v>
      </c>
      <c r="G1832">
        <v>53044.701099550097</v>
      </c>
      <c r="H1832">
        <v>3.0631818000000002E-2</v>
      </c>
      <c r="I1832">
        <v>12458</v>
      </c>
      <c r="J1832">
        <v>4086</v>
      </c>
      <c r="K1832">
        <v>8372</v>
      </c>
      <c r="L1832">
        <v>500</v>
      </c>
      <c r="M1832">
        <v>499</v>
      </c>
      <c r="N1832">
        <v>1</v>
      </c>
      <c r="O1832">
        <v>2001.4497339254999</v>
      </c>
      <c r="P1832" s="3" t="s">
        <v>51</v>
      </c>
      <c r="Q1832">
        <v>50</v>
      </c>
      <c r="R1832">
        <v>0.999</v>
      </c>
      <c r="S1832">
        <v>0</v>
      </c>
    </row>
    <row r="1833" spans="1:19" x14ac:dyDescent="0.2">
      <c r="A1833" s="3" t="s">
        <v>54</v>
      </c>
      <c r="B1833" s="3" t="s">
        <v>55</v>
      </c>
      <c r="C1833">
        <v>11</v>
      </c>
      <c r="D1833">
        <v>17000</v>
      </c>
      <c r="E1833">
        <v>499</v>
      </c>
      <c r="F1833">
        <v>1</v>
      </c>
      <c r="G1833">
        <v>17000</v>
      </c>
      <c r="H1833">
        <v>3.0531948E-2</v>
      </c>
      <c r="I1833">
        <v>14757</v>
      </c>
      <c r="J1833">
        <v>4738</v>
      </c>
      <c r="K1833">
        <v>10019</v>
      </c>
      <c r="L1833">
        <v>500</v>
      </c>
      <c r="M1833">
        <v>499</v>
      </c>
      <c r="N1833">
        <v>1</v>
      </c>
      <c r="O1833">
        <v>2243</v>
      </c>
      <c r="P1833" s="3" t="s">
        <v>50</v>
      </c>
      <c r="Q1833">
        <v>50</v>
      </c>
      <c r="R1833">
        <v>0.999</v>
      </c>
      <c r="S1833">
        <v>1</v>
      </c>
    </row>
    <row r="1834" spans="1:19" x14ac:dyDescent="0.2">
      <c r="A1834" s="3" t="s">
        <v>54</v>
      </c>
      <c r="B1834" s="3" t="s">
        <v>55</v>
      </c>
      <c r="C1834">
        <v>33</v>
      </c>
      <c r="D1834">
        <v>13000</v>
      </c>
      <c r="E1834">
        <v>499</v>
      </c>
      <c r="F1834">
        <v>1</v>
      </c>
      <c r="G1834">
        <v>53044.701099550097</v>
      </c>
      <c r="H1834">
        <v>3.0528473E-2</v>
      </c>
      <c r="I1834">
        <v>12445</v>
      </c>
      <c r="J1834">
        <v>4058</v>
      </c>
      <c r="K1834">
        <v>8387</v>
      </c>
      <c r="L1834">
        <v>500</v>
      </c>
      <c r="M1834">
        <v>499</v>
      </c>
      <c r="N1834">
        <v>1</v>
      </c>
      <c r="O1834">
        <v>2087.0025798232</v>
      </c>
      <c r="P1834" s="3" t="s">
        <v>51</v>
      </c>
      <c r="Q1834">
        <v>50</v>
      </c>
      <c r="R1834">
        <v>0.999</v>
      </c>
      <c r="S1834">
        <v>0</v>
      </c>
    </row>
    <row r="1835" spans="1:19" x14ac:dyDescent="0.2">
      <c r="A1835" s="3" t="s">
        <v>54</v>
      </c>
      <c r="B1835" s="3" t="s">
        <v>55</v>
      </c>
      <c r="C1835">
        <v>17</v>
      </c>
      <c r="D1835">
        <v>17000</v>
      </c>
      <c r="E1835">
        <v>499</v>
      </c>
      <c r="F1835">
        <v>1</v>
      </c>
      <c r="G1835">
        <v>17000</v>
      </c>
      <c r="H1835">
        <v>3.0430959E-2</v>
      </c>
      <c r="I1835">
        <v>14761</v>
      </c>
      <c r="J1835">
        <v>4687</v>
      </c>
      <c r="K1835">
        <v>10074</v>
      </c>
      <c r="L1835">
        <v>500</v>
      </c>
      <c r="M1835">
        <v>499</v>
      </c>
      <c r="N1835">
        <v>1</v>
      </c>
      <c r="O1835">
        <v>2239</v>
      </c>
      <c r="P1835" s="3" t="s">
        <v>52</v>
      </c>
      <c r="Q1835">
        <v>50</v>
      </c>
      <c r="R1835">
        <v>0.999</v>
      </c>
      <c r="S1835">
        <v>1</v>
      </c>
    </row>
    <row r="1836" spans="1:19" x14ac:dyDescent="0.2">
      <c r="A1836" s="3" t="s">
        <v>54</v>
      </c>
      <c r="B1836" s="3" t="s">
        <v>55</v>
      </c>
      <c r="C1836">
        <v>8</v>
      </c>
      <c r="D1836">
        <v>13000</v>
      </c>
      <c r="E1836">
        <v>499</v>
      </c>
      <c r="F1836">
        <v>1</v>
      </c>
      <c r="G1836">
        <v>53044.701099550097</v>
      </c>
      <c r="H1836">
        <v>3.042226E-2</v>
      </c>
      <c r="I1836">
        <v>12446</v>
      </c>
      <c r="J1836">
        <v>4073</v>
      </c>
      <c r="K1836">
        <v>8373</v>
      </c>
      <c r="L1836">
        <v>500</v>
      </c>
      <c r="M1836">
        <v>499</v>
      </c>
      <c r="N1836">
        <v>1</v>
      </c>
      <c r="O1836">
        <v>2029.4943129731</v>
      </c>
      <c r="P1836" s="3" t="s">
        <v>51</v>
      </c>
      <c r="Q1836">
        <v>50</v>
      </c>
      <c r="R1836">
        <v>0.999</v>
      </c>
      <c r="S1836">
        <v>0</v>
      </c>
    </row>
    <row r="1837" spans="1:19" x14ac:dyDescent="0.2">
      <c r="A1837" s="3" t="s">
        <v>54</v>
      </c>
      <c r="B1837" s="3" t="s">
        <v>55</v>
      </c>
      <c r="C1837">
        <v>36</v>
      </c>
      <c r="D1837">
        <v>17000</v>
      </c>
      <c r="E1837">
        <v>499</v>
      </c>
      <c r="F1837">
        <v>1</v>
      </c>
      <c r="G1837">
        <v>17000</v>
      </c>
      <c r="H1837">
        <v>3.0388618999999999E-2</v>
      </c>
      <c r="I1837">
        <v>14742</v>
      </c>
      <c r="J1837">
        <v>4712</v>
      </c>
      <c r="K1837">
        <v>10030</v>
      </c>
      <c r="L1837">
        <v>500</v>
      </c>
      <c r="M1837">
        <v>499</v>
      </c>
      <c r="N1837">
        <v>1</v>
      </c>
      <c r="O1837">
        <v>2258</v>
      </c>
      <c r="P1837" s="3" t="s">
        <v>50</v>
      </c>
      <c r="Q1837">
        <v>50</v>
      </c>
      <c r="R1837">
        <v>0.999</v>
      </c>
      <c r="S1837">
        <v>1</v>
      </c>
    </row>
    <row r="1838" spans="1:19" x14ac:dyDescent="0.2">
      <c r="A1838" s="3" t="s">
        <v>54</v>
      </c>
      <c r="B1838" s="3" t="s">
        <v>55</v>
      </c>
      <c r="C1838">
        <v>48</v>
      </c>
      <c r="D1838">
        <v>13000</v>
      </c>
      <c r="E1838">
        <v>499</v>
      </c>
      <c r="F1838">
        <v>1</v>
      </c>
      <c r="G1838">
        <v>13000</v>
      </c>
      <c r="H1838">
        <v>3.0319247000000001E-2</v>
      </c>
      <c r="I1838">
        <v>12562</v>
      </c>
      <c r="J1838">
        <v>4845</v>
      </c>
      <c r="K1838">
        <v>7717</v>
      </c>
      <c r="L1838">
        <v>500</v>
      </c>
      <c r="M1838">
        <v>499</v>
      </c>
      <c r="N1838">
        <v>1</v>
      </c>
      <c r="O1838">
        <v>438</v>
      </c>
      <c r="P1838" s="3" t="s">
        <v>51</v>
      </c>
      <c r="Q1838">
        <v>50</v>
      </c>
      <c r="R1838">
        <v>0.999</v>
      </c>
      <c r="S1838">
        <v>1</v>
      </c>
    </row>
    <row r="1839" spans="1:19" x14ac:dyDescent="0.2">
      <c r="A1839" s="3" t="s">
        <v>54</v>
      </c>
      <c r="B1839" s="3" t="s">
        <v>55</v>
      </c>
      <c r="C1839">
        <v>32</v>
      </c>
      <c r="D1839">
        <v>13000</v>
      </c>
      <c r="E1839">
        <v>499</v>
      </c>
      <c r="F1839">
        <v>1</v>
      </c>
      <c r="G1839">
        <v>53044.701099550097</v>
      </c>
      <c r="H1839">
        <v>3.0241073E-2</v>
      </c>
      <c r="I1839">
        <v>12446</v>
      </c>
      <c r="J1839">
        <v>4082</v>
      </c>
      <c r="K1839">
        <v>8364</v>
      </c>
      <c r="L1839">
        <v>500</v>
      </c>
      <c r="M1839">
        <v>499</v>
      </c>
      <c r="N1839">
        <v>1</v>
      </c>
      <c r="O1839">
        <v>2040.7352370579999</v>
      </c>
      <c r="P1839" s="3" t="s">
        <v>51</v>
      </c>
      <c r="Q1839">
        <v>50</v>
      </c>
      <c r="R1839">
        <v>0.999</v>
      </c>
      <c r="S1839">
        <v>0</v>
      </c>
    </row>
    <row r="1840" spans="1:19" x14ac:dyDescent="0.2">
      <c r="A1840" s="3" t="s">
        <v>54</v>
      </c>
      <c r="B1840" s="3" t="s">
        <v>55</v>
      </c>
      <c r="C1840">
        <v>47</v>
      </c>
      <c r="D1840">
        <v>13000</v>
      </c>
      <c r="E1840">
        <v>499</v>
      </c>
      <c r="F1840">
        <v>1</v>
      </c>
      <c r="G1840">
        <v>13000</v>
      </c>
      <c r="H1840">
        <v>3.0236644E-2</v>
      </c>
      <c r="I1840">
        <v>12548</v>
      </c>
      <c r="J1840">
        <v>4835</v>
      </c>
      <c r="K1840">
        <v>7713</v>
      </c>
      <c r="L1840">
        <v>500</v>
      </c>
      <c r="M1840">
        <v>499</v>
      </c>
      <c r="N1840">
        <v>1</v>
      </c>
      <c r="O1840">
        <v>452</v>
      </c>
      <c r="P1840" s="3" t="s">
        <v>51</v>
      </c>
      <c r="Q1840">
        <v>50</v>
      </c>
      <c r="R1840">
        <v>0.999</v>
      </c>
      <c r="S1840">
        <v>1</v>
      </c>
    </row>
    <row r="1841" spans="1:19" x14ac:dyDescent="0.2">
      <c r="A1841" s="3" t="s">
        <v>54</v>
      </c>
      <c r="B1841" s="3" t="s">
        <v>55</v>
      </c>
      <c r="C1841">
        <v>10</v>
      </c>
      <c r="D1841">
        <v>13000</v>
      </c>
      <c r="E1841">
        <v>499</v>
      </c>
      <c r="F1841">
        <v>1</v>
      </c>
      <c r="G1841">
        <v>53044.701099550097</v>
      </c>
      <c r="H1841">
        <v>3.0193726000000001E-2</v>
      </c>
      <c r="I1841">
        <v>12435</v>
      </c>
      <c r="J1841">
        <v>4090</v>
      </c>
      <c r="K1841">
        <v>8345</v>
      </c>
      <c r="L1841">
        <v>500</v>
      </c>
      <c r="M1841">
        <v>499</v>
      </c>
      <c r="N1841">
        <v>1</v>
      </c>
      <c r="O1841">
        <v>2053.8885274473</v>
      </c>
      <c r="P1841" s="3" t="s">
        <v>51</v>
      </c>
      <c r="Q1841">
        <v>50</v>
      </c>
      <c r="R1841">
        <v>0.999</v>
      </c>
      <c r="S1841">
        <v>0</v>
      </c>
    </row>
    <row r="1842" spans="1:19" x14ac:dyDescent="0.2">
      <c r="A1842" s="3" t="s">
        <v>54</v>
      </c>
      <c r="B1842" s="3" t="s">
        <v>55</v>
      </c>
      <c r="C1842">
        <v>11</v>
      </c>
      <c r="D1842">
        <v>13000</v>
      </c>
      <c r="E1842">
        <v>499</v>
      </c>
      <c r="F1842">
        <v>1</v>
      </c>
      <c r="G1842">
        <v>13000</v>
      </c>
      <c r="H1842">
        <v>3.0164292999999998E-2</v>
      </c>
      <c r="I1842">
        <v>12575</v>
      </c>
      <c r="J1842">
        <v>4836</v>
      </c>
      <c r="K1842">
        <v>7739</v>
      </c>
      <c r="L1842">
        <v>500</v>
      </c>
      <c r="M1842">
        <v>499</v>
      </c>
      <c r="N1842">
        <v>1</v>
      </c>
      <c r="O1842">
        <v>425</v>
      </c>
      <c r="P1842" s="3" t="s">
        <v>51</v>
      </c>
      <c r="Q1842">
        <v>50</v>
      </c>
      <c r="R1842">
        <v>0.999</v>
      </c>
      <c r="S1842">
        <v>1</v>
      </c>
    </row>
    <row r="1843" spans="1:19" x14ac:dyDescent="0.2">
      <c r="A1843" s="3" t="s">
        <v>54</v>
      </c>
      <c r="B1843" s="3" t="s">
        <v>55</v>
      </c>
      <c r="C1843">
        <v>23</v>
      </c>
      <c r="D1843">
        <v>13000</v>
      </c>
      <c r="E1843">
        <v>499</v>
      </c>
      <c r="F1843">
        <v>1</v>
      </c>
      <c r="G1843">
        <v>53044.701099550097</v>
      </c>
      <c r="H1843">
        <v>3.0159196999999999E-2</v>
      </c>
      <c r="I1843">
        <v>12457</v>
      </c>
      <c r="J1843">
        <v>4095</v>
      </c>
      <c r="K1843">
        <v>8362</v>
      </c>
      <c r="L1843">
        <v>500</v>
      </c>
      <c r="M1843">
        <v>499</v>
      </c>
      <c r="N1843">
        <v>1</v>
      </c>
      <c r="O1843">
        <v>1991.9543971247999</v>
      </c>
      <c r="P1843" s="3" t="s">
        <v>51</v>
      </c>
      <c r="Q1843">
        <v>50</v>
      </c>
      <c r="R1843">
        <v>0.999</v>
      </c>
      <c r="S1843">
        <v>0</v>
      </c>
    </row>
    <row r="1844" spans="1:19" x14ac:dyDescent="0.2">
      <c r="A1844" s="3" t="s">
        <v>54</v>
      </c>
      <c r="B1844" s="3" t="s">
        <v>55</v>
      </c>
      <c r="C1844">
        <v>2</v>
      </c>
      <c r="D1844">
        <v>17000</v>
      </c>
      <c r="E1844">
        <v>499</v>
      </c>
      <c r="F1844">
        <v>1</v>
      </c>
      <c r="G1844">
        <v>17000</v>
      </c>
      <c r="H1844">
        <v>3.0148591999999998E-2</v>
      </c>
      <c r="I1844">
        <v>14770</v>
      </c>
      <c r="J1844">
        <v>4711</v>
      </c>
      <c r="K1844">
        <v>10059</v>
      </c>
      <c r="L1844">
        <v>500</v>
      </c>
      <c r="M1844">
        <v>499</v>
      </c>
      <c r="N1844">
        <v>1</v>
      </c>
      <c r="O1844">
        <v>2230</v>
      </c>
      <c r="P1844" s="3" t="s">
        <v>50</v>
      </c>
      <c r="Q1844">
        <v>50</v>
      </c>
      <c r="R1844">
        <v>0.999</v>
      </c>
      <c r="S1844">
        <v>1</v>
      </c>
    </row>
    <row r="1845" spans="1:19" x14ac:dyDescent="0.2">
      <c r="A1845" s="3" t="s">
        <v>54</v>
      </c>
      <c r="B1845" s="3" t="s">
        <v>55</v>
      </c>
      <c r="C1845">
        <v>26</v>
      </c>
      <c r="D1845">
        <v>13000</v>
      </c>
      <c r="E1845">
        <v>499</v>
      </c>
      <c r="F1845">
        <v>1</v>
      </c>
      <c r="G1845">
        <v>53044.701099550097</v>
      </c>
      <c r="H1845">
        <v>3.0121466E-2</v>
      </c>
      <c r="I1845">
        <v>12449</v>
      </c>
      <c r="J1845">
        <v>4088</v>
      </c>
      <c r="K1845">
        <v>8361</v>
      </c>
      <c r="L1845">
        <v>500</v>
      </c>
      <c r="M1845">
        <v>499</v>
      </c>
      <c r="N1845">
        <v>1</v>
      </c>
      <c r="O1845">
        <v>2032.3549211694001</v>
      </c>
      <c r="P1845" s="3" t="s">
        <v>51</v>
      </c>
      <c r="Q1845">
        <v>50</v>
      </c>
      <c r="R1845">
        <v>0.999</v>
      </c>
      <c r="S1845">
        <v>0</v>
      </c>
    </row>
    <row r="1846" spans="1:19" x14ac:dyDescent="0.2">
      <c r="A1846" s="3" t="s">
        <v>54</v>
      </c>
      <c r="B1846" s="3" t="s">
        <v>55</v>
      </c>
      <c r="C1846">
        <v>1</v>
      </c>
      <c r="D1846">
        <v>12000</v>
      </c>
      <c r="E1846">
        <v>499</v>
      </c>
      <c r="F1846">
        <v>1</v>
      </c>
      <c r="G1846">
        <v>50533.323552418398</v>
      </c>
      <c r="H1846">
        <v>3.0078344999999999E-2</v>
      </c>
      <c r="I1846">
        <v>11908</v>
      </c>
      <c r="J1846">
        <v>4076</v>
      </c>
      <c r="K1846">
        <v>7832</v>
      </c>
      <c r="L1846">
        <v>500</v>
      </c>
      <c r="M1846">
        <v>499</v>
      </c>
      <c r="N1846">
        <v>1</v>
      </c>
      <c r="O1846">
        <v>321.70062181999998</v>
      </c>
      <c r="P1846" s="3" t="s">
        <v>51</v>
      </c>
      <c r="Q1846">
        <v>50</v>
      </c>
      <c r="R1846">
        <v>0.999</v>
      </c>
      <c r="S1846">
        <v>0</v>
      </c>
    </row>
    <row r="1847" spans="1:19" x14ac:dyDescent="0.2">
      <c r="A1847" s="3" t="s">
        <v>54</v>
      </c>
      <c r="B1847" s="3" t="s">
        <v>55</v>
      </c>
      <c r="C1847">
        <v>6</v>
      </c>
      <c r="D1847">
        <v>17000</v>
      </c>
      <c r="E1847">
        <v>499</v>
      </c>
      <c r="F1847">
        <v>1</v>
      </c>
      <c r="G1847">
        <v>17000</v>
      </c>
      <c r="H1847">
        <v>3.0052468999999998E-2</v>
      </c>
      <c r="I1847">
        <v>14757</v>
      </c>
      <c r="J1847">
        <v>4679</v>
      </c>
      <c r="K1847">
        <v>10078</v>
      </c>
      <c r="L1847">
        <v>500</v>
      </c>
      <c r="M1847">
        <v>499</v>
      </c>
      <c r="N1847">
        <v>1</v>
      </c>
      <c r="O1847">
        <v>2243</v>
      </c>
      <c r="P1847" s="3" t="s">
        <v>50</v>
      </c>
      <c r="Q1847">
        <v>50</v>
      </c>
      <c r="R1847">
        <v>0.999</v>
      </c>
      <c r="S1847">
        <v>1</v>
      </c>
    </row>
    <row r="1848" spans="1:19" x14ac:dyDescent="0.2">
      <c r="A1848" s="3" t="s">
        <v>54</v>
      </c>
      <c r="B1848" s="3" t="s">
        <v>55</v>
      </c>
      <c r="C1848">
        <v>49</v>
      </c>
      <c r="D1848">
        <v>17000</v>
      </c>
      <c r="E1848">
        <v>499</v>
      </c>
      <c r="F1848">
        <v>1</v>
      </c>
      <c r="G1848">
        <v>17000</v>
      </c>
      <c r="H1848">
        <v>3.0014307E-2</v>
      </c>
      <c r="I1848">
        <v>14743</v>
      </c>
      <c r="J1848">
        <v>4696</v>
      </c>
      <c r="K1848">
        <v>10047</v>
      </c>
      <c r="L1848">
        <v>500</v>
      </c>
      <c r="M1848">
        <v>499</v>
      </c>
      <c r="N1848">
        <v>1</v>
      </c>
      <c r="O1848">
        <v>2257</v>
      </c>
      <c r="P1848" s="3" t="s">
        <v>50</v>
      </c>
      <c r="Q1848">
        <v>50</v>
      </c>
      <c r="R1848">
        <v>0.999</v>
      </c>
      <c r="S1848">
        <v>1</v>
      </c>
    </row>
    <row r="1849" spans="1:19" x14ac:dyDescent="0.2">
      <c r="A1849" s="3" t="s">
        <v>54</v>
      </c>
      <c r="B1849" s="3" t="s">
        <v>55</v>
      </c>
      <c r="C1849">
        <v>12</v>
      </c>
      <c r="D1849">
        <v>17000</v>
      </c>
      <c r="E1849">
        <v>499</v>
      </c>
      <c r="F1849">
        <v>1</v>
      </c>
      <c r="G1849">
        <v>17000</v>
      </c>
      <c r="H1849">
        <v>2.9987166999999999E-2</v>
      </c>
      <c r="I1849">
        <v>14753</v>
      </c>
      <c r="J1849">
        <v>4694</v>
      </c>
      <c r="K1849">
        <v>10059</v>
      </c>
      <c r="L1849">
        <v>500</v>
      </c>
      <c r="M1849">
        <v>499</v>
      </c>
      <c r="N1849">
        <v>1</v>
      </c>
      <c r="O1849">
        <v>2247</v>
      </c>
      <c r="P1849" s="3" t="s">
        <v>50</v>
      </c>
      <c r="Q1849">
        <v>50</v>
      </c>
      <c r="R1849">
        <v>0.999</v>
      </c>
      <c r="S1849">
        <v>1</v>
      </c>
    </row>
    <row r="1850" spans="1:19" x14ac:dyDescent="0.2">
      <c r="A1850" s="3" t="s">
        <v>54</v>
      </c>
      <c r="B1850" s="3" t="s">
        <v>55</v>
      </c>
      <c r="C1850">
        <v>45</v>
      </c>
      <c r="D1850">
        <v>13000</v>
      </c>
      <c r="E1850">
        <v>499</v>
      </c>
      <c r="F1850">
        <v>1</v>
      </c>
      <c r="G1850">
        <v>53044.701099550097</v>
      </c>
      <c r="H1850">
        <v>2.9983893000000001E-2</v>
      </c>
      <c r="I1850">
        <v>12460</v>
      </c>
      <c r="J1850">
        <v>4095</v>
      </c>
      <c r="K1850">
        <v>8365</v>
      </c>
      <c r="L1850">
        <v>500</v>
      </c>
      <c r="M1850">
        <v>499</v>
      </c>
      <c r="N1850">
        <v>1</v>
      </c>
      <c r="O1850">
        <v>2014.2539301300001</v>
      </c>
      <c r="P1850" s="3" t="s">
        <v>51</v>
      </c>
      <c r="Q1850">
        <v>50</v>
      </c>
      <c r="R1850">
        <v>0.999</v>
      </c>
      <c r="S1850">
        <v>0</v>
      </c>
    </row>
    <row r="1851" spans="1:19" x14ac:dyDescent="0.2">
      <c r="A1851" s="3" t="s">
        <v>54</v>
      </c>
      <c r="B1851" s="3" t="s">
        <v>55</v>
      </c>
      <c r="C1851">
        <v>31</v>
      </c>
      <c r="D1851">
        <v>17000</v>
      </c>
      <c r="E1851">
        <v>499</v>
      </c>
      <c r="F1851">
        <v>1</v>
      </c>
      <c r="G1851">
        <v>17000</v>
      </c>
      <c r="H1851">
        <v>2.9964596999999999E-2</v>
      </c>
      <c r="I1851">
        <v>14763</v>
      </c>
      <c r="J1851">
        <v>4706</v>
      </c>
      <c r="K1851">
        <v>10057</v>
      </c>
      <c r="L1851">
        <v>500</v>
      </c>
      <c r="M1851">
        <v>499</v>
      </c>
      <c r="N1851">
        <v>1</v>
      </c>
      <c r="O1851">
        <v>2237</v>
      </c>
      <c r="P1851" s="3" t="s">
        <v>50</v>
      </c>
      <c r="Q1851">
        <v>50</v>
      </c>
      <c r="R1851">
        <v>0.999</v>
      </c>
      <c r="S1851">
        <v>1</v>
      </c>
    </row>
    <row r="1852" spans="1:19" x14ac:dyDescent="0.2">
      <c r="A1852" s="3" t="s">
        <v>54</v>
      </c>
      <c r="B1852" s="3" t="s">
        <v>55</v>
      </c>
      <c r="C1852">
        <v>27</v>
      </c>
      <c r="D1852">
        <v>17000</v>
      </c>
      <c r="E1852">
        <v>499</v>
      </c>
      <c r="F1852">
        <v>1</v>
      </c>
      <c r="G1852">
        <v>17000</v>
      </c>
      <c r="H1852">
        <v>2.9953724000000001E-2</v>
      </c>
      <c r="I1852">
        <v>14774</v>
      </c>
      <c r="J1852">
        <v>4714</v>
      </c>
      <c r="K1852">
        <v>10060</v>
      </c>
      <c r="L1852">
        <v>500</v>
      </c>
      <c r="M1852">
        <v>499</v>
      </c>
      <c r="N1852">
        <v>1</v>
      </c>
      <c r="O1852">
        <v>2226</v>
      </c>
      <c r="P1852" s="3" t="s">
        <v>50</v>
      </c>
      <c r="Q1852">
        <v>50</v>
      </c>
      <c r="R1852">
        <v>0.999</v>
      </c>
      <c r="S1852">
        <v>1</v>
      </c>
    </row>
    <row r="1853" spans="1:19" x14ac:dyDescent="0.2">
      <c r="A1853" s="3" t="s">
        <v>54</v>
      </c>
      <c r="B1853" s="3" t="s">
        <v>55</v>
      </c>
      <c r="C1853">
        <v>13</v>
      </c>
      <c r="D1853">
        <v>17000</v>
      </c>
      <c r="E1853">
        <v>499</v>
      </c>
      <c r="F1853">
        <v>1</v>
      </c>
      <c r="G1853">
        <v>17000</v>
      </c>
      <c r="H1853">
        <v>2.9938205999999998E-2</v>
      </c>
      <c r="I1853">
        <v>14794</v>
      </c>
      <c r="J1853">
        <v>4714</v>
      </c>
      <c r="K1853">
        <v>10080</v>
      </c>
      <c r="L1853">
        <v>500</v>
      </c>
      <c r="M1853">
        <v>499</v>
      </c>
      <c r="N1853">
        <v>1</v>
      </c>
      <c r="O1853">
        <v>2206</v>
      </c>
      <c r="P1853" s="3" t="s">
        <v>50</v>
      </c>
      <c r="Q1853">
        <v>50</v>
      </c>
      <c r="R1853">
        <v>0.999</v>
      </c>
      <c r="S1853">
        <v>1</v>
      </c>
    </row>
    <row r="1854" spans="1:19" x14ac:dyDescent="0.2">
      <c r="A1854" s="3" t="s">
        <v>54</v>
      </c>
      <c r="B1854" s="3" t="s">
        <v>55</v>
      </c>
      <c r="C1854">
        <v>7</v>
      </c>
      <c r="D1854">
        <v>17000</v>
      </c>
      <c r="E1854">
        <v>499</v>
      </c>
      <c r="F1854">
        <v>1</v>
      </c>
      <c r="G1854">
        <v>17000</v>
      </c>
      <c r="H1854">
        <v>2.9908343E-2</v>
      </c>
      <c r="I1854">
        <v>14759</v>
      </c>
      <c r="J1854">
        <v>4713</v>
      </c>
      <c r="K1854">
        <v>10046</v>
      </c>
      <c r="L1854">
        <v>500</v>
      </c>
      <c r="M1854">
        <v>499</v>
      </c>
      <c r="N1854">
        <v>1</v>
      </c>
      <c r="O1854">
        <v>2241</v>
      </c>
      <c r="P1854" s="3" t="s">
        <v>52</v>
      </c>
      <c r="Q1854">
        <v>50</v>
      </c>
      <c r="R1854">
        <v>0.999</v>
      </c>
      <c r="S1854">
        <v>1</v>
      </c>
    </row>
    <row r="1855" spans="1:19" x14ac:dyDescent="0.2">
      <c r="A1855" s="3" t="s">
        <v>54</v>
      </c>
      <c r="B1855" s="3" t="s">
        <v>55</v>
      </c>
      <c r="C1855">
        <v>47</v>
      </c>
      <c r="D1855">
        <v>17000</v>
      </c>
      <c r="E1855">
        <v>499</v>
      </c>
      <c r="F1855">
        <v>1</v>
      </c>
      <c r="G1855">
        <v>17000</v>
      </c>
      <c r="H1855">
        <v>2.9906087000000001E-2</v>
      </c>
      <c r="I1855">
        <v>14773</v>
      </c>
      <c r="J1855">
        <v>4728</v>
      </c>
      <c r="K1855">
        <v>10045</v>
      </c>
      <c r="L1855">
        <v>500</v>
      </c>
      <c r="M1855">
        <v>499</v>
      </c>
      <c r="N1855">
        <v>1</v>
      </c>
      <c r="O1855">
        <v>2227</v>
      </c>
      <c r="P1855" s="3" t="s">
        <v>50</v>
      </c>
      <c r="Q1855">
        <v>50</v>
      </c>
      <c r="R1855">
        <v>0.999</v>
      </c>
      <c r="S1855">
        <v>1</v>
      </c>
    </row>
    <row r="1856" spans="1:19" x14ac:dyDescent="0.2">
      <c r="A1856" s="3" t="s">
        <v>54</v>
      </c>
      <c r="B1856" s="3" t="s">
        <v>55</v>
      </c>
      <c r="C1856">
        <v>7</v>
      </c>
      <c r="D1856">
        <v>17000</v>
      </c>
      <c r="E1856">
        <v>499</v>
      </c>
      <c r="F1856">
        <v>1</v>
      </c>
      <c r="G1856">
        <v>17000</v>
      </c>
      <c r="H1856">
        <v>2.9874609E-2</v>
      </c>
      <c r="I1856">
        <v>14764</v>
      </c>
      <c r="J1856">
        <v>4727</v>
      </c>
      <c r="K1856">
        <v>10037</v>
      </c>
      <c r="L1856">
        <v>500</v>
      </c>
      <c r="M1856">
        <v>499</v>
      </c>
      <c r="N1856">
        <v>1</v>
      </c>
      <c r="O1856">
        <v>2236</v>
      </c>
      <c r="P1856" s="3" t="s">
        <v>50</v>
      </c>
      <c r="Q1856">
        <v>50</v>
      </c>
      <c r="R1856">
        <v>0.999</v>
      </c>
      <c r="S1856">
        <v>1</v>
      </c>
    </row>
    <row r="1857" spans="1:19" x14ac:dyDescent="0.2">
      <c r="A1857" s="3" t="s">
        <v>54</v>
      </c>
      <c r="B1857" s="3" t="s">
        <v>55</v>
      </c>
      <c r="C1857">
        <v>37</v>
      </c>
      <c r="D1857">
        <v>17000</v>
      </c>
      <c r="E1857">
        <v>499</v>
      </c>
      <c r="F1857">
        <v>1</v>
      </c>
      <c r="G1857">
        <v>17000</v>
      </c>
      <c r="H1857">
        <v>2.9860079000000001E-2</v>
      </c>
      <c r="I1857">
        <v>14773</v>
      </c>
      <c r="J1857">
        <v>4743</v>
      </c>
      <c r="K1857">
        <v>10030</v>
      </c>
      <c r="L1857">
        <v>500</v>
      </c>
      <c r="M1857">
        <v>499</v>
      </c>
      <c r="N1857">
        <v>1</v>
      </c>
      <c r="O1857">
        <v>2227</v>
      </c>
      <c r="P1857" s="3" t="s">
        <v>50</v>
      </c>
      <c r="Q1857">
        <v>50</v>
      </c>
      <c r="R1857">
        <v>0.999</v>
      </c>
      <c r="S1857">
        <v>1</v>
      </c>
    </row>
    <row r="1858" spans="1:19" x14ac:dyDescent="0.2">
      <c r="A1858" s="3" t="s">
        <v>54</v>
      </c>
      <c r="B1858" s="3" t="s">
        <v>55</v>
      </c>
      <c r="C1858">
        <v>34</v>
      </c>
      <c r="D1858">
        <v>17000</v>
      </c>
      <c r="E1858">
        <v>499</v>
      </c>
      <c r="F1858">
        <v>1</v>
      </c>
      <c r="G1858">
        <v>17000</v>
      </c>
      <c r="H1858">
        <v>2.9844542000000002E-2</v>
      </c>
      <c r="I1858">
        <v>14771</v>
      </c>
      <c r="J1858">
        <v>4728</v>
      </c>
      <c r="K1858">
        <v>10043</v>
      </c>
      <c r="L1858">
        <v>500</v>
      </c>
      <c r="M1858">
        <v>499</v>
      </c>
      <c r="N1858">
        <v>1</v>
      </c>
      <c r="O1858">
        <v>2229</v>
      </c>
      <c r="P1858" s="3" t="s">
        <v>50</v>
      </c>
      <c r="Q1858">
        <v>50</v>
      </c>
      <c r="R1858">
        <v>0.999</v>
      </c>
      <c r="S1858">
        <v>1</v>
      </c>
    </row>
    <row r="1859" spans="1:19" x14ac:dyDescent="0.2">
      <c r="A1859" s="3" t="s">
        <v>54</v>
      </c>
      <c r="B1859" s="3" t="s">
        <v>55</v>
      </c>
      <c r="C1859">
        <v>35</v>
      </c>
      <c r="D1859">
        <v>13000</v>
      </c>
      <c r="E1859">
        <v>499</v>
      </c>
      <c r="F1859">
        <v>1</v>
      </c>
      <c r="G1859">
        <v>53044.701099550097</v>
      </c>
      <c r="H1859">
        <v>2.9836034000000001E-2</v>
      </c>
      <c r="I1859">
        <v>12454</v>
      </c>
      <c r="J1859">
        <v>4083</v>
      </c>
      <c r="K1859">
        <v>8371</v>
      </c>
      <c r="L1859">
        <v>500</v>
      </c>
      <c r="M1859">
        <v>499</v>
      </c>
      <c r="N1859">
        <v>1</v>
      </c>
      <c r="O1859">
        <v>2041.5035351788999</v>
      </c>
      <c r="P1859" s="3" t="s">
        <v>51</v>
      </c>
      <c r="Q1859">
        <v>50</v>
      </c>
      <c r="R1859">
        <v>0.999</v>
      </c>
      <c r="S1859">
        <v>0</v>
      </c>
    </row>
    <row r="1860" spans="1:19" x14ac:dyDescent="0.2">
      <c r="A1860" s="3" t="s">
        <v>54</v>
      </c>
      <c r="B1860" s="3" t="s">
        <v>55</v>
      </c>
      <c r="C1860">
        <v>47</v>
      </c>
      <c r="D1860">
        <v>13000</v>
      </c>
      <c r="E1860">
        <v>499</v>
      </c>
      <c r="F1860">
        <v>1</v>
      </c>
      <c r="G1860">
        <v>53044.701099550097</v>
      </c>
      <c r="H1860">
        <v>2.9822899E-2</v>
      </c>
      <c r="I1860">
        <v>12433</v>
      </c>
      <c r="J1860">
        <v>4065</v>
      </c>
      <c r="K1860">
        <v>8368</v>
      </c>
      <c r="L1860">
        <v>500</v>
      </c>
      <c r="M1860">
        <v>499</v>
      </c>
      <c r="N1860">
        <v>1</v>
      </c>
      <c r="O1860">
        <v>2062.1989082319001</v>
      </c>
      <c r="P1860" s="3" t="s">
        <v>51</v>
      </c>
      <c r="Q1860">
        <v>50</v>
      </c>
      <c r="R1860">
        <v>0.999</v>
      </c>
      <c r="S1860">
        <v>0</v>
      </c>
    </row>
    <row r="1861" spans="1:19" x14ac:dyDescent="0.2">
      <c r="A1861" s="3" t="s">
        <v>54</v>
      </c>
      <c r="B1861" s="3" t="s">
        <v>55</v>
      </c>
      <c r="C1861">
        <v>45</v>
      </c>
      <c r="D1861">
        <v>17000</v>
      </c>
      <c r="E1861">
        <v>499</v>
      </c>
      <c r="F1861">
        <v>1</v>
      </c>
      <c r="G1861">
        <v>17000</v>
      </c>
      <c r="H1861">
        <v>2.9811313999999998E-2</v>
      </c>
      <c r="I1861">
        <v>14781</v>
      </c>
      <c r="J1861">
        <v>4746</v>
      </c>
      <c r="K1861">
        <v>10035</v>
      </c>
      <c r="L1861">
        <v>500</v>
      </c>
      <c r="M1861">
        <v>499</v>
      </c>
      <c r="N1861">
        <v>1</v>
      </c>
      <c r="O1861">
        <v>2219</v>
      </c>
      <c r="P1861" s="3" t="s">
        <v>50</v>
      </c>
      <c r="Q1861">
        <v>50</v>
      </c>
      <c r="R1861">
        <v>0.999</v>
      </c>
      <c r="S1861">
        <v>1</v>
      </c>
    </row>
    <row r="1862" spans="1:19" x14ac:dyDescent="0.2">
      <c r="A1862" s="3" t="s">
        <v>54</v>
      </c>
      <c r="B1862" s="3" t="s">
        <v>55</v>
      </c>
      <c r="C1862">
        <v>28</v>
      </c>
      <c r="D1862">
        <v>17000</v>
      </c>
      <c r="E1862">
        <v>499</v>
      </c>
      <c r="F1862">
        <v>1</v>
      </c>
      <c r="G1862">
        <v>17000</v>
      </c>
      <c r="H1862">
        <v>2.9801622999999999E-2</v>
      </c>
      <c r="I1862">
        <v>14777</v>
      </c>
      <c r="J1862">
        <v>4719</v>
      </c>
      <c r="K1862">
        <v>10058</v>
      </c>
      <c r="L1862">
        <v>500</v>
      </c>
      <c r="M1862">
        <v>499</v>
      </c>
      <c r="N1862">
        <v>1</v>
      </c>
      <c r="O1862">
        <v>2223</v>
      </c>
      <c r="P1862" s="3" t="s">
        <v>50</v>
      </c>
      <c r="Q1862">
        <v>50</v>
      </c>
      <c r="R1862">
        <v>0.999</v>
      </c>
      <c r="S1862">
        <v>1</v>
      </c>
    </row>
    <row r="1863" spans="1:19" x14ac:dyDescent="0.2">
      <c r="A1863" s="3" t="s">
        <v>54</v>
      </c>
      <c r="B1863" s="3" t="s">
        <v>55</v>
      </c>
      <c r="C1863">
        <v>5</v>
      </c>
      <c r="D1863">
        <v>13000</v>
      </c>
      <c r="E1863">
        <v>499</v>
      </c>
      <c r="F1863">
        <v>1</v>
      </c>
      <c r="G1863">
        <v>53044.701099550097</v>
      </c>
      <c r="H1863">
        <v>2.9790924999999999E-2</v>
      </c>
      <c r="I1863">
        <v>12428</v>
      </c>
      <c r="J1863">
        <v>4064</v>
      </c>
      <c r="K1863">
        <v>8364</v>
      </c>
      <c r="L1863">
        <v>500</v>
      </c>
      <c r="M1863">
        <v>499</v>
      </c>
      <c r="N1863">
        <v>1</v>
      </c>
      <c r="O1863">
        <v>2088.9862852939</v>
      </c>
      <c r="P1863" s="3" t="s">
        <v>51</v>
      </c>
      <c r="Q1863">
        <v>50</v>
      </c>
      <c r="R1863">
        <v>0.999</v>
      </c>
      <c r="S1863">
        <v>0</v>
      </c>
    </row>
    <row r="1864" spans="1:19" x14ac:dyDescent="0.2">
      <c r="A1864" s="3" t="s">
        <v>54</v>
      </c>
      <c r="B1864" s="3" t="s">
        <v>55</v>
      </c>
      <c r="C1864">
        <v>41</v>
      </c>
      <c r="D1864">
        <v>17000</v>
      </c>
      <c r="E1864">
        <v>499</v>
      </c>
      <c r="F1864">
        <v>1</v>
      </c>
      <c r="G1864">
        <v>17000</v>
      </c>
      <c r="H1864">
        <v>2.9781630999999999E-2</v>
      </c>
      <c r="I1864">
        <v>14791</v>
      </c>
      <c r="J1864">
        <v>4692</v>
      </c>
      <c r="K1864">
        <v>10099</v>
      </c>
      <c r="L1864">
        <v>500</v>
      </c>
      <c r="M1864">
        <v>499</v>
      </c>
      <c r="N1864">
        <v>1</v>
      </c>
      <c r="O1864">
        <v>2209</v>
      </c>
      <c r="P1864" s="3" t="s">
        <v>50</v>
      </c>
      <c r="Q1864">
        <v>50</v>
      </c>
      <c r="R1864">
        <v>0.999</v>
      </c>
      <c r="S1864">
        <v>1</v>
      </c>
    </row>
    <row r="1865" spans="1:19" x14ac:dyDescent="0.2">
      <c r="A1865" s="3" t="s">
        <v>54</v>
      </c>
      <c r="B1865" s="3" t="s">
        <v>55</v>
      </c>
      <c r="C1865">
        <v>50</v>
      </c>
      <c r="D1865">
        <v>17000</v>
      </c>
      <c r="E1865">
        <v>499</v>
      </c>
      <c r="F1865">
        <v>1</v>
      </c>
      <c r="G1865">
        <v>17000</v>
      </c>
      <c r="H1865">
        <v>2.9778467999999999E-2</v>
      </c>
      <c r="I1865">
        <v>14753</v>
      </c>
      <c r="J1865">
        <v>4675</v>
      </c>
      <c r="K1865">
        <v>10078</v>
      </c>
      <c r="L1865">
        <v>500</v>
      </c>
      <c r="M1865">
        <v>499</v>
      </c>
      <c r="N1865">
        <v>1</v>
      </c>
      <c r="O1865">
        <v>2247</v>
      </c>
      <c r="P1865" s="3" t="s">
        <v>50</v>
      </c>
      <c r="Q1865">
        <v>50</v>
      </c>
      <c r="R1865">
        <v>0.999</v>
      </c>
      <c r="S1865">
        <v>1</v>
      </c>
    </row>
    <row r="1866" spans="1:19" x14ac:dyDescent="0.2">
      <c r="A1866" s="3" t="s">
        <v>54</v>
      </c>
      <c r="B1866" s="3" t="s">
        <v>55</v>
      </c>
      <c r="C1866">
        <v>46</v>
      </c>
      <c r="D1866">
        <v>13000</v>
      </c>
      <c r="E1866">
        <v>499</v>
      </c>
      <c r="F1866">
        <v>1</v>
      </c>
      <c r="G1866">
        <v>53044.701099550097</v>
      </c>
      <c r="H1866">
        <v>2.9774756999999999E-2</v>
      </c>
      <c r="I1866">
        <v>12461</v>
      </c>
      <c r="J1866">
        <v>4081</v>
      </c>
      <c r="K1866">
        <v>8380</v>
      </c>
      <c r="L1866">
        <v>500</v>
      </c>
      <c r="M1866">
        <v>499</v>
      </c>
      <c r="N1866">
        <v>1</v>
      </c>
      <c r="O1866">
        <v>1988.5002278161001</v>
      </c>
      <c r="P1866" s="3" t="s">
        <v>51</v>
      </c>
      <c r="Q1866">
        <v>50</v>
      </c>
      <c r="R1866">
        <v>0.999</v>
      </c>
      <c r="S1866">
        <v>0</v>
      </c>
    </row>
    <row r="1867" spans="1:19" x14ac:dyDescent="0.2">
      <c r="A1867" s="3" t="s">
        <v>54</v>
      </c>
      <c r="B1867" s="3" t="s">
        <v>55</v>
      </c>
      <c r="C1867">
        <v>10</v>
      </c>
      <c r="D1867">
        <v>17000</v>
      </c>
      <c r="E1867">
        <v>499</v>
      </c>
      <c r="F1867">
        <v>1</v>
      </c>
      <c r="G1867">
        <v>17000</v>
      </c>
      <c r="H1867">
        <v>2.9769422E-2</v>
      </c>
      <c r="I1867">
        <v>14779</v>
      </c>
      <c r="J1867">
        <v>4691</v>
      </c>
      <c r="K1867">
        <v>10088</v>
      </c>
      <c r="L1867">
        <v>500</v>
      </c>
      <c r="M1867">
        <v>499</v>
      </c>
      <c r="N1867">
        <v>1</v>
      </c>
      <c r="O1867">
        <v>2221</v>
      </c>
      <c r="P1867" s="3" t="s">
        <v>50</v>
      </c>
      <c r="Q1867">
        <v>50</v>
      </c>
      <c r="R1867">
        <v>0.999</v>
      </c>
      <c r="S1867">
        <v>1</v>
      </c>
    </row>
    <row r="1868" spans="1:19" x14ac:dyDescent="0.2">
      <c r="A1868" s="3" t="s">
        <v>54</v>
      </c>
      <c r="B1868" s="3" t="s">
        <v>55</v>
      </c>
      <c r="C1868">
        <v>39</v>
      </c>
      <c r="D1868">
        <v>13000</v>
      </c>
      <c r="E1868">
        <v>499</v>
      </c>
      <c r="F1868">
        <v>1</v>
      </c>
      <c r="G1868">
        <v>53044.701099550097</v>
      </c>
      <c r="H1868">
        <v>2.9753581000000001E-2</v>
      </c>
      <c r="I1868">
        <v>12431</v>
      </c>
      <c r="J1868">
        <v>4075</v>
      </c>
      <c r="K1868">
        <v>8356</v>
      </c>
      <c r="L1868">
        <v>500</v>
      </c>
      <c r="M1868">
        <v>499</v>
      </c>
      <c r="N1868">
        <v>1</v>
      </c>
      <c r="O1868">
        <v>2120.0321147970999</v>
      </c>
      <c r="P1868" s="3" t="s">
        <v>51</v>
      </c>
      <c r="Q1868">
        <v>50</v>
      </c>
      <c r="R1868">
        <v>0.999</v>
      </c>
      <c r="S1868">
        <v>0</v>
      </c>
    </row>
    <row r="1869" spans="1:19" x14ac:dyDescent="0.2">
      <c r="A1869" s="3" t="s">
        <v>54</v>
      </c>
      <c r="B1869" s="3" t="s">
        <v>55</v>
      </c>
      <c r="C1869">
        <v>14</v>
      </c>
      <c r="D1869">
        <v>17000</v>
      </c>
      <c r="E1869">
        <v>499</v>
      </c>
      <c r="F1869">
        <v>1</v>
      </c>
      <c r="G1869">
        <v>17000</v>
      </c>
      <c r="H1869">
        <v>2.9709288E-2</v>
      </c>
      <c r="I1869">
        <v>14784</v>
      </c>
      <c r="J1869">
        <v>4737</v>
      </c>
      <c r="K1869">
        <v>10047</v>
      </c>
      <c r="L1869">
        <v>500</v>
      </c>
      <c r="M1869">
        <v>499</v>
      </c>
      <c r="N1869">
        <v>1</v>
      </c>
      <c r="O1869">
        <v>2216</v>
      </c>
      <c r="P1869" s="3" t="s">
        <v>52</v>
      </c>
      <c r="Q1869">
        <v>50</v>
      </c>
      <c r="R1869">
        <v>0.999</v>
      </c>
      <c r="S1869">
        <v>1</v>
      </c>
    </row>
    <row r="1870" spans="1:19" x14ac:dyDescent="0.2">
      <c r="A1870" s="3" t="s">
        <v>54</v>
      </c>
      <c r="B1870" s="3" t="s">
        <v>55</v>
      </c>
      <c r="C1870">
        <v>33</v>
      </c>
      <c r="D1870">
        <v>17000</v>
      </c>
      <c r="E1870">
        <v>499</v>
      </c>
      <c r="F1870">
        <v>1</v>
      </c>
      <c r="G1870">
        <v>17000</v>
      </c>
      <c r="H1870">
        <v>2.9704989000000001E-2</v>
      </c>
      <c r="I1870">
        <v>14776</v>
      </c>
      <c r="J1870">
        <v>4732</v>
      </c>
      <c r="K1870">
        <v>10044</v>
      </c>
      <c r="L1870">
        <v>500</v>
      </c>
      <c r="M1870">
        <v>499</v>
      </c>
      <c r="N1870">
        <v>1</v>
      </c>
      <c r="O1870">
        <v>2224</v>
      </c>
      <c r="P1870" s="3" t="s">
        <v>50</v>
      </c>
      <c r="Q1870">
        <v>50</v>
      </c>
      <c r="R1870">
        <v>0.999</v>
      </c>
      <c r="S1870">
        <v>1</v>
      </c>
    </row>
    <row r="1871" spans="1:19" x14ac:dyDescent="0.2">
      <c r="A1871" s="3" t="s">
        <v>54</v>
      </c>
      <c r="B1871" s="3" t="s">
        <v>55</v>
      </c>
      <c r="C1871">
        <v>16</v>
      </c>
      <c r="D1871">
        <v>11000</v>
      </c>
      <c r="E1871">
        <v>499</v>
      </c>
      <c r="F1871">
        <v>1</v>
      </c>
      <c r="G1871">
        <v>11000</v>
      </c>
      <c r="H1871">
        <v>2.9704182999999999E-2</v>
      </c>
      <c r="I1871">
        <v>11000</v>
      </c>
      <c r="J1871">
        <v>4329</v>
      </c>
      <c r="K1871">
        <v>6671</v>
      </c>
      <c r="L1871">
        <v>500</v>
      </c>
      <c r="M1871">
        <v>499</v>
      </c>
      <c r="N1871">
        <v>1</v>
      </c>
      <c r="O1871">
        <v>0</v>
      </c>
      <c r="P1871" s="3" t="s">
        <v>51</v>
      </c>
      <c r="Q1871">
        <v>50</v>
      </c>
      <c r="R1871">
        <v>0.999</v>
      </c>
      <c r="S1871">
        <v>1</v>
      </c>
    </row>
    <row r="1872" spans="1:19" x14ac:dyDescent="0.2">
      <c r="A1872" s="3" t="s">
        <v>54</v>
      </c>
      <c r="B1872" s="3" t="s">
        <v>55</v>
      </c>
      <c r="C1872">
        <v>26</v>
      </c>
      <c r="D1872">
        <v>17000</v>
      </c>
      <c r="E1872">
        <v>499</v>
      </c>
      <c r="F1872">
        <v>1</v>
      </c>
      <c r="G1872">
        <v>17000</v>
      </c>
      <c r="H1872">
        <v>2.9662913999999999E-2</v>
      </c>
      <c r="I1872">
        <v>14771</v>
      </c>
      <c r="J1872">
        <v>4708</v>
      </c>
      <c r="K1872">
        <v>10063</v>
      </c>
      <c r="L1872">
        <v>500</v>
      </c>
      <c r="M1872">
        <v>499</v>
      </c>
      <c r="N1872">
        <v>1</v>
      </c>
      <c r="O1872">
        <v>2229</v>
      </c>
      <c r="P1872" s="3" t="s">
        <v>50</v>
      </c>
      <c r="Q1872">
        <v>50</v>
      </c>
      <c r="R1872">
        <v>0.999</v>
      </c>
      <c r="S1872">
        <v>1</v>
      </c>
    </row>
    <row r="1873" spans="1:19" x14ac:dyDescent="0.2">
      <c r="A1873" s="3" t="s">
        <v>54</v>
      </c>
      <c r="B1873" s="3" t="s">
        <v>55</v>
      </c>
      <c r="C1873">
        <v>3</v>
      </c>
      <c r="D1873">
        <v>17000</v>
      </c>
      <c r="E1873">
        <v>499</v>
      </c>
      <c r="F1873">
        <v>1</v>
      </c>
      <c r="G1873">
        <v>17000</v>
      </c>
      <c r="H1873">
        <v>2.9637832999999999E-2</v>
      </c>
      <c r="I1873">
        <v>14771</v>
      </c>
      <c r="J1873">
        <v>4700</v>
      </c>
      <c r="K1873">
        <v>10071</v>
      </c>
      <c r="L1873">
        <v>500</v>
      </c>
      <c r="M1873">
        <v>499</v>
      </c>
      <c r="N1873">
        <v>1</v>
      </c>
      <c r="O1873">
        <v>2229</v>
      </c>
      <c r="P1873" s="3" t="s">
        <v>50</v>
      </c>
      <c r="Q1873">
        <v>50</v>
      </c>
      <c r="R1873">
        <v>0.999</v>
      </c>
      <c r="S1873">
        <v>1</v>
      </c>
    </row>
    <row r="1874" spans="1:19" x14ac:dyDescent="0.2">
      <c r="A1874" s="3" t="s">
        <v>54</v>
      </c>
      <c r="B1874" s="3" t="s">
        <v>55</v>
      </c>
      <c r="C1874">
        <v>39</v>
      </c>
      <c r="D1874">
        <v>17000</v>
      </c>
      <c r="E1874">
        <v>499</v>
      </c>
      <c r="F1874">
        <v>1</v>
      </c>
      <c r="G1874">
        <v>17000</v>
      </c>
      <c r="H1874">
        <v>2.9622260000000001E-2</v>
      </c>
      <c r="I1874">
        <v>14772</v>
      </c>
      <c r="J1874">
        <v>4723</v>
      </c>
      <c r="K1874">
        <v>10049</v>
      </c>
      <c r="L1874">
        <v>500</v>
      </c>
      <c r="M1874">
        <v>499</v>
      </c>
      <c r="N1874">
        <v>1</v>
      </c>
      <c r="O1874">
        <v>2228</v>
      </c>
      <c r="P1874" s="3" t="s">
        <v>50</v>
      </c>
      <c r="Q1874">
        <v>50</v>
      </c>
      <c r="R1874">
        <v>0.999</v>
      </c>
      <c r="S1874">
        <v>1</v>
      </c>
    </row>
    <row r="1875" spans="1:19" x14ac:dyDescent="0.2">
      <c r="A1875" s="3" t="s">
        <v>54</v>
      </c>
      <c r="B1875" s="3" t="s">
        <v>55</v>
      </c>
      <c r="C1875">
        <v>8</v>
      </c>
      <c r="D1875">
        <v>17000</v>
      </c>
      <c r="E1875">
        <v>499</v>
      </c>
      <c r="F1875">
        <v>1</v>
      </c>
      <c r="G1875">
        <v>17000</v>
      </c>
      <c r="H1875">
        <v>2.9617602999999999E-2</v>
      </c>
      <c r="I1875">
        <v>14776</v>
      </c>
      <c r="J1875">
        <v>4687</v>
      </c>
      <c r="K1875">
        <v>10089</v>
      </c>
      <c r="L1875">
        <v>500</v>
      </c>
      <c r="M1875">
        <v>499</v>
      </c>
      <c r="N1875">
        <v>1</v>
      </c>
      <c r="O1875">
        <v>2224</v>
      </c>
      <c r="P1875" s="3" t="s">
        <v>50</v>
      </c>
      <c r="Q1875">
        <v>50</v>
      </c>
      <c r="R1875">
        <v>0.999</v>
      </c>
      <c r="S1875">
        <v>1</v>
      </c>
    </row>
    <row r="1876" spans="1:19" x14ac:dyDescent="0.2">
      <c r="A1876" s="3" t="s">
        <v>54</v>
      </c>
      <c r="B1876" s="3" t="s">
        <v>55</v>
      </c>
      <c r="C1876">
        <v>4</v>
      </c>
      <c r="D1876">
        <v>17000</v>
      </c>
      <c r="E1876">
        <v>499</v>
      </c>
      <c r="F1876">
        <v>1</v>
      </c>
      <c r="G1876">
        <v>17000</v>
      </c>
      <c r="H1876">
        <v>2.9613615999999999E-2</v>
      </c>
      <c r="I1876">
        <v>14804</v>
      </c>
      <c r="J1876">
        <v>4748</v>
      </c>
      <c r="K1876">
        <v>10056</v>
      </c>
      <c r="L1876">
        <v>500</v>
      </c>
      <c r="M1876">
        <v>499</v>
      </c>
      <c r="N1876">
        <v>1</v>
      </c>
      <c r="O1876">
        <v>2196</v>
      </c>
      <c r="P1876" s="3" t="s">
        <v>50</v>
      </c>
      <c r="Q1876">
        <v>50</v>
      </c>
      <c r="R1876">
        <v>0.999</v>
      </c>
      <c r="S1876">
        <v>1</v>
      </c>
    </row>
    <row r="1877" spans="1:19" x14ac:dyDescent="0.2">
      <c r="A1877" s="3" t="s">
        <v>54</v>
      </c>
      <c r="B1877" s="3" t="s">
        <v>55</v>
      </c>
      <c r="C1877">
        <v>40</v>
      </c>
      <c r="D1877">
        <v>17000</v>
      </c>
      <c r="E1877">
        <v>499</v>
      </c>
      <c r="F1877">
        <v>1</v>
      </c>
      <c r="G1877">
        <v>17000</v>
      </c>
      <c r="H1877">
        <v>2.9596438999999999E-2</v>
      </c>
      <c r="I1877">
        <v>14806</v>
      </c>
      <c r="J1877">
        <v>4740</v>
      </c>
      <c r="K1877">
        <v>10066</v>
      </c>
      <c r="L1877">
        <v>500</v>
      </c>
      <c r="M1877">
        <v>499</v>
      </c>
      <c r="N1877">
        <v>1</v>
      </c>
      <c r="O1877">
        <v>2194</v>
      </c>
      <c r="P1877" s="3" t="s">
        <v>50</v>
      </c>
      <c r="Q1877">
        <v>50</v>
      </c>
      <c r="R1877">
        <v>0.999</v>
      </c>
      <c r="S1877">
        <v>1</v>
      </c>
    </row>
    <row r="1878" spans="1:19" x14ac:dyDescent="0.2">
      <c r="A1878" s="3" t="s">
        <v>54</v>
      </c>
      <c r="B1878" s="3" t="s">
        <v>55</v>
      </c>
      <c r="C1878">
        <v>15</v>
      </c>
      <c r="D1878">
        <v>17000</v>
      </c>
      <c r="E1878">
        <v>499</v>
      </c>
      <c r="F1878">
        <v>1</v>
      </c>
      <c r="G1878">
        <v>17000</v>
      </c>
      <c r="H1878">
        <v>2.9566775E-2</v>
      </c>
      <c r="I1878">
        <v>14764</v>
      </c>
      <c r="J1878">
        <v>4714</v>
      </c>
      <c r="K1878">
        <v>10050</v>
      </c>
      <c r="L1878">
        <v>500</v>
      </c>
      <c r="M1878">
        <v>499</v>
      </c>
      <c r="N1878">
        <v>1</v>
      </c>
      <c r="O1878">
        <v>2236</v>
      </c>
      <c r="P1878" s="3" t="s">
        <v>50</v>
      </c>
      <c r="Q1878">
        <v>50</v>
      </c>
      <c r="R1878">
        <v>0.999</v>
      </c>
      <c r="S1878">
        <v>1</v>
      </c>
    </row>
    <row r="1879" spans="1:19" x14ac:dyDescent="0.2">
      <c r="A1879" s="3" t="s">
        <v>54</v>
      </c>
      <c r="B1879" s="3" t="s">
        <v>55</v>
      </c>
      <c r="C1879">
        <v>9</v>
      </c>
      <c r="D1879">
        <v>17000</v>
      </c>
      <c r="E1879">
        <v>499</v>
      </c>
      <c r="F1879">
        <v>1</v>
      </c>
      <c r="G1879">
        <v>17000</v>
      </c>
      <c r="H1879">
        <v>2.9566004999999999E-2</v>
      </c>
      <c r="I1879">
        <v>14780</v>
      </c>
      <c r="J1879">
        <v>4728</v>
      </c>
      <c r="K1879">
        <v>10052</v>
      </c>
      <c r="L1879">
        <v>500</v>
      </c>
      <c r="M1879">
        <v>499</v>
      </c>
      <c r="N1879">
        <v>1</v>
      </c>
      <c r="O1879">
        <v>2220</v>
      </c>
      <c r="P1879" s="3" t="s">
        <v>50</v>
      </c>
      <c r="Q1879">
        <v>50</v>
      </c>
      <c r="R1879">
        <v>0.999</v>
      </c>
      <c r="S1879">
        <v>1</v>
      </c>
    </row>
    <row r="1880" spans="1:19" x14ac:dyDescent="0.2">
      <c r="A1880" s="3" t="s">
        <v>54</v>
      </c>
      <c r="B1880" s="3" t="s">
        <v>55</v>
      </c>
      <c r="C1880">
        <v>25</v>
      </c>
      <c r="D1880">
        <v>17000</v>
      </c>
      <c r="E1880">
        <v>499</v>
      </c>
      <c r="F1880">
        <v>1</v>
      </c>
      <c r="G1880">
        <v>17000</v>
      </c>
      <c r="H1880">
        <v>2.9551438999999999E-2</v>
      </c>
      <c r="I1880">
        <v>14768</v>
      </c>
      <c r="J1880">
        <v>4690</v>
      </c>
      <c r="K1880">
        <v>10078</v>
      </c>
      <c r="L1880">
        <v>500</v>
      </c>
      <c r="M1880">
        <v>499</v>
      </c>
      <c r="N1880">
        <v>1</v>
      </c>
      <c r="O1880">
        <v>2232</v>
      </c>
      <c r="P1880" s="3" t="s">
        <v>50</v>
      </c>
      <c r="Q1880">
        <v>50</v>
      </c>
      <c r="R1880">
        <v>0.999</v>
      </c>
      <c r="S1880">
        <v>1</v>
      </c>
    </row>
    <row r="1881" spans="1:19" x14ac:dyDescent="0.2">
      <c r="A1881" s="3" t="s">
        <v>54</v>
      </c>
      <c r="B1881" s="3" t="s">
        <v>55</v>
      </c>
      <c r="C1881">
        <v>18</v>
      </c>
      <c r="D1881">
        <v>17000</v>
      </c>
      <c r="E1881">
        <v>499</v>
      </c>
      <c r="F1881">
        <v>1</v>
      </c>
      <c r="G1881">
        <v>17000</v>
      </c>
      <c r="H1881">
        <v>2.9549990000000002E-2</v>
      </c>
      <c r="I1881">
        <v>14766</v>
      </c>
      <c r="J1881">
        <v>4720</v>
      </c>
      <c r="K1881">
        <v>10046</v>
      </c>
      <c r="L1881">
        <v>500</v>
      </c>
      <c r="M1881">
        <v>499</v>
      </c>
      <c r="N1881">
        <v>1</v>
      </c>
      <c r="O1881">
        <v>2234</v>
      </c>
      <c r="P1881" s="3" t="s">
        <v>50</v>
      </c>
      <c r="Q1881">
        <v>50</v>
      </c>
      <c r="R1881">
        <v>0.999</v>
      </c>
      <c r="S1881">
        <v>1</v>
      </c>
    </row>
    <row r="1882" spans="1:19" x14ac:dyDescent="0.2">
      <c r="A1882" s="3" t="s">
        <v>54</v>
      </c>
      <c r="B1882" s="3" t="s">
        <v>55</v>
      </c>
      <c r="C1882">
        <v>19</v>
      </c>
      <c r="D1882">
        <v>17000</v>
      </c>
      <c r="E1882">
        <v>499</v>
      </c>
      <c r="F1882">
        <v>1</v>
      </c>
      <c r="G1882">
        <v>17000</v>
      </c>
      <c r="H1882">
        <v>2.9547101999999999E-2</v>
      </c>
      <c r="I1882">
        <v>14770</v>
      </c>
      <c r="J1882">
        <v>4702</v>
      </c>
      <c r="K1882">
        <v>10068</v>
      </c>
      <c r="L1882">
        <v>500</v>
      </c>
      <c r="M1882">
        <v>499</v>
      </c>
      <c r="N1882">
        <v>1</v>
      </c>
      <c r="O1882">
        <v>2230</v>
      </c>
      <c r="P1882" s="3" t="s">
        <v>50</v>
      </c>
      <c r="Q1882">
        <v>50</v>
      </c>
      <c r="R1882">
        <v>0.999</v>
      </c>
      <c r="S1882">
        <v>1</v>
      </c>
    </row>
    <row r="1883" spans="1:19" x14ac:dyDescent="0.2">
      <c r="A1883" s="3" t="s">
        <v>54</v>
      </c>
      <c r="B1883" s="3" t="s">
        <v>55</v>
      </c>
      <c r="C1883">
        <v>46</v>
      </c>
      <c r="D1883">
        <v>17000</v>
      </c>
      <c r="E1883">
        <v>499</v>
      </c>
      <c r="F1883">
        <v>1</v>
      </c>
      <c r="G1883">
        <v>17000</v>
      </c>
      <c r="H1883">
        <v>2.9547029999999998E-2</v>
      </c>
      <c r="I1883">
        <v>14758</v>
      </c>
      <c r="J1883">
        <v>4704</v>
      </c>
      <c r="K1883">
        <v>10054</v>
      </c>
      <c r="L1883">
        <v>500</v>
      </c>
      <c r="M1883">
        <v>499</v>
      </c>
      <c r="N1883">
        <v>1</v>
      </c>
      <c r="O1883">
        <v>2242</v>
      </c>
      <c r="P1883" s="3" t="s">
        <v>50</v>
      </c>
      <c r="Q1883">
        <v>50</v>
      </c>
      <c r="R1883">
        <v>0.999</v>
      </c>
      <c r="S1883">
        <v>1</v>
      </c>
    </row>
    <row r="1884" spans="1:19" x14ac:dyDescent="0.2">
      <c r="A1884" s="3" t="s">
        <v>54</v>
      </c>
      <c r="B1884" s="3" t="s">
        <v>55</v>
      </c>
      <c r="C1884">
        <v>16</v>
      </c>
      <c r="D1884">
        <v>17000</v>
      </c>
      <c r="E1884">
        <v>499</v>
      </c>
      <c r="F1884">
        <v>1</v>
      </c>
      <c r="G1884">
        <v>17000</v>
      </c>
      <c r="H1884">
        <v>2.9543472000000001E-2</v>
      </c>
      <c r="I1884">
        <v>14782</v>
      </c>
      <c r="J1884">
        <v>4714</v>
      </c>
      <c r="K1884">
        <v>10068</v>
      </c>
      <c r="L1884">
        <v>500</v>
      </c>
      <c r="M1884">
        <v>499</v>
      </c>
      <c r="N1884">
        <v>1</v>
      </c>
      <c r="O1884">
        <v>2218</v>
      </c>
      <c r="P1884" s="3" t="s">
        <v>50</v>
      </c>
      <c r="Q1884">
        <v>50</v>
      </c>
      <c r="R1884">
        <v>0.999</v>
      </c>
      <c r="S1884">
        <v>1</v>
      </c>
    </row>
    <row r="1885" spans="1:19" x14ac:dyDescent="0.2">
      <c r="A1885" s="3" t="s">
        <v>54</v>
      </c>
      <c r="B1885" s="3" t="s">
        <v>55</v>
      </c>
      <c r="C1885">
        <v>32</v>
      </c>
      <c r="D1885">
        <v>13000</v>
      </c>
      <c r="E1885">
        <v>499</v>
      </c>
      <c r="F1885">
        <v>1</v>
      </c>
      <c r="G1885">
        <v>13000</v>
      </c>
      <c r="H1885">
        <v>2.9540356E-2</v>
      </c>
      <c r="I1885">
        <v>12558</v>
      </c>
      <c r="J1885">
        <v>4832</v>
      </c>
      <c r="K1885">
        <v>7726</v>
      </c>
      <c r="L1885">
        <v>500</v>
      </c>
      <c r="M1885">
        <v>499</v>
      </c>
      <c r="N1885">
        <v>1</v>
      </c>
      <c r="O1885">
        <v>442</v>
      </c>
      <c r="P1885" s="3" t="s">
        <v>51</v>
      </c>
      <c r="Q1885">
        <v>50</v>
      </c>
      <c r="R1885">
        <v>0.999</v>
      </c>
      <c r="S1885">
        <v>1</v>
      </c>
    </row>
    <row r="1886" spans="1:19" x14ac:dyDescent="0.2">
      <c r="A1886" s="3" t="s">
        <v>54</v>
      </c>
      <c r="B1886" s="3" t="s">
        <v>55</v>
      </c>
      <c r="C1886">
        <v>36</v>
      </c>
      <c r="D1886">
        <v>13000</v>
      </c>
      <c r="E1886">
        <v>499</v>
      </c>
      <c r="F1886">
        <v>1</v>
      </c>
      <c r="G1886">
        <v>53044.701099550097</v>
      </c>
      <c r="H1886">
        <v>2.9526779999999999E-2</v>
      </c>
      <c r="I1886">
        <v>12429</v>
      </c>
      <c r="J1886">
        <v>4065</v>
      </c>
      <c r="K1886">
        <v>8364</v>
      </c>
      <c r="L1886">
        <v>500</v>
      </c>
      <c r="M1886">
        <v>499</v>
      </c>
      <c r="N1886">
        <v>1</v>
      </c>
      <c r="O1886">
        <v>2082.2601693596998</v>
      </c>
      <c r="P1886" s="3" t="s">
        <v>51</v>
      </c>
      <c r="Q1886">
        <v>50</v>
      </c>
      <c r="R1886">
        <v>0.999</v>
      </c>
      <c r="S1886">
        <v>0</v>
      </c>
    </row>
    <row r="1887" spans="1:19" x14ac:dyDescent="0.2">
      <c r="A1887" s="3" t="s">
        <v>54</v>
      </c>
      <c r="B1887" s="3" t="s">
        <v>55</v>
      </c>
      <c r="C1887">
        <v>29</v>
      </c>
      <c r="D1887">
        <v>17000</v>
      </c>
      <c r="E1887">
        <v>499</v>
      </c>
      <c r="F1887">
        <v>1</v>
      </c>
      <c r="G1887">
        <v>17000</v>
      </c>
      <c r="H1887">
        <v>2.9520859E-2</v>
      </c>
      <c r="I1887">
        <v>14770</v>
      </c>
      <c r="J1887">
        <v>4730</v>
      </c>
      <c r="K1887">
        <v>10040</v>
      </c>
      <c r="L1887">
        <v>500</v>
      </c>
      <c r="M1887">
        <v>499</v>
      </c>
      <c r="N1887">
        <v>1</v>
      </c>
      <c r="O1887">
        <v>2230</v>
      </c>
      <c r="P1887" s="3" t="s">
        <v>50</v>
      </c>
      <c r="Q1887">
        <v>50</v>
      </c>
      <c r="R1887">
        <v>0.999</v>
      </c>
      <c r="S1887">
        <v>1</v>
      </c>
    </row>
    <row r="1888" spans="1:19" x14ac:dyDescent="0.2">
      <c r="A1888" s="3" t="s">
        <v>54</v>
      </c>
      <c r="B1888" s="3" t="s">
        <v>55</v>
      </c>
      <c r="C1888">
        <v>6</v>
      </c>
      <c r="D1888">
        <v>12000</v>
      </c>
      <c r="E1888">
        <v>499</v>
      </c>
      <c r="F1888">
        <v>1</v>
      </c>
      <c r="G1888">
        <v>50533.323552418398</v>
      </c>
      <c r="H1888">
        <v>2.9517722999999999E-2</v>
      </c>
      <c r="I1888">
        <v>11901</v>
      </c>
      <c r="J1888">
        <v>4079</v>
      </c>
      <c r="K1888">
        <v>7822</v>
      </c>
      <c r="L1888">
        <v>500</v>
      </c>
      <c r="M1888">
        <v>499</v>
      </c>
      <c r="N1888">
        <v>1</v>
      </c>
      <c r="O1888">
        <v>369.75089042709999</v>
      </c>
      <c r="P1888" s="3" t="s">
        <v>51</v>
      </c>
      <c r="Q1888">
        <v>50</v>
      </c>
      <c r="R1888">
        <v>0.999</v>
      </c>
      <c r="S1888">
        <v>0</v>
      </c>
    </row>
    <row r="1889" spans="1:19" x14ac:dyDescent="0.2">
      <c r="A1889" s="3" t="s">
        <v>54</v>
      </c>
      <c r="B1889" s="3" t="s">
        <v>55</v>
      </c>
      <c r="C1889">
        <v>17</v>
      </c>
      <c r="D1889">
        <v>17000</v>
      </c>
      <c r="E1889">
        <v>499</v>
      </c>
      <c r="F1889">
        <v>1</v>
      </c>
      <c r="G1889">
        <v>17000</v>
      </c>
      <c r="H1889">
        <v>2.9508996999999999E-2</v>
      </c>
      <c r="I1889">
        <v>14779</v>
      </c>
      <c r="J1889">
        <v>4727</v>
      </c>
      <c r="K1889">
        <v>10052</v>
      </c>
      <c r="L1889">
        <v>500</v>
      </c>
      <c r="M1889">
        <v>499</v>
      </c>
      <c r="N1889">
        <v>1</v>
      </c>
      <c r="O1889">
        <v>2221</v>
      </c>
      <c r="P1889" s="3" t="s">
        <v>50</v>
      </c>
      <c r="Q1889">
        <v>50</v>
      </c>
      <c r="R1889">
        <v>0.999</v>
      </c>
      <c r="S1889">
        <v>1</v>
      </c>
    </row>
    <row r="1890" spans="1:19" x14ac:dyDescent="0.2">
      <c r="A1890" s="3" t="s">
        <v>54</v>
      </c>
      <c r="B1890" s="3" t="s">
        <v>55</v>
      </c>
      <c r="C1890">
        <v>30</v>
      </c>
      <c r="D1890">
        <v>17000</v>
      </c>
      <c r="E1890">
        <v>499</v>
      </c>
      <c r="F1890">
        <v>1</v>
      </c>
      <c r="G1890">
        <v>17000</v>
      </c>
      <c r="H1890">
        <v>2.9501653999999999E-2</v>
      </c>
      <c r="I1890">
        <v>14760</v>
      </c>
      <c r="J1890">
        <v>4734</v>
      </c>
      <c r="K1890">
        <v>10026</v>
      </c>
      <c r="L1890">
        <v>500</v>
      </c>
      <c r="M1890">
        <v>499</v>
      </c>
      <c r="N1890">
        <v>1</v>
      </c>
      <c r="O1890">
        <v>2240</v>
      </c>
      <c r="P1890" s="3" t="s">
        <v>50</v>
      </c>
      <c r="Q1890">
        <v>50</v>
      </c>
      <c r="R1890">
        <v>0.999</v>
      </c>
      <c r="S1890">
        <v>1</v>
      </c>
    </row>
    <row r="1891" spans="1:19" x14ac:dyDescent="0.2">
      <c r="A1891" s="3" t="s">
        <v>54</v>
      </c>
      <c r="B1891" s="3" t="s">
        <v>55</v>
      </c>
      <c r="C1891">
        <v>28</v>
      </c>
      <c r="D1891">
        <v>12000</v>
      </c>
      <c r="E1891">
        <v>499</v>
      </c>
      <c r="F1891">
        <v>1</v>
      </c>
      <c r="G1891">
        <v>50533.323552418398</v>
      </c>
      <c r="H1891">
        <v>2.9483191999999998E-2</v>
      </c>
      <c r="I1891">
        <v>11877</v>
      </c>
      <c r="J1891">
        <v>4064</v>
      </c>
      <c r="K1891">
        <v>7813</v>
      </c>
      <c r="L1891">
        <v>500</v>
      </c>
      <c r="M1891">
        <v>499</v>
      </c>
      <c r="N1891">
        <v>1</v>
      </c>
      <c r="O1891">
        <v>421.41830802639998</v>
      </c>
      <c r="P1891" s="3" t="s">
        <v>51</v>
      </c>
      <c r="Q1891">
        <v>50</v>
      </c>
      <c r="R1891">
        <v>0.999</v>
      </c>
      <c r="S1891">
        <v>0</v>
      </c>
    </row>
    <row r="1892" spans="1:19" x14ac:dyDescent="0.2">
      <c r="A1892" s="3" t="s">
        <v>54</v>
      </c>
      <c r="B1892" s="3" t="s">
        <v>55</v>
      </c>
      <c r="C1892">
        <v>26</v>
      </c>
      <c r="D1892">
        <v>17000</v>
      </c>
      <c r="E1892">
        <v>499</v>
      </c>
      <c r="F1892">
        <v>1</v>
      </c>
      <c r="G1892">
        <v>17000</v>
      </c>
      <c r="H1892">
        <v>2.9471872E-2</v>
      </c>
      <c r="I1892">
        <v>14777</v>
      </c>
      <c r="J1892">
        <v>4743</v>
      </c>
      <c r="K1892">
        <v>10034</v>
      </c>
      <c r="L1892">
        <v>500</v>
      </c>
      <c r="M1892">
        <v>499</v>
      </c>
      <c r="N1892">
        <v>1</v>
      </c>
      <c r="O1892">
        <v>2223</v>
      </c>
      <c r="P1892" s="3" t="s">
        <v>52</v>
      </c>
      <c r="Q1892">
        <v>50</v>
      </c>
      <c r="R1892">
        <v>0.999</v>
      </c>
      <c r="S1892">
        <v>1</v>
      </c>
    </row>
    <row r="1893" spans="1:19" x14ac:dyDescent="0.2">
      <c r="A1893" s="3" t="s">
        <v>54</v>
      </c>
      <c r="B1893" s="3" t="s">
        <v>55</v>
      </c>
      <c r="C1893">
        <v>35</v>
      </c>
      <c r="D1893">
        <v>17000</v>
      </c>
      <c r="E1893">
        <v>499</v>
      </c>
      <c r="F1893">
        <v>1</v>
      </c>
      <c r="G1893">
        <v>17000</v>
      </c>
      <c r="H1893">
        <v>2.9469984000000001E-2</v>
      </c>
      <c r="I1893">
        <v>14775</v>
      </c>
      <c r="J1893">
        <v>4715</v>
      </c>
      <c r="K1893">
        <v>10060</v>
      </c>
      <c r="L1893">
        <v>500</v>
      </c>
      <c r="M1893">
        <v>499</v>
      </c>
      <c r="N1893">
        <v>1</v>
      </c>
      <c r="O1893">
        <v>2225</v>
      </c>
      <c r="P1893" s="3" t="s">
        <v>50</v>
      </c>
      <c r="Q1893">
        <v>50</v>
      </c>
      <c r="R1893">
        <v>0.999</v>
      </c>
      <c r="S1893">
        <v>1</v>
      </c>
    </row>
    <row r="1894" spans="1:19" x14ac:dyDescent="0.2">
      <c r="A1894" s="3" t="s">
        <v>54</v>
      </c>
      <c r="B1894" s="3" t="s">
        <v>55</v>
      </c>
      <c r="C1894">
        <v>43</v>
      </c>
      <c r="D1894">
        <v>17000</v>
      </c>
      <c r="E1894">
        <v>499</v>
      </c>
      <c r="F1894">
        <v>1</v>
      </c>
      <c r="G1894">
        <v>17000</v>
      </c>
      <c r="H1894">
        <v>2.9467839999999999E-2</v>
      </c>
      <c r="I1894">
        <v>14749</v>
      </c>
      <c r="J1894">
        <v>4676</v>
      </c>
      <c r="K1894">
        <v>10073</v>
      </c>
      <c r="L1894">
        <v>500</v>
      </c>
      <c r="M1894">
        <v>499</v>
      </c>
      <c r="N1894">
        <v>1</v>
      </c>
      <c r="O1894">
        <v>2251</v>
      </c>
      <c r="P1894" s="3" t="s">
        <v>50</v>
      </c>
      <c r="Q1894">
        <v>50</v>
      </c>
      <c r="R1894">
        <v>0.999</v>
      </c>
      <c r="S1894">
        <v>1</v>
      </c>
    </row>
    <row r="1895" spans="1:19" x14ac:dyDescent="0.2">
      <c r="A1895" s="3" t="s">
        <v>54</v>
      </c>
      <c r="B1895" s="3" t="s">
        <v>55</v>
      </c>
      <c r="C1895">
        <v>37</v>
      </c>
      <c r="D1895">
        <v>13000</v>
      </c>
      <c r="E1895">
        <v>499</v>
      </c>
      <c r="F1895">
        <v>1</v>
      </c>
      <c r="G1895">
        <v>53044.701099550097</v>
      </c>
      <c r="H1895">
        <v>2.9455968999999999E-2</v>
      </c>
      <c r="I1895">
        <v>12442</v>
      </c>
      <c r="J1895">
        <v>4085</v>
      </c>
      <c r="K1895">
        <v>8357</v>
      </c>
      <c r="L1895">
        <v>500</v>
      </c>
      <c r="M1895">
        <v>499</v>
      </c>
      <c r="N1895">
        <v>1</v>
      </c>
      <c r="O1895">
        <v>2039.8729113443001</v>
      </c>
      <c r="P1895" s="3" t="s">
        <v>51</v>
      </c>
      <c r="Q1895">
        <v>50</v>
      </c>
      <c r="R1895">
        <v>0.999</v>
      </c>
      <c r="S1895">
        <v>0</v>
      </c>
    </row>
    <row r="1896" spans="1:19" x14ac:dyDescent="0.2">
      <c r="A1896" s="3" t="s">
        <v>54</v>
      </c>
      <c r="B1896" s="3" t="s">
        <v>55</v>
      </c>
      <c r="C1896">
        <v>38</v>
      </c>
      <c r="D1896">
        <v>17000</v>
      </c>
      <c r="E1896">
        <v>499</v>
      </c>
      <c r="F1896">
        <v>1</v>
      </c>
      <c r="G1896">
        <v>17000</v>
      </c>
      <c r="H1896">
        <v>2.9418054999999999E-2</v>
      </c>
      <c r="I1896">
        <v>14760</v>
      </c>
      <c r="J1896">
        <v>4716</v>
      </c>
      <c r="K1896">
        <v>10044</v>
      </c>
      <c r="L1896">
        <v>500</v>
      </c>
      <c r="M1896">
        <v>499</v>
      </c>
      <c r="N1896">
        <v>1</v>
      </c>
      <c r="O1896">
        <v>2240</v>
      </c>
      <c r="P1896" s="3" t="s">
        <v>50</v>
      </c>
      <c r="Q1896">
        <v>50</v>
      </c>
      <c r="R1896">
        <v>0.999</v>
      </c>
      <c r="S1896">
        <v>1</v>
      </c>
    </row>
    <row r="1897" spans="1:19" x14ac:dyDescent="0.2">
      <c r="A1897" s="3" t="s">
        <v>54</v>
      </c>
      <c r="B1897" s="3" t="s">
        <v>55</v>
      </c>
      <c r="C1897">
        <v>43</v>
      </c>
      <c r="D1897">
        <v>13000</v>
      </c>
      <c r="E1897">
        <v>499</v>
      </c>
      <c r="F1897">
        <v>1</v>
      </c>
      <c r="G1897">
        <v>53044.701099550097</v>
      </c>
      <c r="H1897">
        <v>2.9353054999999999E-2</v>
      </c>
      <c r="I1897">
        <v>12445</v>
      </c>
      <c r="J1897">
        <v>4080</v>
      </c>
      <c r="K1897">
        <v>8365</v>
      </c>
      <c r="L1897">
        <v>500</v>
      </c>
      <c r="M1897">
        <v>499</v>
      </c>
      <c r="N1897">
        <v>1</v>
      </c>
      <c r="O1897">
        <v>2040.9956332368999</v>
      </c>
      <c r="P1897" s="3" t="s">
        <v>51</v>
      </c>
      <c r="Q1897">
        <v>50</v>
      </c>
      <c r="R1897">
        <v>0.999</v>
      </c>
      <c r="S1897">
        <v>0</v>
      </c>
    </row>
    <row r="1898" spans="1:19" x14ac:dyDescent="0.2">
      <c r="A1898" s="3" t="s">
        <v>54</v>
      </c>
      <c r="B1898" s="3" t="s">
        <v>55</v>
      </c>
      <c r="C1898">
        <v>48</v>
      </c>
      <c r="D1898">
        <v>17000</v>
      </c>
      <c r="E1898">
        <v>499</v>
      </c>
      <c r="F1898">
        <v>1</v>
      </c>
      <c r="G1898">
        <v>17000</v>
      </c>
      <c r="H1898">
        <v>2.9327911000000002E-2</v>
      </c>
      <c r="I1898">
        <v>14767</v>
      </c>
      <c r="J1898">
        <v>4700</v>
      </c>
      <c r="K1898">
        <v>10067</v>
      </c>
      <c r="L1898">
        <v>500</v>
      </c>
      <c r="M1898">
        <v>499</v>
      </c>
      <c r="N1898">
        <v>1</v>
      </c>
      <c r="O1898">
        <v>2233</v>
      </c>
      <c r="P1898" s="3" t="s">
        <v>50</v>
      </c>
      <c r="Q1898">
        <v>50</v>
      </c>
      <c r="R1898">
        <v>0.999</v>
      </c>
      <c r="S1898">
        <v>1</v>
      </c>
    </row>
    <row r="1899" spans="1:19" x14ac:dyDescent="0.2">
      <c r="A1899" s="3" t="s">
        <v>54</v>
      </c>
      <c r="B1899" s="3" t="s">
        <v>55</v>
      </c>
      <c r="C1899">
        <v>19</v>
      </c>
      <c r="D1899">
        <v>13000</v>
      </c>
      <c r="E1899">
        <v>499</v>
      </c>
      <c r="F1899">
        <v>1</v>
      </c>
      <c r="G1899">
        <v>53044.701099550097</v>
      </c>
      <c r="H1899">
        <v>2.9326040000000001E-2</v>
      </c>
      <c r="I1899">
        <v>12438</v>
      </c>
      <c r="J1899">
        <v>4074</v>
      </c>
      <c r="K1899">
        <v>8364</v>
      </c>
      <c r="L1899">
        <v>500</v>
      </c>
      <c r="M1899">
        <v>499</v>
      </c>
      <c r="N1899">
        <v>1</v>
      </c>
      <c r="O1899">
        <v>2091.2664579448001</v>
      </c>
      <c r="P1899" s="3" t="s">
        <v>51</v>
      </c>
      <c r="Q1899">
        <v>50</v>
      </c>
      <c r="R1899">
        <v>0.999</v>
      </c>
      <c r="S1899">
        <v>0</v>
      </c>
    </row>
    <row r="1900" spans="1:19" x14ac:dyDescent="0.2">
      <c r="A1900" s="3" t="s">
        <v>54</v>
      </c>
      <c r="B1900" s="3" t="s">
        <v>55</v>
      </c>
      <c r="C1900">
        <v>42</v>
      </c>
      <c r="D1900">
        <v>13000</v>
      </c>
      <c r="E1900">
        <v>499</v>
      </c>
      <c r="F1900">
        <v>1</v>
      </c>
      <c r="G1900">
        <v>53044.701099550097</v>
      </c>
      <c r="H1900">
        <v>2.9317277999999999E-2</v>
      </c>
      <c r="I1900">
        <v>12448</v>
      </c>
      <c r="J1900">
        <v>4078</v>
      </c>
      <c r="K1900">
        <v>8370</v>
      </c>
      <c r="L1900">
        <v>500</v>
      </c>
      <c r="M1900">
        <v>499</v>
      </c>
      <c r="N1900">
        <v>1</v>
      </c>
      <c r="O1900">
        <v>2052.5376844875</v>
      </c>
      <c r="P1900" s="3" t="s">
        <v>51</v>
      </c>
      <c r="Q1900">
        <v>50</v>
      </c>
      <c r="R1900">
        <v>0.999</v>
      </c>
      <c r="S1900">
        <v>0</v>
      </c>
    </row>
    <row r="1901" spans="1:19" x14ac:dyDescent="0.2">
      <c r="A1901" s="3" t="s">
        <v>54</v>
      </c>
      <c r="B1901" s="3" t="s">
        <v>55</v>
      </c>
      <c r="C1901">
        <v>5</v>
      </c>
      <c r="D1901">
        <v>17000</v>
      </c>
      <c r="E1901">
        <v>499</v>
      </c>
      <c r="F1901">
        <v>1</v>
      </c>
      <c r="G1901">
        <v>17000</v>
      </c>
      <c r="H1901">
        <v>2.9311977999999999E-2</v>
      </c>
      <c r="I1901">
        <v>14772</v>
      </c>
      <c r="J1901">
        <v>4710</v>
      </c>
      <c r="K1901">
        <v>10062</v>
      </c>
      <c r="L1901">
        <v>500</v>
      </c>
      <c r="M1901">
        <v>499</v>
      </c>
      <c r="N1901">
        <v>1</v>
      </c>
      <c r="O1901">
        <v>2228</v>
      </c>
      <c r="P1901" s="3" t="s">
        <v>50</v>
      </c>
      <c r="Q1901">
        <v>50</v>
      </c>
      <c r="R1901">
        <v>0.999</v>
      </c>
      <c r="S1901">
        <v>1</v>
      </c>
    </row>
    <row r="1902" spans="1:19" x14ac:dyDescent="0.2">
      <c r="A1902" s="3" t="s">
        <v>54</v>
      </c>
      <c r="B1902" s="3" t="s">
        <v>55</v>
      </c>
      <c r="C1902">
        <v>49</v>
      </c>
      <c r="D1902">
        <v>13000</v>
      </c>
      <c r="E1902">
        <v>499</v>
      </c>
      <c r="F1902">
        <v>1</v>
      </c>
      <c r="G1902">
        <v>53044.701099550097</v>
      </c>
      <c r="H1902">
        <v>2.931129E-2</v>
      </c>
      <c r="I1902">
        <v>12438</v>
      </c>
      <c r="J1902">
        <v>4066</v>
      </c>
      <c r="K1902">
        <v>8372</v>
      </c>
      <c r="L1902">
        <v>500</v>
      </c>
      <c r="M1902">
        <v>499</v>
      </c>
      <c r="N1902">
        <v>1</v>
      </c>
      <c r="O1902">
        <v>2091.5143736813998</v>
      </c>
      <c r="P1902" s="3" t="s">
        <v>51</v>
      </c>
      <c r="Q1902">
        <v>50</v>
      </c>
      <c r="R1902">
        <v>0.999</v>
      </c>
      <c r="S1902">
        <v>0</v>
      </c>
    </row>
    <row r="1903" spans="1:19" x14ac:dyDescent="0.2">
      <c r="A1903" s="3" t="s">
        <v>54</v>
      </c>
      <c r="B1903" s="3" t="s">
        <v>55</v>
      </c>
      <c r="C1903">
        <v>3</v>
      </c>
      <c r="D1903">
        <v>13000</v>
      </c>
      <c r="E1903">
        <v>499</v>
      </c>
      <c r="F1903">
        <v>1</v>
      </c>
      <c r="G1903">
        <v>53044.701099550097</v>
      </c>
      <c r="H1903">
        <v>2.9281088E-2</v>
      </c>
      <c r="I1903">
        <v>12453</v>
      </c>
      <c r="J1903">
        <v>4096</v>
      </c>
      <c r="K1903">
        <v>8357</v>
      </c>
      <c r="L1903">
        <v>500</v>
      </c>
      <c r="M1903">
        <v>499</v>
      </c>
      <c r="N1903">
        <v>1</v>
      </c>
      <c r="O1903">
        <v>2058.4734358008</v>
      </c>
      <c r="P1903" s="3" t="s">
        <v>51</v>
      </c>
      <c r="Q1903">
        <v>50</v>
      </c>
      <c r="R1903">
        <v>0.999</v>
      </c>
      <c r="S1903">
        <v>0</v>
      </c>
    </row>
    <row r="1904" spans="1:19" x14ac:dyDescent="0.2">
      <c r="A1904" s="3" t="s">
        <v>54</v>
      </c>
      <c r="B1904" s="3" t="s">
        <v>55</v>
      </c>
      <c r="C1904">
        <v>48</v>
      </c>
      <c r="D1904">
        <v>13000</v>
      </c>
      <c r="E1904">
        <v>499</v>
      </c>
      <c r="F1904">
        <v>1</v>
      </c>
      <c r="G1904">
        <v>53044.701099550097</v>
      </c>
      <c r="H1904">
        <v>2.9265254000000001E-2</v>
      </c>
      <c r="I1904">
        <v>12447</v>
      </c>
      <c r="J1904">
        <v>4087</v>
      </c>
      <c r="K1904">
        <v>8360</v>
      </c>
      <c r="L1904">
        <v>500</v>
      </c>
      <c r="M1904">
        <v>499</v>
      </c>
      <c r="N1904">
        <v>1</v>
      </c>
      <c r="O1904">
        <v>2061.9654971332002</v>
      </c>
      <c r="P1904" s="3" t="s">
        <v>51</v>
      </c>
      <c r="Q1904">
        <v>50</v>
      </c>
      <c r="R1904">
        <v>0.999</v>
      </c>
      <c r="S1904">
        <v>0</v>
      </c>
    </row>
    <row r="1905" spans="1:19" x14ac:dyDescent="0.2">
      <c r="A1905" s="3" t="s">
        <v>54</v>
      </c>
      <c r="B1905" s="3" t="s">
        <v>55</v>
      </c>
      <c r="C1905">
        <v>38</v>
      </c>
      <c r="D1905">
        <v>13000</v>
      </c>
      <c r="E1905">
        <v>499</v>
      </c>
      <c r="F1905">
        <v>1</v>
      </c>
      <c r="G1905">
        <v>53044.701099550097</v>
      </c>
      <c r="H1905">
        <v>2.9214125000000001E-2</v>
      </c>
      <c r="I1905">
        <v>12431</v>
      </c>
      <c r="J1905">
        <v>4068</v>
      </c>
      <c r="K1905">
        <v>8363</v>
      </c>
      <c r="L1905">
        <v>500</v>
      </c>
      <c r="M1905">
        <v>499</v>
      </c>
      <c r="N1905">
        <v>1</v>
      </c>
      <c r="O1905">
        <v>2121.1595465210999</v>
      </c>
      <c r="P1905" s="3" t="s">
        <v>51</v>
      </c>
      <c r="Q1905">
        <v>50</v>
      </c>
      <c r="R1905">
        <v>0.999</v>
      </c>
      <c r="S1905">
        <v>0</v>
      </c>
    </row>
    <row r="1906" spans="1:19" x14ac:dyDescent="0.2">
      <c r="A1906" s="3" t="s">
        <v>54</v>
      </c>
      <c r="B1906" s="3" t="s">
        <v>55</v>
      </c>
      <c r="C1906">
        <v>6</v>
      </c>
      <c r="D1906">
        <v>13000</v>
      </c>
      <c r="E1906">
        <v>499</v>
      </c>
      <c r="F1906">
        <v>1</v>
      </c>
      <c r="G1906">
        <v>53044.701099550097</v>
      </c>
      <c r="H1906">
        <v>2.9196707999999998E-2</v>
      </c>
      <c r="I1906">
        <v>12439</v>
      </c>
      <c r="J1906">
        <v>4069</v>
      </c>
      <c r="K1906">
        <v>8370</v>
      </c>
      <c r="L1906">
        <v>500</v>
      </c>
      <c r="M1906">
        <v>499</v>
      </c>
      <c r="N1906">
        <v>1</v>
      </c>
      <c r="O1906">
        <v>2089.8336738194998</v>
      </c>
      <c r="P1906" s="3" t="s">
        <v>51</v>
      </c>
      <c r="Q1906">
        <v>50</v>
      </c>
      <c r="R1906">
        <v>0.999</v>
      </c>
      <c r="S1906">
        <v>0</v>
      </c>
    </row>
    <row r="1907" spans="1:19" x14ac:dyDescent="0.2">
      <c r="A1907" s="3" t="s">
        <v>54</v>
      </c>
      <c r="B1907" s="3" t="s">
        <v>55</v>
      </c>
      <c r="C1907">
        <v>37</v>
      </c>
      <c r="D1907">
        <v>17000</v>
      </c>
      <c r="E1907">
        <v>499</v>
      </c>
      <c r="F1907">
        <v>1</v>
      </c>
      <c r="G1907">
        <v>17000</v>
      </c>
      <c r="H1907">
        <v>2.9173608E-2</v>
      </c>
      <c r="I1907">
        <v>14753</v>
      </c>
      <c r="J1907">
        <v>4723</v>
      </c>
      <c r="K1907">
        <v>10030</v>
      </c>
      <c r="L1907">
        <v>500</v>
      </c>
      <c r="M1907">
        <v>499</v>
      </c>
      <c r="N1907">
        <v>1</v>
      </c>
      <c r="O1907">
        <v>2247</v>
      </c>
      <c r="P1907" s="3" t="s">
        <v>52</v>
      </c>
      <c r="Q1907">
        <v>50</v>
      </c>
      <c r="R1907">
        <v>0.999</v>
      </c>
      <c r="S1907">
        <v>1</v>
      </c>
    </row>
    <row r="1908" spans="1:19" x14ac:dyDescent="0.2">
      <c r="A1908" s="3" t="s">
        <v>54</v>
      </c>
      <c r="B1908" s="3" t="s">
        <v>55</v>
      </c>
      <c r="C1908">
        <v>11</v>
      </c>
      <c r="D1908">
        <v>13000</v>
      </c>
      <c r="E1908">
        <v>499</v>
      </c>
      <c r="F1908">
        <v>1</v>
      </c>
      <c r="G1908">
        <v>53044.701099550097</v>
      </c>
      <c r="H1908">
        <v>2.9147868E-2</v>
      </c>
      <c r="I1908">
        <v>12443</v>
      </c>
      <c r="J1908">
        <v>4105</v>
      </c>
      <c r="K1908">
        <v>8338</v>
      </c>
      <c r="L1908">
        <v>500</v>
      </c>
      <c r="M1908">
        <v>499</v>
      </c>
      <c r="N1908">
        <v>1</v>
      </c>
      <c r="O1908">
        <v>2008.4659472082999</v>
      </c>
      <c r="P1908" s="3" t="s">
        <v>51</v>
      </c>
      <c r="Q1908">
        <v>50</v>
      </c>
      <c r="R1908">
        <v>0.999</v>
      </c>
      <c r="S1908">
        <v>0</v>
      </c>
    </row>
    <row r="1909" spans="1:19" x14ac:dyDescent="0.2">
      <c r="A1909" s="3" t="s">
        <v>54</v>
      </c>
      <c r="B1909" s="3" t="s">
        <v>55</v>
      </c>
      <c r="C1909">
        <v>30</v>
      </c>
      <c r="D1909">
        <v>13000</v>
      </c>
      <c r="E1909">
        <v>499</v>
      </c>
      <c r="F1909">
        <v>1</v>
      </c>
      <c r="G1909">
        <v>53044.701099550097</v>
      </c>
      <c r="H1909">
        <v>2.9134824E-2</v>
      </c>
      <c r="I1909">
        <v>12447</v>
      </c>
      <c r="J1909">
        <v>4080</v>
      </c>
      <c r="K1909">
        <v>8367</v>
      </c>
      <c r="L1909">
        <v>500</v>
      </c>
      <c r="M1909">
        <v>499</v>
      </c>
      <c r="N1909">
        <v>1</v>
      </c>
      <c r="O1909">
        <v>2042.2898676488001</v>
      </c>
      <c r="P1909" s="3" t="s">
        <v>51</v>
      </c>
      <c r="Q1909">
        <v>50</v>
      </c>
      <c r="R1909">
        <v>0.999</v>
      </c>
      <c r="S1909">
        <v>0</v>
      </c>
    </row>
    <row r="1910" spans="1:19" x14ac:dyDescent="0.2">
      <c r="A1910" s="3" t="s">
        <v>54</v>
      </c>
      <c r="B1910" s="3" t="s">
        <v>55</v>
      </c>
      <c r="C1910">
        <v>22</v>
      </c>
      <c r="D1910">
        <v>13000</v>
      </c>
      <c r="E1910">
        <v>499</v>
      </c>
      <c r="F1910">
        <v>1</v>
      </c>
      <c r="G1910">
        <v>53044.701099550097</v>
      </c>
      <c r="H1910">
        <v>2.9121551999999998E-2</v>
      </c>
      <c r="I1910">
        <v>12459</v>
      </c>
      <c r="J1910">
        <v>4086</v>
      </c>
      <c r="K1910">
        <v>8373</v>
      </c>
      <c r="L1910">
        <v>500</v>
      </c>
      <c r="M1910">
        <v>499</v>
      </c>
      <c r="N1910">
        <v>1</v>
      </c>
      <c r="O1910">
        <v>2036.2409142500001</v>
      </c>
      <c r="P1910" s="3" t="s">
        <v>51</v>
      </c>
      <c r="Q1910">
        <v>50</v>
      </c>
      <c r="R1910">
        <v>0.999</v>
      </c>
      <c r="S1910">
        <v>0</v>
      </c>
    </row>
    <row r="1911" spans="1:19" x14ac:dyDescent="0.2">
      <c r="A1911" s="3" t="s">
        <v>54</v>
      </c>
      <c r="B1911" s="3" t="s">
        <v>55</v>
      </c>
      <c r="C1911">
        <v>32</v>
      </c>
      <c r="D1911">
        <v>17000</v>
      </c>
      <c r="E1911">
        <v>499</v>
      </c>
      <c r="F1911">
        <v>1</v>
      </c>
      <c r="G1911">
        <v>17000</v>
      </c>
      <c r="H1911">
        <v>2.9105556000000001E-2</v>
      </c>
      <c r="I1911">
        <v>14755</v>
      </c>
      <c r="J1911">
        <v>4740</v>
      </c>
      <c r="K1911">
        <v>10015</v>
      </c>
      <c r="L1911">
        <v>500</v>
      </c>
      <c r="M1911">
        <v>499</v>
      </c>
      <c r="N1911">
        <v>1</v>
      </c>
      <c r="O1911">
        <v>2245</v>
      </c>
      <c r="P1911" s="3" t="s">
        <v>52</v>
      </c>
      <c r="Q1911">
        <v>50</v>
      </c>
      <c r="R1911">
        <v>0.999</v>
      </c>
      <c r="S1911">
        <v>1</v>
      </c>
    </row>
    <row r="1912" spans="1:19" x14ac:dyDescent="0.2">
      <c r="A1912" s="3" t="s">
        <v>54</v>
      </c>
      <c r="B1912" s="3" t="s">
        <v>55</v>
      </c>
      <c r="C1912">
        <v>20</v>
      </c>
      <c r="D1912">
        <v>17000</v>
      </c>
      <c r="E1912">
        <v>499</v>
      </c>
      <c r="F1912">
        <v>1</v>
      </c>
      <c r="G1912">
        <v>17000</v>
      </c>
      <c r="H1912">
        <v>2.9086423E-2</v>
      </c>
      <c r="I1912">
        <v>14780</v>
      </c>
      <c r="J1912">
        <v>4712</v>
      </c>
      <c r="K1912">
        <v>10068</v>
      </c>
      <c r="L1912">
        <v>500</v>
      </c>
      <c r="M1912">
        <v>499</v>
      </c>
      <c r="N1912">
        <v>1</v>
      </c>
      <c r="O1912">
        <v>2220</v>
      </c>
      <c r="P1912" s="3" t="s">
        <v>50</v>
      </c>
      <c r="Q1912">
        <v>50</v>
      </c>
      <c r="R1912">
        <v>0.999</v>
      </c>
      <c r="S1912">
        <v>1</v>
      </c>
    </row>
    <row r="1913" spans="1:19" x14ac:dyDescent="0.2">
      <c r="A1913" s="3" t="s">
        <v>54</v>
      </c>
      <c r="B1913" s="3" t="s">
        <v>55</v>
      </c>
      <c r="C1913">
        <v>44</v>
      </c>
      <c r="D1913">
        <v>17000</v>
      </c>
      <c r="E1913">
        <v>499</v>
      </c>
      <c r="F1913">
        <v>1</v>
      </c>
      <c r="G1913">
        <v>17000</v>
      </c>
      <c r="H1913">
        <v>2.9077540999999998E-2</v>
      </c>
      <c r="I1913">
        <v>14766</v>
      </c>
      <c r="J1913">
        <v>4720</v>
      </c>
      <c r="K1913">
        <v>10046</v>
      </c>
      <c r="L1913">
        <v>500</v>
      </c>
      <c r="M1913">
        <v>499</v>
      </c>
      <c r="N1913">
        <v>1</v>
      </c>
      <c r="O1913">
        <v>2234</v>
      </c>
      <c r="P1913" s="3" t="s">
        <v>50</v>
      </c>
      <c r="Q1913">
        <v>50</v>
      </c>
      <c r="R1913">
        <v>0.999</v>
      </c>
      <c r="S1913">
        <v>1</v>
      </c>
    </row>
    <row r="1914" spans="1:19" x14ac:dyDescent="0.2">
      <c r="A1914" s="3" t="s">
        <v>54</v>
      </c>
      <c r="B1914" s="3" t="s">
        <v>55</v>
      </c>
      <c r="C1914">
        <v>46</v>
      </c>
      <c r="D1914">
        <v>16000</v>
      </c>
      <c r="E1914">
        <v>499</v>
      </c>
      <c r="F1914">
        <v>1</v>
      </c>
      <c r="G1914">
        <v>16000</v>
      </c>
      <c r="H1914">
        <v>2.9030351999999999E-2</v>
      </c>
      <c r="I1914">
        <v>14368</v>
      </c>
      <c r="J1914">
        <v>4605</v>
      </c>
      <c r="K1914">
        <v>9763</v>
      </c>
      <c r="L1914">
        <v>500</v>
      </c>
      <c r="M1914">
        <v>499</v>
      </c>
      <c r="N1914">
        <v>1</v>
      </c>
      <c r="O1914">
        <v>1632</v>
      </c>
      <c r="P1914" s="3" t="s">
        <v>50</v>
      </c>
      <c r="Q1914">
        <v>50</v>
      </c>
      <c r="R1914">
        <v>0.999</v>
      </c>
      <c r="S1914">
        <v>1</v>
      </c>
    </row>
    <row r="1915" spans="1:19" x14ac:dyDescent="0.2">
      <c r="A1915" s="3" t="s">
        <v>54</v>
      </c>
      <c r="B1915" s="3" t="s">
        <v>55</v>
      </c>
      <c r="C1915">
        <v>17</v>
      </c>
      <c r="D1915">
        <v>13000</v>
      </c>
      <c r="E1915">
        <v>499</v>
      </c>
      <c r="F1915">
        <v>1</v>
      </c>
      <c r="G1915">
        <v>53044.701099550097</v>
      </c>
      <c r="H1915">
        <v>2.9021406999999999E-2</v>
      </c>
      <c r="I1915">
        <v>12428</v>
      </c>
      <c r="J1915">
        <v>4086</v>
      </c>
      <c r="K1915">
        <v>8342</v>
      </c>
      <c r="L1915">
        <v>500</v>
      </c>
      <c r="M1915">
        <v>499</v>
      </c>
      <c r="N1915">
        <v>1</v>
      </c>
      <c r="O1915">
        <v>2124.747234341</v>
      </c>
      <c r="P1915" s="3" t="s">
        <v>51</v>
      </c>
      <c r="Q1915">
        <v>50</v>
      </c>
      <c r="R1915">
        <v>0.999</v>
      </c>
      <c r="S1915">
        <v>0</v>
      </c>
    </row>
    <row r="1916" spans="1:19" x14ac:dyDescent="0.2">
      <c r="A1916" s="3" t="s">
        <v>54</v>
      </c>
      <c r="B1916" s="3" t="s">
        <v>55</v>
      </c>
      <c r="C1916">
        <v>14</v>
      </c>
      <c r="D1916">
        <v>13000</v>
      </c>
      <c r="E1916">
        <v>499</v>
      </c>
      <c r="F1916">
        <v>1</v>
      </c>
      <c r="G1916">
        <v>13000</v>
      </c>
      <c r="H1916">
        <v>2.9010029999999999E-2</v>
      </c>
      <c r="I1916">
        <v>12545</v>
      </c>
      <c r="J1916">
        <v>4817</v>
      </c>
      <c r="K1916">
        <v>7728</v>
      </c>
      <c r="L1916">
        <v>500</v>
      </c>
      <c r="M1916">
        <v>499</v>
      </c>
      <c r="N1916">
        <v>1</v>
      </c>
      <c r="O1916">
        <v>455</v>
      </c>
      <c r="P1916" s="3" t="s">
        <v>51</v>
      </c>
      <c r="Q1916">
        <v>50</v>
      </c>
      <c r="R1916">
        <v>0.999</v>
      </c>
      <c r="S1916">
        <v>1</v>
      </c>
    </row>
    <row r="1917" spans="1:19" x14ac:dyDescent="0.2">
      <c r="A1917" s="3" t="s">
        <v>54</v>
      </c>
      <c r="B1917" s="3" t="s">
        <v>55</v>
      </c>
      <c r="C1917">
        <v>34</v>
      </c>
      <c r="D1917">
        <v>13000</v>
      </c>
      <c r="E1917">
        <v>499</v>
      </c>
      <c r="F1917">
        <v>1</v>
      </c>
      <c r="G1917">
        <v>53044.701099550097</v>
      </c>
      <c r="H1917">
        <v>2.9001770999999999E-2</v>
      </c>
      <c r="I1917">
        <v>12444</v>
      </c>
      <c r="J1917">
        <v>4076</v>
      </c>
      <c r="K1917">
        <v>8368</v>
      </c>
      <c r="L1917">
        <v>500</v>
      </c>
      <c r="M1917">
        <v>499</v>
      </c>
      <c r="N1917">
        <v>1</v>
      </c>
      <c r="O1917">
        <v>2059.4386933504002</v>
      </c>
      <c r="P1917" s="3" t="s">
        <v>51</v>
      </c>
      <c r="Q1917">
        <v>50</v>
      </c>
      <c r="R1917">
        <v>0.999</v>
      </c>
      <c r="S1917">
        <v>0</v>
      </c>
    </row>
    <row r="1918" spans="1:19" x14ac:dyDescent="0.2">
      <c r="A1918" s="3" t="s">
        <v>54</v>
      </c>
      <c r="B1918" s="3" t="s">
        <v>55</v>
      </c>
      <c r="C1918">
        <v>2</v>
      </c>
      <c r="D1918">
        <v>13000</v>
      </c>
      <c r="E1918">
        <v>499</v>
      </c>
      <c r="F1918">
        <v>1</v>
      </c>
      <c r="G1918">
        <v>53044.701099550097</v>
      </c>
      <c r="H1918">
        <v>2.8998847000000001E-2</v>
      </c>
      <c r="I1918">
        <v>12424</v>
      </c>
      <c r="J1918">
        <v>4050</v>
      </c>
      <c r="K1918">
        <v>8374</v>
      </c>
      <c r="L1918">
        <v>500</v>
      </c>
      <c r="M1918">
        <v>499</v>
      </c>
      <c r="N1918">
        <v>1</v>
      </c>
      <c r="O1918">
        <v>2131.7388375903001</v>
      </c>
      <c r="P1918" s="3" t="s">
        <v>51</v>
      </c>
      <c r="Q1918">
        <v>50</v>
      </c>
      <c r="R1918">
        <v>0.999</v>
      </c>
      <c r="S1918">
        <v>0</v>
      </c>
    </row>
    <row r="1919" spans="1:19" x14ac:dyDescent="0.2">
      <c r="A1919" s="3" t="s">
        <v>54</v>
      </c>
      <c r="B1919" s="3" t="s">
        <v>55</v>
      </c>
      <c r="C1919">
        <v>29</v>
      </c>
      <c r="D1919">
        <v>12000</v>
      </c>
      <c r="E1919">
        <v>499</v>
      </c>
      <c r="F1919">
        <v>1</v>
      </c>
      <c r="G1919">
        <v>50533.323552418398</v>
      </c>
      <c r="H1919">
        <v>2.8989799E-2</v>
      </c>
      <c r="I1919">
        <v>11885</v>
      </c>
      <c r="J1919">
        <v>4077</v>
      </c>
      <c r="K1919">
        <v>7808</v>
      </c>
      <c r="L1919">
        <v>500</v>
      </c>
      <c r="M1919">
        <v>499</v>
      </c>
      <c r="N1919">
        <v>1</v>
      </c>
      <c r="O1919">
        <v>400.89205435060001</v>
      </c>
      <c r="P1919" s="3" t="s">
        <v>51</v>
      </c>
      <c r="Q1919">
        <v>50</v>
      </c>
      <c r="R1919">
        <v>0.999</v>
      </c>
      <c r="S1919">
        <v>0</v>
      </c>
    </row>
    <row r="1920" spans="1:19" x14ac:dyDescent="0.2">
      <c r="A1920" s="3" t="s">
        <v>54</v>
      </c>
      <c r="B1920" s="3" t="s">
        <v>55</v>
      </c>
      <c r="C1920">
        <v>12</v>
      </c>
      <c r="D1920">
        <v>13000</v>
      </c>
      <c r="E1920">
        <v>499</v>
      </c>
      <c r="F1920">
        <v>1</v>
      </c>
      <c r="G1920">
        <v>53044.701099550097</v>
      </c>
      <c r="H1920">
        <v>2.8963573999999999E-2</v>
      </c>
      <c r="I1920">
        <v>12433</v>
      </c>
      <c r="J1920">
        <v>4062</v>
      </c>
      <c r="K1920">
        <v>8371</v>
      </c>
      <c r="L1920">
        <v>500</v>
      </c>
      <c r="M1920">
        <v>499</v>
      </c>
      <c r="N1920">
        <v>1</v>
      </c>
      <c r="O1920">
        <v>2107.1759134573999</v>
      </c>
      <c r="P1920" s="3" t="s">
        <v>51</v>
      </c>
      <c r="Q1920">
        <v>50</v>
      </c>
      <c r="R1920">
        <v>0.999</v>
      </c>
      <c r="S1920">
        <v>0</v>
      </c>
    </row>
    <row r="1921" spans="1:19" x14ac:dyDescent="0.2">
      <c r="A1921" s="3" t="s">
        <v>54</v>
      </c>
      <c r="B1921" s="3" t="s">
        <v>55</v>
      </c>
      <c r="C1921">
        <v>14</v>
      </c>
      <c r="D1921">
        <v>13000</v>
      </c>
      <c r="E1921">
        <v>499</v>
      </c>
      <c r="F1921">
        <v>1</v>
      </c>
      <c r="G1921">
        <v>53044.701099550097</v>
      </c>
      <c r="H1921">
        <v>2.8952647000000001E-2</v>
      </c>
      <c r="I1921">
        <v>12430</v>
      </c>
      <c r="J1921">
        <v>4065</v>
      </c>
      <c r="K1921">
        <v>8365</v>
      </c>
      <c r="L1921">
        <v>500</v>
      </c>
      <c r="M1921">
        <v>499</v>
      </c>
      <c r="N1921">
        <v>1</v>
      </c>
      <c r="O1921">
        <v>2130.9328950915001</v>
      </c>
      <c r="P1921" s="3" t="s">
        <v>51</v>
      </c>
      <c r="Q1921">
        <v>50</v>
      </c>
      <c r="R1921">
        <v>0.999</v>
      </c>
      <c r="S1921">
        <v>0</v>
      </c>
    </row>
    <row r="1922" spans="1:19" x14ac:dyDescent="0.2">
      <c r="A1922" s="3" t="s">
        <v>54</v>
      </c>
      <c r="B1922" s="3" t="s">
        <v>55</v>
      </c>
      <c r="C1922">
        <v>18</v>
      </c>
      <c r="D1922">
        <v>13000</v>
      </c>
      <c r="E1922">
        <v>499</v>
      </c>
      <c r="F1922">
        <v>1</v>
      </c>
      <c r="G1922">
        <v>13000</v>
      </c>
      <c r="H1922">
        <v>2.8928794000000001E-2</v>
      </c>
      <c r="I1922">
        <v>12571</v>
      </c>
      <c r="J1922">
        <v>4842</v>
      </c>
      <c r="K1922">
        <v>7729</v>
      </c>
      <c r="L1922">
        <v>500</v>
      </c>
      <c r="M1922">
        <v>499</v>
      </c>
      <c r="N1922">
        <v>1</v>
      </c>
      <c r="O1922">
        <v>429</v>
      </c>
      <c r="P1922" s="3" t="s">
        <v>51</v>
      </c>
      <c r="Q1922">
        <v>50</v>
      </c>
      <c r="R1922">
        <v>0.999</v>
      </c>
      <c r="S1922">
        <v>1</v>
      </c>
    </row>
    <row r="1923" spans="1:19" x14ac:dyDescent="0.2">
      <c r="A1923" s="3" t="s">
        <v>54</v>
      </c>
      <c r="B1923" s="3" t="s">
        <v>55</v>
      </c>
      <c r="C1923">
        <v>41</v>
      </c>
      <c r="D1923">
        <v>13000</v>
      </c>
      <c r="E1923">
        <v>499</v>
      </c>
      <c r="F1923">
        <v>1</v>
      </c>
      <c r="G1923">
        <v>53044.701099550097</v>
      </c>
      <c r="H1923">
        <v>2.8916521000000001E-2</v>
      </c>
      <c r="I1923">
        <v>12443</v>
      </c>
      <c r="J1923">
        <v>4094</v>
      </c>
      <c r="K1923">
        <v>8349</v>
      </c>
      <c r="L1923">
        <v>500</v>
      </c>
      <c r="M1923">
        <v>499</v>
      </c>
      <c r="N1923">
        <v>1</v>
      </c>
      <c r="O1923">
        <v>2097.3047270983998</v>
      </c>
      <c r="P1923" s="3" t="s">
        <v>51</v>
      </c>
      <c r="Q1923">
        <v>50</v>
      </c>
      <c r="R1923">
        <v>0.999</v>
      </c>
      <c r="S1923">
        <v>0</v>
      </c>
    </row>
    <row r="1924" spans="1:19" x14ac:dyDescent="0.2">
      <c r="A1924" s="3" t="s">
        <v>54</v>
      </c>
      <c r="B1924" s="3" t="s">
        <v>55</v>
      </c>
      <c r="C1924">
        <v>18</v>
      </c>
      <c r="D1924">
        <v>13000</v>
      </c>
      <c r="E1924">
        <v>499</v>
      </c>
      <c r="F1924">
        <v>1</v>
      </c>
      <c r="G1924">
        <v>53044.701099550097</v>
      </c>
      <c r="H1924">
        <v>2.8900644E-2</v>
      </c>
      <c r="I1924">
        <v>12452</v>
      </c>
      <c r="J1924">
        <v>4076</v>
      </c>
      <c r="K1924">
        <v>8376</v>
      </c>
      <c r="L1924">
        <v>500</v>
      </c>
      <c r="M1924">
        <v>499</v>
      </c>
      <c r="N1924">
        <v>1</v>
      </c>
      <c r="O1924">
        <v>2058.7445495227998</v>
      </c>
      <c r="P1924" s="3" t="s">
        <v>51</v>
      </c>
      <c r="Q1924">
        <v>50</v>
      </c>
      <c r="R1924">
        <v>0.999</v>
      </c>
      <c r="S1924">
        <v>0</v>
      </c>
    </row>
    <row r="1925" spans="1:19" x14ac:dyDescent="0.2">
      <c r="A1925" s="3" t="s">
        <v>54</v>
      </c>
      <c r="B1925" s="3" t="s">
        <v>55</v>
      </c>
      <c r="C1925">
        <v>9</v>
      </c>
      <c r="D1925">
        <v>13000</v>
      </c>
      <c r="E1925">
        <v>499</v>
      </c>
      <c r="F1925">
        <v>1</v>
      </c>
      <c r="G1925">
        <v>53044.701099550097</v>
      </c>
      <c r="H1925">
        <v>2.8896033000000002E-2</v>
      </c>
      <c r="I1925">
        <v>12449</v>
      </c>
      <c r="J1925">
        <v>4061</v>
      </c>
      <c r="K1925">
        <v>8388</v>
      </c>
      <c r="L1925">
        <v>500</v>
      </c>
      <c r="M1925">
        <v>499</v>
      </c>
      <c r="N1925">
        <v>1</v>
      </c>
      <c r="O1925">
        <v>2079.7081455061998</v>
      </c>
      <c r="P1925" s="3" t="s">
        <v>51</v>
      </c>
      <c r="Q1925">
        <v>50</v>
      </c>
      <c r="R1925">
        <v>0.999</v>
      </c>
      <c r="S1925">
        <v>0</v>
      </c>
    </row>
    <row r="1926" spans="1:19" x14ac:dyDescent="0.2">
      <c r="A1926" s="3" t="s">
        <v>54</v>
      </c>
      <c r="B1926" s="3" t="s">
        <v>55</v>
      </c>
      <c r="C1926">
        <v>1</v>
      </c>
      <c r="D1926">
        <v>12000</v>
      </c>
      <c r="E1926">
        <v>499</v>
      </c>
      <c r="F1926">
        <v>1</v>
      </c>
      <c r="G1926">
        <v>12000</v>
      </c>
      <c r="H1926">
        <v>2.8891778999999999E-2</v>
      </c>
      <c r="I1926">
        <v>12000</v>
      </c>
      <c r="J1926">
        <v>4722</v>
      </c>
      <c r="K1926">
        <v>7278</v>
      </c>
      <c r="L1926">
        <v>500</v>
      </c>
      <c r="M1926">
        <v>499</v>
      </c>
      <c r="N1926">
        <v>1</v>
      </c>
      <c r="O1926">
        <v>0</v>
      </c>
      <c r="P1926" s="3" t="s">
        <v>51</v>
      </c>
      <c r="Q1926">
        <v>50</v>
      </c>
      <c r="R1926">
        <v>0.999</v>
      </c>
      <c r="S1926">
        <v>1</v>
      </c>
    </row>
    <row r="1927" spans="1:19" x14ac:dyDescent="0.2">
      <c r="A1927" s="3" t="s">
        <v>54</v>
      </c>
      <c r="B1927" s="3" t="s">
        <v>55</v>
      </c>
      <c r="C1927">
        <v>12</v>
      </c>
      <c r="D1927">
        <v>13000</v>
      </c>
      <c r="E1927">
        <v>499</v>
      </c>
      <c r="F1927">
        <v>1</v>
      </c>
      <c r="G1927">
        <v>13000</v>
      </c>
      <c r="H1927">
        <v>2.8854930000000001E-2</v>
      </c>
      <c r="I1927">
        <v>12548</v>
      </c>
      <c r="J1927">
        <v>4830</v>
      </c>
      <c r="K1927">
        <v>7718</v>
      </c>
      <c r="L1927">
        <v>500</v>
      </c>
      <c r="M1927">
        <v>499</v>
      </c>
      <c r="N1927">
        <v>1</v>
      </c>
      <c r="O1927">
        <v>452</v>
      </c>
      <c r="P1927" s="3" t="s">
        <v>51</v>
      </c>
      <c r="Q1927">
        <v>50</v>
      </c>
      <c r="R1927">
        <v>0.999</v>
      </c>
      <c r="S1927">
        <v>1</v>
      </c>
    </row>
    <row r="1928" spans="1:19" x14ac:dyDescent="0.2">
      <c r="A1928" s="3" t="s">
        <v>54</v>
      </c>
      <c r="B1928" s="3" t="s">
        <v>55</v>
      </c>
      <c r="C1928">
        <v>24</v>
      </c>
      <c r="D1928">
        <v>13000</v>
      </c>
      <c r="E1928">
        <v>499</v>
      </c>
      <c r="F1928">
        <v>1</v>
      </c>
      <c r="G1928">
        <v>53044.701099550097</v>
      </c>
      <c r="H1928">
        <v>2.8846324E-2</v>
      </c>
      <c r="I1928">
        <v>12460</v>
      </c>
      <c r="J1928">
        <v>4094</v>
      </c>
      <c r="K1928">
        <v>8366</v>
      </c>
      <c r="L1928">
        <v>500</v>
      </c>
      <c r="M1928">
        <v>499</v>
      </c>
      <c r="N1928">
        <v>1</v>
      </c>
      <c r="O1928">
        <v>1990.5287249692999</v>
      </c>
      <c r="P1928" s="3" t="s">
        <v>51</v>
      </c>
      <c r="Q1928">
        <v>50</v>
      </c>
      <c r="R1928">
        <v>0.999</v>
      </c>
      <c r="S1928">
        <v>0</v>
      </c>
    </row>
    <row r="1929" spans="1:19" x14ac:dyDescent="0.2">
      <c r="A1929" s="3" t="s">
        <v>54</v>
      </c>
      <c r="B1929" s="3" t="s">
        <v>55</v>
      </c>
      <c r="C1929">
        <v>28</v>
      </c>
      <c r="D1929">
        <v>13000</v>
      </c>
      <c r="E1929">
        <v>499</v>
      </c>
      <c r="F1929">
        <v>1</v>
      </c>
      <c r="G1929">
        <v>53044.701099550097</v>
      </c>
      <c r="H1929">
        <v>2.8797702000000001E-2</v>
      </c>
      <c r="I1929">
        <v>12423</v>
      </c>
      <c r="J1929">
        <v>4080</v>
      </c>
      <c r="K1929">
        <v>8343</v>
      </c>
      <c r="L1929">
        <v>500</v>
      </c>
      <c r="M1929">
        <v>499</v>
      </c>
      <c r="N1929">
        <v>1</v>
      </c>
      <c r="O1929">
        <v>2120.7593478094</v>
      </c>
      <c r="P1929" s="3" t="s">
        <v>51</v>
      </c>
      <c r="Q1929">
        <v>50</v>
      </c>
      <c r="R1929">
        <v>0.999</v>
      </c>
      <c r="S1929">
        <v>0</v>
      </c>
    </row>
    <row r="1930" spans="1:19" x14ac:dyDescent="0.2">
      <c r="A1930" s="3" t="s">
        <v>54</v>
      </c>
      <c r="B1930" s="3" t="s">
        <v>55</v>
      </c>
      <c r="C1930">
        <v>24</v>
      </c>
      <c r="D1930">
        <v>17000</v>
      </c>
      <c r="E1930">
        <v>499</v>
      </c>
      <c r="F1930">
        <v>1</v>
      </c>
      <c r="G1930">
        <v>17000</v>
      </c>
      <c r="H1930">
        <v>2.8745260000000002E-2</v>
      </c>
      <c r="I1930">
        <v>14754</v>
      </c>
      <c r="J1930">
        <v>4722</v>
      </c>
      <c r="K1930">
        <v>10032</v>
      </c>
      <c r="L1930">
        <v>500</v>
      </c>
      <c r="M1930">
        <v>499</v>
      </c>
      <c r="N1930">
        <v>1</v>
      </c>
      <c r="O1930">
        <v>2246</v>
      </c>
      <c r="P1930" s="3" t="s">
        <v>52</v>
      </c>
      <c r="Q1930">
        <v>50</v>
      </c>
      <c r="R1930">
        <v>0.999</v>
      </c>
      <c r="S1930">
        <v>1</v>
      </c>
    </row>
    <row r="1931" spans="1:19" x14ac:dyDescent="0.2">
      <c r="A1931" s="3" t="s">
        <v>54</v>
      </c>
      <c r="B1931" s="3" t="s">
        <v>55</v>
      </c>
      <c r="C1931">
        <v>1</v>
      </c>
      <c r="D1931">
        <v>17000</v>
      </c>
      <c r="E1931">
        <v>499</v>
      </c>
      <c r="F1931">
        <v>1</v>
      </c>
      <c r="G1931">
        <v>17000</v>
      </c>
      <c r="H1931">
        <v>2.8693955E-2</v>
      </c>
      <c r="I1931">
        <v>14780</v>
      </c>
      <c r="J1931">
        <v>4720</v>
      </c>
      <c r="K1931">
        <v>10060</v>
      </c>
      <c r="L1931">
        <v>500</v>
      </c>
      <c r="M1931">
        <v>499</v>
      </c>
      <c r="N1931">
        <v>1</v>
      </c>
      <c r="O1931">
        <v>2220</v>
      </c>
      <c r="P1931" s="3" t="s">
        <v>52</v>
      </c>
      <c r="Q1931">
        <v>50</v>
      </c>
      <c r="R1931">
        <v>0.999</v>
      </c>
      <c r="S1931">
        <v>1</v>
      </c>
    </row>
    <row r="1932" spans="1:19" x14ac:dyDescent="0.2">
      <c r="A1932" s="3" t="s">
        <v>54</v>
      </c>
      <c r="B1932" s="3" t="s">
        <v>55</v>
      </c>
      <c r="C1932">
        <v>45</v>
      </c>
      <c r="D1932">
        <v>17000</v>
      </c>
      <c r="E1932">
        <v>499</v>
      </c>
      <c r="F1932">
        <v>1</v>
      </c>
      <c r="G1932">
        <v>17000</v>
      </c>
      <c r="H1932">
        <v>2.8668335E-2</v>
      </c>
      <c r="I1932">
        <v>14737</v>
      </c>
      <c r="J1932">
        <v>4704</v>
      </c>
      <c r="K1932">
        <v>10033</v>
      </c>
      <c r="L1932">
        <v>500</v>
      </c>
      <c r="M1932">
        <v>499</v>
      </c>
      <c r="N1932">
        <v>1</v>
      </c>
      <c r="O1932">
        <v>2263</v>
      </c>
      <c r="P1932" s="3" t="s">
        <v>52</v>
      </c>
      <c r="Q1932">
        <v>50</v>
      </c>
      <c r="R1932">
        <v>0.999</v>
      </c>
      <c r="S1932">
        <v>1</v>
      </c>
    </row>
    <row r="1933" spans="1:19" x14ac:dyDescent="0.2">
      <c r="A1933" s="3" t="s">
        <v>54</v>
      </c>
      <c r="B1933" s="3" t="s">
        <v>55</v>
      </c>
      <c r="C1933">
        <v>43</v>
      </c>
      <c r="D1933">
        <v>12000</v>
      </c>
      <c r="E1933">
        <v>499</v>
      </c>
      <c r="F1933">
        <v>1</v>
      </c>
      <c r="G1933">
        <v>50533.323552418398</v>
      </c>
      <c r="H1933">
        <v>2.8629255999999999E-2</v>
      </c>
      <c r="I1933">
        <v>11896</v>
      </c>
      <c r="J1933">
        <v>4080</v>
      </c>
      <c r="K1933">
        <v>7816</v>
      </c>
      <c r="L1933">
        <v>500</v>
      </c>
      <c r="M1933">
        <v>499</v>
      </c>
      <c r="N1933">
        <v>1</v>
      </c>
      <c r="O1933">
        <v>375.02325129349998</v>
      </c>
      <c r="P1933" s="3" t="s">
        <v>51</v>
      </c>
      <c r="Q1933">
        <v>50</v>
      </c>
      <c r="R1933">
        <v>0.999</v>
      </c>
      <c r="S1933">
        <v>0</v>
      </c>
    </row>
    <row r="1934" spans="1:19" x14ac:dyDescent="0.2">
      <c r="A1934" s="3" t="s">
        <v>54</v>
      </c>
      <c r="B1934" s="3" t="s">
        <v>55</v>
      </c>
      <c r="C1934">
        <v>13</v>
      </c>
      <c r="D1934">
        <v>17000</v>
      </c>
      <c r="E1934">
        <v>499</v>
      </c>
      <c r="F1934">
        <v>1</v>
      </c>
      <c r="G1934">
        <v>17000</v>
      </c>
      <c r="H1934">
        <v>2.8624655999999998E-2</v>
      </c>
      <c r="I1934">
        <v>14768</v>
      </c>
      <c r="J1934">
        <v>4662</v>
      </c>
      <c r="K1934">
        <v>10106</v>
      </c>
      <c r="L1934">
        <v>500</v>
      </c>
      <c r="M1934">
        <v>499</v>
      </c>
      <c r="N1934">
        <v>1</v>
      </c>
      <c r="O1934">
        <v>2232</v>
      </c>
      <c r="P1934" s="3" t="s">
        <v>52</v>
      </c>
      <c r="Q1934">
        <v>50</v>
      </c>
      <c r="R1934">
        <v>0.999</v>
      </c>
      <c r="S1934">
        <v>1</v>
      </c>
    </row>
    <row r="1935" spans="1:19" x14ac:dyDescent="0.2">
      <c r="A1935" s="3" t="s">
        <v>54</v>
      </c>
      <c r="B1935" s="3" t="s">
        <v>55</v>
      </c>
      <c r="C1935">
        <v>25</v>
      </c>
      <c r="D1935">
        <v>13000</v>
      </c>
      <c r="E1935">
        <v>499</v>
      </c>
      <c r="F1935">
        <v>1</v>
      </c>
      <c r="G1935">
        <v>53044.701099550097</v>
      </c>
      <c r="H1935">
        <v>2.8599932000000002E-2</v>
      </c>
      <c r="I1935">
        <v>12438</v>
      </c>
      <c r="J1935">
        <v>4077</v>
      </c>
      <c r="K1935">
        <v>8361</v>
      </c>
      <c r="L1935">
        <v>500</v>
      </c>
      <c r="M1935">
        <v>499</v>
      </c>
      <c r="N1935">
        <v>1</v>
      </c>
      <c r="O1935">
        <v>2083.1325635298999</v>
      </c>
      <c r="P1935" s="3" t="s">
        <v>51</v>
      </c>
      <c r="Q1935">
        <v>50</v>
      </c>
      <c r="R1935">
        <v>0.999</v>
      </c>
      <c r="S1935">
        <v>0</v>
      </c>
    </row>
    <row r="1936" spans="1:19" x14ac:dyDescent="0.2">
      <c r="A1936" s="3" t="s">
        <v>54</v>
      </c>
      <c r="B1936" s="3" t="s">
        <v>55</v>
      </c>
      <c r="C1936">
        <v>7</v>
      </c>
      <c r="D1936">
        <v>13000</v>
      </c>
      <c r="E1936">
        <v>499</v>
      </c>
      <c r="F1936">
        <v>1</v>
      </c>
      <c r="G1936">
        <v>53044.701099550097</v>
      </c>
      <c r="H1936">
        <v>2.8552165000000001E-2</v>
      </c>
      <c r="I1936">
        <v>12447</v>
      </c>
      <c r="J1936">
        <v>4053</v>
      </c>
      <c r="K1936">
        <v>8394</v>
      </c>
      <c r="L1936">
        <v>500</v>
      </c>
      <c r="M1936">
        <v>499</v>
      </c>
      <c r="N1936">
        <v>1</v>
      </c>
      <c r="O1936">
        <v>2054.9164169609999</v>
      </c>
      <c r="P1936" s="3" t="s">
        <v>51</v>
      </c>
      <c r="Q1936">
        <v>50</v>
      </c>
      <c r="R1936">
        <v>0.999</v>
      </c>
      <c r="S1936">
        <v>0</v>
      </c>
    </row>
    <row r="1937" spans="1:19" x14ac:dyDescent="0.2">
      <c r="A1937" s="3" t="s">
        <v>54</v>
      </c>
      <c r="B1937" s="3" t="s">
        <v>55</v>
      </c>
      <c r="C1937">
        <v>1</v>
      </c>
      <c r="D1937">
        <v>13000</v>
      </c>
      <c r="E1937">
        <v>499</v>
      </c>
      <c r="F1937">
        <v>1</v>
      </c>
      <c r="G1937">
        <v>53044.701099550097</v>
      </c>
      <c r="H1937">
        <v>2.8541395000000001E-2</v>
      </c>
      <c r="I1937">
        <v>12417</v>
      </c>
      <c r="J1937">
        <v>4048</v>
      </c>
      <c r="K1937">
        <v>8369</v>
      </c>
      <c r="L1937">
        <v>500</v>
      </c>
      <c r="M1937">
        <v>499</v>
      </c>
      <c r="N1937">
        <v>1</v>
      </c>
      <c r="O1937">
        <v>2137.3153520093001</v>
      </c>
      <c r="P1937" s="3" t="s">
        <v>51</v>
      </c>
      <c r="Q1937">
        <v>50</v>
      </c>
      <c r="R1937">
        <v>0.999</v>
      </c>
      <c r="S1937">
        <v>0</v>
      </c>
    </row>
    <row r="1938" spans="1:19" x14ac:dyDescent="0.2">
      <c r="A1938" s="3" t="s">
        <v>54</v>
      </c>
      <c r="B1938" s="3" t="s">
        <v>55</v>
      </c>
      <c r="C1938">
        <v>40</v>
      </c>
      <c r="D1938">
        <v>17000</v>
      </c>
      <c r="E1938">
        <v>499</v>
      </c>
      <c r="F1938">
        <v>1</v>
      </c>
      <c r="G1938">
        <v>17000</v>
      </c>
      <c r="H1938">
        <v>2.8520586000000001E-2</v>
      </c>
      <c r="I1938">
        <v>14756</v>
      </c>
      <c r="J1938">
        <v>4711</v>
      </c>
      <c r="K1938">
        <v>10045</v>
      </c>
      <c r="L1938">
        <v>500</v>
      </c>
      <c r="M1938">
        <v>499</v>
      </c>
      <c r="N1938">
        <v>1</v>
      </c>
      <c r="O1938">
        <v>2244</v>
      </c>
      <c r="P1938" s="3" t="s">
        <v>52</v>
      </c>
      <c r="Q1938">
        <v>50</v>
      </c>
      <c r="R1938">
        <v>0.999</v>
      </c>
      <c r="S1938">
        <v>1</v>
      </c>
    </row>
    <row r="1939" spans="1:19" x14ac:dyDescent="0.2">
      <c r="A1939" s="3" t="s">
        <v>54</v>
      </c>
      <c r="B1939" s="3" t="s">
        <v>55</v>
      </c>
      <c r="C1939">
        <v>31</v>
      </c>
      <c r="D1939">
        <v>13000</v>
      </c>
      <c r="E1939">
        <v>499</v>
      </c>
      <c r="F1939">
        <v>1</v>
      </c>
      <c r="G1939">
        <v>53044.701099550097</v>
      </c>
      <c r="H1939">
        <v>2.8496249000000001E-2</v>
      </c>
      <c r="I1939">
        <v>12442</v>
      </c>
      <c r="J1939">
        <v>4074</v>
      </c>
      <c r="K1939">
        <v>8368</v>
      </c>
      <c r="L1939">
        <v>500</v>
      </c>
      <c r="M1939">
        <v>499</v>
      </c>
      <c r="N1939">
        <v>1</v>
      </c>
      <c r="O1939">
        <v>2101.1079290963999</v>
      </c>
      <c r="P1939" s="3" t="s">
        <v>51</v>
      </c>
      <c r="Q1939">
        <v>50</v>
      </c>
      <c r="R1939">
        <v>0.999</v>
      </c>
      <c r="S1939">
        <v>0</v>
      </c>
    </row>
    <row r="1940" spans="1:19" x14ac:dyDescent="0.2">
      <c r="A1940" s="3" t="s">
        <v>54</v>
      </c>
      <c r="B1940" s="3" t="s">
        <v>55</v>
      </c>
      <c r="C1940">
        <v>15</v>
      </c>
      <c r="D1940">
        <v>13000</v>
      </c>
      <c r="E1940">
        <v>499</v>
      </c>
      <c r="F1940">
        <v>1</v>
      </c>
      <c r="G1940">
        <v>53044.701099550097</v>
      </c>
      <c r="H1940">
        <v>2.844938E-2</v>
      </c>
      <c r="I1940">
        <v>12449</v>
      </c>
      <c r="J1940">
        <v>4088</v>
      </c>
      <c r="K1940">
        <v>8361</v>
      </c>
      <c r="L1940">
        <v>500</v>
      </c>
      <c r="M1940">
        <v>499</v>
      </c>
      <c r="N1940">
        <v>1</v>
      </c>
      <c r="O1940">
        <v>2043.6339868139</v>
      </c>
      <c r="P1940" s="3" t="s">
        <v>51</v>
      </c>
      <c r="Q1940">
        <v>50</v>
      </c>
      <c r="R1940">
        <v>0.999</v>
      </c>
      <c r="S1940">
        <v>0</v>
      </c>
    </row>
    <row r="1941" spans="1:19" x14ac:dyDescent="0.2">
      <c r="A1941" s="3" t="s">
        <v>54</v>
      </c>
      <c r="B1941" s="3" t="s">
        <v>55</v>
      </c>
      <c r="C1941">
        <v>36</v>
      </c>
      <c r="D1941">
        <v>17000</v>
      </c>
      <c r="E1941">
        <v>499</v>
      </c>
      <c r="F1941">
        <v>1</v>
      </c>
      <c r="G1941">
        <v>17000</v>
      </c>
      <c r="H1941">
        <v>2.8400300999999999E-2</v>
      </c>
      <c r="I1941">
        <v>14786</v>
      </c>
      <c r="J1941">
        <v>4696</v>
      </c>
      <c r="K1941">
        <v>10090</v>
      </c>
      <c r="L1941">
        <v>500</v>
      </c>
      <c r="M1941">
        <v>499</v>
      </c>
      <c r="N1941">
        <v>1</v>
      </c>
      <c r="O1941">
        <v>2214</v>
      </c>
      <c r="P1941" s="3" t="s">
        <v>52</v>
      </c>
      <c r="Q1941">
        <v>50</v>
      </c>
      <c r="R1941">
        <v>0.999</v>
      </c>
      <c r="S1941">
        <v>1</v>
      </c>
    </row>
    <row r="1942" spans="1:19" x14ac:dyDescent="0.2">
      <c r="A1942" s="3" t="s">
        <v>54</v>
      </c>
      <c r="B1942" s="3" t="s">
        <v>55</v>
      </c>
      <c r="C1942">
        <v>12</v>
      </c>
      <c r="D1942">
        <v>17000</v>
      </c>
      <c r="E1942">
        <v>499</v>
      </c>
      <c r="F1942">
        <v>1</v>
      </c>
      <c r="G1942">
        <v>17000</v>
      </c>
      <c r="H1942">
        <v>2.8394269E-2</v>
      </c>
      <c r="I1942">
        <v>14766</v>
      </c>
      <c r="J1942">
        <v>4753</v>
      </c>
      <c r="K1942">
        <v>10013</v>
      </c>
      <c r="L1942">
        <v>500</v>
      </c>
      <c r="M1942">
        <v>499</v>
      </c>
      <c r="N1942">
        <v>1</v>
      </c>
      <c r="O1942">
        <v>2234</v>
      </c>
      <c r="P1942" s="3" t="s">
        <v>52</v>
      </c>
      <c r="Q1942">
        <v>50</v>
      </c>
      <c r="R1942">
        <v>0.999</v>
      </c>
      <c r="S1942">
        <v>1</v>
      </c>
    </row>
    <row r="1943" spans="1:19" x14ac:dyDescent="0.2">
      <c r="A1943" s="3" t="s">
        <v>54</v>
      </c>
      <c r="B1943" s="3" t="s">
        <v>55</v>
      </c>
      <c r="C1943">
        <v>4</v>
      </c>
      <c r="D1943">
        <v>13000</v>
      </c>
      <c r="E1943">
        <v>499</v>
      </c>
      <c r="F1943">
        <v>1</v>
      </c>
      <c r="G1943">
        <v>13000</v>
      </c>
      <c r="H1943">
        <v>2.8375535E-2</v>
      </c>
      <c r="I1943">
        <v>12535</v>
      </c>
      <c r="J1943">
        <v>4817</v>
      </c>
      <c r="K1943">
        <v>7718</v>
      </c>
      <c r="L1943">
        <v>500</v>
      </c>
      <c r="M1943">
        <v>499</v>
      </c>
      <c r="N1943">
        <v>1</v>
      </c>
      <c r="O1943">
        <v>465</v>
      </c>
      <c r="P1943" s="3" t="s">
        <v>51</v>
      </c>
      <c r="Q1943">
        <v>50</v>
      </c>
      <c r="R1943">
        <v>0.999</v>
      </c>
      <c r="S1943">
        <v>1</v>
      </c>
    </row>
    <row r="1944" spans="1:19" x14ac:dyDescent="0.2">
      <c r="A1944" s="3" t="s">
        <v>54</v>
      </c>
      <c r="B1944" s="3" t="s">
        <v>55</v>
      </c>
      <c r="C1944">
        <v>42</v>
      </c>
      <c r="D1944">
        <v>17000</v>
      </c>
      <c r="E1944">
        <v>499</v>
      </c>
      <c r="F1944">
        <v>1</v>
      </c>
      <c r="G1944">
        <v>17000</v>
      </c>
      <c r="H1944">
        <v>2.8371638000000001E-2</v>
      </c>
      <c r="I1944">
        <v>14783</v>
      </c>
      <c r="J1944">
        <v>4702</v>
      </c>
      <c r="K1944">
        <v>10081</v>
      </c>
      <c r="L1944">
        <v>500</v>
      </c>
      <c r="M1944">
        <v>499</v>
      </c>
      <c r="N1944">
        <v>1</v>
      </c>
      <c r="O1944">
        <v>2217</v>
      </c>
      <c r="P1944" s="3" t="s">
        <v>52</v>
      </c>
      <c r="Q1944">
        <v>50</v>
      </c>
      <c r="R1944">
        <v>0.999</v>
      </c>
      <c r="S1944">
        <v>1</v>
      </c>
    </row>
    <row r="1945" spans="1:19" x14ac:dyDescent="0.2">
      <c r="A1945" s="3" t="s">
        <v>54</v>
      </c>
      <c r="B1945" s="3" t="s">
        <v>55</v>
      </c>
      <c r="C1945">
        <v>11</v>
      </c>
      <c r="D1945">
        <v>12000</v>
      </c>
      <c r="E1945">
        <v>499</v>
      </c>
      <c r="F1945">
        <v>1</v>
      </c>
      <c r="G1945">
        <v>50533.323552418398</v>
      </c>
      <c r="H1945">
        <v>2.8370895E-2</v>
      </c>
      <c r="I1945">
        <v>11902</v>
      </c>
      <c r="J1945">
        <v>4091</v>
      </c>
      <c r="K1945">
        <v>7811</v>
      </c>
      <c r="L1945">
        <v>500</v>
      </c>
      <c r="M1945">
        <v>499</v>
      </c>
      <c r="N1945">
        <v>1</v>
      </c>
      <c r="O1945">
        <v>352.07451041579998</v>
      </c>
      <c r="P1945" s="3" t="s">
        <v>51</v>
      </c>
      <c r="Q1945">
        <v>50</v>
      </c>
      <c r="R1945">
        <v>0.999</v>
      </c>
      <c r="S1945">
        <v>0</v>
      </c>
    </row>
    <row r="1946" spans="1:19" x14ac:dyDescent="0.2">
      <c r="A1946" s="3" t="s">
        <v>54</v>
      </c>
      <c r="B1946" s="3" t="s">
        <v>55</v>
      </c>
      <c r="C1946">
        <v>35</v>
      </c>
      <c r="D1946">
        <v>17000</v>
      </c>
      <c r="E1946">
        <v>499</v>
      </c>
      <c r="F1946">
        <v>1</v>
      </c>
      <c r="G1946">
        <v>17000</v>
      </c>
      <c r="H1946">
        <v>2.8346796E-2</v>
      </c>
      <c r="I1946">
        <v>14756</v>
      </c>
      <c r="J1946">
        <v>4698</v>
      </c>
      <c r="K1946">
        <v>10058</v>
      </c>
      <c r="L1946">
        <v>500</v>
      </c>
      <c r="M1946">
        <v>499</v>
      </c>
      <c r="N1946">
        <v>1</v>
      </c>
      <c r="O1946">
        <v>2244</v>
      </c>
      <c r="P1946" s="3" t="s">
        <v>52</v>
      </c>
      <c r="Q1946">
        <v>50</v>
      </c>
      <c r="R1946">
        <v>0.999</v>
      </c>
      <c r="S1946">
        <v>1</v>
      </c>
    </row>
    <row r="1947" spans="1:19" x14ac:dyDescent="0.2">
      <c r="A1947" s="3" t="s">
        <v>54</v>
      </c>
      <c r="B1947" s="3" t="s">
        <v>55</v>
      </c>
      <c r="C1947">
        <v>28</v>
      </c>
      <c r="D1947">
        <v>17000</v>
      </c>
      <c r="E1947">
        <v>499</v>
      </c>
      <c r="F1947">
        <v>1</v>
      </c>
      <c r="G1947">
        <v>17000</v>
      </c>
      <c r="H1947">
        <v>2.8339188000000001E-2</v>
      </c>
      <c r="I1947">
        <v>14770</v>
      </c>
      <c r="J1947">
        <v>4676</v>
      </c>
      <c r="K1947">
        <v>10094</v>
      </c>
      <c r="L1947">
        <v>500</v>
      </c>
      <c r="M1947">
        <v>499</v>
      </c>
      <c r="N1947">
        <v>1</v>
      </c>
      <c r="O1947">
        <v>2230</v>
      </c>
      <c r="P1947" s="3" t="s">
        <v>52</v>
      </c>
      <c r="Q1947">
        <v>50</v>
      </c>
      <c r="R1947">
        <v>0.999</v>
      </c>
      <c r="S1947">
        <v>1</v>
      </c>
    </row>
    <row r="1948" spans="1:19" x14ac:dyDescent="0.2">
      <c r="A1948" s="3" t="s">
        <v>54</v>
      </c>
      <c r="B1948" s="3" t="s">
        <v>55</v>
      </c>
      <c r="C1948">
        <v>50</v>
      </c>
      <c r="D1948">
        <v>17000</v>
      </c>
      <c r="E1948">
        <v>499</v>
      </c>
      <c r="F1948">
        <v>1</v>
      </c>
      <c r="G1948">
        <v>17000</v>
      </c>
      <c r="H1948">
        <v>2.8309250000000001E-2</v>
      </c>
      <c r="I1948">
        <v>14788</v>
      </c>
      <c r="J1948">
        <v>4777</v>
      </c>
      <c r="K1948">
        <v>10011</v>
      </c>
      <c r="L1948">
        <v>500</v>
      </c>
      <c r="M1948">
        <v>499</v>
      </c>
      <c r="N1948">
        <v>1</v>
      </c>
      <c r="O1948">
        <v>2212</v>
      </c>
      <c r="P1948" s="3" t="s">
        <v>52</v>
      </c>
      <c r="Q1948">
        <v>50</v>
      </c>
      <c r="R1948">
        <v>0.999</v>
      </c>
      <c r="S1948">
        <v>1</v>
      </c>
    </row>
    <row r="1949" spans="1:19" x14ac:dyDescent="0.2">
      <c r="A1949" s="3" t="s">
        <v>54</v>
      </c>
      <c r="B1949" s="3" t="s">
        <v>55</v>
      </c>
      <c r="C1949">
        <v>20</v>
      </c>
      <c r="D1949">
        <v>13000</v>
      </c>
      <c r="E1949">
        <v>499</v>
      </c>
      <c r="F1949">
        <v>1</v>
      </c>
      <c r="G1949">
        <v>53044.701099550097</v>
      </c>
      <c r="H1949">
        <v>2.8287634999999998E-2</v>
      </c>
      <c r="I1949">
        <v>12430</v>
      </c>
      <c r="J1949">
        <v>4063</v>
      </c>
      <c r="K1949">
        <v>8367</v>
      </c>
      <c r="L1949">
        <v>500</v>
      </c>
      <c r="M1949">
        <v>499</v>
      </c>
      <c r="N1949">
        <v>1</v>
      </c>
      <c r="O1949">
        <v>2084.6882078286999</v>
      </c>
      <c r="P1949" s="3" t="s">
        <v>51</v>
      </c>
      <c r="Q1949">
        <v>50</v>
      </c>
      <c r="R1949">
        <v>0.999</v>
      </c>
      <c r="S1949">
        <v>0</v>
      </c>
    </row>
    <row r="1950" spans="1:19" x14ac:dyDescent="0.2">
      <c r="A1950" s="3" t="s">
        <v>54</v>
      </c>
      <c r="B1950" s="3" t="s">
        <v>55</v>
      </c>
      <c r="C1950">
        <v>5</v>
      </c>
      <c r="D1950">
        <v>17000</v>
      </c>
      <c r="E1950">
        <v>499</v>
      </c>
      <c r="F1950">
        <v>1</v>
      </c>
      <c r="G1950">
        <v>17000</v>
      </c>
      <c r="H1950">
        <v>2.8268485999999999E-2</v>
      </c>
      <c r="I1950">
        <v>14761</v>
      </c>
      <c r="J1950">
        <v>4721</v>
      </c>
      <c r="K1950">
        <v>10040</v>
      </c>
      <c r="L1950">
        <v>500</v>
      </c>
      <c r="M1950">
        <v>499</v>
      </c>
      <c r="N1950">
        <v>1</v>
      </c>
      <c r="O1950">
        <v>2239</v>
      </c>
      <c r="P1950" s="3" t="s">
        <v>52</v>
      </c>
      <c r="Q1950">
        <v>50</v>
      </c>
      <c r="R1950">
        <v>0.999</v>
      </c>
      <c r="S1950">
        <v>1</v>
      </c>
    </row>
    <row r="1951" spans="1:19" x14ac:dyDescent="0.2">
      <c r="A1951" s="3" t="s">
        <v>54</v>
      </c>
      <c r="B1951" s="3" t="s">
        <v>55</v>
      </c>
      <c r="C1951">
        <v>16</v>
      </c>
      <c r="D1951">
        <v>13000</v>
      </c>
      <c r="E1951">
        <v>499</v>
      </c>
      <c r="F1951">
        <v>1</v>
      </c>
      <c r="G1951">
        <v>53044.701099550097</v>
      </c>
      <c r="H1951">
        <v>2.8247357000000001E-2</v>
      </c>
      <c r="I1951">
        <v>12441</v>
      </c>
      <c r="J1951">
        <v>4068</v>
      </c>
      <c r="K1951">
        <v>8373</v>
      </c>
      <c r="L1951">
        <v>500</v>
      </c>
      <c r="M1951">
        <v>499</v>
      </c>
      <c r="N1951">
        <v>1</v>
      </c>
      <c r="O1951">
        <v>2081.3173085210001</v>
      </c>
      <c r="P1951" s="3" t="s">
        <v>51</v>
      </c>
      <c r="Q1951">
        <v>50</v>
      </c>
      <c r="R1951">
        <v>0.999</v>
      </c>
      <c r="S1951">
        <v>0</v>
      </c>
    </row>
    <row r="1952" spans="1:19" x14ac:dyDescent="0.2">
      <c r="A1952" s="3" t="s">
        <v>54</v>
      </c>
      <c r="B1952" s="3" t="s">
        <v>55</v>
      </c>
      <c r="C1952">
        <v>47</v>
      </c>
      <c r="D1952">
        <v>17000</v>
      </c>
      <c r="E1952">
        <v>499</v>
      </c>
      <c r="F1952">
        <v>1</v>
      </c>
      <c r="G1952">
        <v>17000</v>
      </c>
      <c r="H1952">
        <v>2.824567E-2</v>
      </c>
      <c r="I1952">
        <v>14792</v>
      </c>
      <c r="J1952">
        <v>4703</v>
      </c>
      <c r="K1952">
        <v>10089</v>
      </c>
      <c r="L1952">
        <v>500</v>
      </c>
      <c r="M1952">
        <v>499</v>
      </c>
      <c r="N1952">
        <v>1</v>
      </c>
      <c r="O1952">
        <v>2208</v>
      </c>
      <c r="P1952" s="3" t="s">
        <v>52</v>
      </c>
      <c r="Q1952">
        <v>50</v>
      </c>
      <c r="R1952">
        <v>0.999</v>
      </c>
      <c r="S1952">
        <v>1</v>
      </c>
    </row>
    <row r="1953" spans="1:19" x14ac:dyDescent="0.2">
      <c r="A1953" s="3" t="s">
        <v>54</v>
      </c>
      <c r="B1953" s="3" t="s">
        <v>55</v>
      </c>
      <c r="C1953">
        <v>45</v>
      </c>
      <c r="D1953">
        <v>16000</v>
      </c>
      <c r="E1953">
        <v>499</v>
      </c>
      <c r="F1953">
        <v>1</v>
      </c>
      <c r="G1953">
        <v>16000</v>
      </c>
      <c r="H1953">
        <v>2.8241352000000001E-2</v>
      </c>
      <c r="I1953">
        <v>14336</v>
      </c>
      <c r="J1953">
        <v>4550</v>
      </c>
      <c r="K1953">
        <v>9786</v>
      </c>
      <c r="L1953">
        <v>500</v>
      </c>
      <c r="M1953">
        <v>499</v>
      </c>
      <c r="N1953">
        <v>1</v>
      </c>
      <c r="O1953">
        <v>1664</v>
      </c>
      <c r="P1953" s="3" t="s">
        <v>50</v>
      </c>
      <c r="Q1953">
        <v>50</v>
      </c>
      <c r="R1953">
        <v>0.999</v>
      </c>
      <c r="S1953">
        <v>1</v>
      </c>
    </row>
    <row r="1954" spans="1:19" x14ac:dyDescent="0.2">
      <c r="A1954" s="3" t="s">
        <v>54</v>
      </c>
      <c r="B1954" s="3" t="s">
        <v>55</v>
      </c>
      <c r="C1954">
        <v>2</v>
      </c>
      <c r="D1954">
        <v>13000</v>
      </c>
      <c r="E1954">
        <v>499</v>
      </c>
      <c r="F1954">
        <v>1</v>
      </c>
      <c r="G1954">
        <v>13000</v>
      </c>
      <c r="H1954">
        <v>2.8224156E-2</v>
      </c>
      <c r="I1954">
        <v>12570</v>
      </c>
      <c r="J1954">
        <v>4830</v>
      </c>
      <c r="K1954">
        <v>7740</v>
      </c>
      <c r="L1954">
        <v>500</v>
      </c>
      <c r="M1954">
        <v>499</v>
      </c>
      <c r="N1954">
        <v>1</v>
      </c>
      <c r="O1954">
        <v>430</v>
      </c>
      <c r="P1954" s="3" t="s">
        <v>51</v>
      </c>
      <c r="Q1954">
        <v>50</v>
      </c>
      <c r="R1954">
        <v>0.999</v>
      </c>
      <c r="S1954">
        <v>1</v>
      </c>
    </row>
    <row r="1955" spans="1:19" x14ac:dyDescent="0.2">
      <c r="A1955" s="3" t="s">
        <v>54</v>
      </c>
      <c r="B1955" s="3" t="s">
        <v>55</v>
      </c>
      <c r="C1955">
        <v>30</v>
      </c>
      <c r="D1955">
        <v>17000</v>
      </c>
      <c r="E1955">
        <v>499</v>
      </c>
      <c r="F1955">
        <v>1</v>
      </c>
      <c r="G1955">
        <v>17000</v>
      </c>
      <c r="H1955">
        <v>2.8221342E-2</v>
      </c>
      <c r="I1955">
        <v>14730</v>
      </c>
      <c r="J1955">
        <v>4687</v>
      </c>
      <c r="K1955">
        <v>10043</v>
      </c>
      <c r="L1955">
        <v>500</v>
      </c>
      <c r="M1955">
        <v>499</v>
      </c>
      <c r="N1955">
        <v>1</v>
      </c>
      <c r="O1955">
        <v>2270</v>
      </c>
      <c r="P1955" s="3" t="s">
        <v>52</v>
      </c>
      <c r="Q1955">
        <v>50</v>
      </c>
      <c r="R1955">
        <v>0.999</v>
      </c>
      <c r="S1955">
        <v>1</v>
      </c>
    </row>
    <row r="1956" spans="1:19" x14ac:dyDescent="0.2">
      <c r="A1956" s="3" t="s">
        <v>54</v>
      </c>
      <c r="B1956" s="3" t="s">
        <v>55</v>
      </c>
      <c r="C1956">
        <v>38</v>
      </c>
      <c r="D1956">
        <v>17000</v>
      </c>
      <c r="E1956">
        <v>499</v>
      </c>
      <c r="F1956">
        <v>1</v>
      </c>
      <c r="G1956">
        <v>17000</v>
      </c>
      <c r="H1956">
        <v>2.8174398E-2</v>
      </c>
      <c r="I1956">
        <v>14761</v>
      </c>
      <c r="J1956">
        <v>4686</v>
      </c>
      <c r="K1956">
        <v>10075</v>
      </c>
      <c r="L1956">
        <v>500</v>
      </c>
      <c r="M1956">
        <v>499</v>
      </c>
      <c r="N1956">
        <v>1</v>
      </c>
      <c r="O1956">
        <v>2239</v>
      </c>
      <c r="P1956" s="3" t="s">
        <v>52</v>
      </c>
      <c r="Q1956">
        <v>50</v>
      </c>
      <c r="R1956">
        <v>0.999</v>
      </c>
      <c r="S1956">
        <v>1</v>
      </c>
    </row>
    <row r="1957" spans="1:19" x14ac:dyDescent="0.2">
      <c r="A1957" s="3" t="s">
        <v>54</v>
      </c>
      <c r="B1957" s="3" t="s">
        <v>55</v>
      </c>
      <c r="C1957">
        <v>39</v>
      </c>
      <c r="D1957">
        <v>17000</v>
      </c>
      <c r="E1957">
        <v>499</v>
      </c>
      <c r="F1957">
        <v>1</v>
      </c>
      <c r="G1957">
        <v>17000</v>
      </c>
      <c r="H1957">
        <v>2.8170257000000001E-2</v>
      </c>
      <c r="I1957">
        <v>14759</v>
      </c>
      <c r="J1957">
        <v>4727</v>
      </c>
      <c r="K1957">
        <v>10032</v>
      </c>
      <c r="L1957">
        <v>500</v>
      </c>
      <c r="M1957">
        <v>499</v>
      </c>
      <c r="N1957">
        <v>1</v>
      </c>
      <c r="O1957">
        <v>2241</v>
      </c>
      <c r="P1957" s="3" t="s">
        <v>52</v>
      </c>
      <c r="Q1957">
        <v>50</v>
      </c>
      <c r="R1957">
        <v>0.999</v>
      </c>
      <c r="S1957">
        <v>1</v>
      </c>
    </row>
    <row r="1958" spans="1:19" x14ac:dyDescent="0.2">
      <c r="A1958" s="3" t="s">
        <v>54</v>
      </c>
      <c r="B1958" s="3" t="s">
        <v>55</v>
      </c>
      <c r="C1958">
        <v>33</v>
      </c>
      <c r="D1958">
        <v>17000</v>
      </c>
      <c r="E1958">
        <v>499</v>
      </c>
      <c r="F1958">
        <v>1</v>
      </c>
      <c r="G1958">
        <v>17000</v>
      </c>
      <c r="H1958">
        <v>2.8165902E-2</v>
      </c>
      <c r="I1958">
        <v>14798</v>
      </c>
      <c r="J1958">
        <v>4729</v>
      </c>
      <c r="K1958">
        <v>10069</v>
      </c>
      <c r="L1958">
        <v>500</v>
      </c>
      <c r="M1958">
        <v>499</v>
      </c>
      <c r="N1958">
        <v>1</v>
      </c>
      <c r="O1958">
        <v>2202</v>
      </c>
      <c r="P1958" s="3" t="s">
        <v>52</v>
      </c>
      <c r="Q1958">
        <v>50</v>
      </c>
      <c r="R1958">
        <v>0.999</v>
      </c>
      <c r="S1958">
        <v>1</v>
      </c>
    </row>
    <row r="1959" spans="1:19" x14ac:dyDescent="0.2">
      <c r="A1959" s="3" t="s">
        <v>54</v>
      </c>
      <c r="B1959" s="3" t="s">
        <v>55</v>
      </c>
      <c r="C1959">
        <v>21</v>
      </c>
      <c r="D1959">
        <v>13000</v>
      </c>
      <c r="E1959">
        <v>499</v>
      </c>
      <c r="F1959">
        <v>1</v>
      </c>
      <c r="G1959">
        <v>53044.701099550097</v>
      </c>
      <c r="H1959">
        <v>2.8131508999999999E-2</v>
      </c>
      <c r="I1959">
        <v>12421</v>
      </c>
      <c r="J1959">
        <v>4057</v>
      </c>
      <c r="K1959">
        <v>8364</v>
      </c>
      <c r="L1959">
        <v>500</v>
      </c>
      <c r="M1959">
        <v>499</v>
      </c>
      <c r="N1959">
        <v>1</v>
      </c>
      <c r="O1959">
        <v>2160.4282327963001</v>
      </c>
      <c r="P1959" s="3" t="s">
        <v>51</v>
      </c>
      <c r="Q1959">
        <v>50</v>
      </c>
      <c r="R1959">
        <v>0.999</v>
      </c>
      <c r="S1959">
        <v>0</v>
      </c>
    </row>
    <row r="1960" spans="1:19" x14ac:dyDescent="0.2">
      <c r="A1960" s="3" t="s">
        <v>54</v>
      </c>
      <c r="B1960" s="3" t="s">
        <v>55</v>
      </c>
      <c r="C1960">
        <v>46</v>
      </c>
      <c r="D1960">
        <v>13000</v>
      </c>
      <c r="E1960">
        <v>499</v>
      </c>
      <c r="F1960">
        <v>1</v>
      </c>
      <c r="G1960">
        <v>13000</v>
      </c>
      <c r="H1960">
        <v>2.8126841999999999E-2</v>
      </c>
      <c r="I1960">
        <v>12564</v>
      </c>
      <c r="J1960">
        <v>4832</v>
      </c>
      <c r="K1960">
        <v>7732</v>
      </c>
      <c r="L1960">
        <v>500</v>
      </c>
      <c r="M1960">
        <v>499</v>
      </c>
      <c r="N1960">
        <v>1</v>
      </c>
      <c r="O1960">
        <v>436</v>
      </c>
      <c r="P1960" s="3" t="s">
        <v>51</v>
      </c>
      <c r="Q1960">
        <v>50</v>
      </c>
      <c r="R1960">
        <v>0.999</v>
      </c>
      <c r="S1960">
        <v>1</v>
      </c>
    </row>
    <row r="1961" spans="1:19" x14ac:dyDescent="0.2">
      <c r="A1961" s="3" t="s">
        <v>54</v>
      </c>
      <c r="B1961" s="3" t="s">
        <v>55</v>
      </c>
      <c r="C1961">
        <v>22</v>
      </c>
      <c r="D1961">
        <v>17000</v>
      </c>
      <c r="E1961">
        <v>499</v>
      </c>
      <c r="F1961">
        <v>1</v>
      </c>
      <c r="G1961">
        <v>17000</v>
      </c>
      <c r="H1961">
        <v>2.8122927999999998E-2</v>
      </c>
      <c r="I1961">
        <v>14781</v>
      </c>
      <c r="J1961">
        <v>4701</v>
      </c>
      <c r="K1961">
        <v>10080</v>
      </c>
      <c r="L1961">
        <v>500</v>
      </c>
      <c r="M1961">
        <v>499</v>
      </c>
      <c r="N1961">
        <v>1</v>
      </c>
      <c r="O1961">
        <v>2219</v>
      </c>
      <c r="P1961" s="3" t="s">
        <v>52</v>
      </c>
      <c r="Q1961">
        <v>50</v>
      </c>
      <c r="R1961">
        <v>0.999</v>
      </c>
      <c r="S1961">
        <v>1</v>
      </c>
    </row>
    <row r="1962" spans="1:19" x14ac:dyDescent="0.2">
      <c r="A1962" s="3" t="s">
        <v>54</v>
      </c>
      <c r="B1962" s="3" t="s">
        <v>55</v>
      </c>
      <c r="C1962">
        <v>25</v>
      </c>
      <c r="D1962">
        <v>17000</v>
      </c>
      <c r="E1962">
        <v>499</v>
      </c>
      <c r="F1962">
        <v>1</v>
      </c>
      <c r="G1962">
        <v>17000</v>
      </c>
      <c r="H1962">
        <v>2.8122213E-2</v>
      </c>
      <c r="I1962">
        <v>14772</v>
      </c>
      <c r="J1962">
        <v>4700</v>
      </c>
      <c r="K1962">
        <v>10072</v>
      </c>
      <c r="L1962">
        <v>500</v>
      </c>
      <c r="M1962">
        <v>499</v>
      </c>
      <c r="N1962">
        <v>1</v>
      </c>
      <c r="O1962">
        <v>2228</v>
      </c>
      <c r="P1962" s="3" t="s">
        <v>52</v>
      </c>
      <c r="Q1962">
        <v>50</v>
      </c>
      <c r="R1962">
        <v>0.999</v>
      </c>
      <c r="S1962">
        <v>1</v>
      </c>
    </row>
    <row r="1963" spans="1:19" x14ac:dyDescent="0.2">
      <c r="A1963" s="3" t="s">
        <v>54</v>
      </c>
      <c r="B1963" s="3" t="s">
        <v>55</v>
      </c>
      <c r="C1963">
        <v>34</v>
      </c>
      <c r="D1963">
        <v>17000</v>
      </c>
      <c r="E1963">
        <v>499</v>
      </c>
      <c r="F1963">
        <v>1</v>
      </c>
      <c r="G1963">
        <v>17000</v>
      </c>
      <c r="H1963">
        <v>2.8101405999999999E-2</v>
      </c>
      <c r="I1963">
        <v>14777</v>
      </c>
      <c r="J1963">
        <v>4719</v>
      </c>
      <c r="K1963">
        <v>10058</v>
      </c>
      <c r="L1963">
        <v>500</v>
      </c>
      <c r="M1963">
        <v>499</v>
      </c>
      <c r="N1963">
        <v>1</v>
      </c>
      <c r="O1963">
        <v>2223</v>
      </c>
      <c r="P1963" s="3" t="s">
        <v>52</v>
      </c>
      <c r="Q1963">
        <v>50</v>
      </c>
      <c r="R1963">
        <v>0.999</v>
      </c>
      <c r="S1963">
        <v>1</v>
      </c>
    </row>
    <row r="1964" spans="1:19" x14ac:dyDescent="0.2">
      <c r="A1964" s="3" t="s">
        <v>54</v>
      </c>
      <c r="B1964" s="3" t="s">
        <v>55</v>
      </c>
      <c r="C1964">
        <v>27</v>
      </c>
      <c r="D1964">
        <v>13000</v>
      </c>
      <c r="E1964">
        <v>499</v>
      </c>
      <c r="F1964">
        <v>1</v>
      </c>
      <c r="G1964">
        <v>53044.701099550097</v>
      </c>
      <c r="H1964">
        <v>2.8091835999999999E-2</v>
      </c>
      <c r="I1964">
        <v>12453</v>
      </c>
      <c r="J1964">
        <v>4096</v>
      </c>
      <c r="K1964">
        <v>8357</v>
      </c>
      <c r="L1964">
        <v>500</v>
      </c>
      <c r="M1964">
        <v>499</v>
      </c>
      <c r="N1964">
        <v>1</v>
      </c>
      <c r="O1964">
        <v>2035.4090183082001</v>
      </c>
      <c r="P1964" s="3" t="s">
        <v>51</v>
      </c>
      <c r="Q1964">
        <v>50</v>
      </c>
      <c r="R1964">
        <v>0.999</v>
      </c>
      <c r="S1964">
        <v>0</v>
      </c>
    </row>
    <row r="1965" spans="1:19" x14ac:dyDescent="0.2">
      <c r="A1965" s="3" t="s">
        <v>54</v>
      </c>
      <c r="B1965" s="3" t="s">
        <v>55</v>
      </c>
      <c r="C1965">
        <v>36</v>
      </c>
      <c r="D1965">
        <v>11000</v>
      </c>
      <c r="E1965">
        <v>499</v>
      </c>
      <c r="F1965">
        <v>1</v>
      </c>
      <c r="G1965">
        <v>11000</v>
      </c>
      <c r="H1965">
        <v>2.808167E-2</v>
      </c>
      <c r="I1965">
        <v>11000</v>
      </c>
      <c r="J1965">
        <v>4329</v>
      </c>
      <c r="K1965">
        <v>6671</v>
      </c>
      <c r="L1965">
        <v>500</v>
      </c>
      <c r="M1965">
        <v>499</v>
      </c>
      <c r="N1965">
        <v>1</v>
      </c>
      <c r="O1965">
        <v>0</v>
      </c>
      <c r="P1965" s="3" t="s">
        <v>51</v>
      </c>
      <c r="Q1965">
        <v>50</v>
      </c>
      <c r="R1965">
        <v>0.999</v>
      </c>
      <c r="S1965">
        <v>1</v>
      </c>
    </row>
    <row r="1966" spans="1:19" x14ac:dyDescent="0.2">
      <c r="A1966" s="3" t="s">
        <v>54</v>
      </c>
      <c r="B1966" s="3" t="s">
        <v>55</v>
      </c>
      <c r="C1966">
        <v>4</v>
      </c>
      <c r="D1966">
        <v>17000</v>
      </c>
      <c r="E1966">
        <v>499</v>
      </c>
      <c r="F1966">
        <v>1</v>
      </c>
      <c r="G1966">
        <v>17000</v>
      </c>
      <c r="H1966">
        <v>2.8081083E-2</v>
      </c>
      <c r="I1966">
        <v>14761</v>
      </c>
      <c r="J1966">
        <v>4727</v>
      </c>
      <c r="K1966">
        <v>10034</v>
      </c>
      <c r="L1966">
        <v>500</v>
      </c>
      <c r="M1966">
        <v>499</v>
      </c>
      <c r="N1966">
        <v>1</v>
      </c>
      <c r="O1966">
        <v>2239</v>
      </c>
      <c r="P1966" s="3" t="s">
        <v>52</v>
      </c>
      <c r="Q1966">
        <v>50</v>
      </c>
      <c r="R1966">
        <v>0.999</v>
      </c>
      <c r="S1966">
        <v>1</v>
      </c>
    </row>
    <row r="1967" spans="1:19" x14ac:dyDescent="0.2">
      <c r="A1967" s="3" t="s">
        <v>54</v>
      </c>
      <c r="B1967" s="3" t="s">
        <v>55</v>
      </c>
      <c r="C1967">
        <v>40</v>
      </c>
      <c r="D1967">
        <v>13000</v>
      </c>
      <c r="E1967">
        <v>499</v>
      </c>
      <c r="F1967">
        <v>1</v>
      </c>
      <c r="G1967">
        <v>13000</v>
      </c>
      <c r="H1967">
        <v>2.8063813999999999E-2</v>
      </c>
      <c r="I1967">
        <v>12558</v>
      </c>
      <c r="J1967">
        <v>4819</v>
      </c>
      <c r="K1967">
        <v>7739</v>
      </c>
      <c r="L1967">
        <v>500</v>
      </c>
      <c r="M1967">
        <v>499</v>
      </c>
      <c r="N1967">
        <v>1</v>
      </c>
      <c r="O1967">
        <v>442</v>
      </c>
      <c r="P1967" s="3" t="s">
        <v>51</v>
      </c>
      <c r="Q1967">
        <v>50</v>
      </c>
      <c r="R1967">
        <v>0.999</v>
      </c>
      <c r="S1967">
        <v>1</v>
      </c>
    </row>
    <row r="1968" spans="1:19" x14ac:dyDescent="0.2">
      <c r="A1968" s="3" t="s">
        <v>54</v>
      </c>
      <c r="B1968" s="3" t="s">
        <v>55</v>
      </c>
      <c r="C1968">
        <v>44</v>
      </c>
      <c r="D1968">
        <v>17000</v>
      </c>
      <c r="E1968">
        <v>499</v>
      </c>
      <c r="F1968">
        <v>1</v>
      </c>
      <c r="G1968">
        <v>17000</v>
      </c>
      <c r="H1968">
        <v>2.8031638000000001E-2</v>
      </c>
      <c r="I1968">
        <v>14795</v>
      </c>
      <c r="J1968">
        <v>4732</v>
      </c>
      <c r="K1968">
        <v>10063</v>
      </c>
      <c r="L1968">
        <v>500</v>
      </c>
      <c r="M1968">
        <v>499</v>
      </c>
      <c r="N1968">
        <v>1</v>
      </c>
      <c r="O1968">
        <v>2205</v>
      </c>
      <c r="P1968" s="3" t="s">
        <v>52</v>
      </c>
      <c r="Q1968">
        <v>50</v>
      </c>
      <c r="R1968">
        <v>0.999</v>
      </c>
      <c r="S1968">
        <v>1</v>
      </c>
    </row>
    <row r="1969" spans="1:19" x14ac:dyDescent="0.2">
      <c r="A1969" s="3" t="s">
        <v>54</v>
      </c>
      <c r="B1969" s="3" t="s">
        <v>55</v>
      </c>
      <c r="C1969">
        <v>19</v>
      </c>
      <c r="D1969">
        <v>17000</v>
      </c>
      <c r="E1969">
        <v>499</v>
      </c>
      <c r="F1969">
        <v>1</v>
      </c>
      <c r="G1969">
        <v>17000</v>
      </c>
      <c r="H1969">
        <v>2.8022774E-2</v>
      </c>
      <c r="I1969">
        <v>14776</v>
      </c>
      <c r="J1969">
        <v>4694</v>
      </c>
      <c r="K1969">
        <v>10082</v>
      </c>
      <c r="L1969">
        <v>500</v>
      </c>
      <c r="M1969">
        <v>499</v>
      </c>
      <c r="N1969">
        <v>1</v>
      </c>
      <c r="O1969">
        <v>2224</v>
      </c>
      <c r="P1969" s="3" t="s">
        <v>52</v>
      </c>
      <c r="Q1969">
        <v>50</v>
      </c>
      <c r="R1969">
        <v>0.999</v>
      </c>
      <c r="S1969">
        <v>1</v>
      </c>
    </row>
    <row r="1970" spans="1:19" x14ac:dyDescent="0.2">
      <c r="A1970" s="3" t="s">
        <v>54</v>
      </c>
      <c r="B1970" s="3" t="s">
        <v>55</v>
      </c>
      <c r="C1970">
        <v>43</v>
      </c>
      <c r="D1970">
        <v>17000</v>
      </c>
      <c r="E1970">
        <v>499</v>
      </c>
      <c r="F1970">
        <v>1</v>
      </c>
      <c r="G1970">
        <v>17000</v>
      </c>
      <c r="H1970">
        <v>2.8012214000000001E-2</v>
      </c>
      <c r="I1970">
        <v>14767</v>
      </c>
      <c r="J1970">
        <v>4753</v>
      </c>
      <c r="K1970">
        <v>10014</v>
      </c>
      <c r="L1970">
        <v>500</v>
      </c>
      <c r="M1970">
        <v>499</v>
      </c>
      <c r="N1970">
        <v>1</v>
      </c>
      <c r="O1970">
        <v>2233</v>
      </c>
      <c r="P1970" s="3" t="s">
        <v>52</v>
      </c>
      <c r="Q1970">
        <v>50</v>
      </c>
      <c r="R1970">
        <v>0.999</v>
      </c>
      <c r="S1970">
        <v>1</v>
      </c>
    </row>
    <row r="1971" spans="1:19" x14ac:dyDescent="0.2">
      <c r="A1971" s="3" t="s">
        <v>54</v>
      </c>
      <c r="B1971" s="3" t="s">
        <v>55</v>
      </c>
      <c r="C1971">
        <v>49</v>
      </c>
      <c r="D1971">
        <v>17000</v>
      </c>
      <c r="E1971">
        <v>499</v>
      </c>
      <c r="F1971">
        <v>1</v>
      </c>
      <c r="G1971">
        <v>17000</v>
      </c>
      <c r="H1971">
        <v>2.8007356000000001E-2</v>
      </c>
      <c r="I1971">
        <v>14730</v>
      </c>
      <c r="J1971">
        <v>4699</v>
      </c>
      <c r="K1971">
        <v>10031</v>
      </c>
      <c r="L1971">
        <v>500</v>
      </c>
      <c r="M1971">
        <v>499</v>
      </c>
      <c r="N1971">
        <v>1</v>
      </c>
      <c r="O1971">
        <v>2270</v>
      </c>
      <c r="P1971" s="3" t="s">
        <v>52</v>
      </c>
      <c r="Q1971">
        <v>50</v>
      </c>
      <c r="R1971">
        <v>0.999</v>
      </c>
      <c r="S1971">
        <v>1</v>
      </c>
    </row>
    <row r="1972" spans="1:19" x14ac:dyDescent="0.2">
      <c r="A1972" s="3" t="s">
        <v>54</v>
      </c>
      <c r="B1972" s="3" t="s">
        <v>55</v>
      </c>
      <c r="C1972">
        <v>3</v>
      </c>
      <c r="D1972">
        <v>13000</v>
      </c>
      <c r="E1972">
        <v>499</v>
      </c>
      <c r="F1972">
        <v>1</v>
      </c>
      <c r="G1972">
        <v>13000</v>
      </c>
      <c r="H1972">
        <v>2.7990929000000001E-2</v>
      </c>
      <c r="I1972">
        <v>12543</v>
      </c>
      <c r="J1972">
        <v>4797</v>
      </c>
      <c r="K1972">
        <v>7746</v>
      </c>
      <c r="L1972">
        <v>500</v>
      </c>
      <c r="M1972">
        <v>499</v>
      </c>
      <c r="N1972">
        <v>1</v>
      </c>
      <c r="O1972">
        <v>457</v>
      </c>
      <c r="P1972" s="3" t="s">
        <v>51</v>
      </c>
      <c r="Q1972">
        <v>50</v>
      </c>
      <c r="R1972">
        <v>0.999</v>
      </c>
      <c r="S1972">
        <v>1</v>
      </c>
    </row>
    <row r="1973" spans="1:19" x14ac:dyDescent="0.2">
      <c r="A1973" s="3" t="s">
        <v>54</v>
      </c>
      <c r="B1973" s="3" t="s">
        <v>55</v>
      </c>
      <c r="C1973">
        <v>41</v>
      </c>
      <c r="D1973">
        <v>17000</v>
      </c>
      <c r="E1973">
        <v>499</v>
      </c>
      <c r="F1973">
        <v>1</v>
      </c>
      <c r="G1973">
        <v>17000</v>
      </c>
      <c r="H1973">
        <v>2.7979315000000001E-2</v>
      </c>
      <c r="I1973">
        <v>14772</v>
      </c>
      <c r="J1973">
        <v>4680</v>
      </c>
      <c r="K1973">
        <v>10092</v>
      </c>
      <c r="L1973">
        <v>500</v>
      </c>
      <c r="M1973">
        <v>499</v>
      </c>
      <c r="N1973">
        <v>1</v>
      </c>
      <c r="O1973">
        <v>2228</v>
      </c>
      <c r="P1973" s="3" t="s">
        <v>52</v>
      </c>
      <c r="Q1973">
        <v>50</v>
      </c>
      <c r="R1973">
        <v>0.999</v>
      </c>
      <c r="S1973">
        <v>1</v>
      </c>
    </row>
    <row r="1974" spans="1:19" x14ac:dyDescent="0.2">
      <c r="A1974" s="3" t="s">
        <v>54</v>
      </c>
      <c r="B1974" s="3" t="s">
        <v>55</v>
      </c>
      <c r="C1974">
        <v>8</v>
      </c>
      <c r="D1974">
        <v>15000</v>
      </c>
      <c r="E1974">
        <v>499</v>
      </c>
      <c r="F1974">
        <v>1</v>
      </c>
      <c r="G1974">
        <v>15000</v>
      </c>
      <c r="H1974">
        <v>2.7970332000000001E-2</v>
      </c>
      <c r="I1974">
        <v>13770</v>
      </c>
      <c r="J1974">
        <v>4343</v>
      </c>
      <c r="K1974">
        <v>9427</v>
      </c>
      <c r="L1974">
        <v>500</v>
      </c>
      <c r="M1974">
        <v>499</v>
      </c>
      <c r="N1974">
        <v>1</v>
      </c>
      <c r="O1974">
        <v>1230</v>
      </c>
      <c r="P1974" s="3" t="s">
        <v>50</v>
      </c>
      <c r="Q1974">
        <v>50</v>
      </c>
      <c r="R1974">
        <v>0.999</v>
      </c>
      <c r="S1974">
        <v>1</v>
      </c>
    </row>
    <row r="1975" spans="1:19" x14ac:dyDescent="0.2">
      <c r="A1975" s="3" t="s">
        <v>54</v>
      </c>
      <c r="B1975" s="3" t="s">
        <v>55</v>
      </c>
      <c r="C1975">
        <v>16</v>
      </c>
      <c r="D1975">
        <v>12000</v>
      </c>
      <c r="E1975">
        <v>499</v>
      </c>
      <c r="F1975">
        <v>1</v>
      </c>
      <c r="G1975">
        <v>50533.323552418398</v>
      </c>
      <c r="H1975">
        <v>2.7960394999999999E-2</v>
      </c>
      <c r="I1975">
        <v>11885</v>
      </c>
      <c r="J1975">
        <v>4068</v>
      </c>
      <c r="K1975">
        <v>7817</v>
      </c>
      <c r="L1975">
        <v>500</v>
      </c>
      <c r="M1975">
        <v>499</v>
      </c>
      <c r="N1975">
        <v>1</v>
      </c>
      <c r="O1975">
        <v>395.54364011159998</v>
      </c>
      <c r="P1975" s="3" t="s">
        <v>51</v>
      </c>
      <c r="Q1975">
        <v>50</v>
      </c>
      <c r="R1975">
        <v>0.999</v>
      </c>
      <c r="S1975">
        <v>0</v>
      </c>
    </row>
    <row r="1976" spans="1:19" x14ac:dyDescent="0.2">
      <c r="A1976" s="3" t="s">
        <v>54</v>
      </c>
      <c r="B1976" s="3" t="s">
        <v>55</v>
      </c>
      <c r="C1976">
        <v>41</v>
      </c>
      <c r="D1976">
        <v>11000</v>
      </c>
      <c r="E1976">
        <v>499</v>
      </c>
      <c r="F1976">
        <v>1</v>
      </c>
      <c r="G1976">
        <v>44062.122210792702</v>
      </c>
      <c r="H1976">
        <v>2.7950760000000002E-2</v>
      </c>
      <c r="I1976">
        <v>11000</v>
      </c>
      <c r="J1976">
        <v>3547</v>
      </c>
      <c r="K1976">
        <v>7453</v>
      </c>
      <c r="L1976">
        <v>500</v>
      </c>
      <c r="M1976">
        <v>499</v>
      </c>
      <c r="N1976">
        <v>1</v>
      </c>
      <c r="O1976">
        <v>0</v>
      </c>
      <c r="P1976" s="3" t="s">
        <v>51</v>
      </c>
      <c r="Q1976">
        <v>50</v>
      </c>
      <c r="R1976">
        <v>0.999</v>
      </c>
      <c r="S1976">
        <v>0</v>
      </c>
    </row>
    <row r="1977" spans="1:19" x14ac:dyDescent="0.2">
      <c r="A1977" s="3" t="s">
        <v>54</v>
      </c>
      <c r="B1977" s="3" t="s">
        <v>55</v>
      </c>
      <c r="C1977">
        <v>2</v>
      </c>
      <c r="D1977">
        <v>17000</v>
      </c>
      <c r="E1977">
        <v>499</v>
      </c>
      <c r="F1977">
        <v>1</v>
      </c>
      <c r="G1977">
        <v>17000</v>
      </c>
      <c r="H1977">
        <v>2.7922921999999999E-2</v>
      </c>
      <c r="I1977">
        <v>14750</v>
      </c>
      <c r="J1977">
        <v>4696</v>
      </c>
      <c r="K1977">
        <v>10054</v>
      </c>
      <c r="L1977">
        <v>500</v>
      </c>
      <c r="M1977">
        <v>499</v>
      </c>
      <c r="N1977">
        <v>1</v>
      </c>
      <c r="O1977">
        <v>2250</v>
      </c>
      <c r="P1977" s="3" t="s">
        <v>52</v>
      </c>
      <c r="Q1977">
        <v>50</v>
      </c>
      <c r="R1977">
        <v>0.999</v>
      </c>
      <c r="S1977">
        <v>1</v>
      </c>
    </row>
    <row r="1978" spans="1:19" x14ac:dyDescent="0.2">
      <c r="A1978" s="3" t="s">
        <v>54</v>
      </c>
      <c r="B1978" s="3" t="s">
        <v>55</v>
      </c>
      <c r="C1978">
        <v>21</v>
      </c>
      <c r="D1978">
        <v>17000</v>
      </c>
      <c r="E1978">
        <v>499</v>
      </c>
      <c r="F1978">
        <v>1</v>
      </c>
      <c r="G1978">
        <v>17000</v>
      </c>
      <c r="H1978">
        <v>2.7899345999999998E-2</v>
      </c>
      <c r="I1978">
        <v>14737</v>
      </c>
      <c r="J1978">
        <v>4680</v>
      </c>
      <c r="K1978">
        <v>10057</v>
      </c>
      <c r="L1978">
        <v>500</v>
      </c>
      <c r="M1978">
        <v>499</v>
      </c>
      <c r="N1978">
        <v>1</v>
      </c>
      <c r="O1978">
        <v>2263</v>
      </c>
      <c r="P1978" s="3" t="s">
        <v>52</v>
      </c>
      <c r="Q1978">
        <v>50</v>
      </c>
      <c r="R1978">
        <v>0.999</v>
      </c>
      <c r="S1978">
        <v>1</v>
      </c>
    </row>
    <row r="1979" spans="1:19" x14ac:dyDescent="0.2">
      <c r="A1979" s="3" t="s">
        <v>54</v>
      </c>
      <c r="B1979" s="3" t="s">
        <v>55</v>
      </c>
      <c r="C1979">
        <v>8</v>
      </c>
      <c r="D1979">
        <v>17000</v>
      </c>
      <c r="E1979">
        <v>499</v>
      </c>
      <c r="F1979">
        <v>1</v>
      </c>
      <c r="G1979">
        <v>17000</v>
      </c>
      <c r="H1979">
        <v>2.7836553999999999E-2</v>
      </c>
      <c r="I1979">
        <v>14785</v>
      </c>
      <c r="J1979">
        <v>4691</v>
      </c>
      <c r="K1979">
        <v>10094</v>
      </c>
      <c r="L1979">
        <v>500</v>
      </c>
      <c r="M1979">
        <v>499</v>
      </c>
      <c r="N1979">
        <v>1</v>
      </c>
      <c r="O1979">
        <v>2215</v>
      </c>
      <c r="P1979" s="3" t="s">
        <v>52</v>
      </c>
      <c r="Q1979">
        <v>50</v>
      </c>
      <c r="R1979">
        <v>0.999</v>
      </c>
      <c r="S1979">
        <v>1</v>
      </c>
    </row>
    <row r="1980" spans="1:19" x14ac:dyDescent="0.2">
      <c r="A1980" s="3" t="s">
        <v>54</v>
      </c>
      <c r="B1980" s="3" t="s">
        <v>55</v>
      </c>
      <c r="C1980">
        <v>25</v>
      </c>
      <c r="D1980">
        <v>13000</v>
      </c>
      <c r="E1980">
        <v>499</v>
      </c>
      <c r="F1980">
        <v>1</v>
      </c>
      <c r="G1980">
        <v>13000</v>
      </c>
      <c r="H1980">
        <v>2.7822400000000001E-2</v>
      </c>
      <c r="I1980">
        <v>12545</v>
      </c>
      <c r="J1980">
        <v>4828</v>
      </c>
      <c r="K1980">
        <v>7717</v>
      </c>
      <c r="L1980">
        <v>500</v>
      </c>
      <c r="M1980">
        <v>499</v>
      </c>
      <c r="N1980">
        <v>1</v>
      </c>
      <c r="O1980">
        <v>455</v>
      </c>
      <c r="P1980" s="3" t="s">
        <v>51</v>
      </c>
      <c r="Q1980">
        <v>50</v>
      </c>
      <c r="R1980">
        <v>0.999</v>
      </c>
      <c r="S1980">
        <v>1</v>
      </c>
    </row>
    <row r="1981" spans="1:19" x14ac:dyDescent="0.2">
      <c r="A1981" s="3" t="s">
        <v>54</v>
      </c>
      <c r="B1981" s="3" t="s">
        <v>55</v>
      </c>
      <c r="C1981">
        <v>29</v>
      </c>
      <c r="D1981">
        <v>17000</v>
      </c>
      <c r="E1981">
        <v>499</v>
      </c>
      <c r="F1981">
        <v>1</v>
      </c>
      <c r="G1981">
        <v>17000</v>
      </c>
      <c r="H1981">
        <v>2.7821006999999998E-2</v>
      </c>
      <c r="I1981">
        <v>14787</v>
      </c>
      <c r="J1981">
        <v>4717</v>
      </c>
      <c r="K1981">
        <v>10070</v>
      </c>
      <c r="L1981">
        <v>500</v>
      </c>
      <c r="M1981">
        <v>499</v>
      </c>
      <c r="N1981">
        <v>1</v>
      </c>
      <c r="O1981">
        <v>2213</v>
      </c>
      <c r="P1981" s="3" t="s">
        <v>52</v>
      </c>
      <c r="Q1981">
        <v>50</v>
      </c>
      <c r="R1981">
        <v>0.999</v>
      </c>
      <c r="S1981">
        <v>1</v>
      </c>
    </row>
    <row r="1982" spans="1:19" x14ac:dyDescent="0.2">
      <c r="A1982" s="3" t="s">
        <v>54</v>
      </c>
      <c r="B1982" s="3" t="s">
        <v>55</v>
      </c>
      <c r="C1982">
        <v>6</v>
      </c>
      <c r="D1982">
        <v>17000</v>
      </c>
      <c r="E1982">
        <v>499</v>
      </c>
      <c r="F1982">
        <v>1</v>
      </c>
      <c r="G1982">
        <v>17000</v>
      </c>
      <c r="H1982">
        <v>2.7812462999999999E-2</v>
      </c>
      <c r="I1982">
        <v>14753</v>
      </c>
      <c r="J1982">
        <v>4696</v>
      </c>
      <c r="K1982">
        <v>10057</v>
      </c>
      <c r="L1982">
        <v>500</v>
      </c>
      <c r="M1982">
        <v>499</v>
      </c>
      <c r="N1982">
        <v>1</v>
      </c>
      <c r="O1982">
        <v>2247</v>
      </c>
      <c r="P1982" s="3" t="s">
        <v>52</v>
      </c>
      <c r="Q1982">
        <v>50</v>
      </c>
      <c r="R1982">
        <v>0.999</v>
      </c>
      <c r="S1982">
        <v>1</v>
      </c>
    </row>
    <row r="1983" spans="1:19" x14ac:dyDescent="0.2">
      <c r="A1983" s="3" t="s">
        <v>54</v>
      </c>
      <c r="B1983" s="3" t="s">
        <v>55</v>
      </c>
      <c r="C1983">
        <v>9</v>
      </c>
      <c r="D1983">
        <v>17000</v>
      </c>
      <c r="E1983">
        <v>499</v>
      </c>
      <c r="F1983">
        <v>1</v>
      </c>
      <c r="G1983">
        <v>17000</v>
      </c>
      <c r="H1983">
        <v>2.7809905999999999E-2</v>
      </c>
      <c r="I1983">
        <v>14775</v>
      </c>
      <c r="J1983">
        <v>4707</v>
      </c>
      <c r="K1983">
        <v>10068</v>
      </c>
      <c r="L1983">
        <v>500</v>
      </c>
      <c r="M1983">
        <v>499</v>
      </c>
      <c r="N1983">
        <v>1</v>
      </c>
      <c r="O1983">
        <v>2225</v>
      </c>
      <c r="P1983" s="3" t="s">
        <v>52</v>
      </c>
      <c r="Q1983">
        <v>50</v>
      </c>
      <c r="R1983">
        <v>0.999</v>
      </c>
      <c r="S1983">
        <v>1</v>
      </c>
    </row>
    <row r="1984" spans="1:19" x14ac:dyDescent="0.2">
      <c r="A1984" s="3" t="s">
        <v>54</v>
      </c>
      <c r="B1984" s="3" t="s">
        <v>55</v>
      </c>
      <c r="C1984">
        <v>3</v>
      </c>
      <c r="D1984">
        <v>17000</v>
      </c>
      <c r="E1984">
        <v>499</v>
      </c>
      <c r="F1984">
        <v>1</v>
      </c>
      <c r="G1984">
        <v>17000</v>
      </c>
      <c r="H1984">
        <v>2.7797522000000002E-2</v>
      </c>
      <c r="I1984">
        <v>14774</v>
      </c>
      <c r="J1984">
        <v>4687</v>
      </c>
      <c r="K1984">
        <v>10087</v>
      </c>
      <c r="L1984">
        <v>500</v>
      </c>
      <c r="M1984">
        <v>499</v>
      </c>
      <c r="N1984">
        <v>1</v>
      </c>
      <c r="O1984">
        <v>2226</v>
      </c>
      <c r="P1984" s="3" t="s">
        <v>52</v>
      </c>
      <c r="Q1984">
        <v>50</v>
      </c>
      <c r="R1984">
        <v>0.999</v>
      </c>
      <c r="S1984">
        <v>1</v>
      </c>
    </row>
    <row r="1985" spans="1:19" x14ac:dyDescent="0.2">
      <c r="A1985" s="3" t="s">
        <v>54</v>
      </c>
      <c r="B1985" s="3" t="s">
        <v>55</v>
      </c>
      <c r="C1985">
        <v>1</v>
      </c>
      <c r="D1985">
        <v>13000</v>
      </c>
      <c r="E1985">
        <v>499</v>
      </c>
      <c r="F1985">
        <v>1</v>
      </c>
      <c r="G1985">
        <v>13000</v>
      </c>
      <c r="H1985">
        <v>2.7780590000000001E-2</v>
      </c>
      <c r="I1985">
        <v>12543</v>
      </c>
      <c r="J1985">
        <v>4822</v>
      </c>
      <c r="K1985">
        <v>7721</v>
      </c>
      <c r="L1985">
        <v>500</v>
      </c>
      <c r="M1985">
        <v>499</v>
      </c>
      <c r="N1985">
        <v>1</v>
      </c>
      <c r="O1985">
        <v>457</v>
      </c>
      <c r="P1985" s="3" t="s">
        <v>51</v>
      </c>
      <c r="Q1985">
        <v>50</v>
      </c>
      <c r="R1985">
        <v>0.999</v>
      </c>
      <c r="S1985">
        <v>1</v>
      </c>
    </row>
    <row r="1986" spans="1:19" x14ac:dyDescent="0.2">
      <c r="A1986" s="3" t="s">
        <v>54</v>
      </c>
      <c r="B1986" s="3" t="s">
        <v>55</v>
      </c>
      <c r="C1986">
        <v>16</v>
      </c>
      <c r="D1986">
        <v>17000</v>
      </c>
      <c r="E1986">
        <v>499</v>
      </c>
      <c r="F1986">
        <v>1</v>
      </c>
      <c r="G1986">
        <v>17000</v>
      </c>
      <c r="H1986">
        <v>2.7767996999999999E-2</v>
      </c>
      <c r="I1986">
        <v>14744</v>
      </c>
      <c r="J1986">
        <v>4690</v>
      </c>
      <c r="K1986">
        <v>10054</v>
      </c>
      <c r="L1986">
        <v>500</v>
      </c>
      <c r="M1986">
        <v>499</v>
      </c>
      <c r="N1986">
        <v>1</v>
      </c>
      <c r="O1986">
        <v>2256</v>
      </c>
      <c r="P1986" s="3" t="s">
        <v>52</v>
      </c>
      <c r="Q1986">
        <v>50</v>
      </c>
      <c r="R1986">
        <v>0.999</v>
      </c>
      <c r="S1986">
        <v>1</v>
      </c>
    </row>
    <row r="1987" spans="1:19" x14ac:dyDescent="0.2">
      <c r="A1987" s="3" t="s">
        <v>54</v>
      </c>
      <c r="B1987" s="3" t="s">
        <v>55</v>
      </c>
      <c r="C1987">
        <v>13</v>
      </c>
      <c r="D1987">
        <v>13000</v>
      </c>
      <c r="E1987">
        <v>499</v>
      </c>
      <c r="F1987">
        <v>1</v>
      </c>
      <c r="G1987">
        <v>13000</v>
      </c>
      <c r="H1987">
        <v>2.7764542E-2</v>
      </c>
      <c r="I1987">
        <v>12554</v>
      </c>
      <c r="J1987">
        <v>4842</v>
      </c>
      <c r="K1987">
        <v>7712</v>
      </c>
      <c r="L1987">
        <v>500</v>
      </c>
      <c r="M1987">
        <v>499</v>
      </c>
      <c r="N1987">
        <v>1</v>
      </c>
      <c r="O1987">
        <v>446</v>
      </c>
      <c r="P1987" s="3" t="s">
        <v>51</v>
      </c>
      <c r="Q1987">
        <v>50</v>
      </c>
      <c r="R1987">
        <v>0.999</v>
      </c>
      <c r="S1987">
        <v>1</v>
      </c>
    </row>
    <row r="1988" spans="1:19" x14ac:dyDescent="0.2">
      <c r="A1988" s="3" t="s">
        <v>54</v>
      </c>
      <c r="B1988" s="3" t="s">
        <v>55</v>
      </c>
      <c r="C1988">
        <v>46</v>
      </c>
      <c r="D1988">
        <v>15000</v>
      </c>
      <c r="E1988">
        <v>499</v>
      </c>
      <c r="F1988">
        <v>1</v>
      </c>
      <c r="G1988">
        <v>15000</v>
      </c>
      <c r="H1988">
        <v>2.7759682000000001E-2</v>
      </c>
      <c r="I1988">
        <v>13803</v>
      </c>
      <c r="J1988">
        <v>4342</v>
      </c>
      <c r="K1988">
        <v>9461</v>
      </c>
      <c r="L1988">
        <v>500</v>
      </c>
      <c r="M1988">
        <v>499</v>
      </c>
      <c r="N1988">
        <v>1</v>
      </c>
      <c r="O1988">
        <v>1197</v>
      </c>
      <c r="P1988" s="3" t="s">
        <v>50</v>
      </c>
      <c r="Q1988">
        <v>50</v>
      </c>
      <c r="R1988">
        <v>0.999</v>
      </c>
      <c r="S1988">
        <v>1</v>
      </c>
    </row>
    <row r="1989" spans="1:19" x14ac:dyDescent="0.2">
      <c r="A1989" s="3" t="s">
        <v>54</v>
      </c>
      <c r="B1989" s="3" t="s">
        <v>55</v>
      </c>
      <c r="C1989">
        <v>10</v>
      </c>
      <c r="D1989">
        <v>17000</v>
      </c>
      <c r="E1989">
        <v>499</v>
      </c>
      <c r="F1989">
        <v>1</v>
      </c>
      <c r="G1989">
        <v>17000</v>
      </c>
      <c r="H1989">
        <v>2.7759644999999999E-2</v>
      </c>
      <c r="I1989">
        <v>14803</v>
      </c>
      <c r="J1989">
        <v>4753</v>
      </c>
      <c r="K1989">
        <v>10050</v>
      </c>
      <c r="L1989">
        <v>500</v>
      </c>
      <c r="M1989">
        <v>499</v>
      </c>
      <c r="N1989">
        <v>1</v>
      </c>
      <c r="O1989">
        <v>2197</v>
      </c>
      <c r="P1989" s="3" t="s">
        <v>52</v>
      </c>
      <c r="Q1989">
        <v>50</v>
      </c>
      <c r="R1989">
        <v>0.999</v>
      </c>
      <c r="S1989">
        <v>1</v>
      </c>
    </row>
    <row r="1990" spans="1:19" x14ac:dyDescent="0.2">
      <c r="A1990" s="3" t="s">
        <v>54</v>
      </c>
      <c r="B1990" s="3" t="s">
        <v>55</v>
      </c>
      <c r="C1990">
        <v>27</v>
      </c>
      <c r="D1990">
        <v>17000</v>
      </c>
      <c r="E1990">
        <v>499</v>
      </c>
      <c r="F1990">
        <v>1</v>
      </c>
      <c r="G1990">
        <v>17000</v>
      </c>
      <c r="H1990">
        <v>2.7727040000000001E-2</v>
      </c>
      <c r="I1990">
        <v>14746</v>
      </c>
      <c r="J1990">
        <v>4692</v>
      </c>
      <c r="K1990">
        <v>10054</v>
      </c>
      <c r="L1990">
        <v>500</v>
      </c>
      <c r="M1990">
        <v>499</v>
      </c>
      <c r="N1990">
        <v>1</v>
      </c>
      <c r="O1990">
        <v>2254</v>
      </c>
      <c r="P1990" s="3" t="s">
        <v>52</v>
      </c>
      <c r="Q1990">
        <v>50</v>
      </c>
      <c r="R1990">
        <v>0.999</v>
      </c>
      <c r="S1990">
        <v>1</v>
      </c>
    </row>
    <row r="1991" spans="1:19" x14ac:dyDescent="0.2">
      <c r="A1991" s="3" t="s">
        <v>54</v>
      </c>
      <c r="B1991" s="3" t="s">
        <v>55</v>
      </c>
      <c r="C1991">
        <v>6</v>
      </c>
      <c r="D1991">
        <v>13000</v>
      </c>
      <c r="E1991">
        <v>499</v>
      </c>
      <c r="F1991">
        <v>1</v>
      </c>
      <c r="G1991">
        <v>13000</v>
      </c>
      <c r="H1991">
        <v>2.7721018E-2</v>
      </c>
      <c r="I1991">
        <v>12546</v>
      </c>
      <c r="J1991">
        <v>4823</v>
      </c>
      <c r="K1991">
        <v>7723</v>
      </c>
      <c r="L1991">
        <v>500</v>
      </c>
      <c r="M1991">
        <v>499</v>
      </c>
      <c r="N1991">
        <v>1</v>
      </c>
      <c r="O1991">
        <v>454</v>
      </c>
      <c r="P1991" s="3" t="s">
        <v>51</v>
      </c>
      <c r="Q1991">
        <v>50</v>
      </c>
      <c r="R1991">
        <v>0.999</v>
      </c>
      <c r="S1991">
        <v>1</v>
      </c>
    </row>
    <row r="1992" spans="1:19" x14ac:dyDescent="0.2">
      <c r="A1992" s="3" t="s">
        <v>54</v>
      </c>
      <c r="B1992" s="3" t="s">
        <v>55</v>
      </c>
      <c r="C1992">
        <v>20</v>
      </c>
      <c r="D1992">
        <v>17000</v>
      </c>
      <c r="E1992">
        <v>499</v>
      </c>
      <c r="F1992">
        <v>1</v>
      </c>
      <c r="G1992">
        <v>17000</v>
      </c>
      <c r="H1992">
        <v>2.7713106000000001E-2</v>
      </c>
      <c r="I1992">
        <v>14776</v>
      </c>
      <c r="J1992">
        <v>4687</v>
      </c>
      <c r="K1992">
        <v>10089</v>
      </c>
      <c r="L1992">
        <v>500</v>
      </c>
      <c r="M1992">
        <v>499</v>
      </c>
      <c r="N1992">
        <v>1</v>
      </c>
      <c r="O1992">
        <v>2224</v>
      </c>
      <c r="P1992" s="3" t="s">
        <v>52</v>
      </c>
      <c r="Q1992">
        <v>50</v>
      </c>
      <c r="R1992">
        <v>0.999</v>
      </c>
      <c r="S1992">
        <v>1</v>
      </c>
    </row>
    <row r="1993" spans="1:19" x14ac:dyDescent="0.2">
      <c r="A1993" s="3" t="s">
        <v>54</v>
      </c>
      <c r="B1993" s="3" t="s">
        <v>55</v>
      </c>
      <c r="C1993">
        <v>20</v>
      </c>
      <c r="D1993">
        <v>13000</v>
      </c>
      <c r="E1993">
        <v>499</v>
      </c>
      <c r="F1993">
        <v>1</v>
      </c>
      <c r="G1993">
        <v>13000</v>
      </c>
      <c r="H1993">
        <v>2.7691996E-2</v>
      </c>
      <c r="I1993">
        <v>12541</v>
      </c>
      <c r="J1993">
        <v>4820</v>
      </c>
      <c r="K1993">
        <v>7721</v>
      </c>
      <c r="L1993">
        <v>500</v>
      </c>
      <c r="M1993">
        <v>499</v>
      </c>
      <c r="N1993">
        <v>1</v>
      </c>
      <c r="O1993">
        <v>459</v>
      </c>
      <c r="P1993" s="3" t="s">
        <v>51</v>
      </c>
      <c r="Q1993">
        <v>50</v>
      </c>
      <c r="R1993">
        <v>0.999</v>
      </c>
      <c r="S1993">
        <v>1</v>
      </c>
    </row>
    <row r="1994" spans="1:19" x14ac:dyDescent="0.2">
      <c r="A1994" s="3" t="s">
        <v>54</v>
      </c>
      <c r="B1994" s="3" t="s">
        <v>55</v>
      </c>
      <c r="C1994">
        <v>18</v>
      </c>
      <c r="D1994">
        <v>17000</v>
      </c>
      <c r="E1994">
        <v>499</v>
      </c>
      <c r="F1994">
        <v>1</v>
      </c>
      <c r="G1994">
        <v>17000</v>
      </c>
      <c r="H1994">
        <v>2.7687219999999998E-2</v>
      </c>
      <c r="I1994">
        <v>14777</v>
      </c>
      <c r="J1994">
        <v>4731</v>
      </c>
      <c r="K1994">
        <v>10046</v>
      </c>
      <c r="L1994">
        <v>500</v>
      </c>
      <c r="M1994">
        <v>499</v>
      </c>
      <c r="N1994">
        <v>1</v>
      </c>
      <c r="O1994">
        <v>2223</v>
      </c>
      <c r="P1994" s="3" t="s">
        <v>52</v>
      </c>
      <c r="Q1994">
        <v>50</v>
      </c>
      <c r="R1994">
        <v>0.999</v>
      </c>
      <c r="S1994">
        <v>1</v>
      </c>
    </row>
    <row r="1995" spans="1:19" x14ac:dyDescent="0.2">
      <c r="A1995" s="3" t="s">
        <v>54</v>
      </c>
      <c r="B1995" s="3" t="s">
        <v>55</v>
      </c>
      <c r="C1995">
        <v>46</v>
      </c>
      <c r="D1995">
        <v>17000</v>
      </c>
      <c r="E1995">
        <v>499</v>
      </c>
      <c r="F1995">
        <v>1</v>
      </c>
      <c r="G1995">
        <v>17000</v>
      </c>
      <c r="H1995">
        <v>2.7624603000000001E-2</v>
      </c>
      <c r="I1995">
        <v>14781</v>
      </c>
      <c r="J1995">
        <v>4680</v>
      </c>
      <c r="K1995">
        <v>10101</v>
      </c>
      <c r="L1995">
        <v>500</v>
      </c>
      <c r="M1995">
        <v>499</v>
      </c>
      <c r="N1995">
        <v>1</v>
      </c>
      <c r="O1995">
        <v>2219</v>
      </c>
      <c r="P1995" s="3" t="s">
        <v>52</v>
      </c>
      <c r="Q1995">
        <v>50</v>
      </c>
      <c r="R1995">
        <v>0.999</v>
      </c>
      <c r="S1995">
        <v>1</v>
      </c>
    </row>
    <row r="1996" spans="1:19" x14ac:dyDescent="0.2">
      <c r="A1996" s="3" t="s">
        <v>54</v>
      </c>
      <c r="B1996" s="3" t="s">
        <v>55</v>
      </c>
      <c r="C1996">
        <v>2</v>
      </c>
      <c r="D1996">
        <v>12000</v>
      </c>
      <c r="E1996">
        <v>499</v>
      </c>
      <c r="F1996">
        <v>1</v>
      </c>
      <c r="G1996">
        <v>50533.323552418398</v>
      </c>
      <c r="H1996">
        <v>2.7611980000000001E-2</v>
      </c>
      <c r="I1996">
        <v>11904</v>
      </c>
      <c r="J1996">
        <v>4073</v>
      </c>
      <c r="K1996">
        <v>7831</v>
      </c>
      <c r="L1996">
        <v>500</v>
      </c>
      <c r="M1996">
        <v>499</v>
      </c>
      <c r="N1996">
        <v>1</v>
      </c>
      <c r="O1996">
        <v>334.6888681392</v>
      </c>
      <c r="P1996" s="3" t="s">
        <v>51</v>
      </c>
      <c r="Q1996">
        <v>50</v>
      </c>
      <c r="R1996">
        <v>0.999</v>
      </c>
      <c r="S1996">
        <v>0</v>
      </c>
    </row>
    <row r="1997" spans="1:19" x14ac:dyDescent="0.2">
      <c r="A1997" s="3" t="s">
        <v>54</v>
      </c>
      <c r="B1997" s="3" t="s">
        <v>55</v>
      </c>
      <c r="C1997">
        <v>23</v>
      </c>
      <c r="D1997">
        <v>17000</v>
      </c>
      <c r="E1997">
        <v>499</v>
      </c>
      <c r="F1997">
        <v>1</v>
      </c>
      <c r="G1997">
        <v>17000</v>
      </c>
      <c r="H1997">
        <v>2.7607258999999999E-2</v>
      </c>
      <c r="I1997">
        <v>14764</v>
      </c>
      <c r="J1997">
        <v>4699</v>
      </c>
      <c r="K1997">
        <v>10065</v>
      </c>
      <c r="L1997">
        <v>500</v>
      </c>
      <c r="M1997">
        <v>499</v>
      </c>
      <c r="N1997">
        <v>1</v>
      </c>
      <c r="O1997">
        <v>2236</v>
      </c>
      <c r="P1997" s="3" t="s">
        <v>52</v>
      </c>
      <c r="Q1997">
        <v>50</v>
      </c>
      <c r="R1997">
        <v>0.999</v>
      </c>
      <c r="S1997">
        <v>1</v>
      </c>
    </row>
    <row r="1998" spans="1:19" x14ac:dyDescent="0.2">
      <c r="A1998" s="3" t="s">
        <v>54</v>
      </c>
      <c r="B1998" s="3" t="s">
        <v>55</v>
      </c>
      <c r="C1998">
        <v>19</v>
      </c>
      <c r="D1998">
        <v>13000</v>
      </c>
      <c r="E1998">
        <v>499</v>
      </c>
      <c r="F1998">
        <v>1</v>
      </c>
      <c r="G1998">
        <v>13000</v>
      </c>
      <c r="H1998">
        <v>2.7591694E-2</v>
      </c>
      <c r="I1998">
        <v>12708</v>
      </c>
      <c r="J1998">
        <v>3809</v>
      </c>
      <c r="K1998">
        <v>8899</v>
      </c>
      <c r="L1998">
        <v>500</v>
      </c>
      <c r="M1998">
        <v>499</v>
      </c>
      <c r="N1998">
        <v>1</v>
      </c>
      <c r="O1998">
        <v>292</v>
      </c>
      <c r="P1998" s="3" t="s">
        <v>50</v>
      </c>
      <c r="Q1998">
        <v>50</v>
      </c>
      <c r="R1998">
        <v>0.999</v>
      </c>
      <c r="S1998">
        <v>1</v>
      </c>
    </row>
    <row r="1999" spans="1:19" x14ac:dyDescent="0.2">
      <c r="A1999" s="3" t="s">
        <v>54</v>
      </c>
      <c r="B1999" s="3" t="s">
        <v>55</v>
      </c>
      <c r="C1999">
        <v>8</v>
      </c>
      <c r="D1999">
        <v>13000</v>
      </c>
      <c r="E1999">
        <v>499</v>
      </c>
      <c r="F1999">
        <v>1</v>
      </c>
      <c r="G1999">
        <v>13000</v>
      </c>
      <c r="H1999">
        <v>2.7568815E-2</v>
      </c>
      <c r="I1999">
        <v>12554</v>
      </c>
      <c r="J1999">
        <v>4832</v>
      </c>
      <c r="K1999">
        <v>7722</v>
      </c>
      <c r="L1999">
        <v>500</v>
      </c>
      <c r="M1999">
        <v>499</v>
      </c>
      <c r="N1999">
        <v>1</v>
      </c>
      <c r="O1999">
        <v>446</v>
      </c>
      <c r="P1999" s="3" t="s">
        <v>51</v>
      </c>
      <c r="Q1999">
        <v>50</v>
      </c>
      <c r="R1999">
        <v>0.999</v>
      </c>
      <c r="S1999">
        <v>1</v>
      </c>
    </row>
    <row r="2000" spans="1:19" x14ac:dyDescent="0.2">
      <c r="A2000" s="3" t="s">
        <v>54</v>
      </c>
      <c r="B2000" s="3" t="s">
        <v>55</v>
      </c>
      <c r="C2000">
        <v>48</v>
      </c>
      <c r="D2000">
        <v>17000</v>
      </c>
      <c r="E2000">
        <v>499</v>
      </c>
      <c r="F2000">
        <v>1</v>
      </c>
      <c r="G2000">
        <v>17000</v>
      </c>
      <c r="H2000">
        <v>2.7568549000000001E-2</v>
      </c>
      <c r="I2000">
        <v>14790</v>
      </c>
      <c r="J2000">
        <v>4711</v>
      </c>
      <c r="K2000">
        <v>10079</v>
      </c>
      <c r="L2000">
        <v>500</v>
      </c>
      <c r="M2000">
        <v>499</v>
      </c>
      <c r="N2000">
        <v>1</v>
      </c>
      <c r="O2000">
        <v>2210</v>
      </c>
      <c r="P2000" s="3" t="s">
        <v>52</v>
      </c>
      <c r="Q2000">
        <v>50</v>
      </c>
      <c r="R2000">
        <v>0.999</v>
      </c>
      <c r="S2000">
        <v>1</v>
      </c>
    </row>
    <row r="2001" spans="1:19" x14ac:dyDescent="0.2">
      <c r="A2001" s="3" t="s">
        <v>54</v>
      </c>
      <c r="B2001" s="3" t="s">
        <v>55</v>
      </c>
      <c r="C2001">
        <v>43</v>
      </c>
      <c r="D2001">
        <v>13000</v>
      </c>
      <c r="E2001">
        <v>499</v>
      </c>
      <c r="F2001">
        <v>1</v>
      </c>
      <c r="G2001">
        <v>13000</v>
      </c>
      <c r="H2001">
        <v>2.7533358000000001E-2</v>
      </c>
      <c r="I2001">
        <v>12564</v>
      </c>
      <c r="J2001">
        <v>4832</v>
      </c>
      <c r="K2001">
        <v>7732</v>
      </c>
      <c r="L2001">
        <v>500</v>
      </c>
      <c r="M2001">
        <v>499</v>
      </c>
      <c r="N2001">
        <v>1</v>
      </c>
      <c r="O2001">
        <v>436</v>
      </c>
      <c r="P2001" s="3" t="s">
        <v>51</v>
      </c>
      <c r="Q2001">
        <v>50</v>
      </c>
      <c r="R2001">
        <v>0.999</v>
      </c>
      <c r="S2001">
        <v>1</v>
      </c>
    </row>
    <row r="2002" spans="1:19" x14ac:dyDescent="0.2">
      <c r="A2002" s="3" t="s">
        <v>54</v>
      </c>
      <c r="B2002" s="3" t="s">
        <v>55</v>
      </c>
      <c r="C2002">
        <v>35</v>
      </c>
      <c r="D2002">
        <v>10000</v>
      </c>
      <c r="E2002">
        <v>499</v>
      </c>
      <c r="F2002">
        <v>1</v>
      </c>
      <c r="G2002">
        <v>10000</v>
      </c>
      <c r="H2002">
        <v>2.7527527E-2</v>
      </c>
      <c r="I2002">
        <v>10000</v>
      </c>
      <c r="J2002">
        <v>4183</v>
      </c>
      <c r="K2002">
        <v>5817</v>
      </c>
      <c r="L2002">
        <v>500</v>
      </c>
      <c r="M2002">
        <v>499</v>
      </c>
      <c r="N2002">
        <v>1</v>
      </c>
      <c r="O2002">
        <v>0</v>
      </c>
      <c r="P2002" s="3" t="s">
        <v>51</v>
      </c>
      <c r="Q2002">
        <v>50</v>
      </c>
      <c r="R2002">
        <v>0.999</v>
      </c>
      <c r="S2002">
        <v>1</v>
      </c>
    </row>
    <row r="2003" spans="1:19" x14ac:dyDescent="0.2">
      <c r="A2003" s="3" t="s">
        <v>54</v>
      </c>
      <c r="B2003" s="3" t="s">
        <v>55</v>
      </c>
      <c r="C2003">
        <v>30</v>
      </c>
      <c r="D2003">
        <v>13000</v>
      </c>
      <c r="E2003">
        <v>499</v>
      </c>
      <c r="F2003">
        <v>1</v>
      </c>
      <c r="G2003">
        <v>13000</v>
      </c>
      <c r="H2003">
        <v>2.7493071000000001E-2</v>
      </c>
      <c r="I2003">
        <v>12566</v>
      </c>
      <c r="J2003">
        <v>4835</v>
      </c>
      <c r="K2003">
        <v>7731</v>
      </c>
      <c r="L2003">
        <v>500</v>
      </c>
      <c r="M2003">
        <v>499</v>
      </c>
      <c r="N2003">
        <v>1</v>
      </c>
      <c r="O2003">
        <v>434</v>
      </c>
      <c r="P2003" s="3" t="s">
        <v>51</v>
      </c>
      <c r="Q2003">
        <v>50</v>
      </c>
      <c r="R2003">
        <v>0.999</v>
      </c>
      <c r="S2003">
        <v>1</v>
      </c>
    </row>
    <row r="2004" spans="1:19" x14ac:dyDescent="0.2">
      <c r="A2004" s="3" t="s">
        <v>54</v>
      </c>
      <c r="B2004" s="3" t="s">
        <v>55</v>
      </c>
      <c r="C2004">
        <v>32</v>
      </c>
      <c r="D2004">
        <v>15000</v>
      </c>
      <c r="E2004">
        <v>499</v>
      </c>
      <c r="F2004">
        <v>1</v>
      </c>
      <c r="G2004">
        <v>15000</v>
      </c>
      <c r="H2004">
        <v>2.7409454E-2</v>
      </c>
      <c r="I2004">
        <v>13782</v>
      </c>
      <c r="J2004">
        <v>4376</v>
      </c>
      <c r="K2004">
        <v>9406</v>
      </c>
      <c r="L2004">
        <v>500</v>
      </c>
      <c r="M2004">
        <v>499</v>
      </c>
      <c r="N2004">
        <v>1</v>
      </c>
      <c r="O2004">
        <v>1218</v>
      </c>
      <c r="P2004" s="3" t="s">
        <v>50</v>
      </c>
      <c r="Q2004">
        <v>50</v>
      </c>
      <c r="R2004">
        <v>0.999</v>
      </c>
      <c r="S2004">
        <v>1</v>
      </c>
    </row>
    <row r="2005" spans="1:19" x14ac:dyDescent="0.2">
      <c r="A2005" s="3" t="s">
        <v>54</v>
      </c>
      <c r="B2005" s="3" t="s">
        <v>55</v>
      </c>
      <c r="C2005">
        <v>36</v>
      </c>
      <c r="D2005">
        <v>13000</v>
      </c>
      <c r="E2005">
        <v>499</v>
      </c>
      <c r="F2005">
        <v>1</v>
      </c>
      <c r="G2005">
        <v>13000</v>
      </c>
      <c r="H2005">
        <v>2.7383006000000001E-2</v>
      </c>
      <c r="I2005">
        <v>12554</v>
      </c>
      <c r="J2005">
        <v>4836</v>
      </c>
      <c r="K2005">
        <v>7718</v>
      </c>
      <c r="L2005">
        <v>500</v>
      </c>
      <c r="M2005">
        <v>499</v>
      </c>
      <c r="N2005">
        <v>1</v>
      </c>
      <c r="O2005">
        <v>446</v>
      </c>
      <c r="P2005" s="3" t="s">
        <v>51</v>
      </c>
      <c r="Q2005">
        <v>50</v>
      </c>
      <c r="R2005">
        <v>0.999</v>
      </c>
      <c r="S2005">
        <v>1</v>
      </c>
    </row>
    <row r="2006" spans="1:19" x14ac:dyDescent="0.2">
      <c r="A2006" s="3" t="s">
        <v>54</v>
      </c>
      <c r="B2006" s="3" t="s">
        <v>55</v>
      </c>
      <c r="C2006">
        <v>50</v>
      </c>
      <c r="D2006">
        <v>12000</v>
      </c>
      <c r="E2006">
        <v>499</v>
      </c>
      <c r="F2006">
        <v>1</v>
      </c>
      <c r="G2006">
        <v>50533.323552418398</v>
      </c>
      <c r="H2006">
        <v>2.7377919000000001E-2</v>
      </c>
      <c r="I2006">
        <v>11895</v>
      </c>
      <c r="J2006">
        <v>4081</v>
      </c>
      <c r="K2006">
        <v>7814</v>
      </c>
      <c r="L2006">
        <v>500</v>
      </c>
      <c r="M2006">
        <v>499</v>
      </c>
      <c r="N2006">
        <v>1</v>
      </c>
      <c r="O2006">
        <v>382.72726861320001</v>
      </c>
      <c r="P2006" s="3" t="s">
        <v>51</v>
      </c>
      <c r="Q2006">
        <v>50</v>
      </c>
      <c r="R2006">
        <v>0.999</v>
      </c>
      <c r="S2006">
        <v>0</v>
      </c>
    </row>
    <row r="2007" spans="1:19" x14ac:dyDescent="0.2">
      <c r="A2007" s="3" t="s">
        <v>54</v>
      </c>
      <c r="B2007" s="3" t="s">
        <v>55</v>
      </c>
      <c r="C2007">
        <v>44</v>
      </c>
      <c r="D2007">
        <v>13000</v>
      </c>
      <c r="E2007">
        <v>499</v>
      </c>
      <c r="F2007">
        <v>1</v>
      </c>
      <c r="G2007">
        <v>13000</v>
      </c>
      <c r="H2007">
        <v>2.7338036999999999E-2</v>
      </c>
      <c r="I2007">
        <v>12546</v>
      </c>
      <c r="J2007">
        <v>4827</v>
      </c>
      <c r="K2007">
        <v>7719</v>
      </c>
      <c r="L2007">
        <v>500</v>
      </c>
      <c r="M2007">
        <v>499</v>
      </c>
      <c r="N2007">
        <v>1</v>
      </c>
      <c r="O2007">
        <v>454</v>
      </c>
      <c r="P2007" s="3" t="s">
        <v>51</v>
      </c>
      <c r="Q2007">
        <v>50</v>
      </c>
      <c r="R2007">
        <v>0.999</v>
      </c>
      <c r="S2007">
        <v>1</v>
      </c>
    </row>
    <row r="2008" spans="1:19" x14ac:dyDescent="0.2">
      <c r="A2008" s="3" t="s">
        <v>54</v>
      </c>
      <c r="B2008" s="3" t="s">
        <v>55</v>
      </c>
      <c r="C2008">
        <v>5</v>
      </c>
      <c r="D2008">
        <v>10000</v>
      </c>
      <c r="E2008">
        <v>499</v>
      </c>
      <c r="F2008">
        <v>1</v>
      </c>
      <c r="G2008">
        <v>39482.677260513999</v>
      </c>
      <c r="H2008">
        <v>2.7337824E-2</v>
      </c>
      <c r="I2008">
        <v>10000</v>
      </c>
      <c r="J2008">
        <v>3500</v>
      </c>
      <c r="K2008">
        <v>6500</v>
      </c>
      <c r="L2008">
        <v>500</v>
      </c>
      <c r="M2008">
        <v>499</v>
      </c>
      <c r="N2008">
        <v>1</v>
      </c>
      <c r="O2008">
        <v>0</v>
      </c>
      <c r="P2008" s="3" t="s">
        <v>51</v>
      </c>
      <c r="Q2008">
        <v>50</v>
      </c>
      <c r="R2008">
        <v>0.999</v>
      </c>
      <c r="S2008">
        <v>0</v>
      </c>
    </row>
    <row r="2009" spans="1:19" x14ac:dyDescent="0.2">
      <c r="A2009" s="3" t="s">
        <v>54</v>
      </c>
      <c r="B2009" s="3" t="s">
        <v>55</v>
      </c>
      <c r="C2009">
        <v>24</v>
      </c>
      <c r="D2009">
        <v>11000</v>
      </c>
      <c r="E2009">
        <v>499</v>
      </c>
      <c r="F2009">
        <v>1</v>
      </c>
      <c r="G2009">
        <v>11000</v>
      </c>
      <c r="H2009">
        <v>2.7337238999999999E-2</v>
      </c>
      <c r="I2009">
        <v>11000</v>
      </c>
      <c r="J2009">
        <v>4329</v>
      </c>
      <c r="K2009">
        <v>6671</v>
      </c>
      <c r="L2009">
        <v>500</v>
      </c>
      <c r="M2009">
        <v>499</v>
      </c>
      <c r="N2009">
        <v>1</v>
      </c>
      <c r="O2009">
        <v>0</v>
      </c>
      <c r="P2009" s="3" t="s">
        <v>51</v>
      </c>
      <c r="Q2009">
        <v>50</v>
      </c>
      <c r="R2009">
        <v>0.999</v>
      </c>
      <c r="S2009">
        <v>1</v>
      </c>
    </row>
    <row r="2010" spans="1:19" x14ac:dyDescent="0.2">
      <c r="A2010" s="3" t="s">
        <v>54</v>
      </c>
      <c r="B2010" s="3" t="s">
        <v>55</v>
      </c>
      <c r="C2010">
        <v>28</v>
      </c>
      <c r="D2010">
        <v>16000</v>
      </c>
      <c r="E2010">
        <v>499</v>
      </c>
      <c r="F2010">
        <v>1</v>
      </c>
      <c r="G2010">
        <v>16000</v>
      </c>
      <c r="H2010">
        <v>2.7283989000000002E-2</v>
      </c>
      <c r="I2010">
        <v>14332</v>
      </c>
      <c r="J2010">
        <v>4505</v>
      </c>
      <c r="K2010">
        <v>9827</v>
      </c>
      <c r="L2010">
        <v>500</v>
      </c>
      <c r="M2010">
        <v>499</v>
      </c>
      <c r="N2010">
        <v>1</v>
      </c>
      <c r="O2010">
        <v>1668</v>
      </c>
      <c r="P2010" s="3" t="s">
        <v>50</v>
      </c>
      <c r="Q2010">
        <v>50</v>
      </c>
      <c r="R2010">
        <v>0.999</v>
      </c>
      <c r="S2010">
        <v>1</v>
      </c>
    </row>
    <row r="2011" spans="1:19" x14ac:dyDescent="0.2">
      <c r="A2011" s="3" t="s">
        <v>54</v>
      </c>
      <c r="B2011" s="3" t="s">
        <v>55</v>
      </c>
      <c r="C2011">
        <v>15</v>
      </c>
      <c r="D2011">
        <v>17000</v>
      </c>
      <c r="E2011">
        <v>499</v>
      </c>
      <c r="F2011">
        <v>1</v>
      </c>
      <c r="G2011">
        <v>17000</v>
      </c>
      <c r="H2011">
        <v>2.7281825999999999E-2</v>
      </c>
      <c r="I2011">
        <v>14791</v>
      </c>
      <c r="J2011">
        <v>4714</v>
      </c>
      <c r="K2011">
        <v>10077</v>
      </c>
      <c r="L2011">
        <v>500</v>
      </c>
      <c r="M2011">
        <v>499</v>
      </c>
      <c r="N2011">
        <v>1</v>
      </c>
      <c r="O2011">
        <v>2209</v>
      </c>
      <c r="P2011" s="3" t="s">
        <v>52</v>
      </c>
      <c r="Q2011">
        <v>50</v>
      </c>
      <c r="R2011">
        <v>0.999</v>
      </c>
      <c r="S2011">
        <v>1</v>
      </c>
    </row>
    <row r="2012" spans="1:19" x14ac:dyDescent="0.2">
      <c r="A2012" s="3" t="s">
        <v>54</v>
      </c>
      <c r="B2012" s="3" t="s">
        <v>55</v>
      </c>
      <c r="C2012">
        <v>23</v>
      </c>
      <c r="D2012">
        <v>13000</v>
      </c>
      <c r="E2012">
        <v>499</v>
      </c>
      <c r="F2012">
        <v>1</v>
      </c>
      <c r="G2012">
        <v>13000</v>
      </c>
      <c r="H2012">
        <v>2.7269862999999998E-2</v>
      </c>
      <c r="I2012">
        <v>12551</v>
      </c>
      <c r="J2012">
        <v>4832</v>
      </c>
      <c r="K2012">
        <v>7719</v>
      </c>
      <c r="L2012">
        <v>500</v>
      </c>
      <c r="M2012">
        <v>499</v>
      </c>
      <c r="N2012">
        <v>1</v>
      </c>
      <c r="O2012">
        <v>449</v>
      </c>
      <c r="P2012" s="3" t="s">
        <v>51</v>
      </c>
      <c r="Q2012">
        <v>50</v>
      </c>
      <c r="R2012">
        <v>0.999</v>
      </c>
      <c r="S2012">
        <v>1</v>
      </c>
    </row>
    <row r="2013" spans="1:19" x14ac:dyDescent="0.2">
      <c r="A2013" s="3" t="s">
        <v>54</v>
      </c>
      <c r="B2013" s="3" t="s">
        <v>55</v>
      </c>
      <c r="C2013">
        <v>4</v>
      </c>
      <c r="D2013">
        <v>12000</v>
      </c>
      <c r="E2013">
        <v>499</v>
      </c>
      <c r="F2013">
        <v>1</v>
      </c>
      <c r="G2013">
        <v>50533.323552418398</v>
      </c>
      <c r="H2013">
        <v>2.7191918999999998E-2</v>
      </c>
      <c r="I2013">
        <v>11896</v>
      </c>
      <c r="J2013">
        <v>4089</v>
      </c>
      <c r="K2013">
        <v>7807</v>
      </c>
      <c r="L2013">
        <v>500</v>
      </c>
      <c r="M2013">
        <v>499</v>
      </c>
      <c r="N2013">
        <v>1</v>
      </c>
      <c r="O2013">
        <v>357.70301279879999</v>
      </c>
      <c r="P2013" s="3" t="s">
        <v>51</v>
      </c>
      <c r="Q2013">
        <v>50</v>
      </c>
      <c r="R2013">
        <v>0.999</v>
      </c>
      <c r="S2013">
        <v>0</v>
      </c>
    </row>
    <row r="2014" spans="1:19" x14ac:dyDescent="0.2">
      <c r="A2014" s="3" t="s">
        <v>54</v>
      </c>
      <c r="B2014" s="3" t="s">
        <v>55</v>
      </c>
      <c r="C2014">
        <v>7</v>
      </c>
      <c r="D2014">
        <v>12000</v>
      </c>
      <c r="E2014">
        <v>499</v>
      </c>
      <c r="F2014">
        <v>1</v>
      </c>
      <c r="G2014">
        <v>50533.323552418398</v>
      </c>
      <c r="H2014">
        <v>2.7188983999999999E-2</v>
      </c>
      <c r="I2014">
        <v>11881</v>
      </c>
      <c r="J2014">
        <v>4039</v>
      </c>
      <c r="K2014">
        <v>7842</v>
      </c>
      <c r="L2014">
        <v>500</v>
      </c>
      <c r="M2014">
        <v>499</v>
      </c>
      <c r="N2014">
        <v>1</v>
      </c>
      <c r="O2014">
        <v>428.8185971858</v>
      </c>
      <c r="P2014" s="3" t="s">
        <v>51</v>
      </c>
      <c r="Q2014">
        <v>50</v>
      </c>
      <c r="R2014">
        <v>0.999</v>
      </c>
      <c r="S2014">
        <v>0</v>
      </c>
    </row>
    <row r="2015" spans="1:19" x14ac:dyDescent="0.2">
      <c r="A2015" s="3" t="s">
        <v>54</v>
      </c>
      <c r="B2015" s="3" t="s">
        <v>55</v>
      </c>
      <c r="C2015">
        <v>41</v>
      </c>
      <c r="D2015">
        <v>13000</v>
      </c>
      <c r="E2015">
        <v>499</v>
      </c>
      <c r="F2015">
        <v>1</v>
      </c>
      <c r="G2015">
        <v>13000</v>
      </c>
      <c r="H2015">
        <v>2.7167334000000001E-2</v>
      </c>
      <c r="I2015">
        <v>12574</v>
      </c>
      <c r="J2015">
        <v>4824</v>
      </c>
      <c r="K2015">
        <v>7750</v>
      </c>
      <c r="L2015">
        <v>500</v>
      </c>
      <c r="M2015">
        <v>499</v>
      </c>
      <c r="N2015">
        <v>1</v>
      </c>
      <c r="O2015">
        <v>426</v>
      </c>
      <c r="P2015" s="3" t="s">
        <v>51</v>
      </c>
      <c r="Q2015">
        <v>50</v>
      </c>
      <c r="R2015">
        <v>0.999</v>
      </c>
      <c r="S2015">
        <v>1</v>
      </c>
    </row>
    <row r="2016" spans="1:19" x14ac:dyDescent="0.2">
      <c r="A2016" s="3" t="s">
        <v>54</v>
      </c>
      <c r="B2016" s="3" t="s">
        <v>55</v>
      </c>
      <c r="C2016">
        <v>5</v>
      </c>
      <c r="D2016">
        <v>13000</v>
      </c>
      <c r="E2016">
        <v>499</v>
      </c>
      <c r="F2016">
        <v>1</v>
      </c>
      <c r="G2016">
        <v>13000</v>
      </c>
      <c r="H2016">
        <v>2.7141373999999999E-2</v>
      </c>
      <c r="I2016">
        <v>12549</v>
      </c>
      <c r="J2016">
        <v>4835</v>
      </c>
      <c r="K2016">
        <v>7714</v>
      </c>
      <c r="L2016">
        <v>500</v>
      </c>
      <c r="M2016">
        <v>499</v>
      </c>
      <c r="N2016">
        <v>1</v>
      </c>
      <c r="O2016">
        <v>451</v>
      </c>
      <c r="P2016" s="3" t="s">
        <v>51</v>
      </c>
      <c r="Q2016">
        <v>50</v>
      </c>
      <c r="R2016">
        <v>0.999</v>
      </c>
      <c r="S2016">
        <v>1</v>
      </c>
    </row>
    <row r="2017" spans="1:19" x14ac:dyDescent="0.2">
      <c r="A2017" s="3" t="s">
        <v>54</v>
      </c>
      <c r="B2017" s="3" t="s">
        <v>55</v>
      </c>
      <c r="C2017">
        <v>21</v>
      </c>
      <c r="D2017">
        <v>13000</v>
      </c>
      <c r="E2017">
        <v>499</v>
      </c>
      <c r="F2017">
        <v>1</v>
      </c>
      <c r="G2017">
        <v>13000</v>
      </c>
      <c r="H2017">
        <v>2.7134196999999999E-2</v>
      </c>
      <c r="I2017">
        <v>12562</v>
      </c>
      <c r="J2017">
        <v>4840</v>
      </c>
      <c r="K2017">
        <v>7722</v>
      </c>
      <c r="L2017">
        <v>500</v>
      </c>
      <c r="M2017">
        <v>499</v>
      </c>
      <c r="N2017">
        <v>1</v>
      </c>
      <c r="O2017">
        <v>438</v>
      </c>
      <c r="P2017" s="3" t="s">
        <v>51</v>
      </c>
      <c r="Q2017">
        <v>50</v>
      </c>
      <c r="R2017">
        <v>0.999</v>
      </c>
      <c r="S2017">
        <v>1</v>
      </c>
    </row>
    <row r="2018" spans="1:19" x14ac:dyDescent="0.2">
      <c r="A2018" s="3" t="s">
        <v>54</v>
      </c>
      <c r="B2018" s="3" t="s">
        <v>55</v>
      </c>
      <c r="C2018">
        <v>10</v>
      </c>
      <c r="D2018">
        <v>13000</v>
      </c>
      <c r="E2018">
        <v>499</v>
      </c>
      <c r="F2018">
        <v>1</v>
      </c>
      <c r="G2018">
        <v>13000</v>
      </c>
      <c r="H2018">
        <v>2.7125571000000001E-2</v>
      </c>
      <c r="I2018">
        <v>12561</v>
      </c>
      <c r="J2018">
        <v>4837</v>
      </c>
      <c r="K2018">
        <v>7724</v>
      </c>
      <c r="L2018">
        <v>500</v>
      </c>
      <c r="M2018">
        <v>499</v>
      </c>
      <c r="N2018">
        <v>1</v>
      </c>
      <c r="O2018">
        <v>439</v>
      </c>
      <c r="P2018" s="3" t="s">
        <v>51</v>
      </c>
      <c r="Q2018">
        <v>50</v>
      </c>
      <c r="R2018">
        <v>0.999</v>
      </c>
      <c r="S2018">
        <v>1</v>
      </c>
    </row>
    <row r="2019" spans="1:19" x14ac:dyDescent="0.2">
      <c r="A2019" s="3" t="s">
        <v>54</v>
      </c>
      <c r="B2019" s="3" t="s">
        <v>55</v>
      </c>
      <c r="C2019">
        <v>15</v>
      </c>
      <c r="D2019">
        <v>13000</v>
      </c>
      <c r="E2019">
        <v>499</v>
      </c>
      <c r="F2019">
        <v>1</v>
      </c>
      <c r="G2019">
        <v>13000</v>
      </c>
      <c r="H2019">
        <v>2.707422E-2</v>
      </c>
      <c r="I2019">
        <v>12563</v>
      </c>
      <c r="J2019">
        <v>4835</v>
      </c>
      <c r="K2019">
        <v>7728</v>
      </c>
      <c r="L2019">
        <v>500</v>
      </c>
      <c r="M2019">
        <v>499</v>
      </c>
      <c r="N2019">
        <v>1</v>
      </c>
      <c r="O2019">
        <v>437</v>
      </c>
      <c r="P2019" s="3" t="s">
        <v>51</v>
      </c>
      <c r="Q2019">
        <v>50</v>
      </c>
      <c r="R2019">
        <v>0.999</v>
      </c>
      <c r="S2019">
        <v>1</v>
      </c>
    </row>
    <row r="2020" spans="1:19" x14ac:dyDescent="0.2">
      <c r="A2020" s="3" t="s">
        <v>54</v>
      </c>
      <c r="B2020" s="3" t="s">
        <v>55</v>
      </c>
      <c r="C2020">
        <v>34</v>
      </c>
      <c r="D2020">
        <v>13000</v>
      </c>
      <c r="E2020">
        <v>499</v>
      </c>
      <c r="F2020">
        <v>1</v>
      </c>
      <c r="G2020">
        <v>13000</v>
      </c>
      <c r="H2020">
        <v>2.7071956000000001E-2</v>
      </c>
      <c r="I2020">
        <v>12581</v>
      </c>
      <c r="J2020">
        <v>4847</v>
      </c>
      <c r="K2020">
        <v>7734</v>
      </c>
      <c r="L2020">
        <v>500</v>
      </c>
      <c r="M2020">
        <v>499</v>
      </c>
      <c r="N2020">
        <v>1</v>
      </c>
      <c r="O2020">
        <v>419</v>
      </c>
      <c r="P2020" s="3" t="s">
        <v>51</v>
      </c>
      <c r="Q2020">
        <v>50</v>
      </c>
      <c r="R2020">
        <v>0.999</v>
      </c>
      <c r="S2020">
        <v>1</v>
      </c>
    </row>
    <row r="2021" spans="1:19" x14ac:dyDescent="0.2">
      <c r="A2021" s="3" t="s">
        <v>54</v>
      </c>
      <c r="B2021" s="3" t="s">
        <v>55</v>
      </c>
      <c r="C2021">
        <v>38</v>
      </c>
      <c r="D2021">
        <v>13000</v>
      </c>
      <c r="E2021">
        <v>499</v>
      </c>
      <c r="F2021">
        <v>1</v>
      </c>
      <c r="G2021">
        <v>13000</v>
      </c>
      <c r="H2021">
        <v>2.6990701999999998E-2</v>
      </c>
      <c r="I2021">
        <v>12556</v>
      </c>
      <c r="J2021">
        <v>4834</v>
      </c>
      <c r="K2021">
        <v>7722</v>
      </c>
      <c r="L2021">
        <v>500</v>
      </c>
      <c r="M2021">
        <v>499</v>
      </c>
      <c r="N2021">
        <v>1</v>
      </c>
      <c r="O2021">
        <v>444</v>
      </c>
      <c r="P2021" s="3" t="s">
        <v>51</v>
      </c>
      <c r="Q2021">
        <v>50</v>
      </c>
      <c r="R2021">
        <v>0.999</v>
      </c>
      <c r="S2021">
        <v>1</v>
      </c>
    </row>
    <row r="2022" spans="1:19" x14ac:dyDescent="0.2">
      <c r="A2022" s="3" t="s">
        <v>54</v>
      </c>
      <c r="B2022" s="3" t="s">
        <v>55</v>
      </c>
      <c r="C2022">
        <v>16</v>
      </c>
      <c r="D2022">
        <v>13000</v>
      </c>
      <c r="E2022">
        <v>499</v>
      </c>
      <c r="F2022">
        <v>1</v>
      </c>
      <c r="G2022">
        <v>13000</v>
      </c>
      <c r="H2022">
        <v>2.6986409999999999E-2</v>
      </c>
      <c r="I2022">
        <v>12565</v>
      </c>
      <c r="J2022">
        <v>4827</v>
      </c>
      <c r="K2022">
        <v>7738</v>
      </c>
      <c r="L2022">
        <v>500</v>
      </c>
      <c r="M2022">
        <v>499</v>
      </c>
      <c r="N2022">
        <v>1</v>
      </c>
      <c r="O2022">
        <v>435</v>
      </c>
      <c r="P2022" s="3" t="s">
        <v>51</v>
      </c>
      <c r="Q2022">
        <v>50</v>
      </c>
      <c r="R2022">
        <v>0.999</v>
      </c>
      <c r="S2022">
        <v>1</v>
      </c>
    </row>
    <row r="2023" spans="1:19" x14ac:dyDescent="0.2">
      <c r="A2023" s="3" t="s">
        <v>54</v>
      </c>
      <c r="B2023" s="3" t="s">
        <v>55</v>
      </c>
      <c r="C2023">
        <v>27</v>
      </c>
      <c r="D2023">
        <v>13000</v>
      </c>
      <c r="E2023">
        <v>499</v>
      </c>
      <c r="F2023">
        <v>1</v>
      </c>
      <c r="G2023">
        <v>13000</v>
      </c>
      <c r="H2023">
        <v>2.6962763000000001E-2</v>
      </c>
      <c r="I2023">
        <v>12572</v>
      </c>
      <c r="J2023">
        <v>4830</v>
      </c>
      <c r="K2023">
        <v>7742</v>
      </c>
      <c r="L2023">
        <v>500</v>
      </c>
      <c r="M2023">
        <v>499</v>
      </c>
      <c r="N2023">
        <v>1</v>
      </c>
      <c r="O2023">
        <v>428</v>
      </c>
      <c r="P2023" s="3" t="s">
        <v>51</v>
      </c>
      <c r="Q2023">
        <v>50</v>
      </c>
      <c r="R2023">
        <v>0.999</v>
      </c>
      <c r="S2023">
        <v>1</v>
      </c>
    </row>
    <row r="2024" spans="1:19" x14ac:dyDescent="0.2">
      <c r="A2024" s="3" t="s">
        <v>54</v>
      </c>
      <c r="B2024" s="3" t="s">
        <v>55</v>
      </c>
      <c r="C2024">
        <v>2</v>
      </c>
      <c r="D2024">
        <v>16000</v>
      </c>
      <c r="E2024">
        <v>499</v>
      </c>
      <c r="F2024">
        <v>1</v>
      </c>
      <c r="G2024">
        <v>16000</v>
      </c>
      <c r="H2024">
        <v>2.6958068000000002E-2</v>
      </c>
      <c r="I2024">
        <v>14341</v>
      </c>
      <c r="J2024">
        <v>4558</v>
      </c>
      <c r="K2024">
        <v>9783</v>
      </c>
      <c r="L2024">
        <v>500</v>
      </c>
      <c r="M2024">
        <v>499</v>
      </c>
      <c r="N2024">
        <v>1</v>
      </c>
      <c r="O2024">
        <v>1659</v>
      </c>
      <c r="P2024" s="3" t="s">
        <v>50</v>
      </c>
      <c r="Q2024">
        <v>50</v>
      </c>
      <c r="R2024">
        <v>0.999</v>
      </c>
      <c r="S2024">
        <v>1</v>
      </c>
    </row>
    <row r="2025" spans="1:19" x14ac:dyDescent="0.2">
      <c r="A2025" s="3" t="s">
        <v>54</v>
      </c>
      <c r="B2025" s="3" t="s">
        <v>55</v>
      </c>
      <c r="C2025">
        <v>39</v>
      </c>
      <c r="D2025">
        <v>12000</v>
      </c>
      <c r="E2025">
        <v>499</v>
      </c>
      <c r="F2025">
        <v>1</v>
      </c>
      <c r="G2025">
        <v>50533.323552418398</v>
      </c>
      <c r="H2025">
        <v>2.6945207999999998E-2</v>
      </c>
      <c r="I2025">
        <v>11885</v>
      </c>
      <c r="J2025">
        <v>4040</v>
      </c>
      <c r="K2025">
        <v>7845</v>
      </c>
      <c r="L2025">
        <v>500</v>
      </c>
      <c r="M2025">
        <v>499</v>
      </c>
      <c r="N2025">
        <v>1</v>
      </c>
      <c r="O2025">
        <v>388.73699653080001</v>
      </c>
      <c r="P2025" s="3" t="s">
        <v>51</v>
      </c>
      <c r="Q2025">
        <v>50</v>
      </c>
      <c r="R2025">
        <v>0.999</v>
      </c>
      <c r="S2025">
        <v>0</v>
      </c>
    </row>
    <row r="2026" spans="1:19" x14ac:dyDescent="0.2">
      <c r="A2026" s="3" t="s">
        <v>54</v>
      </c>
      <c r="B2026" s="3" t="s">
        <v>55</v>
      </c>
      <c r="C2026">
        <v>1</v>
      </c>
      <c r="D2026">
        <v>16000</v>
      </c>
      <c r="E2026">
        <v>499</v>
      </c>
      <c r="F2026">
        <v>1</v>
      </c>
      <c r="G2026">
        <v>16000</v>
      </c>
      <c r="H2026">
        <v>2.6921285E-2</v>
      </c>
      <c r="I2026">
        <v>14355</v>
      </c>
      <c r="J2026">
        <v>4530</v>
      </c>
      <c r="K2026">
        <v>9825</v>
      </c>
      <c r="L2026">
        <v>500</v>
      </c>
      <c r="M2026">
        <v>499</v>
      </c>
      <c r="N2026">
        <v>1</v>
      </c>
      <c r="O2026">
        <v>1645</v>
      </c>
      <c r="P2026" s="3" t="s">
        <v>50</v>
      </c>
      <c r="Q2026">
        <v>50</v>
      </c>
      <c r="R2026">
        <v>0.999</v>
      </c>
      <c r="S2026">
        <v>1</v>
      </c>
    </row>
    <row r="2027" spans="1:19" x14ac:dyDescent="0.2">
      <c r="A2027" s="3" t="s">
        <v>54</v>
      </c>
      <c r="B2027" s="3" t="s">
        <v>55</v>
      </c>
      <c r="C2027">
        <v>39</v>
      </c>
      <c r="D2027">
        <v>13000</v>
      </c>
      <c r="E2027">
        <v>499</v>
      </c>
      <c r="F2027">
        <v>1</v>
      </c>
      <c r="G2027">
        <v>13000</v>
      </c>
      <c r="H2027">
        <v>2.6903508999999999E-2</v>
      </c>
      <c r="I2027">
        <v>12577</v>
      </c>
      <c r="J2027">
        <v>4848</v>
      </c>
      <c r="K2027">
        <v>7729</v>
      </c>
      <c r="L2027">
        <v>500</v>
      </c>
      <c r="M2027">
        <v>499</v>
      </c>
      <c r="N2027">
        <v>1</v>
      </c>
      <c r="O2027">
        <v>423</v>
      </c>
      <c r="P2027" s="3" t="s">
        <v>51</v>
      </c>
      <c r="Q2027">
        <v>50</v>
      </c>
      <c r="R2027">
        <v>0.999</v>
      </c>
      <c r="S2027">
        <v>1</v>
      </c>
    </row>
    <row r="2028" spans="1:19" x14ac:dyDescent="0.2">
      <c r="A2028" s="3" t="s">
        <v>54</v>
      </c>
      <c r="B2028" s="3" t="s">
        <v>55</v>
      </c>
      <c r="C2028">
        <v>22</v>
      </c>
      <c r="D2028">
        <v>13000</v>
      </c>
      <c r="E2028">
        <v>499</v>
      </c>
      <c r="F2028">
        <v>1</v>
      </c>
      <c r="G2028">
        <v>13000</v>
      </c>
      <c r="H2028">
        <v>2.6896028999999998E-2</v>
      </c>
      <c r="I2028">
        <v>12543</v>
      </c>
      <c r="J2028">
        <v>4818</v>
      </c>
      <c r="K2028">
        <v>7725</v>
      </c>
      <c r="L2028">
        <v>500</v>
      </c>
      <c r="M2028">
        <v>499</v>
      </c>
      <c r="N2028">
        <v>1</v>
      </c>
      <c r="O2028">
        <v>457</v>
      </c>
      <c r="P2028" s="3" t="s">
        <v>51</v>
      </c>
      <c r="Q2028">
        <v>50</v>
      </c>
      <c r="R2028">
        <v>0.999</v>
      </c>
      <c r="S2028">
        <v>1</v>
      </c>
    </row>
    <row r="2029" spans="1:19" x14ac:dyDescent="0.2">
      <c r="A2029" s="3" t="s">
        <v>54</v>
      </c>
      <c r="B2029" s="3" t="s">
        <v>55</v>
      </c>
      <c r="C2029">
        <v>42</v>
      </c>
      <c r="D2029">
        <v>13000</v>
      </c>
      <c r="E2029">
        <v>499</v>
      </c>
      <c r="F2029">
        <v>1</v>
      </c>
      <c r="G2029">
        <v>13000</v>
      </c>
      <c r="H2029">
        <v>2.6858436999999999E-2</v>
      </c>
      <c r="I2029">
        <v>12548</v>
      </c>
      <c r="J2029">
        <v>4830</v>
      </c>
      <c r="K2029">
        <v>7718</v>
      </c>
      <c r="L2029">
        <v>500</v>
      </c>
      <c r="M2029">
        <v>499</v>
      </c>
      <c r="N2029">
        <v>1</v>
      </c>
      <c r="O2029">
        <v>452</v>
      </c>
      <c r="P2029" s="3" t="s">
        <v>51</v>
      </c>
      <c r="Q2029">
        <v>50</v>
      </c>
      <c r="R2029">
        <v>0.999</v>
      </c>
      <c r="S2029">
        <v>1</v>
      </c>
    </row>
    <row r="2030" spans="1:19" x14ac:dyDescent="0.2">
      <c r="A2030" s="3" t="s">
        <v>54</v>
      </c>
      <c r="B2030" s="3" t="s">
        <v>55</v>
      </c>
      <c r="C2030">
        <v>9</v>
      </c>
      <c r="D2030">
        <v>13000</v>
      </c>
      <c r="E2030">
        <v>499</v>
      </c>
      <c r="F2030">
        <v>1</v>
      </c>
      <c r="G2030">
        <v>13000</v>
      </c>
      <c r="H2030">
        <v>2.6854018E-2</v>
      </c>
      <c r="I2030">
        <v>12550</v>
      </c>
      <c r="J2030">
        <v>4840</v>
      </c>
      <c r="K2030">
        <v>7710</v>
      </c>
      <c r="L2030">
        <v>500</v>
      </c>
      <c r="M2030">
        <v>499</v>
      </c>
      <c r="N2030">
        <v>1</v>
      </c>
      <c r="O2030">
        <v>450</v>
      </c>
      <c r="P2030" s="3" t="s">
        <v>51</v>
      </c>
      <c r="Q2030">
        <v>50</v>
      </c>
      <c r="R2030">
        <v>0.999</v>
      </c>
      <c r="S2030">
        <v>1</v>
      </c>
    </row>
    <row r="2031" spans="1:19" x14ac:dyDescent="0.2">
      <c r="A2031" s="3" t="s">
        <v>54</v>
      </c>
      <c r="B2031" s="3" t="s">
        <v>55</v>
      </c>
      <c r="C2031">
        <v>42</v>
      </c>
      <c r="D2031">
        <v>16000</v>
      </c>
      <c r="E2031">
        <v>499</v>
      </c>
      <c r="F2031">
        <v>1</v>
      </c>
      <c r="G2031">
        <v>16000</v>
      </c>
      <c r="H2031">
        <v>2.6847508999999999E-2</v>
      </c>
      <c r="I2031">
        <v>14353</v>
      </c>
      <c r="J2031">
        <v>4524</v>
      </c>
      <c r="K2031">
        <v>9829</v>
      </c>
      <c r="L2031">
        <v>500</v>
      </c>
      <c r="M2031">
        <v>499</v>
      </c>
      <c r="N2031">
        <v>1</v>
      </c>
      <c r="O2031">
        <v>1647</v>
      </c>
      <c r="P2031" s="3" t="s">
        <v>52</v>
      </c>
      <c r="Q2031">
        <v>50</v>
      </c>
      <c r="R2031">
        <v>0.999</v>
      </c>
      <c r="S2031">
        <v>1</v>
      </c>
    </row>
    <row r="2032" spans="1:19" x14ac:dyDescent="0.2">
      <c r="A2032" s="3" t="s">
        <v>54</v>
      </c>
      <c r="B2032" s="3" t="s">
        <v>55</v>
      </c>
      <c r="C2032">
        <v>26</v>
      </c>
      <c r="D2032">
        <v>12000</v>
      </c>
      <c r="E2032">
        <v>499</v>
      </c>
      <c r="F2032">
        <v>1</v>
      </c>
      <c r="G2032">
        <v>50533.323552418398</v>
      </c>
      <c r="H2032">
        <v>2.6831789000000002E-2</v>
      </c>
      <c r="I2032">
        <v>11894</v>
      </c>
      <c r="J2032">
        <v>4086</v>
      </c>
      <c r="K2032">
        <v>7808</v>
      </c>
      <c r="L2032">
        <v>500</v>
      </c>
      <c r="M2032">
        <v>499</v>
      </c>
      <c r="N2032">
        <v>1</v>
      </c>
      <c r="O2032">
        <v>374.45187650679998</v>
      </c>
      <c r="P2032" s="3" t="s">
        <v>51</v>
      </c>
      <c r="Q2032">
        <v>50</v>
      </c>
      <c r="R2032">
        <v>0.999</v>
      </c>
      <c r="S2032">
        <v>0</v>
      </c>
    </row>
    <row r="2033" spans="1:19" x14ac:dyDescent="0.2">
      <c r="A2033" s="3" t="s">
        <v>54</v>
      </c>
      <c r="B2033" s="3" t="s">
        <v>55</v>
      </c>
      <c r="C2033">
        <v>35</v>
      </c>
      <c r="D2033">
        <v>16000</v>
      </c>
      <c r="E2033">
        <v>499</v>
      </c>
      <c r="F2033">
        <v>1</v>
      </c>
      <c r="G2033">
        <v>16000</v>
      </c>
      <c r="H2033">
        <v>2.6815894E-2</v>
      </c>
      <c r="I2033">
        <v>14319</v>
      </c>
      <c r="J2033">
        <v>4509</v>
      </c>
      <c r="K2033">
        <v>9810</v>
      </c>
      <c r="L2033">
        <v>500</v>
      </c>
      <c r="M2033">
        <v>499</v>
      </c>
      <c r="N2033">
        <v>1</v>
      </c>
      <c r="O2033">
        <v>1681</v>
      </c>
      <c r="P2033" s="3" t="s">
        <v>52</v>
      </c>
      <c r="Q2033">
        <v>50</v>
      </c>
      <c r="R2033">
        <v>0.999</v>
      </c>
      <c r="S2033">
        <v>1</v>
      </c>
    </row>
    <row r="2034" spans="1:19" x14ac:dyDescent="0.2">
      <c r="A2034" s="3" t="s">
        <v>54</v>
      </c>
      <c r="B2034" s="3" t="s">
        <v>55</v>
      </c>
      <c r="C2034">
        <v>45</v>
      </c>
      <c r="D2034">
        <v>12000</v>
      </c>
      <c r="E2034">
        <v>499</v>
      </c>
      <c r="F2034">
        <v>1</v>
      </c>
      <c r="G2034">
        <v>50533.323552418398</v>
      </c>
      <c r="H2034">
        <v>2.6806113999999999E-2</v>
      </c>
      <c r="I2034">
        <v>11893</v>
      </c>
      <c r="J2034">
        <v>4087</v>
      </c>
      <c r="K2034">
        <v>7806</v>
      </c>
      <c r="L2034">
        <v>500</v>
      </c>
      <c r="M2034">
        <v>499</v>
      </c>
      <c r="N2034">
        <v>1</v>
      </c>
      <c r="O2034">
        <v>365.3748645883</v>
      </c>
      <c r="P2034" s="3" t="s">
        <v>51</v>
      </c>
      <c r="Q2034">
        <v>50</v>
      </c>
      <c r="R2034">
        <v>0.999</v>
      </c>
      <c r="S2034">
        <v>0</v>
      </c>
    </row>
    <row r="2035" spans="1:19" x14ac:dyDescent="0.2">
      <c r="A2035" s="3" t="s">
        <v>54</v>
      </c>
      <c r="B2035" s="3" t="s">
        <v>55</v>
      </c>
      <c r="C2035">
        <v>50</v>
      </c>
      <c r="D2035">
        <v>13000</v>
      </c>
      <c r="E2035">
        <v>499</v>
      </c>
      <c r="F2035">
        <v>1</v>
      </c>
      <c r="G2035">
        <v>13000</v>
      </c>
      <c r="H2035">
        <v>2.6805710999999999E-2</v>
      </c>
      <c r="I2035">
        <v>12553</v>
      </c>
      <c r="J2035">
        <v>4835</v>
      </c>
      <c r="K2035">
        <v>7718</v>
      </c>
      <c r="L2035">
        <v>500</v>
      </c>
      <c r="M2035">
        <v>499</v>
      </c>
      <c r="N2035">
        <v>1</v>
      </c>
      <c r="O2035">
        <v>447</v>
      </c>
      <c r="P2035" s="3" t="s">
        <v>51</v>
      </c>
      <c r="Q2035">
        <v>50</v>
      </c>
      <c r="R2035">
        <v>0.999</v>
      </c>
      <c r="S2035">
        <v>1</v>
      </c>
    </row>
    <row r="2036" spans="1:19" x14ac:dyDescent="0.2">
      <c r="A2036" s="3" t="s">
        <v>54</v>
      </c>
      <c r="B2036" s="3" t="s">
        <v>55</v>
      </c>
      <c r="C2036">
        <v>25</v>
      </c>
      <c r="D2036">
        <v>15000</v>
      </c>
      <c r="E2036">
        <v>499</v>
      </c>
      <c r="F2036">
        <v>1</v>
      </c>
      <c r="G2036">
        <v>15000</v>
      </c>
      <c r="H2036">
        <v>2.6793767E-2</v>
      </c>
      <c r="I2036">
        <v>13782</v>
      </c>
      <c r="J2036">
        <v>4370</v>
      </c>
      <c r="K2036">
        <v>9412</v>
      </c>
      <c r="L2036">
        <v>500</v>
      </c>
      <c r="M2036">
        <v>499</v>
      </c>
      <c r="N2036">
        <v>1</v>
      </c>
      <c r="O2036">
        <v>1218</v>
      </c>
      <c r="P2036" s="3" t="s">
        <v>52</v>
      </c>
      <c r="Q2036">
        <v>50</v>
      </c>
      <c r="R2036">
        <v>0.999</v>
      </c>
      <c r="S2036">
        <v>1</v>
      </c>
    </row>
    <row r="2037" spans="1:19" x14ac:dyDescent="0.2">
      <c r="A2037" s="3" t="s">
        <v>54</v>
      </c>
      <c r="B2037" s="3" t="s">
        <v>55</v>
      </c>
      <c r="C2037">
        <v>17</v>
      </c>
      <c r="D2037">
        <v>16000</v>
      </c>
      <c r="E2037">
        <v>499</v>
      </c>
      <c r="F2037">
        <v>1</v>
      </c>
      <c r="G2037">
        <v>16000</v>
      </c>
      <c r="H2037">
        <v>2.6773544E-2</v>
      </c>
      <c r="I2037">
        <v>14325</v>
      </c>
      <c r="J2037">
        <v>4521</v>
      </c>
      <c r="K2037">
        <v>9804</v>
      </c>
      <c r="L2037">
        <v>500</v>
      </c>
      <c r="M2037">
        <v>499</v>
      </c>
      <c r="N2037">
        <v>1</v>
      </c>
      <c r="O2037">
        <v>1675</v>
      </c>
      <c r="P2037" s="3" t="s">
        <v>50</v>
      </c>
      <c r="Q2037">
        <v>50</v>
      </c>
      <c r="R2037">
        <v>0.999</v>
      </c>
      <c r="S2037">
        <v>1</v>
      </c>
    </row>
    <row r="2038" spans="1:19" x14ac:dyDescent="0.2">
      <c r="A2038" s="3" t="s">
        <v>54</v>
      </c>
      <c r="B2038" s="3" t="s">
        <v>55</v>
      </c>
      <c r="C2038">
        <v>23</v>
      </c>
      <c r="D2038">
        <v>11000</v>
      </c>
      <c r="E2038">
        <v>499</v>
      </c>
      <c r="F2038">
        <v>1</v>
      </c>
      <c r="G2038">
        <v>11000</v>
      </c>
      <c r="H2038">
        <v>2.6767457000000001E-2</v>
      </c>
      <c r="I2038">
        <v>11000</v>
      </c>
      <c r="J2038">
        <v>4329</v>
      </c>
      <c r="K2038">
        <v>6671</v>
      </c>
      <c r="L2038">
        <v>500</v>
      </c>
      <c r="M2038">
        <v>499</v>
      </c>
      <c r="N2038">
        <v>1</v>
      </c>
      <c r="O2038">
        <v>0</v>
      </c>
      <c r="P2038" s="3" t="s">
        <v>51</v>
      </c>
      <c r="Q2038">
        <v>50</v>
      </c>
      <c r="R2038">
        <v>0.999</v>
      </c>
      <c r="S2038">
        <v>1</v>
      </c>
    </row>
    <row r="2039" spans="1:19" x14ac:dyDescent="0.2">
      <c r="A2039" s="3" t="s">
        <v>54</v>
      </c>
      <c r="B2039" s="3" t="s">
        <v>55</v>
      </c>
      <c r="C2039">
        <v>12</v>
      </c>
      <c r="D2039">
        <v>15000</v>
      </c>
      <c r="E2039">
        <v>499</v>
      </c>
      <c r="F2039">
        <v>1</v>
      </c>
      <c r="G2039">
        <v>15000</v>
      </c>
      <c r="H2039">
        <v>2.6764074999999998E-2</v>
      </c>
      <c r="I2039">
        <v>13773</v>
      </c>
      <c r="J2039">
        <v>4334</v>
      </c>
      <c r="K2039">
        <v>9439</v>
      </c>
      <c r="L2039">
        <v>500</v>
      </c>
      <c r="M2039">
        <v>499</v>
      </c>
      <c r="N2039">
        <v>1</v>
      </c>
      <c r="O2039">
        <v>1227</v>
      </c>
      <c r="P2039" s="3" t="s">
        <v>52</v>
      </c>
      <c r="Q2039">
        <v>50</v>
      </c>
      <c r="R2039">
        <v>0.999</v>
      </c>
      <c r="S2039">
        <v>1</v>
      </c>
    </row>
    <row r="2040" spans="1:19" x14ac:dyDescent="0.2">
      <c r="A2040" s="3" t="s">
        <v>54</v>
      </c>
      <c r="B2040" s="3" t="s">
        <v>55</v>
      </c>
      <c r="C2040">
        <v>17</v>
      </c>
      <c r="D2040">
        <v>13000</v>
      </c>
      <c r="E2040">
        <v>499</v>
      </c>
      <c r="F2040">
        <v>1</v>
      </c>
      <c r="G2040">
        <v>13000</v>
      </c>
      <c r="H2040">
        <v>2.6761463999999999E-2</v>
      </c>
      <c r="I2040">
        <v>12564</v>
      </c>
      <c r="J2040">
        <v>4829</v>
      </c>
      <c r="K2040">
        <v>7735</v>
      </c>
      <c r="L2040">
        <v>500</v>
      </c>
      <c r="M2040">
        <v>499</v>
      </c>
      <c r="N2040">
        <v>1</v>
      </c>
      <c r="O2040">
        <v>436</v>
      </c>
      <c r="P2040" s="3" t="s">
        <v>51</v>
      </c>
      <c r="Q2040">
        <v>50</v>
      </c>
      <c r="R2040">
        <v>0.999</v>
      </c>
      <c r="S2040">
        <v>1</v>
      </c>
    </row>
    <row r="2041" spans="1:19" x14ac:dyDescent="0.2">
      <c r="A2041" s="3" t="s">
        <v>54</v>
      </c>
      <c r="B2041" s="3" t="s">
        <v>55</v>
      </c>
      <c r="C2041">
        <v>45</v>
      </c>
      <c r="D2041">
        <v>13000</v>
      </c>
      <c r="E2041">
        <v>499</v>
      </c>
      <c r="F2041">
        <v>1</v>
      </c>
      <c r="G2041">
        <v>13000</v>
      </c>
      <c r="H2041">
        <v>2.6747831999999999E-2</v>
      </c>
      <c r="I2041">
        <v>12547</v>
      </c>
      <c r="J2041">
        <v>4830</v>
      </c>
      <c r="K2041">
        <v>7717</v>
      </c>
      <c r="L2041">
        <v>500</v>
      </c>
      <c r="M2041">
        <v>499</v>
      </c>
      <c r="N2041">
        <v>1</v>
      </c>
      <c r="O2041">
        <v>453</v>
      </c>
      <c r="P2041" s="3" t="s">
        <v>51</v>
      </c>
      <c r="Q2041">
        <v>50</v>
      </c>
      <c r="R2041">
        <v>0.999</v>
      </c>
      <c r="S2041">
        <v>1</v>
      </c>
    </row>
    <row r="2042" spans="1:19" x14ac:dyDescent="0.2">
      <c r="A2042" s="3" t="s">
        <v>54</v>
      </c>
      <c r="B2042" s="3" t="s">
        <v>55</v>
      </c>
      <c r="C2042">
        <v>29</v>
      </c>
      <c r="D2042">
        <v>13000</v>
      </c>
      <c r="E2042">
        <v>499</v>
      </c>
      <c r="F2042">
        <v>1</v>
      </c>
      <c r="G2042">
        <v>13000</v>
      </c>
      <c r="H2042">
        <v>2.6740554E-2</v>
      </c>
      <c r="I2042">
        <v>12549</v>
      </c>
      <c r="J2042">
        <v>4844</v>
      </c>
      <c r="K2042">
        <v>7705</v>
      </c>
      <c r="L2042">
        <v>500</v>
      </c>
      <c r="M2042">
        <v>499</v>
      </c>
      <c r="N2042">
        <v>1</v>
      </c>
      <c r="O2042">
        <v>451</v>
      </c>
      <c r="P2042" s="3" t="s">
        <v>51</v>
      </c>
      <c r="Q2042">
        <v>50</v>
      </c>
      <c r="R2042">
        <v>0.999</v>
      </c>
      <c r="S2042">
        <v>1</v>
      </c>
    </row>
    <row r="2043" spans="1:19" x14ac:dyDescent="0.2">
      <c r="A2043" s="3" t="s">
        <v>54</v>
      </c>
      <c r="B2043" s="3" t="s">
        <v>55</v>
      </c>
      <c r="C2043">
        <v>39</v>
      </c>
      <c r="D2043">
        <v>10000</v>
      </c>
      <c r="E2043">
        <v>499</v>
      </c>
      <c r="F2043">
        <v>1</v>
      </c>
      <c r="G2043">
        <v>10000</v>
      </c>
      <c r="H2043">
        <v>2.6708525E-2</v>
      </c>
      <c r="I2043">
        <v>10000</v>
      </c>
      <c r="J2043">
        <v>4183</v>
      </c>
      <c r="K2043">
        <v>5817</v>
      </c>
      <c r="L2043">
        <v>500</v>
      </c>
      <c r="M2043">
        <v>499</v>
      </c>
      <c r="N2043">
        <v>1</v>
      </c>
      <c r="O2043">
        <v>0</v>
      </c>
      <c r="P2043" s="3" t="s">
        <v>51</v>
      </c>
      <c r="Q2043">
        <v>50</v>
      </c>
      <c r="R2043">
        <v>0.999</v>
      </c>
      <c r="S2043">
        <v>1</v>
      </c>
    </row>
    <row r="2044" spans="1:19" x14ac:dyDescent="0.2">
      <c r="A2044" s="3" t="s">
        <v>54</v>
      </c>
      <c r="B2044" s="3" t="s">
        <v>55</v>
      </c>
      <c r="C2044">
        <v>31</v>
      </c>
      <c r="D2044">
        <v>13000</v>
      </c>
      <c r="E2044">
        <v>499</v>
      </c>
      <c r="F2044">
        <v>1</v>
      </c>
      <c r="G2044">
        <v>13000</v>
      </c>
      <c r="H2044">
        <v>2.6701853000000001E-2</v>
      </c>
      <c r="I2044">
        <v>12547</v>
      </c>
      <c r="J2044">
        <v>4840</v>
      </c>
      <c r="K2044">
        <v>7707</v>
      </c>
      <c r="L2044">
        <v>500</v>
      </c>
      <c r="M2044">
        <v>499</v>
      </c>
      <c r="N2044">
        <v>1</v>
      </c>
      <c r="O2044">
        <v>453</v>
      </c>
      <c r="P2044" s="3" t="s">
        <v>51</v>
      </c>
      <c r="Q2044">
        <v>50</v>
      </c>
      <c r="R2044">
        <v>0.999</v>
      </c>
      <c r="S2044">
        <v>1</v>
      </c>
    </row>
    <row r="2045" spans="1:19" x14ac:dyDescent="0.2">
      <c r="A2045" s="3" t="s">
        <v>54</v>
      </c>
      <c r="B2045" s="3" t="s">
        <v>55</v>
      </c>
      <c r="C2045">
        <v>11</v>
      </c>
      <c r="D2045">
        <v>16000</v>
      </c>
      <c r="E2045">
        <v>499</v>
      </c>
      <c r="F2045">
        <v>1</v>
      </c>
      <c r="G2045">
        <v>16000</v>
      </c>
      <c r="H2045">
        <v>2.6692383E-2</v>
      </c>
      <c r="I2045">
        <v>14363</v>
      </c>
      <c r="J2045">
        <v>4576</v>
      </c>
      <c r="K2045">
        <v>9787</v>
      </c>
      <c r="L2045">
        <v>500</v>
      </c>
      <c r="M2045">
        <v>499</v>
      </c>
      <c r="N2045">
        <v>1</v>
      </c>
      <c r="O2045">
        <v>1637</v>
      </c>
      <c r="P2045" s="3" t="s">
        <v>50</v>
      </c>
      <c r="Q2045">
        <v>50</v>
      </c>
      <c r="R2045">
        <v>0.999</v>
      </c>
      <c r="S2045">
        <v>1</v>
      </c>
    </row>
    <row r="2046" spans="1:19" x14ac:dyDescent="0.2">
      <c r="A2046" s="3" t="s">
        <v>54</v>
      </c>
      <c r="B2046" s="3" t="s">
        <v>55</v>
      </c>
      <c r="C2046">
        <v>23</v>
      </c>
      <c r="D2046">
        <v>12000</v>
      </c>
      <c r="E2046">
        <v>499</v>
      </c>
      <c r="F2046">
        <v>1</v>
      </c>
      <c r="G2046">
        <v>50533.323552418398</v>
      </c>
      <c r="H2046">
        <v>2.6671767999999998E-2</v>
      </c>
      <c r="I2046">
        <v>11896</v>
      </c>
      <c r="J2046">
        <v>4072</v>
      </c>
      <c r="K2046">
        <v>7824</v>
      </c>
      <c r="L2046">
        <v>500</v>
      </c>
      <c r="M2046">
        <v>499</v>
      </c>
      <c r="N2046">
        <v>1</v>
      </c>
      <c r="O2046">
        <v>375.49892297830002</v>
      </c>
      <c r="P2046" s="3" t="s">
        <v>51</v>
      </c>
      <c r="Q2046">
        <v>50</v>
      </c>
      <c r="R2046">
        <v>0.999</v>
      </c>
      <c r="S2046">
        <v>0</v>
      </c>
    </row>
    <row r="2047" spans="1:19" x14ac:dyDescent="0.2">
      <c r="A2047" s="3" t="s">
        <v>54</v>
      </c>
      <c r="B2047" s="3" t="s">
        <v>55</v>
      </c>
      <c r="C2047">
        <v>49</v>
      </c>
      <c r="D2047">
        <v>16000</v>
      </c>
      <c r="E2047">
        <v>499</v>
      </c>
      <c r="F2047">
        <v>1</v>
      </c>
      <c r="G2047">
        <v>16000</v>
      </c>
      <c r="H2047">
        <v>2.6664599000000001E-2</v>
      </c>
      <c r="I2047">
        <v>14348</v>
      </c>
      <c r="J2047">
        <v>4570</v>
      </c>
      <c r="K2047">
        <v>9778</v>
      </c>
      <c r="L2047">
        <v>500</v>
      </c>
      <c r="M2047">
        <v>499</v>
      </c>
      <c r="N2047">
        <v>1</v>
      </c>
      <c r="O2047">
        <v>1652</v>
      </c>
      <c r="P2047" s="3" t="s">
        <v>50</v>
      </c>
      <c r="Q2047">
        <v>50</v>
      </c>
      <c r="R2047">
        <v>0.999</v>
      </c>
      <c r="S2047">
        <v>1</v>
      </c>
    </row>
    <row r="2048" spans="1:19" x14ac:dyDescent="0.2">
      <c r="A2048" s="3" t="s">
        <v>54</v>
      </c>
      <c r="B2048" s="3" t="s">
        <v>55</v>
      </c>
      <c r="C2048">
        <v>9</v>
      </c>
      <c r="D2048">
        <v>16000</v>
      </c>
      <c r="E2048">
        <v>499</v>
      </c>
      <c r="F2048">
        <v>1</v>
      </c>
      <c r="G2048">
        <v>16000</v>
      </c>
      <c r="H2048">
        <v>2.6654580000000001E-2</v>
      </c>
      <c r="I2048">
        <v>14342</v>
      </c>
      <c r="J2048">
        <v>4579</v>
      </c>
      <c r="K2048">
        <v>9763</v>
      </c>
      <c r="L2048">
        <v>500</v>
      </c>
      <c r="M2048">
        <v>499</v>
      </c>
      <c r="N2048">
        <v>1</v>
      </c>
      <c r="O2048">
        <v>1658</v>
      </c>
      <c r="P2048" s="3" t="s">
        <v>50</v>
      </c>
      <c r="Q2048">
        <v>50</v>
      </c>
      <c r="R2048">
        <v>0.999</v>
      </c>
      <c r="S2048">
        <v>1</v>
      </c>
    </row>
    <row r="2049" spans="1:19" x14ac:dyDescent="0.2">
      <c r="A2049" s="3" t="s">
        <v>54</v>
      </c>
      <c r="B2049" s="3" t="s">
        <v>55</v>
      </c>
      <c r="C2049">
        <v>19</v>
      </c>
      <c r="D2049">
        <v>12000</v>
      </c>
      <c r="E2049">
        <v>499</v>
      </c>
      <c r="F2049">
        <v>1</v>
      </c>
      <c r="G2049">
        <v>50533.323552418398</v>
      </c>
      <c r="H2049">
        <v>2.6641233E-2</v>
      </c>
      <c r="I2049">
        <v>11894</v>
      </c>
      <c r="J2049">
        <v>4075</v>
      </c>
      <c r="K2049">
        <v>7819</v>
      </c>
      <c r="L2049">
        <v>500</v>
      </c>
      <c r="M2049">
        <v>499</v>
      </c>
      <c r="N2049">
        <v>1</v>
      </c>
      <c r="O2049">
        <v>391.50424299159999</v>
      </c>
      <c r="P2049" s="3" t="s">
        <v>51</v>
      </c>
      <c r="Q2049">
        <v>50</v>
      </c>
      <c r="R2049">
        <v>0.999</v>
      </c>
      <c r="S2049">
        <v>0</v>
      </c>
    </row>
    <row r="2050" spans="1:19" x14ac:dyDescent="0.2">
      <c r="A2050" s="3" t="s">
        <v>54</v>
      </c>
      <c r="B2050" s="3" t="s">
        <v>55</v>
      </c>
      <c r="C2050">
        <v>32</v>
      </c>
      <c r="D2050">
        <v>16000</v>
      </c>
      <c r="E2050">
        <v>499</v>
      </c>
      <c r="F2050">
        <v>1</v>
      </c>
      <c r="G2050">
        <v>16000</v>
      </c>
      <c r="H2050">
        <v>2.6500323999999999E-2</v>
      </c>
      <c r="I2050">
        <v>14347</v>
      </c>
      <c r="J2050">
        <v>4546</v>
      </c>
      <c r="K2050">
        <v>9801</v>
      </c>
      <c r="L2050">
        <v>500</v>
      </c>
      <c r="M2050">
        <v>499</v>
      </c>
      <c r="N2050">
        <v>1</v>
      </c>
      <c r="O2050">
        <v>1653</v>
      </c>
      <c r="P2050" s="3" t="s">
        <v>50</v>
      </c>
      <c r="Q2050">
        <v>50</v>
      </c>
      <c r="R2050">
        <v>0.999</v>
      </c>
      <c r="S2050">
        <v>1</v>
      </c>
    </row>
    <row r="2051" spans="1:19" x14ac:dyDescent="0.2">
      <c r="A2051" s="3" t="s">
        <v>54</v>
      </c>
      <c r="B2051" s="3" t="s">
        <v>55</v>
      </c>
      <c r="C2051">
        <v>6</v>
      </c>
      <c r="D2051">
        <v>16000</v>
      </c>
      <c r="E2051">
        <v>499</v>
      </c>
      <c r="F2051">
        <v>1</v>
      </c>
      <c r="G2051">
        <v>16000</v>
      </c>
      <c r="H2051">
        <v>2.6499195E-2</v>
      </c>
      <c r="I2051">
        <v>14350</v>
      </c>
      <c r="J2051">
        <v>4560</v>
      </c>
      <c r="K2051">
        <v>9790</v>
      </c>
      <c r="L2051">
        <v>500</v>
      </c>
      <c r="M2051">
        <v>499</v>
      </c>
      <c r="N2051">
        <v>1</v>
      </c>
      <c r="O2051">
        <v>1650</v>
      </c>
      <c r="P2051" s="3" t="s">
        <v>50</v>
      </c>
      <c r="Q2051">
        <v>50</v>
      </c>
      <c r="R2051">
        <v>0.999</v>
      </c>
      <c r="S2051">
        <v>1</v>
      </c>
    </row>
    <row r="2052" spans="1:19" x14ac:dyDescent="0.2">
      <c r="A2052" s="3" t="s">
        <v>54</v>
      </c>
      <c r="B2052" s="3" t="s">
        <v>55</v>
      </c>
      <c r="C2052">
        <v>24</v>
      </c>
      <c r="D2052">
        <v>12000</v>
      </c>
      <c r="E2052">
        <v>499</v>
      </c>
      <c r="F2052">
        <v>1</v>
      </c>
      <c r="G2052">
        <v>50533.323552418398</v>
      </c>
      <c r="H2052">
        <v>2.6495365E-2</v>
      </c>
      <c r="I2052">
        <v>11873</v>
      </c>
      <c r="J2052">
        <v>4043</v>
      </c>
      <c r="K2052">
        <v>7830</v>
      </c>
      <c r="L2052">
        <v>500</v>
      </c>
      <c r="M2052">
        <v>499</v>
      </c>
      <c r="N2052">
        <v>1</v>
      </c>
      <c r="O2052">
        <v>444.41747733580002</v>
      </c>
      <c r="P2052" s="3" t="s">
        <v>51</v>
      </c>
      <c r="Q2052">
        <v>50</v>
      </c>
      <c r="R2052">
        <v>0.999</v>
      </c>
      <c r="S2052">
        <v>0</v>
      </c>
    </row>
    <row r="2053" spans="1:19" x14ac:dyDescent="0.2">
      <c r="A2053" s="3" t="s">
        <v>54</v>
      </c>
      <c r="B2053" s="3" t="s">
        <v>55</v>
      </c>
      <c r="C2053">
        <v>21</v>
      </c>
      <c r="D2053">
        <v>16000</v>
      </c>
      <c r="E2053">
        <v>499</v>
      </c>
      <c r="F2053">
        <v>1</v>
      </c>
      <c r="G2053">
        <v>16000</v>
      </c>
      <c r="H2053">
        <v>2.6473666E-2</v>
      </c>
      <c r="I2053">
        <v>14369</v>
      </c>
      <c r="J2053">
        <v>4534</v>
      </c>
      <c r="K2053">
        <v>9835</v>
      </c>
      <c r="L2053">
        <v>500</v>
      </c>
      <c r="M2053">
        <v>499</v>
      </c>
      <c r="N2053">
        <v>1</v>
      </c>
      <c r="O2053">
        <v>1631</v>
      </c>
      <c r="P2053" s="3" t="s">
        <v>50</v>
      </c>
      <c r="Q2053">
        <v>50</v>
      </c>
      <c r="R2053">
        <v>0.999</v>
      </c>
      <c r="S2053">
        <v>1</v>
      </c>
    </row>
    <row r="2054" spans="1:19" x14ac:dyDescent="0.2">
      <c r="A2054" s="3" t="s">
        <v>54</v>
      </c>
      <c r="B2054" s="3" t="s">
        <v>55</v>
      </c>
      <c r="C2054">
        <v>24</v>
      </c>
      <c r="D2054">
        <v>13000</v>
      </c>
      <c r="E2054">
        <v>499</v>
      </c>
      <c r="F2054">
        <v>1</v>
      </c>
      <c r="G2054">
        <v>13000</v>
      </c>
      <c r="H2054">
        <v>2.6462777E-2</v>
      </c>
      <c r="I2054">
        <v>12560</v>
      </c>
      <c r="J2054">
        <v>4820</v>
      </c>
      <c r="K2054">
        <v>7740</v>
      </c>
      <c r="L2054">
        <v>500</v>
      </c>
      <c r="M2054">
        <v>499</v>
      </c>
      <c r="N2054">
        <v>1</v>
      </c>
      <c r="O2054">
        <v>440</v>
      </c>
      <c r="P2054" s="3" t="s">
        <v>51</v>
      </c>
      <c r="Q2054">
        <v>50</v>
      </c>
      <c r="R2054">
        <v>0.999</v>
      </c>
      <c r="S2054">
        <v>1</v>
      </c>
    </row>
    <row r="2055" spans="1:19" x14ac:dyDescent="0.2">
      <c r="A2055" s="3" t="s">
        <v>54</v>
      </c>
      <c r="B2055" s="3" t="s">
        <v>55</v>
      </c>
      <c r="C2055">
        <v>35</v>
      </c>
      <c r="D2055">
        <v>13000</v>
      </c>
      <c r="E2055">
        <v>499</v>
      </c>
      <c r="F2055">
        <v>1</v>
      </c>
      <c r="G2055">
        <v>13000</v>
      </c>
      <c r="H2055">
        <v>2.6419062E-2</v>
      </c>
      <c r="I2055">
        <v>12559</v>
      </c>
      <c r="J2055">
        <v>4846</v>
      </c>
      <c r="K2055">
        <v>7713</v>
      </c>
      <c r="L2055">
        <v>500</v>
      </c>
      <c r="M2055">
        <v>499</v>
      </c>
      <c r="N2055">
        <v>1</v>
      </c>
      <c r="O2055">
        <v>441</v>
      </c>
      <c r="P2055" s="3" t="s">
        <v>51</v>
      </c>
      <c r="Q2055">
        <v>50</v>
      </c>
      <c r="R2055">
        <v>0.999</v>
      </c>
      <c r="S2055">
        <v>1</v>
      </c>
    </row>
    <row r="2056" spans="1:19" x14ac:dyDescent="0.2">
      <c r="A2056" s="3" t="s">
        <v>54</v>
      </c>
      <c r="B2056" s="3" t="s">
        <v>55</v>
      </c>
      <c r="C2056">
        <v>32</v>
      </c>
      <c r="D2056">
        <v>12000</v>
      </c>
      <c r="E2056">
        <v>499</v>
      </c>
      <c r="F2056">
        <v>1</v>
      </c>
      <c r="G2056">
        <v>50533.323552418398</v>
      </c>
      <c r="H2056">
        <v>2.6413552999999999E-2</v>
      </c>
      <c r="I2056">
        <v>11904</v>
      </c>
      <c r="J2056">
        <v>4060</v>
      </c>
      <c r="K2056">
        <v>7844</v>
      </c>
      <c r="L2056">
        <v>500</v>
      </c>
      <c r="M2056">
        <v>499</v>
      </c>
      <c r="N2056">
        <v>1</v>
      </c>
      <c r="O2056">
        <v>371.8294311441</v>
      </c>
      <c r="P2056" s="3" t="s">
        <v>51</v>
      </c>
      <c r="Q2056">
        <v>50</v>
      </c>
      <c r="R2056">
        <v>0.999</v>
      </c>
      <c r="S2056">
        <v>0</v>
      </c>
    </row>
    <row r="2057" spans="1:19" x14ac:dyDescent="0.2">
      <c r="A2057" s="3" t="s">
        <v>54</v>
      </c>
      <c r="B2057" s="3" t="s">
        <v>55</v>
      </c>
      <c r="C2057">
        <v>30</v>
      </c>
      <c r="D2057">
        <v>16000</v>
      </c>
      <c r="E2057">
        <v>499</v>
      </c>
      <c r="F2057">
        <v>1</v>
      </c>
      <c r="G2057">
        <v>16000</v>
      </c>
      <c r="H2057">
        <v>2.6410757999999999E-2</v>
      </c>
      <c r="I2057">
        <v>14349</v>
      </c>
      <c r="J2057">
        <v>4550</v>
      </c>
      <c r="K2057">
        <v>9799</v>
      </c>
      <c r="L2057">
        <v>500</v>
      </c>
      <c r="M2057">
        <v>499</v>
      </c>
      <c r="N2057">
        <v>1</v>
      </c>
      <c r="O2057">
        <v>1651</v>
      </c>
      <c r="P2057" s="3" t="s">
        <v>50</v>
      </c>
      <c r="Q2057">
        <v>50</v>
      </c>
      <c r="R2057">
        <v>0.999</v>
      </c>
      <c r="S2057">
        <v>1</v>
      </c>
    </row>
    <row r="2058" spans="1:19" x14ac:dyDescent="0.2">
      <c r="A2058" s="3" t="s">
        <v>54</v>
      </c>
      <c r="B2058" s="3" t="s">
        <v>55</v>
      </c>
      <c r="C2058">
        <v>47</v>
      </c>
      <c r="D2058">
        <v>16000</v>
      </c>
      <c r="E2058">
        <v>499</v>
      </c>
      <c r="F2058">
        <v>1</v>
      </c>
      <c r="G2058">
        <v>16000</v>
      </c>
      <c r="H2058">
        <v>2.6410489999999998E-2</v>
      </c>
      <c r="I2058">
        <v>14351</v>
      </c>
      <c r="J2058">
        <v>4578</v>
      </c>
      <c r="K2058">
        <v>9773</v>
      </c>
      <c r="L2058">
        <v>500</v>
      </c>
      <c r="M2058">
        <v>499</v>
      </c>
      <c r="N2058">
        <v>1</v>
      </c>
      <c r="O2058">
        <v>1649</v>
      </c>
      <c r="P2058" s="3" t="s">
        <v>50</v>
      </c>
      <c r="Q2058">
        <v>50</v>
      </c>
      <c r="R2058">
        <v>0.999</v>
      </c>
      <c r="S2058">
        <v>1</v>
      </c>
    </row>
    <row r="2059" spans="1:19" x14ac:dyDescent="0.2">
      <c r="A2059" s="3" t="s">
        <v>54</v>
      </c>
      <c r="B2059" s="3" t="s">
        <v>55</v>
      </c>
      <c r="C2059">
        <v>41</v>
      </c>
      <c r="D2059">
        <v>16000</v>
      </c>
      <c r="E2059">
        <v>499</v>
      </c>
      <c r="F2059">
        <v>1</v>
      </c>
      <c r="G2059">
        <v>16000</v>
      </c>
      <c r="H2059">
        <v>2.6404193999999999E-2</v>
      </c>
      <c r="I2059">
        <v>14330</v>
      </c>
      <c r="J2059">
        <v>4522</v>
      </c>
      <c r="K2059">
        <v>9808</v>
      </c>
      <c r="L2059">
        <v>500</v>
      </c>
      <c r="M2059">
        <v>499</v>
      </c>
      <c r="N2059">
        <v>1</v>
      </c>
      <c r="O2059">
        <v>1670</v>
      </c>
      <c r="P2059" s="3" t="s">
        <v>50</v>
      </c>
      <c r="Q2059">
        <v>50</v>
      </c>
      <c r="R2059">
        <v>0.999</v>
      </c>
      <c r="S2059">
        <v>1</v>
      </c>
    </row>
    <row r="2060" spans="1:19" x14ac:dyDescent="0.2">
      <c r="A2060" s="3" t="s">
        <v>54</v>
      </c>
      <c r="B2060" s="3" t="s">
        <v>55</v>
      </c>
      <c r="C2060">
        <v>22</v>
      </c>
      <c r="D2060">
        <v>12000</v>
      </c>
      <c r="E2060">
        <v>499</v>
      </c>
      <c r="F2060">
        <v>1</v>
      </c>
      <c r="G2060">
        <v>50533.323552418398</v>
      </c>
      <c r="H2060">
        <v>2.6357744999999998E-2</v>
      </c>
      <c r="I2060">
        <v>11877</v>
      </c>
      <c r="J2060">
        <v>4070</v>
      </c>
      <c r="K2060">
        <v>7807</v>
      </c>
      <c r="L2060">
        <v>500</v>
      </c>
      <c r="M2060">
        <v>499</v>
      </c>
      <c r="N2060">
        <v>1</v>
      </c>
      <c r="O2060">
        <v>431.93504906189997</v>
      </c>
      <c r="P2060" s="3" t="s">
        <v>51</v>
      </c>
      <c r="Q2060">
        <v>50</v>
      </c>
      <c r="R2060">
        <v>0.999</v>
      </c>
      <c r="S2060">
        <v>0</v>
      </c>
    </row>
    <row r="2061" spans="1:19" x14ac:dyDescent="0.2">
      <c r="A2061" s="3" t="s">
        <v>54</v>
      </c>
      <c r="B2061" s="3" t="s">
        <v>55</v>
      </c>
      <c r="C2061">
        <v>22</v>
      </c>
      <c r="D2061">
        <v>16000</v>
      </c>
      <c r="E2061">
        <v>499</v>
      </c>
      <c r="F2061">
        <v>1</v>
      </c>
      <c r="G2061">
        <v>16000</v>
      </c>
      <c r="H2061">
        <v>2.6344078E-2</v>
      </c>
      <c r="I2061">
        <v>14346</v>
      </c>
      <c r="J2061">
        <v>4587</v>
      </c>
      <c r="K2061">
        <v>9759</v>
      </c>
      <c r="L2061">
        <v>500</v>
      </c>
      <c r="M2061">
        <v>499</v>
      </c>
      <c r="N2061">
        <v>1</v>
      </c>
      <c r="O2061">
        <v>1654</v>
      </c>
      <c r="P2061" s="3" t="s">
        <v>50</v>
      </c>
      <c r="Q2061">
        <v>50</v>
      </c>
      <c r="R2061">
        <v>0.999</v>
      </c>
      <c r="S2061">
        <v>1</v>
      </c>
    </row>
    <row r="2062" spans="1:19" x14ac:dyDescent="0.2">
      <c r="A2062" s="3" t="s">
        <v>54</v>
      </c>
      <c r="B2062" s="3" t="s">
        <v>55</v>
      </c>
      <c r="C2062">
        <v>42</v>
      </c>
      <c r="D2062">
        <v>16000</v>
      </c>
      <c r="E2062">
        <v>499</v>
      </c>
      <c r="F2062">
        <v>1</v>
      </c>
      <c r="G2062">
        <v>16000</v>
      </c>
      <c r="H2062">
        <v>2.6332528000000001E-2</v>
      </c>
      <c r="I2062">
        <v>14362</v>
      </c>
      <c r="J2062">
        <v>4599</v>
      </c>
      <c r="K2062">
        <v>9763</v>
      </c>
      <c r="L2062">
        <v>500</v>
      </c>
      <c r="M2062">
        <v>499</v>
      </c>
      <c r="N2062">
        <v>1</v>
      </c>
      <c r="O2062">
        <v>1638</v>
      </c>
      <c r="P2062" s="3" t="s">
        <v>50</v>
      </c>
      <c r="Q2062">
        <v>50</v>
      </c>
      <c r="R2062">
        <v>0.999</v>
      </c>
      <c r="S2062">
        <v>1</v>
      </c>
    </row>
    <row r="2063" spans="1:19" x14ac:dyDescent="0.2">
      <c r="A2063" s="3" t="s">
        <v>54</v>
      </c>
      <c r="B2063" s="3" t="s">
        <v>55</v>
      </c>
      <c r="C2063">
        <v>50</v>
      </c>
      <c r="D2063">
        <v>16000</v>
      </c>
      <c r="E2063">
        <v>499</v>
      </c>
      <c r="F2063">
        <v>1</v>
      </c>
      <c r="G2063">
        <v>16000</v>
      </c>
      <c r="H2063">
        <v>2.6306632E-2</v>
      </c>
      <c r="I2063">
        <v>14355</v>
      </c>
      <c r="J2063">
        <v>4545</v>
      </c>
      <c r="K2063">
        <v>9810</v>
      </c>
      <c r="L2063">
        <v>500</v>
      </c>
      <c r="M2063">
        <v>499</v>
      </c>
      <c r="N2063">
        <v>1</v>
      </c>
      <c r="O2063">
        <v>1645</v>
      </c>
      <c r="P2063" s="3" t="s">
        <v>50</v>
      </c>
      <c r="Q2063">
        <v>50</v>
      </c>
      <c r="R2063">
        <v>0.999</v>
      </c>
      <c r="S2063">
        <v>1</v>
      </c>
    </row>
    <row r="2064" spans="1:19" x14ac:dyDescent="0.2">
      <c r="A2064" s="3" t="s">
        <v>54</v>
      </c>
      <c r="B2064" s="3" t="s">
        <v>55</v>
      </c>
      <c r="C2064">
        <v>10</v>
      </c>
      <c r="D2064">
        <v>16000</v>
      </c>
      <c r="E2064">
        <v>499</v>
      </c>
      <c r="F2064">
        <v>1</v>
      </c>
      <c r="G2064">
        <v>16000</v>
      </c>
      <c r="H2064">
        <v>2.6288941E-2</v>
      </c>
      <c r="I2064">
        <v>14347</v>
      </c>
      <c r="J2064">
        <v>4539</v>
      </c>
      <c r="K2064">
        <v>9808</v>
      </c>
      <c r="L2064">
        <v>500</v>
      </c>
      <c r="M2064">
        <v>499</v>
      </c>
      <c r="N2064">
        <v>1</v>
      </c>
      <c r="O2064">
        <v>1653</v>
      </c>
      <c r="P2064" s="3" t="s">
        <v>50</v>
      </c>
      <c r="Q2064">
        <v>50</v>
      </c>
      <c r="R2064">
        <v>0.999</v>
      </c>
      <c r="S2064">
        <v>1</v>
      </c>
    </row>
    <row r="2065" spans="1:19" x14ac:dyDescent="0.2">
      <c r="A2065" s="3" t="s">
        <v>54</v>
      </c>
      <c r="B2065" s="3" t="s">
        <v>55</v>
      </c>
      <c r="C2065">
        <v>36</v>
      </c>
      <c r="D2065">
        <v>12000</v>
      </c>
      <c r="E2065">
        <v>499</v>
      </c>
      <c r="F2065">
        <v>1</v>
      </c>
      <c r="G2065">
        <v>50533.323552418398</v>
      </c>
      <c r="H2065">
        <v>2.6285592999999999E-2</v>
      </c>
      <c r="I2065">
        <v>11894</v>
      </c>
      <c r="J2065">
        <v>4084</v>
      </c>
      <c r="K2065">
        <v>7810</v>
      </c>
      <c r="L2065">
        <v>500</v>
      </c>
      <c r="M2065">
        <v>499</v>
      </c>
      <c r="N2065">
        <v>1</v>
      </c>
      <c r="O2065">
        <v>377.8055798117</v>
      </c>
      <c r="P2065" s="3" t="s">
        <v>51</v>
      </c>
      <c r="Q2065">
        <v>50</v>
      </c>
      <c r="R2065">
        <v>0.999</v>
      </c>
      <c r="S2065">
        <v>0</v>
      </c>
    </row>
    <row r="2066" spans="1:19" x14ac:dyDescent="0.2">
      <c r="A2066" s="3" t="s">
        <v>54</v>
      </c>
      <c r="B2066" s="3" t="s">
        <v>55</v>
      </c>
      <c r="C2066">
        <v>7</v>
      </c>
      <c r="D2066">
        <v>16000</v>
      </c>
      <c r="E2066">
        <v>499</v>
      </c>
      <c r="F2066">
        <v>1</v>
      </c>
      <c r="G2066">
        <v>16000</v>
      </c>
      <c r="H2066">
        <v>2.6282396999999999E-2</v>
      </c>
      <c r="I2066">
        <v>14340</v>
      </c>
      <c r="J2066">
        <v>4532</v>
      </c>
      <c r="K2066">
        <v>9808</v>
      </c>
      <c r="L2066">
        <v>500</v>
      </c>
      <c r="M2066">
        <v>499</v>
      </c>
      <c r="N2066">
        <v>1</v>
      </c>
      <c r="O2066">
        <v>1660</v>
      </c>
      <c r="P2066" s="3" t="s">
        <v>50</v>
      </c>
      <c r="Q2066">
        <v>50</v>
      </c>
      <c r="R2066">
        <v>0.999</v>
      </c>
      <c r="S2066">
        <v>1</v>
      </c>
    </row>
    <row r="2067" spans="1:19" x14ac:dyDescent="0.2">
      <c r="A2067" s="3" t="s">
        <v>54</v>
      </c>
      <c r="B2067" s="3" t="s">
        <v>55</v>
      </c>
      <c r="C2067">
        <v>9</v>
      </c>
      <c r="D2067">
        <v>15000</v>
      </c>
      <c r="E2067">
        <v>499</v>
      </c>
      <c r="F2067">
        <v>1</v>
      </c>
      <c r="G2067">
        <v>15000</v>
      </c>
      <c r="H2067">
        <v>2.6231253999999999E-2</v>
      </c>
      <c r="I2067">
        <v>13761</v>
      </c>
      <c r="J2067">
        <v>4340</v>
      </c>
      <c r="K2067">
        <v>9421</v>
      </c>
      <c r="L2067">
        <v>500</v>
      </c>
      <c r="M2067">
        <v>499</v>
      </c>
      <c r="N2067">
        <v>1</v>
      </c>
      <c r="O2067">
        <v>1239</v>
      </c>
      <c r="P2067" s="3" t="s">
        <v>52</v>
      </c>
      <c r="Q2067">
        <v>50</v>
      </c>
      <c r="R2067">
        <v>0.999</v>
      </c>
      <c r="S2067">
        <v>1</v>
      </c>
    </row>
    <row r="2068" spans="1:19" x14ac:dyDescent="0.2">
      <c r="A2068" s="3" t="s">
        <v>54</v>
      </c>
      <c r="B2068" s="3" t="s">
        <v>55</v>
      </c>
      <c r="C2068">
        <v>20</v>
      </c>
      <c r="D2068">
        <v>16000</v>
      </c>
      <c r="E2068">
        <v>499</v>
      </c>
      <c r="F2068">
        <v>1</v>
      </c>
      <c r="G2068">
        <v>16000</v>
      </c>
      <c r="H2068">
        <v>2.6211327999999999E-2</v>
      </c>
      <c r="I2068">
        <v>14359</v>
      </c>
      <c r="J2068">
        <v>4543</v>
      </c>
      <c r="K2068">
        <v>9816</v>
      </c>
      <c r="L2068">
        <v>500</v>
      </c>
      <c r="M2068">
        <v>499</v>
      </c>
      <c r="N2068">
        <v>1</v>
      </c>
      <c r="O2068">
        <v>1641</v>
      </c>
      <c r="P2068" s="3" t="s">
        <v>50</v>
      </c>
      <c r="Q2068">
        <v>50</v>
      </c>
      <c r="R2068">
        <v>0.999</v>
      </c>
      <c r="S2068">
        <v>1</v>
      </c>
    </row>
    <row r="2069" spans="1:19" x14ac:dyDescent="0.2">
      <c r="A2069" s="3" t="s">
        <v>54</v>
      </c>
      <c r="B2069" s="3" t="s">
        <v>55</v>
      </c>
      <c r="C2069">
        <v>27</v>
      </c>
      <c r="D2069">
        <v>16000</v>
      </c>
      <c r="E2069">
        <v>499</v>
      </c>
      <c r="F2069">
        <v>1</v>
      </c>
      <c r="G2069">
        <v>16000</v>
      </c>
      <c r="H2069">
        <v>2.6206699E-2</v>
      </c>
      <c r="I2069">
        <v>14383</v>
      </c>
      <c r="J2069">
        <v>4577</v>
      </c>
      <c r="K2069">
        <v>9806</v>
      </c>
      <c r="L2069">
        <v>500</v>
      </c>
      <c r="M2069">
        <v>499</v>
      </c>
      <c r="N2069">
        <v>1</v>
      </c>
      <c r="O2069">
        <v>1617</v>
      </c>
      <c r="P2069" s="3" t="s">
        <v>50</v>
      </c>
      <c r="Q2069">
        <v>50</v>
      </c>
      <c r="R2069">
        <v>0.999</v>
      </c>
      <c r="S2069">
        <v>1</v>
      </c>
    </row>
    <row r="2070" spans="1:19" x14ac:dyDescent="0.2">
      <c r="A2070" s="3" t="s">
        <v>54</v>
      </c>
      <c r="B2070" s="3" t="s">
        <v>55</v>
      </c>
      <c r="C2070">
        <v>37</v>
      </c>
      <c r="D2070">
        <v>16000</v>
      </c>
      <c r="E2070">
        <v>499</v>
      </c>
      <c r="F2070">
        <v>1</v>
      </c>
      <c r="G2070">
        <v>16000</v>
      </c>
      <c r="H2070">
        <v>2.6203783000000001E-2</v>
      </c>
      <c r="I2070">
        <v>14341</v>
      </c>
      <c r="J2070">
        <v>4500</v>
      </c>
      <c r="K2070">
        <v>9841</v>
      </c>
      <c r="L2070">
        <v>500</v>
      </c>
      <c r="M2070">
        <v>499</v>
      </c>
      <c r="N2070">
        <v>1</v>
      </c>
      <c r="O2070">
        <v>1659</v>
      </c>
      <c r="P2070" s="3" t="s">
        <v>50</v>
      </c>
      <c r="Q2070">
        <v>50</v>
      </c>
      <c r="R2070">
        <v>0.999</v>
      </c>
      <c r="S2070">
        <v>1</v>
      </c>
    </row>
    <row r="2071" spans="1:19" x14ac:dyDescent="0.2">
      <c r="A2071" s="3" t="s">
        <v>54</v>
      </c>
      <c r="B2071" s="3" t="s">
        <v>55</v>
      </c>
      <c r="C2071">
        <v>44</v>
      </c>
      <c r="D2071">
        <v>16000</v>
      </c>
      <c r="E2071">
        <v>499</v>
      </c>
      <c r="F2071">
        <v>1</v>
      </c>
      <c r="G2071">
        <v>16000</v>
      </c>
      <c r="H2071">
        <v>2.6200767999999999E-2</v>
      </c>
      <c r="I2071">
        <v>14336</v>
      </c>
      <c r="J2071">
        <v>4533</v>
      </c>
      <c r="K2071">
        <v>9803</v>
      </c>
      <c r="L2071">
        <v>500</v>
      </c>
      <c r="M2071">
        <v>499</v>
      </c>
      <c r="N2071">
        <v>1</v>
      </c>
      <c r="O2071">
        <v>1664</v>
      </c>
      <c r="P2071" s="3" t="s">
        <v>50</v>
      </c>
      <c r="Q2071">
        <v>50</v>
      </c>
      <c r="R2071">
        <v>0.999</v>
      </c>
      <c r="S2071">
        <v>1</v>
      </c>
    </row>
    <row r="2072" spans="1:19" x14ac:dyDescent="0.2">
      <c r="A2072" s="3" t="s">
        <v>54</v>
      </c>
      <c r="B2072" s="3" t="s">
        <v>55</v>
      </c>
      <c r="C2072">
        <v>4</v>
      </c>
      <c r="D2072">
        <v>16000</v>
      </c>
      <c r="E2072">
        <v>499</v>
      </c>
      <c r="F2072">
        <v>1</v>
      </c>
      <c r="G2072">
        <v>16000</v>
      </c>
      <c r="H2072">
        <v>2.6182140999999999E-2</v>
      </c>
      <c r="I2072">
        <v>14337</v>
      </c>
      <c r="J2072">
        <v>4527</v>
      </c>
      <c r="K2072">
        <v>9810</v>
      </c>
      <c r="L2072">
        <v>500</v>
      </c>
      <c r="M2072">
        <v>499</v>
      </c>
      <c r="N2072">
        <v>1</v>
      </c>
      <c r="O2072">
        <v>1663</v>
      </c>
      <c r="P2072" s="3" t="s">
        <v>50</v>
      </c>
      <c r="Q2072">
        <v>50</v>
      </c>
      <c r="R2072">
        <v>0.999</v>
      </c>
      <c r="S2072">
        <v>1</v>
      </c>
    </row>
    <row r="2073" spans="1:19" x14ac:dyDescent="0.2">
      <c r="A2073" s="3" t="s">
        <v>54</v>
      </c>
      <c r="B2073" s="3" t="s">
        <v>55</v>
      </c>
      <c r="C2073">
        <v>5</v>
      </c>
      <c r="D2073">
        <v>16000</v>
      </c>
      <c r="E2073">
        <v>499</v>
      </c>
      <c r="F2073">
        <v>1</v>
      </c>
      <c r="G2073">
        <v>16000</v>
      </c>
      <c r="H2073">
        <v>2.6179188999999999E-2</v>
      </c>
      <c r="I2073">
        <v>14340</v>
      </c>
      <c r="J2073">
        <v>4504</v>
      </c>
      <c r="K2073">
        <v>9836</v>
      </c>
      <c r="L2073">
        <v>500</v>
      </c>
      <c r="M2073">
        <v>499</v>
      </c>
      <c r="N2073">
        <v>1</v>
      </c>
      <c r="O2073">
        <v>1660</v>
      </c>
      <c r="P2073" s="3" t="s">
        <v>50</v>
      </c>
      <c r="Q2073">
        <v>50</v>
      </c>
      <c r="R2073">
        <v>0.999</v>
      </c>
      <c r="S2073">
        <v>1</v>
      </c>
    </row>
    <row r="2074" spans="1:19" x14ac:dyDescent="0.2">
      <c r="A2074" s="3" t="s">
        <v>54</v>
      </c>
      <c r="B2074" s="3" t="s">
        <v>55</v>
      </c>
      <c r="C2074">
        <v>18</v>
      </c>
      <c r="D2074">
        <v>12000</v>
      </c>
      <c r="E2074">
        <v>499</v>
      </c>
      <c r="F2074">
        <v>1</v>
      </c>
      <c r="G2074">
        <v>50533.323552418398</v>
      </c>
      <c r="H2074">
        <v>2.6166201E-2</v>
      </c>
      <c r="I2074">
        <v>11892</v>
      </c>
      <c r="J2074">
        <v>4075</v>
      </c>
      <c r="K2074">
        <v>7817</v>
      </c>
      <c r="L2074">
        <v>500</v>
      </c>
      <c r="M2074">
        <v>499</v>
      </c>
      <c r="N2074">
        <v>1</v>
      </c>
      <c r="O2074">
        <v>385.80630370860001</v>
      </c>
      <c r="P2074" s="3" t="s">
        <v>51</v>
      </c>
      <c r="Q2074">
        <v>50</v>
      </c>
      <c r="R2074">
        <v>0.999</v>
      </c>
      <c r="S2074">
        <v>0</v>
      </c>
    </row>
    <row r="2075" spans="1:19" x14ac:dyDescent="0.2">
      <c r="A2075" s="3" t="s">
        <v>54</v>
      </c>
      <c r="B2075" s="3" t="s">
        <v>55</v>
      </c>
      <c r="C2075">
        <v>35</v>
      </c>
      <c r="D2075">
        <v>12000</v>
      </c>
      <c r="E2075">
        <v>499</v>
      </c>
      <c r="F2075">
        <v>1</v>
      </c>
      <c r="G2075">
        <v>50533.323552418398</v>
      </c>
      <c r="H2075">
        <v>2.6164999000000001E-2</v>
      </c>
      <c r="I2075">
        <v>11896</v>
      </c>
      <c r="J2075">
        <v>4074</v>
      </c>
      <c r="K2075">
        <v>7822</v>
      </c>
      <c r="L2075">
        <v>500</v>
      </c>
      <c r="M2075">
        <v>499</v>
      </c>
      <c r="N2075">
        <v>1</v>
      </c>
      <c r="O2075">
        <v>361.06703631699997</v>
      </c>
      <c r="P2075" s="3" t="s">
        <v>51</v>
      </c>
      <c r="Q2075">
        <v>50</v>
      </c>
      <c r="R2075">
        <v>0.999</v>
      </c>
      <c r="S2075">
        <v>0</v>
      </c>
    </row>
    <row r="2076" spans="1:19" x14ac:dyDescent="0.2">
      <c r="A2076" s="3" t="s">
        <v>54</v>
      </c>
      <c r="B2076" s="3" t="s">
        <v>55</v>
      </c>
      <c r="C2076">
        <v>25</v>
      </c>
      <c r="D2076">
        <v>16000</v>
      </c>
      <c r="E2076">
        <v>499</v>
      </c>
      <c r="F2076">
        <v>1</v>
      </c>
      <c r="G2076">
        <v>16000</v>
      </c>
      <c r="H2076">
        <v>2.6163578999999999E-2</v>
      </c>
      <c r="I2076">
        <v>14331</v>
      </c>
      <c r="J2076">
        <v>4527</v>
      </c>
      <c r="K2076">
        <v>9804</v>
      </c>
      <c r="L2076">
        <v>500</v>
      </c>
      <c r="M2076">
        <v>499</v>
      </c>
      <c r="N2076">
        <v>1</v>
      </c>
      <c r="O2076">
        <v>1669</v>
      </c>
      <c r="P2076" s="3" t="s">
        <v>50</v>
      </c>
      <c r="Q2076">
        <v>50</v>
      </c>
      <c r="R2076">
        <v>0.999</v>
      </c>
      <c r="S2076">
        <v>1</v>
      </c>
    </row>
    <row r="2077" spans="1:19" x14ac:dyDescent="0.2">
      <c r="A2077" s="3" t="s">
        <v>54</v>
      </c>
      <c r="B2077" s="3" t="s">
        <v>55</v>
      </c>
      <c r="C2077">
        <v>25</v>
      </c>
      <c r="D2077">
        <v>10000</v>
      </c>
      <c r="E2077">
        <v>499</v>
      </c>
      <c r="F2077">
        <v>1</v>
      </c>
      <c r="G2077">
        <v>10000</v>
      </c>
      <c r="H2077">
        <v>2.6161057000000001E-2</v>
      </c>
      <c r="I2077">
        <v>10000</v>
      </c>
      <c r="J2077">
        <v>4183</v>
      </c>
      <c r="K2077">
        <v>5817</v>
      </c>
      <c r="L2077">
        <v>500</v>
      </c>
      <c r="M2077">
        <v>499</v>
      </c>
      <c r="N2077">
        <v>1</v>
      </c>
      <c r="O2077">
        <v>0</v>
      </c>
      <c r="P2077" s="3" t="s">
        <v>51</v>
      </c>
      <c r="Q2077">
        <v>50</v>
      </c>
      <c r="R2077">
        <v>0.999</v>
      </c>
      <c r="S2077">
        <v>1</v>
      </c>
    </row>
    <row r="2078" spans="1:19" x14ac:dyDescent="0.2">
      <c r="A2078" s="3" t="s">
        <v>54</v>
      </c>
      <c r="B2078" s="3" t="s">
        <v>55</v>
      </c>
      <c r="C2078">
        <v>17</v>
      </c>
      <c r="D2078">
        <v>12000</v>
      </c>
      <c r="E2078">
        <v>499</v>
      </c>
      <c r="F2078">
        <v>1</v>
      </c>
      <c r="G2078">
        <v>50533.323552418398</v>
      </c>
      <c r="H2078">
        <v>2.6150240000000002E-2</v>
      </c>
      <c r="I2078">
        <v>11893</v>
      </c>
      <c r="J2078">
        <v>4060</v>
      </c>
      <c r="K2078">
        <v>7833</v>
      </c>
      <c r="L2078">
        <v>500</v>
      </c>
      <c r="M2078">
        <v>499</v>
      </c>
      <c r="N2078">
        <v>1</v>
      </c>
      <c r="O2078">
        <v>392.92584510850003</v>
      </c>
      <c r="P2078" s="3" t="s">
        <v>51</v>
      </c>
      <c r="Q2078">
        <v>50</v>
      </c>
      <c r="R2078">
        <v>0.999</v>
      </c>
      <c r="S2078">
        <v>0</v>
      </c>
    </row>
    <row r="2079" spans="1:19" x14ac:dyDescent="0.2">
      <c r="A2079" s="3" t="s">
        <v>54</v>
      </c>
      <c r="B2079" s="3" t="s">
        <v>55</v>
      </c>
      <c r="C2079">
        <v>36</v>
      </c>
      <c r="D2079">
        <v>16000</v>
      </c>
      <c r="E2079">
        <v>499</v>
      </c>
      <c r="F2079">
        <v>1</v>
      </c>
      <c r="G2079">
        <v>16000</v>
      </c>
      <c r="H2079">
        <v>2.6146519999999999E-2</v>
      </c>
      <c r="I2079">
        <v>14348</v>
      </c>
      <c r="J2079">
        <v>4546</v>
      </c>
      <c r="K2079">
        <v>9802</v>
      </c>
      <c r="L2079">
        <v>500</v>
      </c>
      <c r="M2079">
        <v>499</v>
      </c>
      <c r="N2079">
        <v>1</v>
      </c>
      <c r="O2079">
        <v>1652</v>
      </c>
      <c r="P2079" s="3" t="s">
        <v>50</v>
      </c>
      <c r="Q2079">
        <v>50</v>
      </c>
      <c r="R2079">
        <v>0.999</v>
      </c>
      <c r="S2079">
        <v>1</v>
      </c>
    </row>
    <row r="2080" spans="1:19" x14ac:dyDescent="0.2">
      <c r="A2080" s="3" t="s">
        <v>54</v>
      </c>
      <c r="B2080" s="3" t="s">
        <v>55</v>
      </c>
      <c r="C2080">
        <v>48</v>
      </c>
      <c r="D2080">
        <v>16000</v>
      </c>
      <c r="E2080">
        <v>499</v>
      </c>
      <c r="F2080">
        <v>1</v>
      </c>
      <c r="G2080">
        <v>16000</v>
      </c>
      <c r="H2080">
        <v>2.6129184E-2</v>
      </c>
      <c r="I2080">
        <v>14354</v>
      </c>
      <c r="J2080">
        <v>4551</v>
      </c>
      <c r="K2080">
        <v>9803</v>
      </c>
      <c r="L2080">
        <v>500</v>
      </c>
      <c r="M2080">
        <v>499</v>
      </c>
      <c r="N2080">
        <v>1</v>
      </c>
      <c r="O2080">
        <v>1646</v>
      </c>
      <c r="P2080" s="3" t="s">
        <v>50</v>
      </c>
      <c r="Q2080">
        <v>50</v>
      </c>
      <c r="R2080">
        <v>0.999</v>
      </c>
      <c r="S2080">
        <v>1</v>
      </c>
    </row>
    <row r="2081" spans="1:19" x14ac:dyDescent="0.2">
      <c r="A2081" s="3" t="s">
        <v>54</v>
      </c>
      <c r="B2081" s="3" t="s">
        <v>55</v>
      </c>
      <c r="C2081">
        <v>13</v>
      </c>
      <c r="D2081">
        <v>16000</v>
      </c>
      <c r="E2081">
        <v>499</v>
      </c>
      <c r="F2081">
        <v>1</v>
      </c>
      <c r="G2081">
        <v>16000</v>
      </c>
      <c r="H2081">
        <v>2.6121064999999999E-2</v>
      </c>
      <c r="I2081">
        <v>14370</v>
      </c>
      <c r="J2081">
        <v>4566</v>
      </c>
      <c r="K2081">
        <v>9804</v>
      </c>
      <c r="L2081">
        <v>500</v>
      </c>
      <c r="M2081">
        <v>499</v>
      </c>
      <c r="N2081">
        <v>1</v>
      </c>
      <c r="O2081">
        <v>1630</v>
      </c>
      <c r="P2081" s="3" t="s">
        <v>50</v>
      </c>
      <c r="Q2081">
        <v>50</v>
      </c>
      <c r="R2081">
        <v>0.999</v>
      </c>
      <c r="S2081">
        <v>1</v>
      </c>
    </row>
    <row r="2082" spans="1:19" x14ac:dyDescent="0.2">
      <c r="A2082" s="3" t="s">
        <v>54</v>
      </c>
      <c r="B2082" s="3" t="s">
        <v>55</v>
      </c>
      <c r="C2082">
        <v>33</v>
      </c>
      <c r="D2082">
        <v>16000</v>
      </c>
      <c r="E2082">
        <v>499</v>
      </c>
      <c r="F2082">
        <v>1</v>
      </c>
      <c r="G2082">
        <v>16000</v>
      </c>
      <c r="H2082">
        <v>2.6109925999999999E-2</v>
      </c>
      <c r="I2082">
        <v>14362</v>
      </c>
      <c r="J2082">
        <v>4565</v>
      </c>
      <c r="K2082">
        <v>9797</v>
      </c>
      <c r="L2082">
        <v>500</v>
      </c>
      <c r="M2082">
        <v>499</v>
      </c>
      <c r="N2082">
        <v>1</v>
      </c>
      <c r="O2082">
        <v>1638</v>
      </c>
      <c r="P2082" s="3" t="s">
        <v>50</v>
      </c>
      <c r="Q2082">
        <v>50</v>
      </c>
      <c r="R2082">
        <v>0.999</v>
      </c>
      <c r="S2082">
        <v>1</v>
      </c>
    </row>
    <row r="2083" spans="1:19" x14ac:dyDescent="0.2">
      <c r="A2083" s="3" t="s">
        <v>54</v>
      </c>
      <c r="B2083" s="3" t="s">
        <v>55</v>
      </c>
      <c r="C2083">
        <v>40</v>
      </c>
      <c r="D2083">
        <v>16000</v>
      </c>
      <c r="E2083">
        <v>499</v>
      </c>
      <c r="F2083">
        <v>1</v>
      </c>
      <c r="G2083">
        <v>16000</v>
      </c>
      <c r="H2083">
        <v>2.6104352000000001E-2</v>
      </c>
      <c r="I2083">
        <v>14342</v>
      </c>
      <c r="J2083">
        <v>4525</v>
      </c>
      <c r="K2083">
        <v>9817</v>
      </c>
      <c r="L2083">
        <v>500</v>
      </c>
      <c r="M2083">
        <v>499</v>
      </c>
      <c r="N2083">
        <v>1</v>
      </c>
      <c r="O2083">
        <v>1658</v>
      </c>
      <c r="P2083" s="3" t="s">
        <v>50</v>
      </c>
      <c r="Q2083">
        <v>50</v>
      </c>
      <c r="R2083">
        <v>0.999</v>
      </c>
      <c r="S2083">
        <v>1</v>
      </c>
    </row>
    <row r="2084" spans="1:19" x14ac:dyDescent="0.2">
      <c r="A2084" s="3" t="s">
        <v>54</v>
      </c>
      <c r="B2084" s="3" t="s">
        <v>55</v>
      </c>
      <c r="C2084">
        <v>19</v>
      </c>
      <c r="D2084">
        <v>16000</v>
      </c>
      <c r="E2084">
        <v>499</v>
      </c>
      <c r="F2084">
        <v>1</v>
      </c>
      <c r="G2084">
        <v>16000</v>
      </c>
      <c r="H2084">
        <v>2.6103271000000001E-2</v>
      </c>
      <c r="I2084">
        <v>14362</v>
      </c>
      <c r="J2084">
        <v>4534</v>
      </c>
      <c r="K2084">
        <v>9828</v>
      </c>
      <c r="L2084">
        <v>500</v>
      </c>
      <c r="M2084">
        <v>499</v>
      </c>
      <c r="N2084">
        <v>1</v>
      </c>
      <c r="O2084">
        <v>1638</v>
      </c>
      <c r="P2084" s="3" t="s">
        <v>50</v>
      </c>
      <c r="Q2084">
        <v>50</v>
      </c>
      <c r="R2084">
        <v>0.999</v>
      </c>
      <c r="S2084">
        <v>1</v>
      </c>
    </row>
    <row r="2085" spans="1:19" x14ac:dyDescent="0.2">
      <c r="A2085" s="3" t="s">
        <v>54</v>
      </c>
      <c r="B2085" s="3" t="s">
        <v>55</v>
      </c>
      <c r="C2085">
        <v>18</v>
      </c>
      <c r="D2085">
        <v>16000</v>
      </c>
      <c r="E2085">
        <v>499</v>
      </c>
      <c r="F2085">
        <v>1</v>
      </c>
      <c r="G2085">
        <v>16000</v>
      </c>
      <c r="H2085">
        <v>2.6094297999999998E-2</v>
      </c>
      <c r="I2085">
        <v>14347</v>
      </c>
      <c r="J2085">
        <v>4575</v>
      </c>
      <c r="K2085">
        <v>9772</v>
      </c>
      <c r="L2085">
        <v>500</v>
      </c>
      <c r="M2085">
        <v>499</v>
      </c>
      <c r="N2085">
        <v>1</v>
      </c>
      <c r="O2085">
        <v>1653</v>
      </c>
      <c r="P2085" s="3" t="s">
        <v>50</v>
      </c>
      <c r="Q2085">
        <v>50</v>
      </c>
      <c r="R2085">
        <v>0.999</v>
      </c>
      <c r="S2085">
        <v>1</v>
      </c>
    </row>
    <row r="2086" spans="1:19" x14ac:dyDescent="0.2">
      <c r="A2086" s="3" t="s">
        <v>54</v>
      </c>
      <c r="B2086" s="3" t="s">
        <v>55</v>
      </c>
      <c r="C2086">
        <v>12</v>
      </c>
      <c r="D2086">
        <v>16000</v>
      </c>
      <c r="E2086">
        <v>499</v>
      </c>
      <c r="F2086">
        <v>1</v>
      </c>
      <c r="G2086">
        <v>16000</v>
      </c>
      <c r="H2086">
        <v>2.6094214000000001E-2</v>
      </c>
      <c r="I2086">
        <v>14338</v>
      </c>
      <c r="J2086">
        <v>4566</v>
      </c>
      <c r="K2086">
        <v>9772</v>
      </c>
      <c r="L2086">
        <v>500</v>
      </c>
      <c r="M2086">
        <v>499</v>
      </c>
      <c r="N2086">
        <v>1</v>
      </c>
      <c r="O2086">
        <v>1662</v>
      </c>
      <c r="P2086" s="3" t="s">
        <v>50</v>
      </c>
      <c r="Q2086">
        <v>50</v>
      </c>
      <c r="R2086">
        <v>0.999</v>
      </c>
      <c r="S2086">
        <v>1</v>
      </c>
    </row>
    <row r="2087" spans="1:19" x14ac:dyDescent="0.2">
      <c r="A2087" s="3" t="s">
        <v>54</v>
      </c>
      <c r="B2087" s="3" t="s">
        <v>55</v>
      </c>
      <c r="C2087">
        <v>10</v>
      </c>
      <c r="D2087">
        <v>12000</v>
      </c>
      <c r="E2087">
        <v>499</v>
      </c>
      <c r="F2087">
        <v>1</v>
      </c>
      <c r="G2087">
        <v>50533.323552418398</v>
      </c>
      <c r="H2087">
        <v>2.6072105000000002E-2</v>
      </c>
      <c r="I2087">
        <v>11882</v>
      </c>
      <c r="J2087">
        <v>4047</v>
      </c>
      <c r="K2087">
        <v>7835</v>
      </c>
      <c r="L2087">
        <v>500</v>
      </c>
      <c r="M2087">
        <v>499</v>
      </c>
      <c r="N2087">
        <v>1</v>
      </c>
      <c r="O2087">
        <v>417.8268347348</v>
      </c>
      <c r="P2087" s="3" t="s">
        <v>51</v>
      </c>
      <c r="Q2087">
        <v>50</v>
      </c>
      <c r="R2087">
        <v>0.999</v>
      </c>
      <c r="S2087">
        <v>0</v>
      </c>
    </row>
    <row r="2088" spans="1:19" x14ac:dyDescent="0.2">
      <c r="A2088" s="3" t="s">
        <v>54</v>
      </c>
      <c r="B2088" s="3" t="s">
        <v>55</v>
      </c>
      <c r="C2088">
        <v>43</v>
      </c>
      <c r="D2088">
        <v>16000</v>
      </c>
      <c r="E2088">
        <v>499</v>
      </c>
      <c r="F2088">
        <v>1</v>
      </c>
      <c r="G2088">
        <v>16000</v>
      </c>
      <c r="H2088">
        <v>2.6063185999999999E-2</v>
      </c>
      <c r="I2088">
        <v>14370</v>
      </c>
      <c r="J2088">
        <v>4550</v>
      </c>
      <c r="K2088">
        <v>9820</v>
      </c>
      <c r="L2088">
        <v>500</v>
      </c>
      <c r="M2088">
        <v>499</v>
      </c>
      <c r="N2088">
        <v>1</v>
      </c>
      <c r="O2088">
        <v>1630</v>
      </c>
      <c r="P2088" s="3" t="s">
        <v>50</v>
      </c>
      <c r="Q2088">
        <v>50</v>
      </c>
      <c r="R2088">
        <v>0.999</v>
      </c>
      <c r="S2088">
        <v>1</v>
      </c>
    </row>
    <row r="2089" spans="1:19" x14ac:dyDescent="0.2">
      <c r="A2089" s="3" t="s">
        <v>54</v>
      </c>
      <c r="B2089" s="3" t="s">
        <v>55</v>
      </c>
      <c r="C2089">
        <v>11</v>
      </c>
      <c r="D2089">
        <v>14000</v>
      </c>
      <c r="E2089">
        <v>499</v>
      </c>
      <c r="F2089">
        <v>1</v>
      </c>
      <c r="G2089">
        <v>14000</v>
      </c>
      <c r="H2089">
        <v>2.6051791000000001E-2</v>
      </c>
      <c r="I2089">
        <v>13300</v>
      </c>
      <c r="J2089">
        <v>4062</v>
      </c>
      <c r="K2089">
        <v>9238</v>
      </c>
      <c r="L2089">
        <v>500</v>
      </c>
      <c r="M2089">
        <v>499</v>
      </c>
      <c r="N2089">
        <v>1</v>
      </c>
      <c r="O2089">
        <v>700</v>
      </c>
      <c r="P2089" s="3" t="s">
        <v>50</v>
      </c>
      <c r="Q2089">
        <v>50</v>
      </c>
      <c r="R2089">
        <v>0.999</v>
      </c>
      <c r="S2089">
        <v>1</v>
      </c>
    </row>
    <row r="2090" spans="1:19" x14ac:dyDescent="0.2">
      <c r="A2090" s="3" t="s">
        <v>54</v>
      </c>
      <c r="B2090" s="3" t="s">
        <v>55</v>
      </c>
      <c r="C2090">
        <v>34</v>
      </c>
      <c r="D2090">
        <v>12000</v>
      </c>
      <c r="E2090">
        <v>499</v>
      </c>
      <c r="F2090">
        <v>1</v>
      </c>
      <c r="G2090">
        <v>50533.323552418398</v>
      </c>
      <c r="H2090">
        <v>2.6022981000000001E-2</v>
      </c>
      <c r="I2090">
        <v>11876</v>
      </c>
      <c r="J2090">
        <v>4042</v>
      </c>
      <c r="K2090">
        <v>7834</v>
      </c>
      <c r="L2090">
        <v>500</v>
      </c>
      <c r="M2090">
        <v>499</v>
      </c>
      <c r="N2090">
        <v>1</v>
      </c>
      <c r="O2090">
        <v>442.92872169370003</v>
      </c>
      <c r="P2090" s="3" t="s">
        <v>51</v>
      </c>
      <c r="Q2090">
        <v>50</v>
      </c>
      <c r="R2090">
        <v>0.999</v>
      </c>
      <c r="S2090">
        <v>0</v>
      </c>
    </row>
    <row r="2091" spans="1:19" x14ac:dyDescent="0.2">
      <c r="A2091" s="3" t="s">
        <v>54</v>
      </c>
      <c r="B2091" s="3" t="s">
        <v>55</v>
      </c>
      <c r="C2091">
        <v>3</v>
      </c>
      <c r="D2091">
        <v>16000</v>
      </c>
      <c r="E2091">
        <v>499</v>
      </c>
      <c r="F2091">
        <v>1</v>
      </c>
      <c r="G2091">
        <v>16000</v>
      </c>
      <c r="H2091">
        <v>2.6019450999999999E-2</v>
      </c>
      <c r="I2091">
        <v>14378</v>
      </c>
      <c r="J2091">
        <v>4562</v>
      </c>
      <c r="K2091">
        <v>9816</v>
      </c>
      <c r="L2091">
        <v>500</v>
      </c>
      <c r="M2091">
        <v>499</v>
      </c>
      <c r="N2091">
        <v>1</v>
      </c>
      <c r="O2091">
        <v>1622</v>
      </c>
      <c r="P2091" s="3" t="s">
        <v>50</v>
      </c>
      <c r="Q2091">
        <v>50</v>
      </c>
      <c r="R2091">
        <v>0.999</v>
      </c>
      <c r="S2091">
        <v>1</v>
      </c>
    </row>
    <row r="2092" spans="1:19" x14ac:dyDescent="0.2">
      <c r="A2092" s="3" t="s">
        <v>54</v>
      </c>
      <c r="B2092" s="3" t="s">
        <v>55</v>
      </c>
      <c r="C2092">
        <v>5</v>
      </c>
      <c r="D2092">
        <v>12000</v>
      </c>
      <c r="E2092">
        <v>499</v>
      </c>
      <c r="F2092">
        <v>1</v>
      </c>
      <c r="G2092">
        <v>50533.323552418398</v>
      </c>
      <c r="H2092">
        <v>2.6006781999999999E-2</v>
      </c>
      <c r="I2092">
        <v>11907</v>
      </c>
      <c r="J2092">
        <v>4073</v>
      </c>
      <c r="K2092">
        <v>7834</v>
      </c>
      <c r="L2092">
        <v>500</v>
      </c>
      <c r="M2092">
        <v>499</v>
      </c>
      <c r="N2092">
        <v>1</v>
      </c>
      <c r="O2092">
        <v>346.85377640640002</v>
      </c>
      <c r="P2092" s="3" t="s">
        <v>51</v>
      </c>
      <c r="Q2092">
        <v>50</v>
      </c>
      <c r="R2092">
        <v>0.999</v>
      </c>
      <c r="S2092">
        <v>0</v>
      </c>
    </row>
    <row r="2093" spans="1:19" x14ac:dyDescent="0.2">
      <c r="A2093" s="3" t="s">
        <v>54</v>
      </c>
      <c r="B2093" s="3" t="s">
        <v>55</v>
      </c>
      <c r="C2093">
        <v>29</v>
      </c>
      <c r="D2093">
        <v>16000</v>
      </c>
      <c r="E2093">
        <v>499</v>
      </c>
      <c r="F2093">
        <v>1</v>
      </c>
      <c r="G2093">
        <v>16000</v>
      </c>
      <c r="H2093">
        <v>2.6003344000000001E-2</v>
      </c>
      <c r="I2093">
        <v>14354</v>
      </c>
      <c r="J2093">
        <v>4564</v>
      </c>
      <c r="K2093">
        <v>9790</v>
      </c>
      <c r="L2093">
        <v>500</v>
      </c>
      <c r="M2093">
        <v>499</v>
      </c>
      <c r="N2093">
        <v>1</v>
      </c>
      <c r="O2093">
        <v>1646</v>
      </c>
      <c r="P2093" s="3" t="s">
        <v>50</v>
      </c>
      <c r="Q2093">
        <v>50</v>
      </c>
      <c r="R2093">
        <v>0.999</v>
      </c>
      <c r="S2093">
        <v>1</v>
      </c>
    </row>
    <row r="2094" spans="1:19" x14ac:dyDescent="0.2">
      <c r="A2094" s="3" t="s">
        <v>54</v>
      </c>
      <c r="B2094" s="3" t="s">
        <v>55</v>
      </c>
      <c r="C2094">
        <v>30</v>
      </c>
      <c r="D2094">
        <v>12000</v>
      </c>
      <c r="E2094">
        <v>499</v>
      </c>
      <c r="F2094">
        <v>1</v>
      </c>
      <c r="G2094">
        <v>50533.323552418398</v>
      </c>
      <c r="H2094">
        <v>2.5994041999999998E-2</v>
      </c>
      <c r="I2094">
        <v>11915</v>
      </c>
      <c r="J2094">
        <v>4080</v>
      </c>
      <c r="K2094">
        <v>7835</v>
      </c>
      <c r="L2094">
        <v>500</v>
      </c>
      <c r="M2094">
        <v>499</v>
      </c>
      <c r="N2094">
        <v>1</v>
      </c>
      <c r="O2094">
        <v>331.81731879130001</v>
      </c>
      <c r="P2094" s="3" t="s">
        <v>51</v>
      </c>
      <c r="Q2094">
        <v>50</v>
      </c>
      <c r="R2094">
        <v>0.999</v>
      </c>
      <c r="S2094">
        <v>0</v>
      </c>
    </row>
    <row r="2095" spans="1:19" x14ac:dyDescent="0.2">
      <c r="A2095" s="3" t="s">
        <v>54</v>
      </c>
      <c r="B2095" s="3" t="s">
        <v>55</v>
      </c>
      <c r="C2095">
        <v>26</v>
      </c>
      <c r="D2095">
        <v>10000</v>
      </c>
      <c r="E2095">
        <v>499</v>
      </c>
      <c r="F2095">
        <v>1</v>
      </c>
      <c r="G2095">
        <v>10000</v>
      </c>
      <c r="H2095">
        <v>2.5968722999999999E-2</v>
      </c>
      <c r="I2095">
        <v>10000</v>
      </c>
      <c r="J2095">
        <v>4183</v>
      </c>
      <c r="K2095">
        <v>5817</v>
      </c>
      <c r="L2095">
        <v>500</v>
      </c>
      <c r="M2095">
        <v>499</v>
      </c>
      <c r="N2095">
        <v>1</v>
      </c>
      <c r="O2095">
        <v>0</v>
      </c>
      <c r="P2095" s="3" t="s">
        <v>51</v>
      </c>
      <c r="Q2095">
        <v>50</v>
      </c>
      <c r="R2095">
        <v>0.999</v>
      </c>
      <c r="S2095">
        <v>1</v>
      </c>
    </row>
    <row r="2096" spans="1:19" x14ac:dyDescent="0.2">
      <c r="A2096" s="3" t="s">
        <v>54</v>
      </c>
      <c r="B2096" s="3" t="s">
        <v>55</v>
      </c>
      <c r="C2096">
        <v>23</v>
      </c>
      <c r="D2096">
        <v>16000</v>
      </c>
      <c r="E2096">
        <v>499</v>
      </c>
      <c r="F2096">
        <v>1</v>
      </c>
      <c r="G2096">
        <v>16000</v>
      </c>
      <c r="H2096">
        <v>2.5959876999999999E-2</v>
      </c>
      <c r="I2096">
        <v>14356</v>
      </c>
      <c r="J2096">
        <v>4518</v>
      </c>
      <c r="K2096">
        <v>9838</v>
      </c>
      <c r="L2096">
        <v>500</v>
      </c>
      <c r="M2096">
        <v>499</v>
      </c>
      <c r="N2096">
        <v>1</v>
      </c>
      <c r="O2096">
        <v>1644</v>
      </c>
      <c r="P2096" s="3" t="s">
        <v>50</v>
      </c>
      <c r="Q2096">
        <v>50</v>
      </c>
      <c r="R2096">
        <v>0.999</v>
      </c>
      <c r="S2096">
        <v>1</v>
      </c>
    </row>
    <row r="2097" spans="1:19" x14ac:dyDescent="0.2">
      <c r="A2097" s="3" t="s">
        <v>54</v>
      </c>
      <c r="B2097" s="3" t="s">
        <v>55</v>
      </c>
      <c r="C2097">
        <v>24</v>
      </c>
      <c r="D2097">
        <v>16000</v>
      </c>
      <c r="E2097">
        <v>499</v>
      </c>
      <c r="F2097">
        <v>1</v>
      </c>
      <c r="G2097">
        <v>16000</v>
      </c>
      <c r="H2097">
        <v>2.5926859999999999E-2</v>
      </c>
      <c r="I2097">
        <v>14354</v>
      </c>
      <c r="J2097">
        <v>4598</v>
      </c>
      <c r="K2097">
        <v>9756</v>
      </c>
      <c r="L2097">
        <v>500</v>
      </c>
      <c r="M2097">
        <v>499</v>
      </c>
      <c r="N2097">
        <v>1</v>
      </c>
      <c r="O2097">
        <v>1646</v>
      </c>
      <c r="P2097" s="3" t="s">
        <v>50</v>
      </c>
      <c r="Q2097">
        <v>50</v>
      </c>
      <c r="R2097">
        <v>0.999</v>
      </c>
      <c r="S2097">
        <v>1</v>
      </c>
    </row>
    <row r="2098" spans="1:19" x14ac:dyDescent="0.2">
      <c r="A2098" s="3" t="s">
        <v>54</v>
      </c>
      <c r="B2098" s="3" t="s">
        <v>55</v>
      </c>
      <c r="C2098">
        <v>26</v>
      </c>
      <c r="D2098">
        <v>16000</v>
      </c>
      <c r="E2098">
        <v>499</v>
      </c>
      <c r="F2098">
        <v>1</v>
      </c>
      <c r="G2098">
        <v>16000</v>
      </c>
      <c r="H2098">
        <v>2.5926510999999999E-2</v>
      </c>
      <c r="I2098">
        <v>14334</v>
      </c>
      <c r="J2098">
        <v>4564</v>
      </c>
      <c r="K2098">
        <v>9770</v>
      </c>
      <c r="L2098">
        <v>500</v>
      </c>
      <c r="M2098">
        <v>499</v>
      </c>
      <c r="N2098">
        <v>1</v>
      </c>
      <c r="O2098">
        <v>1666</v>
      </c>
      <c r="P2098" s="3" t="s">
        <v>50</v>
      </c>
      <c r="Q2098">
        <v>50</v>
      </c>
      <c r="R2098">
        <v>0.999</v>
      </c>
      <c r="S2098">
        <v>1</v>
      </c>
    </row>
    <row r="2099" spans="1:19" x14ac:dyDescent="0.2">
      <c r="A2099" s="3" t="s">
        <v>54</v>
      </c>
      <c r="B2099" s="3" t="s">
        <v>55</v>
      </c>
      <c r="C2099">
        <v>35</v>
      </c>
      <c r="D2099">
        <v>16000</v>
      </c>
      <c r="E2099">
        <v>499</v>
      </c>
      <c r="F2099">
        <v>1</v>
      </c>
      <c r="G2099">
        <v>16000</v>
      </c>
      <c r="H2099">
        <v>2.5914300000000001E-2</v>
      </c>
      <c r="I2099">
        <v>14329</v>
      </c>
      <c r="J2099">
        <v>4543</v>
      </c>
      <c r="K2099">
        <v>9786</v>
      </c>
      <c r="L2099">
        <v>500</v>
      </c>
      <c r="M2099">
        <v>499</v>
      </c>
      <c r="N2099">
        <v>1</v>
      </c>
      <c r="O2099">
        <v>1671</v>
      </c>
      <c r="P2099" s="3" t="s">
        <v>50</v>
      </c>
      <c r="Q2099">
        <v>50</v>
      </c>
      <c r="R2099">
        <v>0.999</v>
      </c>
      <c r="S2099">
        <v>1</v>
      </c>
    </row>
    <row r="2100" spans="1:19" x14ac:dyDescent="0.2">
      <c r="A2100" s="3" t="s">
        <v>54</v>
      </c>
      <c r="B2100" s="3" t="s">
        <v>55</v>
      </c>
      <c r="C2100">
        <v>14</v>
      </c>
      <c r="D2100">
        <v>16000</v>
      </c>
      <c r="E2100">
        <v>499</v>
      </c>
      <c r="F2100">
        <v>1</v>
      </c>
      <c r="G2100">
        <v>16000</v>
      </c>
      <c r="H2100">
        <v>2.5891510999999999E-2</v>
      </c>
      <c r="I2100">
        <v>14348</v>
      </c>
      <c r="J2100">
        <v>4533</v>
      </c>
      <c r="K2100">
        <v>9815</v>
      </c>
      <c r="L2100">
        <v>500</v>
      </c>
      <c r="M2100">
        <v>499</v>
      </c>
      <c r="N2100">
        <v>1</v>
      </c>
      <c r="O2100">
        <v>1652</v>
      </c>
      <c r="P2100" s="3" t="s">
        <v>50</v>
      </c>
      <c r="Q2100">
        <v>50</v>
      </c>
      <c r="R2100">
        <v>0.999</v>
      </c>
      <c r="S2100">
        <v>1</v>
      </c>
    </row>
    <row r="2101" spans="1:19" x14ac:dyDescent="0.2">
      <c r="A2101" s="3" t="s">
        <v>54</v>
      </c>
      <c r="B2101" s="3" t="s">
        <v>55</v>
      </c>
      <c r="C2101">
        <v>39</v>
      </c>
      <c r="D2101">
        <v>16000</v>
      </c>
      <c r="E2101">
        <v>499</v>
      </c>
      <c r="F2101">
        <v>1</v>
      </c>
      <c r="G2101">
        <v>16000</v>
      </c>
      <c r="H2101">
        <v>2.5879642000000001E-2</v>
      </c>
      <c r="I2101">
        <v>14361</v>
      </c>
      <c r="J2101">
        <v>4579</v>
      </c>
      <c r="K2101">
        <v>9782</v>
      </c>
      <c r="L2101">
        <v>500</v>
      </c>
      <c r="M2101">
        <v>499</v>
      </c>
      <c r="N2101">
        <v>1</v>
      </c>
      <c r="O2101">
        <v>1639</v>
      </c>
      <c r="P2101" s="3" t="s">
        <v>50</v>
      </c>
      <c r="Q2101">
        <v>50</v>
      </c>
      <c r="R2101">
        <v>0.999</v>
      </c>
      <c r="S2101">
        <v>1</v>
      </c>
    </row>
    <row r="2102" spans="1:19" x14ac:dyDescent="0.2">
      <c r="A2102" s="3" t="s">
        <v>54</v>
      </c>
      <c r="B2102" s="3" t="s">
        <v>55</v>
      </c>
      <c r="C2102">
        <v>27</v>
      </c>
      <c r="D2102">
        <v>16000</v>
      </c>
      <c r="E2102">
        <v>499</v>
      </c>
      <c r="F2102">
        <v>1</v>
      </c>
      <c r="G2102">
        <v>16000</v>
      </c>
      <c r="H2102">
        <v>2.5868457000000001E-2</v>
      </c>
      <c r="I2102">
        <v>14359</v>
      </c>
      <c r="J2102">
        <v>4511</v>
      </c>
      <c r="K2102">
        <v>9848</v>
      </c>
      <c r="L2102">
        <v>500</v>
      </c>
      <c r="M2102">
        <v>499</v>
      </c>
      <c r="N2102">
        <v>1</v>
      </c>
      <c r="O2102">
        <v>1641</v>
      </c>
      <c r="P2102" s="3" t="s">
        <v>52</v>
      </c>
      <c r="Q2102">
        <v>50</v>
      </c>
      <c r="R2102">
        <v>0.999</v>
      </c>
      <c r="S2102">
        <v>1</v>
      </c>
    </row>
    <row r="2103" spans="1:19" x14ac:dyDescent="0.2">
      <c r="A2103" s="3" t="s">
        <v>54</v>
      </c>
      <c r="B2103" s="3" t="s">
        <v>55</v>
      </c>
      <c r="C2103">
        <v>8</v>
      </c>
      <c r="D2103">
        <v>16000</v>
      </c>
      <c r="E2103">
        <v>499</v>
      </c>
      <c r="F2103">
        <v>1</v>
      </c>
      <c r="G2103">
        <v>16000</v>
      </c>
      <c r="H2103">
        <v>2.5853058000000002E-2</v>
      </c>
      <c r="I2103">
        <v>14347</v>
      </c>
      <c r="J2103">
        <v>4524</v>
      </c>
      <c r="K2103">
        <v>9823</v>
      </c>
      <c r="L2103">
        <v>500</v>
      </c>
      <c r="M2103">
        <v>499</v>
      </c>
      <c r="N2103">
        <v>1</v>
      </c>
      <c r="O2103">
        <v>1653</v>
      </c>
      <c r="P2103" s="3" t="s">
        <v>50</v>
      </c>
      <c r="Q2103">
        <v>50</v>
      </c>
      <c r="R2103">
        <v>0.999</v>
      </c>
      <c r="S2103">
        <v>1</v>
      </c>
    </row>
    <row r="2104" spans="1:19" x14ac:dyDescent="0.2">
      <c r="A2104" s="3" t="s">
        <v>54</v>
      </c>
      <c r="B2104" s="3" t="s">
        <v>55</v>
      </c>
      <c r="C2104">
        <v>33</v>
      </c>
      <c r="D2104">
        <v>12000</v>
      </c>
      <c r="E2104">
        <v>499</v>
      </c>
      <c r="F2104">
        <v>1</v>
      </c>
      <c r="G2104">
        <v>50533.323552418398</v>
      </c>
      <c r="H2104">
        <v>2.5851298000000002E-2</v>
      </c>
      <c r="I2104">
        <v>11887</v>
      </c>
      <c r="J2104">
        <v>4050</v>
      </c>
      <c r="K2104">
        <v>7837</v>
      </c>
      <c r="L2104">
        <v>500</v>
      </c>
      <c r="M2104">
        <v>499</v>
      </c>
      <c r="N2104">
        <v>1</v>
      </c>
      <c r="O2104">
        <v>406.92713432199997</v>
      </c>
      <c r="P2104" s="3" t="s">
        <v>51</v>
      </c>
      <c r="Q2104">
        <v>50</v>
      </c>
      <c r="R2104">
        <v>0.999</v>
      </c>
      <c r="S2104">
        <v>0</v>
      </c>
    </row>
    <row r="2105" spans="1:19" x14ac:dyDescent="0.2">
      <c r="A2105" s="3" t="s">
        <v>54</v>
      </c>
      <c r="B2105" s="3" t="s">
        <v>55</v>
      </c>
      <c r="C2105">
        <v>38</v>
      </c>
      <c r="D2105">
        <v>16000</v>
      </c>
      <c r="E2105">
        <v>499</v>
      </c>
      <c r="F2105">
        <v>1</v>
      </c>
      <c r="G2105">
        <v>16000</v>
      </c>
      <c r="H2105">
        <v>2.5835596999999998E-2</v>
      </c>
      <c r="I2105">
        <v>14352</v>
      </c>
      <c r="J2105">
        <v>4550</v>
      </c>
      <c r="K2105">
        <v>9802</v>
      </c>
      <c r="L2105">
        <v>500</v>
      </c>
      <c r="M2105">
        <v>499</v>
      </c>
      <c r="N2105">
        <v>1</v>
      </c>
      <c r="O2105">
        <v>1648</v>
      </c>
      <c r="P2105" s="3" t="s">
        <v>50</v>
      </c>
      <c r="Q2105">
        <v>50</v>
      </c>
      <c r="R2105">
        <v>0.999</v>
      </c>
      <c r="S2105">
        <v>1</v>
      </c>
    </row>
    <row r="2106" spans="1:19" x14ac:dyDescent="0.2">
      <c r="A2106" s="3" t="s">
        <v>54</v>
      </c>
      <c r="B2106" s="3" t="s">
        <v>55</v>
      </c>
      <c r="C2106">
        <v>15</v>
      </c>
      <c r="D2106">
        <v>16000</v>
      </c>
      <c r="E2106">
        <v>499</v>
      </c>
      <c r="F2106">
        <v>1</v>
      </c>
      <c r="G2106">
        <v>16000</v>
      </c>
      <c r="H2106">
        <v>2.5822578999999998E-2</v>
      </c>
      <c r="I2106">
        <v>14353</v>
      </c>
      <c r="J2106">
        <v>4545</v>
      </c>
      <c r="K2106">
        <v>9808</v>
      </c>
      <c r="L2106">
        <v>500</v>
      </c>
      <c r="M2106">
        <v>499</v>
      </c>
      <c r="N2106">
        <v>1</v>
      </c>
      <c r="O2106">
        <v>1647</v>
      </c>
      <c r="P2106" s="3" t="s">
        <v>50</v>
      </c>
      <c r="Q2106">
        <v>50</v>
      </c>
      <c r="R2106">
        <v>0.999</v>
      </c>
      <c r="S2106">
        <v>1</v>
      </c>
    </row>
    <row r="2107" spans="1:19" x14ac:dyDescent="0.2">
      <c r="A2107" s="3" t="s">
        <v>54</v>
      </c>
      <c r="B2107" s="3" t="s">
        <v>55</v>
      </c>
      <c r="C2107">
        <v>31</v>
      </c>
      <c r="D2107">
        <v>16000</v>
      </c>
      <c r="E2107">
        <v>499</v>
      </c>
      <c r="F2107">
        <v>1</v>
      </c>
      <c r="G2107">
        <v>16000</v>
      </c>
      <c r="H2107">
        <v>2.580992E-2</v>
      </c>
      <c r="I2107">
        <v>14343</v>
      </c>
      <c r="J2107">
        <v>4538</v>
      </c>
      <c r="K2107">
        <v>9805</v>
      </c>
      <c r="L2107">
        <v>500</v>
      </c>
      <c r="M2107">
        <v>499</v>
      </c>
      <c r="N2107">
        <v>1</v>
      </c>
      <c r="O2107">
        <v>1657</v>
      </c>
      <c r="P2107" s="3" t="s">
        <v>50</v>
      </c>
      <c r="Q2107">
        <v>50</v>
      </c>
      <c r="R2107">
        <v>0.999</v>
      </c>
      <c r="S2107">
        <v>1</v>
      </c>
    </row>
    <row r="2108" spans="1:19" x14ac:dyDescent="0.2">
      <c r="A2108" s="3" t="s">
        <v>54</v>
      </c>
      <c r="B2108" s="3" t="s">
        <v>55</v>
      </c>
      <c r="C2108">
        <v>48</v>
      </c>
      <c r="D2108">
        <v>12000</v>
      </c>
      <c r="E2108">
        <v>499</v>
      </c>
      <c r="F2108">
        <v>1</v>
      </c>
      <c r="G2108">
        <v>50533.323552418398</v>
      </c>
      <c r="H2108">
        <v>2.5792118999999999E-2</v>
      </c>
      <c r="I2108">
        <v>11885</v>
      </c>
      <c r="J2108">
        <v>4061</v>
      </c>
      <c r="K2108">
        <v>7824</v>
      </c>
      <c r="L2108">
        <v>500</v>
      </c>
      <c r="M2108">
        <v>499</v>
      </c>
      <c r="N2108">
        <v>1</v>
      </c>
      <c r="O2108">
        <v>409.525495019</v>
      </c>
      <c r="P2108" s="3" t="s">
        <v>51</v>
      </c>
      <c r="Q2108">
        <v>50</v>
      </c>
      <c r="R2108">
        <v>0.999</v>
      </c>
      <c r="S2108">
        <v>0</v>
      </c>
    </row>
    <row r="2109" spans="1:19" x14ac:dyDescent="0.2">
      <c r="A2109" s="3" t="s">
        <v>54</v>
      </c>
      <c r="B2109" s="3" t="s">
        <v>55</v>
      </c>
      <c r="C2109">
        <v>12</v>
      </c>
      <c r="D2109">
        <v>15000</v>
      </c>
      <c r="E2109">
        <v>499</v>
      </c>
      <c r="F2109">
        <v>1</v>
      </c>
      <c r="G2109">
        <v>15000</v>
      </c>
      <c r="H2109">
        <v>2.5789717E-2</v>
      </c>
      <c r="I2109">
        <v>13819</v>
      </c>
      <c r="J2109">
        <v>4370</v>
      </c>
      <c r="K2109">
        <v>9449</v>
      </c>
      <c r="L2109">
        <v>500</v>
      </c>
      <c r="M2109">
        <v>499</v>
      </c>
      <c r="N2109">
        <v>1</v>
      </c>
      <c r="O2109">
        <v>1181</v>
      </c>
      <c r="P2109" s="3" t="s">
        <v>50</v>
      </c>
      <c r="Q2109">
        <v>50</v>
      </c>
      <c r="R2109">
        <v>0.999</v>
      </c>
      <c r="S2109">
        <v>1</v>
      </c>
    </row>
    <row r="2110" spans="1:19" x14ac:dyDescent="0.2">
      <c r="A2110" s="3" t="s">
        <v>54</v>
      </c>
      <c r="B2110" s="3" t="s">
        <v>55</v>
      </c>
      <c r="C2110">
        <v>27</v>
      </c>
      <c r="D2110">
        <v>12000</v>
      </c>
      <c r="E2110">
        <v>499</v>
      </c>
      <c r="F2110">
        <v>1</v>
      </c>
      <c r="G2110">
        <v>50533.323552418398</v>
      </c>
      <c r="H2110">
        <v>2.5761841000000001E-2</v>
      </c>
      <c r="I2110">
        <v>11876</v>
      </c>
      <c r="J2110">
        <v>4061</v>
      </c>
      <c r="K2110">
        <v>7815</v>
      </c>
      <c r="L2110">
        <v>500</v>
      </c>
      <c r="M2110">
        <v>499</v>
      </c>
      <c r="N2110">
        <v>1</v>
      </c>
      <c r="O2110">
        <v>441.37245412440001</v>
      </c>
      <c r="P2110" s="3" t="s">
        <v>51</v>
      </c>
      <c r="Q2110">
        <v>50</v>
      </c>
      <c r="R2110">
        <v>0.999</v>
      </c>
      <c r="S2110">
        <v>0</v>
      </c>
    </row>
    <row r="2111" spans="1:19" x14ac:dyDescent="0.2">
      <c r="A2111" s="3" t="s">
        <v>54</v>
      </c>
      <c r="B2111" s="3" t="s">
        <v>55</v>
      </c>
      <c r="C2111">
        <v>23</v>
      </c>
      <c r="D2111">
        <v>15000</v>
      </c>
      <c r="E2111">
        <v>499</v>
      </c>
      <c r="F2111">
        <v>1</v>
      </c>
      <c r="G2111">
        <v>15000</v>
      </c>
      <c r="H2111">
        <v>2.5761200000000001E-2</v>
      </c>
      <c r="I2111">
        <v>13783</v>
      </c>
      <c r="J2111">
        <v>4369</v>
      </c>
      <c r="K2111">
        <v>9414</v>
      </c>
      <c r="L2111">
        <v>500</v>
      </c>
      <c r="M2111">
        <v>499</v>
      </c>
      <c r="N2111">
        <v>1</v>
      </c>
      <c r="O2111">
        <v>1217</v>
      </c>
      <c r="P2111" s="3" t="s">
        <v>50</v>
      </c>
      <c r="Q2111">
        <v>50</v>
      </c>
      <c r="R2111">
        <v>0.999</v>
      </c>
      <c r="S2111">
        <v>1</v>
      </c>
    </row>
    <row r="2112" spans="1:19" x14ac:dyDescent="0.2">
      <c r="A2112" s="3" t="s">
        <v>54</v>
      </c>
      <c r="B2112" s="3" t="s">
        <v>55</v>
      </c>
      <c r="C2112">
        <v>1</v>
      </c>
      <c r="D2112">
        <v>16000</v>
      </c>
      <c r="E2112">
        <v>499</v>
      </c>
      <c r="F2112">
        <v>1</v>
      </c>
      <c r="G2112">
        <v>16000</v>
      </c>
      <c r="H2112">
        <v>2.5754626999999999E-2</v>
      </c>
      <c r="I2112">
        <v>14342</v>
      </c>
      <c r="J2112">
        <v>4561</v>
      </c>
      <c r="K2112">
        <v>9781</v>
      </c>
      <c r="L2112">
        <v>500</v>
      </c>
      <c r="M2112">
        <v>499</v>
      </c>
      <c r="N2112">
        <v>1</v>
      </c>
      <c r="O2112">
        <v>1658</v>
      </c>
      <c r="P2112" s="3" t="s">
        <v>52</v>
      </c>
      <c r="Q2112">
        <v>50</v>
      </c>
      <c r="R2112">
        <v>0.999</v>
      </c>
      <c r="S2112">
        <v>1</v>
      </c>
    </row>
    <row r="2113" spans="1:19" x14ac:dyDescent="0.2">
      <c r="A2113" s="3" t="s">
        <v>54</v>
      </c>
      <c r="B2113" s="3" t="s">
        <v>55</v>
      </c>
      <c r="C2113">
        <v>15</v>
      </c>
      <c r="D2113">
        <v>12000</v>
      </c>
      <c r="E2113">
        <v>499</v>
      </c>
      <c r="F2113">
        <v>1</v>
      </c>
      <c r="G2113">
        <v>50533.323552418398</v>
      </c>
      <c r="H2113">
        <v>2.5734837E-2</v>
      </c>
      <c r="I2113">
        <v>11895</v>
      </c>
      <c r="J2113">
        <v>4078</v>
      </c>
      <c r="K2113">
        <v>7817</v>
      </c>
      <c r="L2113">
        <v>500</v>
      </c>
      <c r="M2113">
        <v>499</v>
      </c>
      <c r="N2113">
        <v>1</v>
      </c>
      <c r="O2113">
        <v>396.54642357879999</v>
      </c>
      <c r="P2113" s="3" t="s">
        <v>51</v>
      </c>
      <c r="Q2113">
        <v>50</v>
      </c>
      <c r="R2113">
        <v>0.999</v>
      </c>
      <c r="S2113">
        <v>0</v>
      </c>
    </row>
    <row r="2114" spans="1:19" x14ac:dyDescent="0.2">
      <c r="A2114" s="3" t="s">
        <v>54</v>
      </c>
      <c r="B2114" s="3" t="s">
        <v>55</v>
      </c>
      <c r="C2114">
        <v>9</v>
      </c>
      <c r="D2114">
        <v>12000</v>
      </c>
      <c r="E2114">
        <v>499</v>
      </c>
      <c r="F2114">
        <v>1</v>
      </c>
      <c r="G2114">
        <v>50533.323552418398</v>
      </c>
      <c r="H2114">
        <v>2.5732168E-2</v>
      </c>
      <c r="I2114">
        <v>11876</v>
      </c>
      <c r="J2114">
        <v>4070</v>
      </c>
      <c r="K2114">
        <v>7806</v>
      </c>
      <c r="L2114">
        <v>500</v>
      </c>
      <c r="M2114">
        <v>499</v>
      </c>
      <c r="N2114">
        <v>1</v>
      </c>
      <c r="O2114">
        <v>441.86251477479999</v>
      </c>
      <c r="P2114" s="3" t="s">
        <v>51</v>
      </c>
      <c r="Q2114">
        <v>50</v>
      </c>
      <c r="R2114">
        <v>0.999</v>
      </c>
      <c r="S2114">
        <v>0</v>
      </c>
    </row>
    <row r="2115" spans="1:19" x14ac:dyDescent="0.2">
      <c r="A2115" s="3" t="s">
        <v>54</v>
      </c>
      <c r="B2115" s="3" t="s">
        <v>55</v>
      </c>
      <c r="C2115">
        <v>34</v>
      </c>
      <c r="D2115">
        <v>16000</v>
      </c>
      <c r="E2115">
        <v>499</v>
      </c>
      <c r="F2115">
        <v>1</v>
      </c>
      <c r="G2115">
        <v>16000</v>
      </c>
      <c r="H2115">
        <v>2.5725669999999999E-2</v>
      </c>
      <c r="I2115">
        <v>14368</v>
      </c>
      <c r="J2115">
        <v>4601</v>
      </c>
      <c r="K2115">
        <v>9767</v>
      </c>
      <c r="L2115">
        <v>500</v>
      </c>
      <c r="M2115">
        <v>499</v>
      </c>
      <c r="N2115">
        <v>1</v>
      </c>
      <c r="O2115">
        <v>1632</v>
      </c>
      <c r="P2115" s="3" t="s">
        <v>50</v>
      </c>
      <c r="Q2115">
        <v>50</v>
      </c>
      <c r="R2115">
        <v>0.999</v>
      </c>
      <c r="S2115">
        <v>1</v>
      </c>
    </row>
    <row r="2116" spans="1:19" x14ac:dyDescent="0.2">
      <c r="A2116" s="3" t="s">
        <v>54</v>
      </c>
      <c r="B2116" s="3" t="s">
        <v>55</v>
      </c>
      <c r="C2116">
        <v>21</v>
      </c>
      <c r="D2116">
        <v>12000</v>
      </c>
      <c r="E2116">
        <v>499</v>
      </c>
      <c r="F2116">
        <v>1</v>
      </c>
      <c r="G2116">
        <v>50533.323552418398</v>
      </c>
      <c r="H2116">
        <v>2.5719868E-2</v>
      </c>
      <c r="I2116">
        <v>11905</v>
      </c>
      <c r="J2116">
        <v>4069</v>
      </c>
      <c r="K2116">
        <v>7836</v>
      </c>
      <c r="L2116">
        <v>500</v>
      </c>
      <c r="M2116">
        <v>499</v>
      </c>
      <c r="N2116">
        <v>1</v>
      </c>
      <c r="O2116">
        <v>316.55708438810001</v>
      </c>
      <c r="P2116" s="3" t="s">
        <v>51</v>
      </c>
      <c r="Q2116">
        <v>50</v>
      </c>
      <c r="R2116">
        <v>0.999</v>
      </c>
      <c r="S2116">
        <v>0</v>
      </c>
    </row>
    <row r="2117" spans="1:19" x14ac:dyDescent="0.2">
      <c r="A2117" s="3" t="s">
        <v>54</v>
      </c>
      <c r="B2117" s="3" t="s">
        <v>55</v>
      </c>
      <c r="C2117">
        <v>16</v>
      </c>
      <c r="D2117">
        <v>16000</v>
      </c>
      <c r="E2117">
        <v>499</v>
      </c>
      <c r="F2117">
        <v>1</v>
      </c>
      <c r="G2117">
        <v>16000</v>
      </c>
      <c r="H2117">
        <v>2.5678406000000001E-2</v>
      </c>
      <c r="I2117">
        <v>14343</v>
      </c>
      <c r="J2117">
        <v>4546</v>
      </c>
      <c r="K2117">
        <v>9797</v>
      </c>
      <c r="L2117">
        <v>500</v>
      </c>
      <c r="M2117">
        <v>499</v>
      </c>
      <c r="N2117">
        <v>1</v>
      </c>
      <c r="O2117">
        <v>1657</v>
      </c>
      <c r="P2117" s="3" t="s">
        <v>50</v>
      </c>
      <c r="Q2117">
        <v>50</v>
      </c>
      <c r="R2117">
        <v>0.999</v>
      </c>
      <c r="S2117">
        <v>1</v>
      </c>
    </row>
    <row r="2118" spans="1:19" x14ac:dyDescent="0.2">
      <c r="A2118" s="3" t="s">
        <v>54</v>
      </c>
      <c r="B2118" s="3" t="s">
        <v>55</v>
      </c>
      <c r="C2118">
        <v>20</v>
      </c>
      <c r="D2118">
        <v>12000</v>
      </c>
      <c r="E2118">
        <v>499</v>
      </c>
      <c r="F2118">
        <v>1</v>
      </c>
      <c r="G2118">
        <v>50533.323552418398</v>
      </c>
      <c r="H2118">
        <v>2.5635552999999998E-2</v>
      </c>
      <c r="I2118">
        <v>11894</v>
      </c>
      <c r="J2118">
        <v>4076</v>
      </c>
      <c r="K2118">
        <v>7818</v>
      </c>
      <c r="L2118">
        <v>500</v>
      </c>
      <c r="M2118">
        <v>499</v>
      </c>
      <c r="N2118">
        <v>1</v>
      </c>
      <c r="O2118">
        <v>384.84644883449999</v>
      </c>
      <c r="P2118" s="3" t="s">
        <v>51</v>
      </c>
      <c r="Q2118">
        <v>50</v>
      </c>
      <c r="R2118">
        <v>0.999</v>
      </c>
      <c r="S2118">
        <v>0</v>
      </c>
    </row>
    <row r="2119" spans="1:19" x14ac:dyDescent="0.2">
      <c r="A2119" s="3" t="s">
        <v>54</v>
      </c>
      <c r="B2119" s="3" t="s">
        <v>55</v>
      </c>
      <c r="C2119">
        <v>48</v>
      </c>
      <c r="D2119">
        <v>12000</v>
      </c>
      <c r="E2119">
        <v>499</v>
      </c>
      <c r="F2119">
        <v>1</v>
      </c>
      <c r="G2119">
        <v>12000</v>
      </c>
      <c r="H2119">
        <v>2.5622224999999998E-2</v>
      </c>
      <c r="I2119">
        <v>12000</v>
      </c>
      <c r="J2119">
        <v>4735</v>
      </c>
      <c r="K2119">
        <v>7265</v>
      </c>
      <c r="L2119">
        <v>500</v>
      </c>
      <c r="M2119">
        <v>499</v>
      </c>
      <c r="N2119">
        <v>1</v>
      </c>
      <c r="O2119">
        <v>0</v>
      </c>
      <c r="P2119" s="3" t="s">
        <v>51</v>
      </c>
      <c r="Q2119">
        <v>50</v>
      </c>
      <c r="R2119">
        <v>0.999</v>
      </c>
      <c r="S2119">
        <v>1</v>
      </c>
    </row>
    <row r="2120" spans="1:19" x14ac:dyDescent="0.2">
      <c r="A2120" s="3" t="s">
        <v>54</v>
      </c>
      <c r="B2120" s="3" t="s">
        <v>55</v>
      </c>
      <c r="C2120">
        <v>12</v>
      </c>
      <c r="D2120">
        <v>12000</v>
      </c>
      <c r="E2120">
        <v>499</v>
      </c>
      <c r="F2120">
        <v>1</v>
      </c>
      <c r="G2120">
        <v>50533.323552418398</v>
      </c>
      <c r="H2120">
        <v>2.5594918000000001E-2</v>
      </c>
      <c r="I2120">
        <v>11854</v>
      </c>
      <c r="J2120">
        <v>4032</v>
      </c>
      <c r="K2120">
        <v>7822</v>
      </c>
      <c r="L2120">
        <v>500</v>
      </c>
      <c r="M2120">
        <v>499</v>
      </c>
      <c r="N2120">
        <v>1</v>
      </c>
      <c r="O2120">
        <v>506.07352005820002</v>
      </c>
      <c r="P2120" s="3" t="s">
        <v>51</v>
      </c>
      <c r="Q2120">
        <v>50</v>
      </c>
      <c r="R2120">
        <v>0.999</v>
      </c>
      <c r="S2120">
        <v>0</v>
      </c>
    </row>
    <row r="2121" spans="1:19" x14ac:dyDescent="0.2">
      <c r="A2121" s="3" t="s">
        <v>54</v>
      </c>
      <c r="B2121" s="3" t="s">
        <v>55</v>
      </c>
      <c r="C2121">
        <v>3</v>
      </c>
      <c r="D2121">
        <v>10000</v>
      </c>
      <c r="E2121">
        <v>499</v>
      </c>
      <c r="F2121">
        <v>1</v>
      </c>
      <c r="G2121">
        <v>39482.677260513999</v>
      </c>
      <c r="H2121">
        <v>2.5562649999999999E-2</v>
      </c>
      <c r="I2121">
        <v>10000</v>
      </c>
      <c r="J2121">
        <v>3500</v>
      </c>
      <c r="K2121">
        <v>6500</v>
      </c>
      <c r="L2121">
        <v>500</v>
      </c>
      <c r="M2121">
        <v>499</v>
      </c>
      <c r="N2121">
        <v>1</v>
      </c>
      <c r="O2121">
        <v>0</v>
      </c>
      <c r="P2121" s="3" t="s">
        <v>51</v>
      </c>
      <c r="Q2121">
        <v>50</v>
      </c>
      <c r="R2121">
        <v>0.999</v>
      </c>
      <c r="S2121">
        <v>0</v>
      </c>
    </row>
    <row r="2122" spans="1:19" x14ac:dyDescent="0.2">
      <c r="A2122" s="3" t="s">
        <v>54</v>
      </c>
      <c r="B2122" s="3" t="s">
        <v>55</v>
      </c>
      <c r="C2122">
        <v>40</v>
      </c>
      <c r="D2122">
        <v>12000</v>
      </c>
      <c r="E2122">
        <v>499</v>
      </c>
      <c r="F2122">
        <v>1</v>
      </c>
      <c r="G2122">
        <v>50533.323552418398</v>
      </c>
      <c r="H2122">
        <v>2.5544391E-2</v>
      </c>
      <c r="I2122">
        <v>11879</v>
      </c>
      <c r="J2122">
        <v>4057</v>
      </c>
      <c r="K2122">
        <v>7822</v>
      </c>
      <c r="L2122">
        <v>500</v>
      </c>
      <c r="M2122">
        <v>499</v>
      </c>
      <c r="N2122">
        <v>1</v>
      </c>
      <c r="O2122">
        <v>417.49085650820001</v>
      </c>
      <c r="P2122" s="3" t="s">
        <v>51</v>
      </c>
      <c r="Q2122">
        <v>50</v>
      </c>
      <c r="R2122">
        <v>0.999</v>
      </c>
      <c r="S2122">
        <v>0</v>
      </c>
    </row>
    <row r="2123" spans="1:19" x14ac:dyDescent="0.2">
      <c r="A2123" s="3" t="s">
        <v>54</v>
      </c>
      <c r="B2123" s="3" t="s">
        <v>55</v>
      </c>
      <c r="C2123">
        <v>47</v>
      </c>
      <c r="D2123">
        <v>12000</v>
      </c>
      <c r="E2123">
        <v>499</v>
      </c>
      <c r="F2123">
        <v>1</v>
      </c>
      <c r="G2123">
        <v>12000</v>
      </c>
      <c r="H2123">
        <v>2.5531061000000001E-2</v>
      </c>
      <c r="I2123">
        <v>12000</v>
      </c>
      <c r="J2123">
        <v>4722</v>
      </c>
      <c r="K2123">
        <v>7278</v>
      </c>
      <c r="L2123">
        <v>500</v>
      </c>
      <c r="M2123">
        <v>499</v>
      </c>
      <c r="N2123">
        <v>1</v>
      </c>
      <c r="O2123">
        <v>0</v>
      </c>
      <c r="P2123" s="3" t="s">
        <v>51</v>
      </c>
      <c r="Q2123">
        <v>50</v>
      </c>
      <c r="R2123">
        <v>0.999</v>
      </c>
      <c r="S2123">
        <v>1</v>
      </c>
    </row>
    <row r="2124" spans="1:19" x14ac:dyDescent="0.2">
      <c r="A2124" s="3" t="s">
        <v>54</v>
      </c>
      <c r="B2124" s="3" t="s">
        <v>55</v>
      </c>
      <c r="C2124">
        <v>42</v>
      </c>
      <c r="D2124">
        <v>12000</v>
      </c>
      <c r="E2124">
        <v>499</v>
      </c>
      <c r="F2124">
        <v>1</v>
      </c>
      <c r="G2124">
        <v>50533.323552418398</v>
      </c>
      <c r="H2124">
        <v>2.5502113999999999E-2</v>
      </c>
      <c r="I2124">
        <v>11895</v>
      </c>
      <c r="J2124">
        <v>4102</v>
      </c>
      <c r="K2124">
        <v>7793</v>
      </c>
      <c r="L2124">
        <v>500</v>
      </c>
      <c r="M2124">
        <v>499</v>
      </c>
      <c r="N2124">
        <v>1</v>
      </c>
      <c r="O2124">
        <v>369.36952947129998</v>
      </c>
      <c r="P2124" s="3" t="s">
        <v>51</v>
      </c>
      <c r="Q2124">
        <v>50</v>
      </c>
      <c r="R2124">
        <v>0.999</v>
      </c>
      <c r="S2124">
        <v>0</v>
      </c>
    </row>
    <row r="2125" spans="1:19" x14ac:dyDescent="0.2">
      <c r="A2125" s="3" t="s">
        <v>54</v>
      </c>
      <c r="B2125" s="3" t="s">
        <v>55</v>
      </c>
      <c r="C2125">
        <v>41</v>
      </c>
      <c r="D2125">
        <v>12000</v>
      </c>
      <c r="E2125">
        <v>499</v>
      </c>
      <c r="F2125">
        <v>1</v>
      </c>
      <c r="G2125">
        <v>12000</v>
      </c>
      <c r="H2125">
        <v>2.5499190000000001E-2</v>
      </c>
      <c r="I2125">
        <v>12000</v>
      </c>
      <c r="J2125">
        <v>4719</v>
      </c>
      <c r="K2125">
        <v>7281</v>
      </c>
      <c r="L2125">
        <v>500</v>
      </c>
      <c r="M2125">
        <v>499</v>
      </c>
      <c r="N2125">
        <v>1</v>
      </c>
      <c r="O2125">
        <v>0</v>
      </c>
      <c r="P2125" s="3" t="s">
        <v>51</v>
      </c>
      <c r="Q2125">
        <v>50</v>
      </c>
      <c r="R2125">
        <v>0.999</v>
      </c>
      <c r="S2125">
        <v>1</v>
      </c>
    </row>
    <row r="2126" spans="1:19" x14ac:dyDescent="0.2">
      <c r="A2126" s="3" t="s">
        <v>54</v>
      </c>
      <c r="B2126" s="3" t="s">
        <v>55</v>
      </c>
      <c r="C2126">
        <v>41</v>
      </c>
      <c r="D2126">
        <v>12000</v>
      </c>
      <c r="E2126">
        <v>499</v>
      </c>
      <c r="F2126">
        <v>1</v>
      </c>
      <c r="G2126">
        <v>50533.323552418398</v>
      </c>
      <c r="H2126">
        <v>2.5453898999999999E-2</v>
      </c>
      <c r="I2126">
        <v>11888</v>
      </c>
      <c r="J2126">
        <v>4068</v>
      </c>
      <c r="K2126">
        <v>7820</v>
      </c>
      <c r="L2126">
        <v>500</v>
      </c>
      <c r="M2126">
        <v>499</v>
      </c>
      <c r="N2126">
        <v>1</v>
      </c>
      <c r="O2126">
        <v>411.30259620189997</v>
      </c>
      <c r="P2126" s="3" t="s">
        <v>51</v>
      </c>
      <c r="Q2126">
        <v>50</v>
      </c>
      <c r="R2126">
        <v>0.999</v>
      </c>
      <c r="S2126">
        <v>0</v>
      </c>
    </row>
    <row r="2127" spans="1:19" x14ac:dyDescent="0.2">
      <c r="A2127" s="3" t="s">
        <v>54</v>
      </c>
      <c r="B2127" s="3" t="s">
        <v>55</v>
      </c>
      <c r="C2127">
        <v>38</v>
      </c>
      <c r="D2127">
        <v>16000</v>
      </c>
      <c r="E2127">
        <v>499</v>
      </c>
      <c r="F2127">
        <v>1</v>
      </c>
      <c r="G2127">
        <v>16000</v>
      </c>
      <c r="H2127">
        <v>2.5435976999999999E-2</v>
      </c>
      <c r="I2127">
        <v>14331</v>
      </c>
      <c r="J2127">
        <v>4523</v>
      </c>
      <c r="K2127">
        <v>9808</v>
      </c>
      <c r="L2127">
        <v>500</v>
      </c>
      <c r="M2127">
        <v>499</v>
      </c>
      <c r="N2127">
        <v>1</v>
      </c>
      <c r="O2127">
        <v>1669</v>
      </c>
      <c r="P2127" s="3" t="s">
        <v>52</v>
      </c>
      <c r="Q2127">
        <v>50</v>
      </c>
      <c r="R2127">
        <v>0.999</v>
      </c>
      <c r="S2127">
        <v>1</v>
      </c>
    </row>
    <row r="2128" spans="1:19" x14ac:dyDescent="0.2">
      <c r="A2128" s="3" t="s">
        <v>54</v>
      </c>
      <c r="B2128" s="3" t="s">
        <v>55</v>
      </c>
      <c r="C2128">
        <v>49</v>
      </c>
      <c r="D2128">
        <v>12000</v>
      </c>
      <c r="E2128">
        <v>499</v>
      </c>
      <c r="F2128">
        <v>1</v>
      </c>
      <c r="G2128">
        <v>50533.323552418398</v>
      </c>
      <c r="H2128">
        <v>2.5384266999999999E-2</v>
      </c>
      <c r="I2128">
        <v>11876</v>
      </c>
      <c r="J2128">
        <v>4066</v>
      </c>
      <c r="K2128">
        <v>7810</v>
      </c>
      <c r="L2128">
        <v>500</v>
      </c>
      <c r="M2128">
        <v>499</v>
      </c>
      <c r="N2128">
        <v>1</v>
      </c>
      <c r="O2128">
        <v>452.5870886747</v>
      </c>
      <c r="P2128" s="3" t="s">
        <v>51</v>
      </c>
      <c r="Q2128">
        <v>50</v>
      </c>
      <c r="R2128">
        <v>0.999</v>
      </c>
      <c r="S2128">
        <v>0</v>
      </c>
    </row>
    <row r="2129" spans="1:19" x14ac:dyDescent="0.2">
      <c r="A2129" s="3" t="s">
        <v>54</v>
      </c>
      <c r="B2129" s="3" t="s">
        <v>55</v>
      </c>
      <c r="C2129">
        <v>6</v>
      </c>
      <c r="D2129">
        <v>16000</v>
      </c>
      <c r="E2129">
        <v>499</v>
      </c>
      <c r="F2129">
        <v>1</v>
      </c>
      <c r="G2129">
        <v>16000</v>
      </c>
      <c r="H2129">
        <v>2.5097334999999998E-2</v>
      </c>
      <c r="I2129">
        <v>14365</v>
      </c>
      <c r="J2129">
        <v>4558</v>
      </c>
      <c r="K2129">
        <v>9807</v>
      </c>
      <c r="L2129">
        <v>500</v>
      </c>
      <c r="M2129">
        <v>499</v>
      </c>
      <c r="N2129">
        <v>1</v>
      </c>
      <c r="O2129">
        <v>1635</v>
      </c>
      <c r="P2129" s="3" t="s">
        <v>52</v>
      </c>
      <c r="Q2129">
        <v>50</v>
      </c>
      <c r="R2129">
        <v>0.999</v>
      </c>
      <c r="S2129">
        <v>1</v>
      </c>
    </row>
    <row r="2130" spans="1:19" x14ac:dyDescent="0.2">
      <c r="A2130" s="3" t="s">
        <v>54</v>
      </c>
      <c r="B2130" s="3" t="s">
        <v>55</v>
      </c>
      <c r="C2130">
        <v>17</v>
      </c>
      <c r="D2130">
        <v>15000</v>
      </c>
      <c r="E2130">
        <v>499</v>
      </c>
      <c r="F2130">
        <v>1</v>
      </c>
      <c r="G2130">
        <v>15000</v>
      </c>
      <c r="H2130">
        <v>2.5086187999999999E-2</v>
      </c>
      <c r="I2130">
        <v>13788</v>
      </c>
      <c r="J2130">
        <v>4328</v>
      </c>
      <c r="K2130">
        <v>9460</v>
      </c>
      <c r="L2130">
        <v>500</v>
      </c>
      <c r="M2130">
        <v>499</v>
      </c>
      <c r="N2130">
        <v>1</v>
      </c>
      <c r="O2130">
        <v>1212</v>
      </c>
      <c r="P2130" s="3" t="s">
        <v>52</v>
      </c>
      <c r="Q2130">
        <v>50</v>
      </c>
      <c r="R2130">
        <v>0.999</v>
      </c>
      <c r="S2130">
        <v>1</v>
      </c>
    </row>
    <row r="2131" spans="1:19" x14ac:dyDescent="0.2">
      <c r="A2131" s="3" t="s">
        <v>54</v>
      </c>
      <c r="B2131" s="3" t="s">
        <v>55</v>
      </c>
      <c r="C2131">
        <v>37</v>
      </c>
      <c r="D2131">
        <v>16000</v>
      </c>
      <c r="E2131">
        <v>499</v>
      </c>
      <c r="F2131">
        <v>1</v>
      </c>
      <c r="G2131">
        <v>16000</v>
      </c>
      <c r="H2131">
        <v>2.5062592000000002E-2</v>
      </c>
      <c r="I2131">
        <v>14364</v>
      </c>
      <c r="J2131">
        <v>4560</v>
      </c>
      <c r="K2131">
        <v>9804</v>
      </c>
      <c r="L2131">
        <v>500</v>
      </c>
      <c r="M2131">
        <v>499</v>
      </c>
      <c r="N2131">
        <v>1</v>
      </c>
      <c r="O2131">
        <v>1636</v>
      </c>
      <c r="P2131" s="3" t="s">
        <v>52</v>
      </c>
      <c r="Q2131">
        <v>50</v>
      </c>
      <c r="R2131">
        <v>0.999</v>
      </c>
      <c r="S2131">
        <v>1</v>
      </c>
    </row>
    <row r="2132" spans="1:19" x14ac:dyDescent="0.2">
      <c r="A2132" s="3" t="s">
        <v>54</v>
      </c>
      <c r="B2132" s="3" t="s">
        <v>55</v>
      </c>
      <c r="C2132">
        <v>31</v>
      </c>
      <c r="D2132">
        <v>10000</v>
      </c>
      <c r="E2132">
        <v>499</v>
      </c>
      <c r="F2132">
        <v>1</v>
      </c>
      <c r="G2132">
        <v>10000</v>
      </c>
      <c r="H2132">
        <v>2.504578E-2</v>
      </c>
      <c r="I2132">
        <v>10000</v>
      </c>
      <c r="J2132">
        <v>4183</v>
      </c>
      <c r="K2132">
        <v>5817</v>
      </c>
      <c r="L2132">
        <v>500</v>
      </c>
      <c r="M2132">
        <v>499</v>
      </c>
      <c r="N2132">
        <v>1</v>
      </c>
      <c r="O2132">
        <v>0</v>
      </c>
      <c r="P2132" s="3" t="s">
        <v>51</v>
      </c>
      <c r="Q2132">
        <v>50</v>
      </c>
      <c r="R2132">
        <v>0.999</v>
      </c>
      <c r="S2132">
        <v>1</v>
      </c>
    </row>
    <row r="2133" spans="1:19" x14ac:dyDescent="0.2">
      <c r="A2133" s="3" t="s">
        <v>54</v>
      </c>
      <c r="B2133" s="3" t="s">
        <v>55</v>
      </c>
      <c r="C2133">
        <v>11</v>
      </c>
      <c r="D2133">
        <v>14000</v>
      </c>
      <c r="E2133">
        <v>499</v>
      </c>
      <c r="F2133">
        <v>1</v>
      </c>
      <c r="G2133">
        <v>14000</v>
      </c>
      <c r="H2133">
        <v>2.5034338999999999E-2</v>
      </c>
      <c r="I2133">
        <v>13290</v>
      </c>
      <c r="J2133">
        <v>4023</v>
      </c>
      <c r="K2133">
        <v>9267</v>
      </c>
      <c r="L2133">
        <v>500</v>
      </c>
      <c r="M2133">
        <v>499</v>
      </c>
      <c r="N2133">
        <v>1</v>
      </c>
      <c r="O2133">
        <v>710</v>
      </c>
      <c r="P2133" s="3" t="s">
        <v>52</v>
      </c>
      <c r="Q2133">
        <v>50</v>
      </c>
      <c r="R2133">
        <v>0.999</v>
      </c>
      <c r="S2133">
        <v>1</v>
      </c>
    </row>
    <row r="2134" spans="1:19" x14ac:dyDescent="0.2">
      <c r="A2134" s="3" t="s">
        <v>54</v>
      </c>
      <c r="B2134" s="3" t="s">
        <v>55</v>
      </c>
      <c r="C2134">
        <v>3</v>
      </c>
      <c r="D2134">
        <v>12000</v>
      </c>
      <c r="E2134">
        <v>499</v>
      </c>
      <c r="F2134">
        <v>1</v>
      </c>
      <c r="G2134">
        <v>50533.323552418398</v>
      </c>
      <c r="H2134">
        <v>2.4980708000000001E-2</v>
      </c>
      <c r="I2134">
        <v>11873</v>
      </c>
      <c r="J2134">
        <v>4033</v>
      </c>
      <c r="K2134">
        <v>7840</v>
      </c>
      <c r="L2134">
        <v>500</v>
      </c>
      <c r="M2134">
        <v>499</v>
      </c>
      <c r="N2134">
        <v>1</v>
      </c>
      <c r="O2134">
        <v>479.1811713207</v>
      </c>
      <c r="P2134" s="3" t="s">
        <v>51</v>
      </c>
      <c r="Q2134">
        <v>50</v>
      </c>
      <c r="R2134">
        <v>0.999</v>
      </c>
      <c r="S2134">
        <v>0</v>
      </c>
    </row>
    <row r="2135" spans="1:19" x14ac:dyDescent="0.2">
      <c r="A2135" s="3" t="s">
        <v>54</v>
      </c>
      <c r="B2135" s="3" t="s">
        <v>55</v>
      </c>
      <c r="C2135">
        <v>40</v>
      </c>
      <c r="D2135">
        <v>16000</v>
      </c>
      <c r="E2135">
        <v>499</v>
      </c>
      <c r="F2135">
        <v>1</v>
      </c>
      <c r="G2135">
        <v>16000</v>
      </c>
      <c r="H2135">
        <v>2.4975756000000002E-2</v>
      </c>
      <c r="I2135">
        <v>14336</v>
      </c>
      <c r="J2135">
        <v>4490</v>
      </c>
      <c r="K2135">
        <v>9846</v>
      </c>
      <c r="L2135">
        <v>500</v>
      </c>
      <c r="M2135">
        <v>499</v>
      </c>
      <c r="N2135">
        <v>1</v>
      </c>
      <c r="O2135">
        <v>1664</v>
      </c>
      <c r="P2135" s="3" t="s">
        <v>52</v>
      </c>
      <c r="Q2135">
        <v>50</v>
      </c>
      <c r="R2135">
        <v>0.999</v>
      </c>
      <c r="S2135">
        <v>1</v>
      </c>
    </row>
    <row r="2136" spans="1:19" x14ac:dyDescent="0.2">
      <c r="A2136" s="3" t="s">
        <v>54</v>
      </c>
      <c r="B2136" s="3" t="s">
        <v>55</v>
      </c>
      <c r="C2136">
        <v>30</v>
      </c>
      <c r="D2136">
        <v>16000</v>
      </c>
      <c r="E2136">
        <v>499</v>
      </c>
      <c r="F2136">
        <v>1</v>
      </c>
      <c r="G2136">
        <v>16000</v>
      </c>
      <c r="H2136">
        <v>2.4957752999999999E-2</v>
      </c>
      <c r="I2136">
        <v>14349</v>
      </c>
      <c r="J2136">
        <v>4540</v>
      </c>
      <c r="K2136">
        <v>9809</v>
      </c>
      <c r="L2136">
        <v>500</v>
      </c>
      <c r="M2136">
        <v>499</v>
      </c>
      <c r="N2136">
        <v>1</v>
      </c>
      <c r="O2136">
        <v>1651</v>
      </c>
      <c r="P2136" s="3" t="s">
        <v>52</v>
      </c>
      <c r="Q2136">
        <v>50</v>
      </c>
      <c r="R2136">
        <v>0.999</v>
      </c>
      <c r="S2136">
        <v>1</v>
      </c>
    </row>
    <row r="2137" spans="1:19" x14ac:dyDescent="0.2">
      <c r="A2137" s="3" t="s">
        <v>54</v>
      </c>
      <c r="B2137" s="3" t="s">
        <v>55</v>
      </c>
      <c r="C2137">
        <v>41</v>
      </c>
      <c r="D2137">
        <v>16000</v>
      </c>
      <c r="E2137">
        <v>499</v>
      </c>
      <c r="F2137">
        <v>1</v>
      </c>
      <c r="G2137">
        <v>16000</v>
      </c>
      <c r="H2137">
        <v>2.4948613000000001E-2</v>
      </c>
      <c r="I2137">
        <v>14338</v>
      </c>
      <c r="J2137">
        <v>4514</v>
      </c>
      <c r="K2137">
        <v>9824</v>
      </c>
      <c r="L2137">
        <v>500</v>
      </c>
      <c r="M2137">
        <v>499</v>
      </c>
      <c r="N2137">
        <v>1</v>
      </c>
      <c r="O2137">
        <v>1662</v>
      </c>
      <c r="P2137" s="3" t="s">
        <v>52</v>
      </c>
      <c r="Q2137">
        <v>50</v>
      </c>
      <c r="R2137">
        <v>0.999</v>
      </c>
      <c r="S2137">
        <v>1</v>
      </c>
    </row>
    <row r="2138" spans="1:19" x14ac:dyDescent="0.2">
      <c r="A2138" s="3" t="s">
        <v>54</v>
      </c>
      <c r="B2138" s="3" t="s">
        <v>55</v>
      </c>
      <c r="C2138">
        <v>38</v>
      </c>
      <c r="D2138">
        <v>12000</v>
      </c>
      <c r="E2138">
        <v>499</v>
      </c>
      <c r="F2138">
        <v>1</v>
      </c>
      <c r="G2138">
        <v>50533.323552418398</v>
      </c>
      <c r="H2138">
        <v>2.4931793000000001E-2</v>
      </c>
      <c r="I2138">
        <v>11874</v>
      </c>
      <c r="J2138">
        <v>4043</v>
      </c>
      <c r="K2138">
        <v>7831</v>
      </c>
      <c r="L2138">
        <v>500</v>
      </c>
      <c r="M2138">
        <v>499</v>
      </c>
      <c r="N2138">
        <v>1</v>
      </c>
      <c r="O2138">
        <v>451.71453883520002</v>
      </c>
      <c r="P2138" s="3" t="s">
        <v>51</v>
      </c>
      <c r="Q2138">
        <v>50</v>
      </c>
      <c r="R2138">
        <v>0.999</v>
      </c>
      <c r="S2138">
        <v>0</v>
      </c>
    </row>
    <row r="2139" spans="1:19" x14ac:dyDescent="0.2">
      <c r="A2139" s="3" t="s">
        <v>54</v>
      </c>
      <c r="B2139" s="3" t="s">
        <v>55</v>
      </c>
      <c r="C2139">
        <v>31</v>
      </c>
      <c r="D2139">
        <v>12000</v>
      </c>
      <c r="E2139">
        <v>499</v>
      </c>
      <c r="F2139">
        <v>1</v>
      </c>
      <c r="G2139">
        <v>50533.323552418398</v>
      </c>
      <c r="H2139">
        <v>2.4925477000000001E-2</v>
      </c>
      <c r="I2139">
        <v>11867</v>
      </c>
      <c r="J2139">
        <v>4053</v>
      </c>
      <c r="K2139">
        <v>7814</v>
      </c>
      <c r="L2139">
        <v>500</v>
      </c>
      <c r="M2139">
        <v>499</v>
      </c>
      <c r="N2139">
        <v>1</v>
      </c>
      <c r="O2139">
        <v>446.43487903580001</v>
      </c>
      <c r="P2139" s="3" t="s">
        <v>51</v>
      </c>
      <c r="Q2139">
        <v>50</v>
      </c>
      <c r="R2139">
        <v>0.999</v>
      </c>
      <c r="S2139">
        <v>0</v>
      </c>
    </row>
    <row r="2140" spans="1:19" x14ac:dyDescent="0.2">
      <c r="A2140" s="3" t="s">
        <v>54</v>
      </c>
      <c r="B2140" s="3" t="s">
        <v>55</v>
      </c>
      <c r="C2140">
        <v>12</v>
      </c>
      <c r="D2140">
        <v>16000</v>
      </c>
      <c r="E2140">
        <v>499</v>
      </c>
      <c r="F2140">
        <v>1</v>
      </c>
      <c r="G2140">
        <v>16000</v>
      </c>
      <c r="H2140">
        <v>2.4888876000000001E-2</v>
      </c>
      <c r="I2140">
        <v>14361</v>
      </c>
      <c r="J2140">
        <v>4558</v>
      </c>
      <c r="K2140">
        <v>9803</v>
      </c>
      <c r="L2140">
        <v>500</v>
      </c>
      <c r="M2140">
        <v>499</v>
      </c>
      <c r="N2140">
        <v>1</v>
      </c>
      <c r="O2140">
        <v>1639</v>
      </c>
      <c r="P2140" s="3" t="s">
        <v>52</v>
      </c>
      <c r="Q2140">
        <v>50</v>
      </c>
      <c r="R2140">
        <v>0.999</v>
      </c>
      <c r="S2140">
        <v>1</v>
      </c>
    </row>
    <row r="2141" spans="1:19" x14ac:dyDescent="0.2">
      <c r="A2141" s="3" t="s">
        <v>54</v>
      </c>
      <c r="B2141" s="3" t="s">
        <v>55</v>
      </c>
      <c r="C2141">
        <v>22</v>
      </c>
      <c r="D2141">
        <v>15000</v>
      </c>
      <c r="E2141">
        <v>499</v>
      </c>
      <c r="F2141">
        <v>1</v>
      </c>
      <c r="G2141">
        <v>15000</v>
      </c>
      <c r="H2141">
        <v>2.4855234E-2</v>
      </c>
      <c r="I2141">
        <v>13782</v>
      </c>
      <c r="J2141">
        <v>4328</v>
      </c>
      <c r="K2141">
        <v>9454</v>
      </c>
      <c r="L2141">
        <v>500</v>
      </c>
      <c r="M2141">
        <v>499</v>
      </c>
      <c r="N2141">
        <v>1</v>
      </c>
      <c r="O2141">
        <v>1218</v>
      </c>
      <c r="P2141" s="3" t="s">
        <v>50</v>
      </c>
      <c r="Q2141">
        <v>50</v>
      </c>
      <c r="R2141">
        <v>0.999</v>
      </c>
      <c r="S2141">
        <v>1</v>
      </c>
    </row>
    <row r="2142" spans="1:19" x14ac:dyDescent="0.2">
      <c r="A2142" s="3" t="s">
        <v>54</v>
      </c>
      <c r="B2142" s="3" t="s">
        <v>55</v>
      </c>
      <c r="C2142">
        <v>13</v>
      </c>
      <c r="D2142">
        <v>12000</v>
      </c>
      <c r="E2142">
        <v>499</v>
      </c>
      <c r="F2142">
        <v>1</v>
      </c>
      <c r="G2142">
        <v>50533.323552418398</v>
      </c>
      <c r="H2142">
        <v>2.4849019E-2</v>
      </c>
      <c r="I2142">
        <v>11866</v>
      </c>
      <c r="J2142">
        <v>4031</v>
      </c>
      <c r="K2142">
        <v>7835</v>
      </c>
      <c r="L2142">
        <v>500</v>
      </c>
      <c r="M2142">
        <v>499</v>
      </c>
      <c r="N2142">
        <v>1</v>
      </c>
      <c r="O2142">
        <v>506.70673079289998</v>
      </c>
      <c r="P2142" s="3" t="s">
        <v>51</v>
      </c>
      <c r="Q2142">
        <v>50</v>
      </c>
      <c r="R2142">
        <v>0.999</v>
      </c>
      <c r="S2142">
        <v>0</v>
      </c>
    </row>
    <row r="2143" spans="1:19" x14ac:dyDescent="0.2">
      <c r="A2143" s="3" t="s">
        <v>54</v>
      </c>
      <c r="B2143" s="3" t="s">
        <v>55</v>
      </c>
      <c r="C2143">
        <v>44</v>
      </c>
      <c r="D2143">
        <v>12000</v>
      </c>
      <c r="E2143">
        <v>499</v>
      </c>
      <c r="F2143">
        <v>1</v>
      </c>
      <c r="G2143">
        <v>50533.323552418398</v>
      </c>
      <c r="H2143">
        <v>2.4847496E-2</v>
      </c>
      <c r="I2143">
        <v>11901</v>
      </c>
      <c r="J2143">
        <v>4083</v>
      </c>
      <c r="K2143">
        <v>7818</v>
      </c>
      <c r="L2143">
        <v>500</v>
      </c>
      <c r="M2143">
        <v>499</v>
      </c>
      <c r="N2143">
        <v>1</v>
      </c>
      <c r="O2143">
        <v>349.680550353</v>
      </c>
      <c r="P2143" s="3" t="s">
        <v>51</v>
      </c>
      <c r="Q2143">
        <v>50</v>
      </c>
      <c r="R2143">
        <v>0.999</v>
      </c>
      <c r="S2143">
        <v>0</v>
      </c>
    </row>
    <row r="2144" spans="1:19" x14ac:dyDescent="0.2">
      <c r="A2144" s="3" t="s">
        <v>54</v>
      </c>
      <c r="B2144" s="3" t="s">
        <v>55</v>
      </c>
      <c r="C2144">
        <v>14</v>
      </c>
      <c r="D2144">
        <v>16000</v>
      </c>
      <c r="E2144">
        <v>499</v>
      </c>
      <c r="F2144">
        <v>1</v>
      </c>
      <c r="G2144">
        <v>16000</v>
      </c>
      <c r="H2144">
        <v>2.4753429E-2</v>
      </c>
      <c r="I2144">
        <v>14372</v>
      </c>
      <c r="J2144">
        <v>4557</v>
      </c>
      <c r="K2144">
        <v>9815</v>
      </c>
      <c r="L2144">
        <v>500</v>
      </c>
      <c r="M2144">
        <v>499</v>
      </c>
      <c r="N2144">
        <v>1</v>
      </c>
      <c r="O2144">
        <v>1628</v>
      </c>
      <c r="P2144" s="3" t="s">
        <v>52</v>
      </c>
      <c r="Q2144">
        <v>50</v>
      </c>
      <c r="R2144">
        <v>0.999</v>
      </c>
      <c r="S2144">
        <v>1</v>
      </c>
    </row>
    <row r="2145" spans="1:19" x14ac:dyDescent="0.2">
      <c r="A2145" s="3" t="s">
        <v>54</v>
      </c>
      <c r="B2145" s="3" t="s">
        <v>55</v>
      </c>
      <c r="C2145">
        <v>9</v>
      </c>
      <c r="D2145">
        <v>10000</v>
      </c>
      <c r="E2145">
        <v>499</v>
      </c>
      <c r="F2145">
        <v>1</v>
      </c>
      <c r="G2145">
        <v>10000</v>
      </c>
      <c r="H2145">
        <v>2.4746827999999998E-2</v>
      </c>
      <c r="I2145">
        <v>10000</v>
      </c>
      <c r="J2145">
        <v>4183</v>
      </c>
      <c r="K2145">
        <v>5817</v>
      </c>
      <c r="L2145">
        <v>500</v>
      </c>
      <c r="M2145">
        <v>499</v>
      </c>
      <c r="N2145">
        <v>1</v>
      </c>
      <c r="O2145">
        <v>0</v>
      </c>
      <c r="P2145" s="3" t="s">
        <v>51</v>
      </c>
      <c r="Q2145">
        <v>50</v>
      </c>
      <c r="R2145">
        <v>0.999</v>
      </c>
      <c r="S2145">
        <v>1</v>
      </c>
    </row>
    <row r="2146" spans="1:19" x14ac:dyDescent="0.2">
      <c r="A2146" s="3" t="s">
        <v>54</v>
      </c>
      <c r="B2146" s="3" t="s">
        <v>55</v>
      </c>
      <c r="C2146">
        <v>23</v>
      </c>
      <c r="D2146">
        <v>16000</v>
      </c>
      <c r="E2146">
        <v>499</v>
      </c>
      <c r="F2146">
        <v>1</v>
      </c>
      <c r="G2146">
        <v>16000</v>
      </c>
      <c r="H2146">
        <v>2.4707529999999998E-2</v>
      </c>
      <c r="I2146">
        <v>14322</v>
      </c>
      <c r="J2146">
        <v>4540</v>
      </c>
      <c r="K2146">
        <v>9782</v>
      </c>
      <c r="L2146">
        <v>500</v>
      </c>
      <c r="M2146">
        <v>499</v>
      </c>
      <c r="N2146">
        <v>1</v>
      </c>
      <c r="O2146">
        <v>1678</v>
      </c>
      <c r="P2146" s="3" t="s">
        <v>52</v>
      </c>
      <c r="Q2146">
        <v>50</v>
      </c>
      <c r="R2146">
        <v>0.999</v>
      </c>
      <c r="S2146">
        <v>1</v>
      </c>
    </row>
    <row r="2147" spans="1:19" x14ac:dyDescent="0.2">
      <c r="A2147" s="3" t="s">
        <v>54</v>
      </c>
      <c r="B2147" s="3" t="s">
        <v>55</v>
      </c>
      <c r="C2147">
        <v>8</v>
      </c>
      <c r="D2147">
        <v>12000</v>
      </c>
      <c r="E2147">
        <v>499</v>
      </c>
      <c r="F2147">
        <v>1</v>
      </c>
      <c r="G2147">
        <v>50533.323552418398</v>
      </c>
      <c r="H2147">
        <v>2.4703928E-2</v>
      </c>
      <c r="I2147">
        <v>11882</v>
      </c>
      <c r="J2147">
        <v>4061</v>
      </c>
      <c r="K2147">
        <v>7821</v>
      </c>
      <c r="L2147">
        <v>500</v>
      </c>
      <c r="M2147">
        <v>499</v>
      </c>
      <c r="N2147">
        <v>1</v>
      </c>
      <c r="O2147">
        <v>434.5193549471</v>
      </c>
      <c r="P2147" s="3" t="s">
        <v>51</v>
      </c>
      <c r="Q2147">
        <v>50</v>
      </c>
      <c r="R2147">
        <v>0.999</v>
      </c>
      <c r="S2147">
        <v>0</v>
      </c>
    </row>
    <row r="2148" spans="1:19" x14ac:dyDescent="0.2">
      <c r="A2148" s="3" t="s">
        <v>54</v>
      </c>
      <c r="B2148" s="3" t="s">
        <v>55</v>
      </c>
      <c r="C2148">
        <v>10</v>
      </c>
      <c r="D2148">
        <v>15000</v>
      </c>
      <c r="E2148">
        <v>499</v>
      </c>
      <c r="F2148">
        <v>1</v>
      </c>
      <c r="G2148">
        <v>15000</v>
      </c>
      <c r="H2148">
        <v>2.4694120999999999E-2</v>
      </c>
      <c r="I2148">
        <v>13786</v>
      </c>
      <c r="J2148">
        <v>4344</v>
      </c>
      <c r="K2148">
        <v>9442</v>
      </c>
      <c r="L2148">
        <v>500</v>
      </c>
      <c r="M2148">
        <v>499</v>
      </c>
      <c r="N2148">
        <v>1</v>
      </c>
      <c r="O2148">
        <v>1214</v>
      </c>
      <c r="P2148" s="3" t="s">
        <v>50</v>
      </c>
      <c r="Q2148">
        <v>50</v>
      </c>
      <c r="R2148">
        <v>0.999</v>
      </c>
      <c r="S2148">
        <v>1</v>
      </c>
    </row>
    <row r="2149" spans="1:19" x14ac:dyDescent="0.2">
      <c r="A2149" s="3" t="s">
        <v>54</v>
      </c>
      <c r="B2149" s="3" t="s">
        <v>55</v>
      </c>
      <c r="C2149">
        <v>29</v>
      </c>
      <c r="D2149">
        <v>16000</v>
      </c>
      <c r="E2149">
        <v>499</v>
      </c>
      <c r="F2149">
        <v>1</v>
      </c>
      <c r="G2149">
        <v>16000</v>
      </c>
      <c r="H2149">
        <v>2.4681287E-2</v>
      </c>
      <c r="I2149">
        <v>14358</v>
      </c>
      <c r="J2149">
        <v>4559</v>
      </c>
      <c r="K2149">
        <v>9799</v>
      </c>
      <c r="L2149">
        <v>500</v>
      </c>
      <c r="M2149">
        <v>499</v>
      </c>
      <c r="N2149">
        <v>1</v>
      </c>
      <c r="O2149">
        <v>1642</v>
      </c>
      <c r="P2149" s="3" t="s">
        <v>52</v>
      </c>
      <c r="Q2149">
        <v>50</v>
      </c>
      <c r="R2149">
        <v>0.999</v>
      </c>
      <c r="S2149">
        <v>1</v>
      </c>
    </row>
    <row r="2150" spans="1:19" x14ac:dyDescent="0.2">
      <c r="A2150" s="3" t="s">
        <v>54</v>
      </c>
      <c r="B2150" s="3" t="s">
        <v>55</v>
      </c>
      <c r="C2150">
        <v>45</v>
      </c>
      <c r="D2150">
        <v>16000</v>
      </c>
      <c r="E2150">
        <v>499</v>
      </c>
      <c r="F2150">
        <v>1</v>
      </c>
      <c r="G2150">
        <v>16000</v>
      </c>
      <c r="H2150">
        <v>2.4673285E-2</v>
      </c>
      <c r="I2150">
        <v>14352</v>
      </c>
      <c r="J2150">
        <v>4530</v>
      </c>
      <c r="K2150">
        <v>9822</v>
      </c>
      <c r="L2150">
        <v>500</v>
      </c>
      <c r="M2150">
        <v>499</v>
      </c>
      <c r="N2150">
        <v>1</v>
      </c>
      <c r="O2150">
        <v>1648</v>
      </c>
      <c r="P2150" s="3" t="s">
        <v>52</v>
      </c>
      <c r="Q2150">
        <v>50</v>
      </c>
      <c r="R2150">
        <v>0.999</v>
      </c>
      <c r="S2150">
        <v>1</v>
      </c>
    </row>
    <row r="2151" spans="1:19" x14ac:dyDescent="0.2">
      <c r="A2151" s="3" t="s">
        <v>54</v>
      </c>
      <c r="B2151" s="3" t="s">
        <v>55</v>
      </c>
      <c r="C2151">
        <v>32</v>
      </c>
      <c r="D2151">
        <v>16000</v>
      </c>
      <c r="E2151">
        <v>499</v>
      </c>
      <c r="F2151">
        <v>1</v>
      </c>
      <c r="G2151">
        <v>16000</v>
      </c>
      <c r="H2151">
        <v>2.4667061000000001E-2</v>
      </c>
      <c r="I2151">
        <v>14349</v>
      </c>
      <c r="J2151">
        <v>4531</v>
      </c>
      <c r="K2151">
        <v>9818</v>
      </c>
      <c r="L2151">
        <v>500</v>
      </c>
      <c r="M2151">
        <v>499</v>
      </c>
      <c r="N2151">
        <v>1</v>
      </c>
      <c r="O2151">
        <v>1651</v>
      </c>
      <c r="P2151" s="3" t="s">
        <v>52</v>
      </c>
      <c r="Q2151">
        <v>50</v>
      </c>
      <c r="R2151">
        <v>0.999</v>
      </c>
      <c r="S2151">
        <v>1</v>
      </c>
    </row>
    <row r="2152" spans="1:19" x14ac:dyDescent="0.2">
      <c r="A2152" s="3" t="s">
        <v>54</v>
      </c>
      <c r="B2152" s="3" t="s">
        <v>55</v>
      </c>
      <c r="C2152">
        <v>9</v>
      </c>
      <c r="D2152">
        <v>15000</v>
      </c>
      <c r="E2152">
        <v>499</v>
      </c>
      <c r="F2152">
        <v>1</v>
      </c>
      <c r="G2152">
        <v>15000</v>
      </c>
      <c r="H2152">
        <v>2.4662973000000001E-2</v>
      </c>
      <c r="I2152">
        <v>13783</v>
      </c>
      <c r="J2152">
        <v>4373</v>
      </c>
      <c r="K2152">
        <v>9410</v>
      </c>
      <c r="L2152">
        <v>500</v>
      </c>
      <c r="M2152">
        <v>499</v>
      </c>
      <c r="N2152">
        <v>1</v>
      </c>
      <c r="O2152">
        <v>1217</v>
      </c>
      <c r="P2152" s="3" t="s">
        <v>50</v>
      </c>
      <c r="Q2152">
        <v>50</v>
      </c>
      <c r="R2152">
        <v>0.999</v>
      </c>
      <c r="S2152">
        <v>1</v>
      </c>
    </row>
    <row r="2153" spans="1:19" x14ac:dyDescent="0.2">
      <c r="A2153" s="3" t="s">
        <v>54</v>
      </c>
      <c r="B2153" s="3" t="s">
        <v>55</v>
      </c>
      <c r="C2153">
        <v>15</v>
      </c>
      <c r="D2153">
        <v>16000</v>
      </c>
      <c r="E2153">
        <v>499</v>
      </c>
      <c r="F2153">
        <v>1</v>
      </c>
      <c r="G2153">
        <v>16000</v>
      </c>
      <c r="H2153">
        <v>2.4617854000000002E-2</v>
      </c>
      <c r="I2153">
        <v>14358</v>
      </c>
      <c r="J2153">
        <v>4554</v>
      </c>
      <c r="K2153">
        <v>9804</v>
      </c>
      <c r="L2153">
        <v>500</v>
      </c>
      <c r="M2153">
        <v>499</v>
      </c>
      <c r="N2153">
        <v>1</v>
      </c>
      <c r="O2153">
        <v>1642</v>
      </c>
      <c r="P2153" s="3" t="s">
        <v>52</v>
      </c>
      <c r="Q2153">
        <v>50</v>
      </c>
      <c r="R2153">
        <v>0.999</v>
      </c>
      <c r="S2153">
        <v>1</v>
      </c>
    </row>
    <row r="2154" spans="1:19" x14ac:dyDescent="0.2">
      <c r="A2154" s="3" t="s">
        <v>54</v>
      </c>
      <c r="B2154" s="3" t="s">
        <v>55</v>
      </c>
      <c r="C2154">
        <v>49</v>
      </c>
      <c r="D2154">
        <v>10000</v>
      </c>
      <c r="E2154">
        <v>499</v>
      </c>
      <c r="F2154">
        <v>1</v>
      </c>
      <c r="G2154">
        <v>10000</v>
      </c>
      <c r="H2154">
        <v>2.4582067999999999E-2</v>
      </c>
      <c r="I2154">
        <v>10000</v>
      </c>
      <c r="J2154">
        <v>4183</v>
      </c>
      <c r="K2154">
        <v>5817</v>
      </c>
      <c r="L2154">
        <v>500</v>
      </c>
      <c r="M2154">
        <v>499</v>
      </c>
      <c r="N2154">
        <v>1</v>
      </c>
      <c r="O2154">
        <v>0</v>
      </c>
      <c r="P2154" s="3" t="s">
        <v>51</v>
      </c>
      <c r="Q2154">
        <v>50</v>
      </c>
      <c r="R2154">
        <v>0.999</v>
      </c>
      <c r="S2154">
        <v>1</v>
      </c>
    </row>
    <row r="2155" spans="1:19" x14ac:dyDescent="0.2">
      <c r="A2155" s="3" t="s">
        <v>54</v>
      </c>
      <c r="B2155" s="3" t="s">
        <v>55</v>
      </c>
      <c r="C2155">
        <v>25</v>
      </c>
      <c r="D2155">
        <v>16000</v>
      </c>
      <c r="E2155">
        <v>499</v>
      </c>
      <c r="F2155">
        <v>1</v>
      </c>
      <c r="G2155">
        <v>16000</v>
      </c>
      <c r="H2155">
        <v>2.4574065999999999E-2</v>
      </c>
      <c r="I2155">
        <v>14362</v>
      </c>
      <c r="J2155">
        <v>4585</v>
      </c>
      <c r="K2155">
        <v>9777</v>
      </c>
      <c r="L2155">
        <v>500</v>
      </c>
      <c r="M2155">
        <v>499</v>
      </c>
      <c r="N2155">
        <v>1</v>
      </c>
      <c r="O2155">
        <v>1638</v>
      </c>
      <c r="P2155" s="3" t="s">
        <v>52</v>
      </c>
      <c r="Q2155">
        <v>50</v>
      </c>
      <c r="R2155">
        <v>0.999</v>
      </c>
      <c r="S2155">
        <v>1</v>
      </c>
    </row>
    <row r="2156" spans="1:19" x14ac:dyDescent="0.2">
      <c r="A2156" s="3" t="s">
        <v>54</v>
      </c>
      <c r="B2156" s="3" t="s">
        <v>55</v>
      </c>
      <c r="C2156">
        <v>19</v>
      </c>
      <c r="D2156">
        <v>15000</v>
      </c>
      <c r="E2156">
        <v>499</v>
      </c>
      <c r="F2156">
        <v>1</v>
      </c>
      <c r="G2156">
        <v>15000</v>
      </c>
      <c r="H2156">
        <v>2.4560095000000001E-2</v>
      </c>
      <c r="I2156">
        <v>13791</v>
      </c>
      <c r="J2156">
        <v>4361</v>
      </c>
      <c r="K2156">
        <v>9430</v>
      </c>
      <c r="L2156">
        <v>500</v>
      </c>
      <c r="M2156">
        <v>499</v>
      </c>
      <c r="N2156">
        <v>1</v>
      </c>
      <c r="O2156">
        <v>1209</v>
      </c>
      <c r="P2156" s="3" t="s">
        <v>50</v>
      </c>
      <c r="Q2156">
        <v>50</v>
      </c>
      <c r="R2156">
        <v>0.999</v>
      </c>
      <c r="S2156">
        <v>1</v>
      </c>
    </row>
    <row r="2157" spans="1:19" x14ac:dyDescent="0.2">
      <c r="A2157" s="3" t="s">
        <v>54</v>
      </c>
      <c r="B2157" s="3" t="s">
        <v>55</v>
      </c>
      <c r="C2157">
        <v>48</v>
      </c>
      <c r="D2157">
        <v>16000</v>
      </c>
      <c r="E2157">
        <v>499</v>
      </c>
      <c r="F2157">
        <v>1</v>
      </c>
      <c r="G2157">
        <v>16000</v>
      </c>
      <c r="H2157">
        <v>2.4552806999999999E-2</v>
      </c>
      <c r="I2157">
        <v>14353</v>
      </c>
      <c r="J2157">
        <v>4505</v>
      </c>
      <c r="K2157">
        <v>9848</v>
      </c>
      <c r="L2157">
        <v>500</v>
      </c>
      <c r="M2157">
        <v>499</v>
      </c>
      <c r="N2157">
        <v>1</v>
      </c>
      <c r="O2157">
        <v>1647</v>
      </c>
      <c r="P2157" s="3" t="s">
        <v>52</v>
      </c>
      <c r="Q2157">
        <v>50</v>
      </c>
      <c r="R2157">
        <v>0.999</v>
      </c>
      <c r="S2157">
        <v>1</v>
      </c>
    </row>
    <row r="2158" spans="1:19" x14ac:dyDescent="0.2">
      <c r="A2158" s="3" t="s">
        <v>54</v>
      </c>
      <c r="B2158" s="3" t="s">
        <v>55</v>
      </c>
      <c r="C2158">
        <v>19</v>
      </c>
      <c r="D2158">
        <v>16000</v>
      </c>
      <c r="E2158">
        <v>499</v>
      </c>
      <c r="F2158">
        <v>1</v>
      </c>
      <c r="G2158">
        <v>16000</v>
      </c>
      <c r="H2158">
        <v>2.4538737000000001E-2</v>
      </c>
      <c r="I2158">
        <v>14350</v>
      </c>
      <c r="J2158">
        <v>4553</v>
      </c>
      <c r="K2158">
        <v>9797</v>
      </c>
      <c r="L2158">
        <v>500</v>
      </c>
      <c r="M2158">
        <v>499</v>
      </c>
      <c r="N2158">
        <v>1</v>
      </c>
      <c r="O2158">
        <v>1650</v>
      </c>
      <c r="P2158" s="3" t="s">
        <v>52</v>
      </c>
      <c r="Q2158">
        <v>50</v>
      </c>
      <c r="R2158">
        <v>0.999</v>
      </c>
      <c r="S2158">
        <v>1</v>
      </c>
    </row>
    <row r="2159" spans="1:19" x14ac:dyDescent="0.2">
      <c r="A2159" s="3" t="s">
        <v>54</v>
      </c>
      <c r="B2159" s="3" t="s">
        <v>55</v>
      </c>
      <c r="C2159">
        <v>9</v>
      </c>
      <c r="D2159">
        <v>16000</v>
      </c>
      <c r="E2159">
        <v>499</v>
      </c>
      <c r="F2159">
        <v>1</v>
      </c>
      <c r="G2159">
        <v>16000</v>
      </c>
      <c r="H2159">
        <v>2.4515260000000001E-2</v>
      </c>
      <c r="I2159">
        <v>14357</v>
      </c>
      <c r="J2159">
        <v>4553</v>
      </c>
      <c r="K2159">
        <v>9804</v>
      </c>
      <c r="L2159">
        <v>500</v>
      </c>
      <c r="M2159">
        <v>499</v>
      </c>
      <c r="N2159">
        <v>1</v>
      </c>
      <c r="O2159">
        <v>1643</v>
      </c>
      <c r="P2159" s="3" t="s">
        <v>52</v>
      </c>
      <c r="Q2159">
        <v>50</v>
      </c>
      <c r="R2159">
        <v>0.999</v>
      </c>
      <c r="S2159">
        <v>1</v>
      </c>
    </row>
    <row r="2160" spans="1:19" x14ac:dyDescent="0.2">
      <c r="A2160" s="3" t="s">
        <v>54</v>
      </c>
      <c r="B2160" s="3" t="s">
        <v>55</v>
      </c>
      <c r="C2160">
        <v>5</v>
      </c>
      <c r="D2160">
        <v>16000</v>
      </c>
      <c r="E2160">
        <v>499</v>
      </c>
      <c r="F2160">
        <v>1</v>
      </c>
      <c r="G2160">
        <v>16000</v>
      </c>
      <c r="H2160">
        <v>2.4505563000000001E-2</v>
      </c>
      <c r="I2160">
        <v>14352</v>
      </c>
      <c r="J2160">
        <v>4522</v>
      </c>
      <c r="K2160">
        <v>9830</v>
      </c>
      <c r="L2160">
        <v>500</v>
      </c>
      <c r="M2160">
        <v>499</v>
      </c>
      <c r="N2160">
        <v>1</v>
      </c>
      <c r="O2160">
        <v>1648</v>
      </c>
      <c r="P2160" s="3" t="s">
        <v>52</v>
      </c>
      <c r="Q2160">
        <v>50</v>
      </c>
      <c r="R2160">
        <v>0.999</v>
      </c>
      <c r="S2160">
        <v>1</v>
      </c>
    </row>
    <row r="2161" spans="1:19" x14ac:dyDescent="0.2">
      <c r="A2161" s="3" t="s">
        <v>54</v>
      </c>
      <c r="B2161" s="3" t="s">
        <v>55</v>
      </c>
      <c r="C2161">
        <v>4</v>
      </c>
      <c r="D2161">
        <v>16000</v>
      </c>
      <c r="E2161">
        <v>499</v>
      </c>
      <c r="F2161">
        <v>1</v>
      </c>
      <c r="G2161">
        <v>16000</v>
      </c>
      <c r="H2161">
        <v>2.4500273999999999E-2</v>
      </c>
      <c r="I2161">
        <v>14357</v>
      </c>
      <c r="J2161">
        <v>4573</v>
      </c>
      <c r="K2161">
        <v>9784</v>
      </c>
      <c r="L2161">
        <v>500</v>
      </c>
      <c r="M2161">
        <v>499</v>
      </c>
      <c r="N2161">
        <v>1</v>
      </c>
      <c r="O2161">
        <v>1643</v>
      </c>
      <c r="P2161" s="3" t="s">
        <v>52</v>
      </c>
      <c r="Q2161">
        <v>50</v>
      </c>
      <c r="R2161">
        <v>0.999</v>
      </c>
      <c r="S2161">
        <v>1</v>
      </c>
    </row>
    <row r="2162" spans="1:19" x14ac:dyDescent="0.2">
      <c r="A2162" s="3" t="s">
        <v>54</v>
      </c>
      <c r="B2162" s="3" t="s">
        <v>55</v>
      </c>
      <c r="C2162">
        <v>25</v>
      </c>
      <c r="D2162">
        <v>12000</v>
      </c>
      <c r="E2162">
        <v>499</v>
      </c>
      <c r="F2162">
        <v>1</v>
      </c>
      <c r="G2162">
        <v>12000</v>
      </c>
      <c r="H2162">
        <v>2.4493362000000001E-2</v>
      </c>
      <c r="I2162">
        <v>12000</v>
      </c>
      <c r="J2162">
        <v>4716</v>
      </c>
      <c r="K2162">
        <v>7284</v>
      </c>
      <c r="L2162">
        <v>500</v>
      </c>
      <c r="M2162">
        <v>499</v>
      </c>
      <c r="N2162">
        <v>1</v>
      </c>
      <c r="O2162">
        <v>0</v>
      </c>
      <c r="P2162" s="3" t="s">
        <v>51</v>
      </c>
      <c r="Q2162">
        <v>50</v>
      </c>
      <c r="R2162">
        <v>0.999</v>
      </c>
      <c r="S2162">
        <v>1</v>
      </c>
    </row>
    <row r="2163" spans="1:19" x14ac:dyDescent="0.2">
      <c r="A2163" s="3" t="s">
        <v>54</v>
      </c>
      <c r="B2163" s="3" t="s">
        <v>55</v>
      </c>
      <c r="C2163">
        <v>34</v>
      </c>
      <c r="D2163">
        <v>16000</v>
      </c>
      <c r="E2163">
        <v>499</v>
      </c>
      <c r="F2163">
        <v>1</v>
      </c>
      <c r="G2163">
        <v>16000</v>
      </c>
      <c r="H2163">
        <v>2.449206E-2</v>
      </c>
      <c r="I2163">
        <v>14369</v>
      </c>
      <c r="J2163">
        <v>4524</v>
      </c>
      <c r="K2163">
        <v>9845</v>
      </c>
      <c r="L2163">
        <v>500</v>
      </c>
      <c r="M2163">
        <v>499</v>
      </c>
      <c r="N2163">
        <v>1</v>
      </c>
      <c r="O2163">
        <v>1631</v>
      </c>
      <c r="P2163" s="3" t="s">
        <v>52</v>
      </c>
      <c r="Q2163">
        <v>50</v>
      </c>
      <c r="R2163">
        <v>0.999</v>
      </c>
      <c r="S2163">
        <v>1</v>
      </c>
    </row>
    <row r="2164" spans="1:19" x14ac:dyDescent="0.2">
      <c r="A2164" s="3" t="s">
        <v>54</v>
      </c>
      <c r="B2164" s="3" t="s">
        <v>55</v>
      </c>
      <c r="C2164">
        <v>22</v>
      </c>
      <c r="D2164">
        <v>16000</v>
      </c>
      <c r="E2164">
        <v>499</v>
      </c>
      <c r="F2164">
        <v>1</v>
      </c>
      <c r="G2164">
        <v>16000</v>
      </c>
      <c r="H2164">
        <v>2.4487542000000001E-2</v>
      </c>
      <c r="I2164">
        <v>14372</v>
      </c>
      <c r="J2164">
        <v>4550</v>
      </c>
      <c r="K2164">
        <v>9822</v>
      </c>
      <c r="L2164">
        <v>500</v>
      </c>
      <c r="M2164">
        <v>499</v>
      </c>
      <c r="N2164">
        <v>1</v>
      </c>
      <c r="O2164">
        <v>1628</v>
      </c>
      <c r="P2164" s="3" t="s">
        <v>52</v>
      </c>
      <c r="Q2164">
        <v>50</v>
      </c>
      <c r="R2164">
        <v>0.999</v>
      </c>
      <c r="S2164">
        <v>1</v>
      </c>
    </row>
    <row r="2165" spans="1:19" x14ac:dyDescent="0.2">
      <c r="A2165" s="3" t="s">
        <v>54</v>
      </c>
      <c r="B2165" s="3" t="s">
        <v>55</v>
      </c>
      <c r="C2165">
        <v>46</v>
      </c>
      <c r="D2165">
        <v>12000</v>
      </c>
      <c r="E2165">
        <v>499</v>
      </c>
      <c r="F2165">
        <v>1</v>
      </c>
      <c r="G2165">
        <v>50533.323552418398</v>
      </c>
      <c r="H2165">
        <v>2.4474341E-2</v>
      </c>
      <c r="I2165">
        <v>11902</v>
      </c>
      <c r="J2165">
        <v>4084</v>
      </c>
      <c r="K2165">
        <v>7818</v>
      </c>
      <c r="L2165">
        <v>500</v>
      </c>
      <c r="M2165">
        <v>499</v>
      </c>
      <c r="N2165">
        <v>1</v>
      </c>
      <c r="O2165">
        <v>377.5354025282</v>
      </c>
      <c r="P2165" s="3" t="s">
        <v>51</v>
      </c>
      <c r="Q2165">
        <v>50</v>
      </c>
      <c r="R2165">
        <v>0.999</v>
      </c>
      <c r="S2165">
        <v>0</v>
      </c>
    </row>
    <row r="2166" spans="1:19" x14ac:dyDescent="0.2">
      <c r="A2166" s="3" t="s">
        <v>54</v>
      </c>
      <c r="B2166" s="3" t="s">
        <v>55</v>
      </c>
      <c r="C2166">
        <v>11</v>
      </c>
      <c r="D2166">
        <v>16000</v>
      </c>
      <c r="E2166">
        <v>499</v>
      </c>
      <c r="F2166">
        <v>1</v>
      </c>
      <c r="G2166">
        <v>16000</v>
      </c>
      <c r="H2166">
        <v>2.4471619E-2</v>
      </c>
      <c r="I2166">
        <v>14366</v>
      </c>
      <c r="J2166">
        <v>4581</v>
      </c>
      <c r="K2166">
        <v>9785</v>
      </c>
      <c r="L2166">
        <v>500</v>
      </c>
      <c r="M2166">
        <v>499</v>
      </c>
      <c r="N2166">
        <v>1</v>
      </c>
      <c r="O2166">
        <v>1634</v>
      </c>
      <c r="P2166" s="3" t="s">
        <v>52</v>
      </c>
      <c r="Q2166">
        <v>50</v>
      </c>
      <c r="R2166">
        <v>0.999</v>
      </c>
      <c r="S2166">
        <v>1</v>
      </c>
    </row>
    <row r="2167" spans="1:19" x14ac:dyDescent="0.2">
      <c r="A2167" s="3" t="s">
        <v>54</v>
      </c>
      <c r="B2167" s="3" t="s">
        <v>55</v>
      </c>
      <c r="C2167">
        <v>31</v>
      </c>
      <c r="D2167">
        <v>16000</v>
      </c>
      <c r="E2167">
        <v>499</v>
      </c>
      <c r="F2167">
        <v>1</v>
      </c>
      <c r="G2167">
        <v>16000</v>
      </c>
      <c r="H2167">
        <v>2.4450039999999999E-2</v>
      </c>
      <c r="I2167">
        <v>14362</v>
      </c>
      <c r="J2167">
        <v>4557</v>
      </c>
      <c r="K2167">
        <v>9805</v>
      </c>
      <c r="L2167">
        <v>500</v>
      </c>
      <c r="M2167">
        <v>499</v>
      </c>
      <c r="N2167">
        <v>1</v>
      </c>
      <c r="O2167">
        <v>1638</v>
      </c>
      <c r="P2167" s="3" t="s">
        <v>52</v>
      </c>
      <c r="Q2167">
        <v>50</v>
      </c>
      <c r="R2167">
        <v>0.999</v>
      </c>
      <c r="S2167">
        <v>1</v>
      </c>
    </row>
    <row r="2168" spans="1:19" x14ac:dyDescent="0.2">
      <c r="A2168" s="3" t="s">
        <v>54</v>
      </c>
      <c r="B2168" s="3" t="s">
        <v>55</v>
      </c>
      <c r="C2168">
        <v>43</v>
      </c>
      <c r="D2168">
        <v>16000</v>
      </c>
      <c r="E2168">
        <v>499</v>
      </c>
      <c r="F2168">
        <v>1</v>
      </c>
      <c r="G2168">
        <v>16000</v>
      </c>
      <c r="H2168">
        <v>2.4436619999999999E-2</v>
      </c>
      <c r="I2168">
        <v>14336</v>
      </c>
      <c r="J2168">
        <v>4557</v>
      </c>
      <c r="K2168">
        <v>9779</v>
      </c>
      <c r="L2168">
        <v>500</v>
      </c>
      <c r="M2168">
        <v>499</v>
      </c>
      <c r="N2168">
        <v>1</v>
      </c>
      <c r="O2168">
        <v>1664</v>
      </c>
      <c r="P2168" s="3" t="s">
        <v>52</v>
      </c>
      <c r="Q2168">
        <v>50</v>
      </c>
      <c r="R2168">
        <v>0.999</v>
      </c>
      <c r="S2168">
        <v>1</v>
      </c>
    </row>
    <row r="2169" spans="1:19" x14ac:dyDescent="0.2">
      <c r="A2169" s="3" t="s">
        <v>54</v>
      </c>
      <c r="B2169" s="3" t="s">
        <v>55</v>
      </c>
      <c r="C2169">
        <v>17</v>
      </c>
      <c r="D2169">
        <v>16000</v>
      </c>
      <c r="E2169">
        <v>499</v>
      </c>
      <c r="F2169">
        <v>1</v>
      </c>
      <c r="G2169">
        <v>16000</v>
      </c>
      <c r="H2169">
        <v>2.4405746999999998E-2</v>
      </c>
      <c r="I2169">
        <v>14341</v>
      </c>
      <c r="J2169">
        <v>4551</v>
      </c>
      <c r="K2169">
        <v>9790</v>
      </c>
      <c r="L2169">
        <v>500</v>
      </c>
      <c r="M2169">
        <v>499</v>
      </c>
      <c r="N2169">
        <v>1</v>
      </c>
      <c r="O2169">
        <v>1659</v>
      </c>
      <c r="P2169" s="3" t="s">
        <v>52</v>
      </c>
      <c r="Q2169">
        <v>50</v>
      </c>
      <c r="R2169">
        <v>0.999</v>
      </c>
      <c r="S2169">
        <v>1</v>
      </c>
    </row>
    <row r="2170" spans="1:19" x14ac:dyDescent="0.2">
      <c r="A2170" s="3" t="s">
        <v>54</v>
      </c>
      <c r="B2170" s="3" t="s">
        <v>55</v>
      </c>
      <c r="C2170">
        <v>13</v>
      </c>
      <c r="D2170">
        <v>16000</v>
      </c>
      <c r="E2170">
        <v>499</v>
      </c>
      <c r="F2170">
        <v>1</v>
      </c>
      <c r="G2170">
        <v>16000</v>
      </c>
      <c r="H2170">
        <v>2.4384553999999999E-2</v>
      </c>
      <c r="I2170">
        <v>14355</v>
      </c>
      <c r="J2170">
        <v>4547</v>
      </c>
      <c r="K2170">
        <v>9808</v>
      </c>
      <c r="L2170">
        <v>500</v>
      </c>
      <c r="M2170">
        <v>499</v>
      </c>
      <c r="N2170">
        <v>1</v>
      </c>
      <c r="O2170">
        <v>1645</v>
      </c>
      <c r="P2170" s="3" t="s">
        <v>52</v>
      </c>
      <c r="Q2170">
        <v>50</v>
      </c>
      <c r="R2170">
        <v>0.999</v>
      </c>
      <c r="S2170">
        <v>1</v>
      </c>
    </row>
    <row r="2171" spans="1:19" x14ac:dyDescent="0.2">
      <c r="A2171" s="3" t="s">
        <v>54</v>
      </c>
      <c r="B2171" s="3" t="s">
        <v>55</v>
      </c>
      <c r="C2171">
        <v>16</v>
      </c>
      <c r="D2171">
        <v>16000</v>
      </c>
      <c r="E2171">
        <v>499</v>
      </c>
      <c r="F2171">
        <v>1</v>
      </c>
      <c r="G2171">
        <v>16000</v>
      </c>
      <c r="H2171">
        <v>2.4379603E-2</v>
      </c>
      <c r="I2171">
        <v>14346</v>
      </c>
      <c r="J2171">
        <v>4512</v>
      </c>
      <c r="K2171">
        <v>9834</v>
      </c>
      <c r="L2171">
        <v>500</v>
      </c>
      <c r="M2171">
        <v>499</v>
      </c>
      <c r="N2171">
        <v>1</v>
      </c>
      <c r="O2171">
        <v>1654</v>
      </c>
      <c r="P2171" s="3" t="s">
        <v>52</v>
      </c>
      <c r="Q2171">
        <v>50</v>
      </c>
      <c r="R2171">
        <v>0.999</v>
      </c>
      <c r="S2171">
        <v>1</v>
      </c>
    </row>
    <row r="2172" spans="1:19" x14ac:dyDescent="0.2">
      <c r="A2172" s="3" t="s">
        <v>54</v>
      </c>
      <c r="B2172" s="3" t="s">
        <v>55</v>
      </c>
      <c r="C2172">
        <v>24</v>
      </c>
      <c r="D2172">
        <v>16000</v>
      </c>
      <c r="E2172">
        <v>499</v>
      </c>
      <c r="F2172">
        <v>1</v>
      </c>
      <c r="G2172">
        <v>16000</v>
      </c>
      <c r="H2172">
        <v>2.4378514E-2</v>
      </c>
      <c r="I2172">
        <v>14350</v>
      </c>
      <c r="J2172">
        <v>4534</v>
      </c>
      <c r="K2172">
        <v>9816</v>
      </c>
      <c r="L2172">
        <v>500</v>
      </c>
      <c r="M2172">
        <v>499</v>
      </c>
      <c r="N2172">
        <v>1</v>
      </c>
      <c r="O2172">
        <v>1650</v>
      </c>
      <c r="P2172" s="3" t="s">
        <v>52</v>
      </c>
      <c r="Q2172">
        <v>50</v>
      </c>
      <c r="R2172">
        <v>0.999</v>
      </c>
      <c r="S2172">
        <v>1</v>
      </c>
    </row>
    <row r="2173" spans="1:19" x14ac:dyDescent="0.2">
      <c r="A2173" s="3" t="s">
        <v>54</v>
      </c>
      <c r="B2173" s="3" t="s">
        <v>55</v>
      </c>
      <c r="C2173">
        <v>3</v>
      </c>
      <c r="D2173">
        <v>16000</v>
      </c>
      <c r="E2173">
        <v>499</v>
      </c>
      <c r="F2173">
        <v>1</v>
      </c>
      <c r="G2173">
        <v>16000</v>
      </c>
      <c r="H2173">
        <v>2.4366394999999999E-2</v>
      </c>
      <c r="I2173">
        <v>14356</v>
      </c>
      <c r="J2173">
        <v>4557</v>
      </c>
      <c r="K2173">
        <v>9799</v>
      </c>
      <c r="L2173">
        <v>500</v>
      </c>
      <c r="M2173">
        <v>499</v>
      </c>
      <c r="N2173">
        <v>1</v>
      </c>
      <c r="O2173">
        <v>1644</v>
      </c>
      <c r="P2173" s="3" t="s">
        <v>52</v>
      </c>
      <c r="Q2173">
        <v>50</v>
      </c>
      <c r="R2173">
        <v>0.999</v>
      </c>
      <c r="S2173">
        <v>1</v>
      </c>
    </row>
    <row r="2174" spans="1:19" x14ac:dyDescent="0.2">
      <c r="A2174" s="3" t="s">
        <v>54</v>
      </c>
      <c r="B2174" s="3" t="s">
        <v>55</v>
      </c>
      <c r="C2174">
        <v>44</v>
      </c>
      <c r="D2174">
        <v>16000</v>
      </c>
      <c r="E2174">
        <v>499</v>
      </c>
      <c r="F2174">
        <v>1</v>
      </c>
      <c r="G2174">
        <v>16000</v>
      </c>
      <c r="H2174">
        <v>2.4342195E-2</v>
      </c>
      <c r="I2174">
        <v>14344</v>
      </c>
      <c r="J2174">
        <v>4581</v>
      </c>
      <c r="K2174">
        <v>9763</v>
      </c>
      <c r="L2174">
        <v>500</v>
      </c>
      <c r="M2174">
        <v>499</v>
      </c>
      <c r="N2174">
        <v>1</v>
      </c>
      <c r="O2174">
        <v>1656</v>
      </c>
      <c r="P2174" s="3" t="s">
        <v>52</v>
      </c>
      <c r="Q2174">
        <v>50</v>
      </c>
      <c r="R2174">
        <v>0.999</v>
      </c>
      <c r="S2174">
        <v>1</v>
      </c>
    </row>
    <row r="2175" spans="1:19" x14ac:dyDescent="0.2">
      <c r="A2175" s="3" t="s">
        <v>54</v>
      </c>
      <c r="B2175" s="3" t="s">
        <v>55</v>
      </c>
      <c r="C2175">
        <v>49</v>
      </c>
      <c r="D2175">
        <v>10000</v>
      </c>
      <c r="E2175">
        <v>499</v>
      </c>
      <c r="F2175">
        <v>1</v>
      </c>
      <c r="G2175">
        <v>39482.677260513999</v>
      </c>
      <c r="H2175">
        <v>2.4337739000000001E-2</v>
      </c>
      <c r="I2175">
        <v>10000</v>
      </c>
      <c r="J2175">
        <v>3500</v>
      </c>
      <c r="K2175">
        <v>6500</v>
      </c>
      <c r="L2175">
        <v>500</v>
      </c>
      <c r="M2175">
        <v>499</v>
      </c>
      <c r="N2175">
        <v>1</v>
      </c>
      <c r="O2175">
        <v>0</v>
      </c>
      <c r="P2175" s="3" t="s">
        <v>51</v>
      </c>
      <c r="Q2175">
        <v>50</v>
      </c>
      <c r="R2175">
        <v>0.999</v>
      </c>
      <c r="S2175">
        <v>0</v>
      </c>
    </row>
    <row r="2176" spans="1:19" x14ac:dyDescent="0.2">
      <c r="A2176" s="3" t="s">
        <v>54</v>
      </c>
      <c r="B2176" s="3" t="s">
        <v>55</v>
      </c>
      <c r="C2176">
        <v>37</v>
      </c>
      <c r="D2176">
        <v>10000</v>
      </c>
      <c r="E2176">
        <v>499</v>
      </c>
      <c r="F2176">
        <v>1</v>
      </c>
      <c r="G2176">
        <v>10000</v>
      </c>
      <c r="H2176">
        <v>2.4328895E-2</v>
      </c>
      <c r="I2176">
        <v>10000</v>
      </c>
      <c r="J2176">
        <v>4183</v>
      </c>
      <c r="K2176">
        <v>5817</v>
      </c>
      <c r="L2176">
        <v>500</v>
      </c>
      <c r="M2176">
        <v>499</v>
      </c>
      <c r="N2176">
        <v>1</v>
      </c>
      <c r="O2176">
        <v>0</v>
      </c>
      <c r="P2176" s="3" t="s">
        <v>51</v>
      </c>
      <c r="Q2176">
        <v>50</v>
      </c>
      <c r="R2176">
        <v>0.999</v>
      </c>
      <c r="S2176">
        <v>1</v>
      </c>
    </row>
    <row r="2177" spans="1:19" x14ac:dyDescent="0.2">
      <c r="A2177" s="3" t="s">
        <v>54</v>
      </c>
      <c r="B2177" s="3" t="s">
        <v>55</v>
      </c>
      <c r="C2177">
        <v>26</v>
      </c>
      <c r="D2177">
        <v>16000</v>
      </c>
      <c r="E2177">
        <v>499</v>
      </c>
      <c r="F2177">
        <v>1</v>
      </c>
      <c r="G2177">
        <v>16000</v>
      </c>
      <c r="H2177">
        <v>2.4295958999999999E-2</v>
      </c>
      <c r="I2177">
        <v>14372</v>
      </c>
      <c r="J2177">
        <v>4509</v>
      </c>
      <c r="K2177">
        <v>9863</v>
      </c>
      <c r="L2177">
        <v>500</v>
      </c>
      <c r="M2177">
        <v>499</v>
      </c>
      <c r="N2177">
        <v>1</v>
      </c>
      <c r="O2177">
        <v>1628</v>
      </c>
      <c r="P2177" s="3" t="s">
        <v>52</v>
      </c>
      <c r="Q2177">
        <v>50</v>
      </c>
      <c r="R2177">
        <v>0.999</v>
      </c>
      <c r="S2177">
        <v>1</v>
      </c>
    </row>
    <row r="2178" spans="1:19" x14ac:dyDescent="0.2">
      <c r="A2178" s="3" t="s">
        <v>54</v>
      </c>
      <c r="B2178" s="3" t="s">
        <v>55</v>
      </c>
      <c r="C2178">
        <v>8</v>
      </c>
      <c r="D2178">
        <v>16000</v>
      </c>
      <c r="E2178">
        <v>499</v>
      </c>
      <c r="F2178">
        <v>1</v>
      </c>
      <c r="G2178">
        <v>16000</v>
      </c>
      <c r="H2178">
        <v>2.4292695E-2</v>
      </c>
      <c r="I2178">
        <v>14332</v>
      </c>
      <c r="J2178">
        <v>4537</v>
      </c>
      <c r="K2178">
        <v>9795</v>
      </c>
      <c r="L2178">
        <v>500</v>
      </c>
      <c r="M2178">
        <v>499</v>
      </c>
      <c r="N2178">
        <v>1</v>
      </c>
      <c r="O2178">
        <v>1668</v>
      </c>
      <c r="P2178" s="3" t="s">
        <v>52</v>
      </c>
      <c r="Q2178">
        <v>50</v>
      </c>
      <c r="R2178">
        <v>0.999</v>
      </c>
      <c r="S2178">
        <v>1</v>
      </c>
    </row>
    <row r="2179" spans="1:19" x14ac:dyDescent="0.2">
      <c r="A2179" s="3" t="s">
        <v>54</v>
      </c>
      <c r="B2179" s="3" t="s">
        <v>55</v>
      </c>
      <c r="C2179">
        <v>21</v>
      </c>
      <c r="D2179">
        <v>15000</v>
      </c>
      <c r="E2179">
        <v>499</v>
      </c>
      <c r="F2179">
        <v>1</v>
      </c>
      <c r="G2179">
        <v>15000</v>
      </c>
      <c r="H2179">
        <v>2.4279796999999999E-2</v>
      </c>
      <c r="I2179">
        <v>13767</v>
      </c>
      <c r="J2179">
        <v>4338</v>
      </c>
      <c r="K2179">
        <v>9429</v>
      </c>
      <c r="L2179">
        <v>500</v>
      </c>
      <c r="M2179">
        <v>499</v>
      </c>
      <c r="N2179">
        <v>1</v>
      </c>
      <c r="O2179">
        <v>1233</v>
      </c>
      <c r="P2179" s="3" t="s">
        <v>50</v>
      </c>
      <c r="Q2179">
        <v>50</v>
      </c>
      <c r="R2179">
        <v>0.999</v>
      </c>
      <c r="S2179">
        <v>1</v>
      </c>
    </row>
    <row r="2180" spans="1:19" x14ac:dyDescent="0.2">
      <c r="A2180" s="3" t="s">
        <v>54</v>
      </c>
      <c r="B2180" s="3" t="s">
        <v>55</v>
      </c>
      <c r="C2180">
        <v>18</v>
      </c>
      <c r="D2180">
        <v>16000</v>
      </c>
      <c r="E2180">
        <v>499</v>
      </c>
      <c r="F2180">
        <v>1</v>
      </c>
      <c r="G2180">
        <v>16000</v>
      </c>
      <c r="H2180">
        <v>2.4252105999999999E-2</v>
      </c>
      <c r="I2180">
        <v>14370</v>
      </c>
      <c r="J2180">
        <v>4571</v>
      </c>
      <c r="K2180">
        <v>9799</v>
      </c>
      <c r="L2180">
        <v>500</v>
      </c>
      <c r="M2180">
        <v>499</v>
      </c>
      <c r="N2180">
        <v>1</v>
      </c>
      <c r="O2180">
        <v>1630</v>
      </c>
      <c r="P2180" s="3" t="s">
        <v>52</v>
      </c>
      <c r="Q2180">
        <v>50</v>
      </c>
      <c r="R2180">
        <v>0.999</v>
      </c>
      <c r="S2180">
        <v>1</v>
      </c>
    </row>
    <row r="2181" spans="1:19" x14ac:dyDescent="0.2">
      <c r="A2181" s="3" t="s">
        <v>54</v>
      </c>
      <c r="B2181" s="3" t="s">
        <v>55</v>
      </c>
      <c r="C2181">
        <v>28</v>
      </c>
      <c r="D2181">
        <v>14000</v>
      </c>
      <c r="E2181">
        <v>499</v>
      </c>
      <c r="F2181">
        <v>1</v>
      </c>
      <c r="G2181">
        <v>14000</v>
      </c>
      <c r="H2181">
        <v>2.4251996000000001E-2</v>
      </c>
      <c r="I2181">
        <v>13289</v>
      </c>
      <c r="J2181">
        <v>4074</v>
      </c>
      <c r="K2181">
        <v>9215</v>
      </c>
      <c r="L2181">
        <v>500</v>
      </c>
      <c r="M2181">
        <v>499</v>
      </c>
      <c r="N2181">
        <v>1</v>
      </c>
      <c r="O2181">
        <v>711</v>
      </c>
      <c r="P2181" s="3" t="s">
        <v>50</v>
      </c>
      <c r="Q2181">
        <v>50</v>
      </c>
      <c r="R2181">
        <v>0.999</v>
      </c>
      <c r="S2181">
        <v>1</v>
      </c>
    </row>
    <row r="2182" spans="1:19" x14ac:dyDescent="0.2">
      <c r="A2182" s="3" t="s">
        <v>54</v>
      </c>
      <c r="B2182" s="3" t="s">
        <v>55</v>
      </c>
      <c r="C2182">
        <v>7</v>
      </c>
      <c r="D2182">
        <v>15000</v>
      </c>
      <c r="E2182">
        <v>499</v>
      </c>
      <c r="F2182">
        <v>1</v>
      </c>
      <c r="G2182">
        <v>15000</v>
      </c>
      <c r="H2182">
        <v>2.4251188999999999E-2</v>
      </c>
      <c r="I2182">
        <v>13813</v>
      </c>
      <c r="J2182">
        <v>4337</v>
      </c>
      <c r="K2182">
        <v>9476</v>
      </c>
      <c r="L2182">
        <v>500</v>
      </c>
      <c r="M2182">
        <v>499</v>
      </c>
      <c r="N2182">
        <v>1</v>
      </c>
      <c r="O2182">
        <v>1187</v>
      </c>
      <c r="P2182" s="3" t="s">
        <v>50</v>
      </c>
      <c r="Q2182">
        <v>50</v>
      </c>
      <c r="R2182">
        <v>0.999</v>
      </c>
      <c r="S2182">
        <v>1</v>
      </c>
    </row>
    <row r="2183" spans="1:19" x14ac:dyDescent="0.2">
      <c r="A2183" s="3" t="s">
        <v>54</v>
      </c>
      <c r="B2183" s="3" t="s">
        <v>55</v>
      </c>
      <c r="C2183">
        <v>14</v>
      </c>
      <c r="D2183">
        <v>12000</v>
      </c>
      <c r="E2183">
        <v>499</v>
      </c>
      <c r="F2183">
        <v>1</v>
      </c>
      <c r="G2183">
        <v>50533.323552418398</v>
      </c>
      <c r="H2183">
        <v>2.4217354999999999E-2</v>
      </c>
      <c r="I2183">
        <v>11870</v>
      </c>
      <c r="J2183">
        <v>4050</v>
      </c>
      <c r="K2183">
        <v>7820</v>
      </c>
      <c r="L2183">
        <v>500</v>
      </c>
      <c r="M2183">
        <v>499</v>
      </c>
      <c r="N2183">
        <v>1</v>
      </c>
      <c r="O2183">
        <v>451.97862458269998</v>
      </c>
      <c r="P2183" s="3" t="s">
        <v>51</v>
      </c>
      <c r="Q2183">
        <v>50</v>
      </c>
      <c r="R2183">
        <v>0.999</v>
      </c>
      <c r="S2183">
        <v>0</v>
      </c>
    </row>
    <row r="2184" spans="1:19" x14ac:dyDescent="0.2">
      <c r="A2184" s="3" t="s">
        <v>54</v>
      </c>
      <c r="B2184" s="3" t="s">
        <v>55</v>
      </c>
      <c r="C2184">
        <v>46</v>
      </c>
      <c r="D2184">
        <v>16000</v>
      </c>
      <c r="E2184">
        <v>499</v>
      </c>
      <c r="F2184">
        <v>1</v>
      </c>
      <c r="G2184">
        <v>16000</v>
      </c>
      <c r="H2184">
        <v>2.421421E-2</v>
      </c>
      <c r="I2184">
        <v>14343</v>
      </c>
      <c r="J2184">
        <v>4578</v>
      </c>
      <c r="K2184">
        <v>9765</v>
      </c>
      <c r="L2184">
        <v>500</v>
      </c>
      <c r="M2184">
        <v>499</v>
      </c>
      <c r="N2184">
        <v>1</v>
      </c>
      <c r="O2184">
        <v>1657</v>
      </c>
      <c r="P2184" s="3" t="s">
        <v>52</v>
      </c>
      <c r="Q2184">
        <v>50</v>
      </c>
      <c r="R2184">
        <v>0.999</v>
      </c>
      <c r="S2184">
        <v>1</v>
      </c>
    </row>
    <row r="2185" spans="1:19" x14ac:dyDescent="0.2">
      <c r="A2185" s="3" t="s">
        <v>54</v>
      </c>
      <c r="B2185" s="3" t="s">
        <v>55</v>
      </c>
      <c r="C2185">
        <v>50</v>
      </c>
      <c r="D2185">
        <v>16000</v>
      </c>
      <c r="E2185">
        <v>499</v>
      </c>
      <c r="F2185">
        <v>1</v>
      </c>
      <c r="G2185">
        <v>16000</v>
      </c>
      <c r="H2185">
        <v>2.4213440999999999E-2</v>
      </c>
      <c r="I2185">
        <v>14360</v>
      </c>
      <c r="J2185">
        <v>4530</v>
      </c>
      <c r="K2185">
        <v>9830</v>
      </c>
      <c r="L2185">
        <v>500</v>
      </c>
      <c r="M2185">
        <v>499</v>
      </c>
      <c r="N2185">
        <v>1</v>
      </c>
      <c r="O2185">
        <v>1640</v>
      </c>
      <c r="P2185" s="3" t="s">
        <v>52</v>
      </c>
      <c r="Q2185">
        <v>50</v>
      </c>
      <c r="R2185">
        <v>0.999</v>
      </c>
      <c r="S2185">
        <v>1</v>
      </c>
    </row>
    <row r="2186" spans="1:19" x14ac:dyDescent="0.2">
      <c r="A2186" s="3" t="s">
        <v>54</v>
      </c>
      <c r="B2186" s="3" t="s">
        <v>55</v>
      </c>
      <c r="C2186">
        <v>16</v>
      </c>
      <c r="D2186">
        <v>15000</v>
      </c>
      <c r="E2186">
        <v>499</v>
      </c>
      <c r="F2186">
        <v>1</v>
      </c>
      <c r="G2186">
        <v>15000</v>
      </c>
      <c r="H2186">
        <v>2.4203476000000002E-2</v>
      </c>
      <c r="I2186">
        <v>13789</v>
      </c>
      <c r="J2186">
        <v>4357</v>
      </c>
      <c r="K2186">
        <v>9432</v>
      </c>
      <c r="L2186">
        <v>500</v>
      </c>
      <c r="M2186">
        <v>499</v>
      </c>
      <c r="N2186">
        <v>1</v>
      </c>
      <c r="O2186">
        <v>1211</v>
      </c>
      <c r="P2186" s="3" t="s">
        <v>50</v>
      </c>
      <c r="Q2186">
        <v>50</v>
      </c>
      <c r="R2186">
        <v>0.999</v>
      </c>
      <c r="S2186">
        <v>1</v>
      </c>
    </row>
    <row r="2187" spans="1:19" x14ac:dyDescent="0.2">
      <c r="A2187" s="3" t="s">
        <v>54</v>
      </c>
      <c r="B2187" s="3" t="s">
        <v>55</v>
      </c>
      <c r="C2187">
        <v>39</v>
      </c>
      <c r="D2187">
        <v>16000</v>
      </c>
      <c r="E2187">
        <v>499</v>
      </c>
      <c r="F2187">
        <v>1</v>
      </c>
      <c r="G2187">
        <v>16000</v>
      </c>
      <c r="H2187">
        <v>2.4189048000000001E-2</v>
      </c>
      <c r="I2187">
        <v>14383</v>
      </c>
      <c r="J2187">
        <v>4553</v>
      </c>
      <c r="K2187">
        <v>9830</v>
      </c>
      <c r="L2187">
        <v>500</v>
      </c>
      <c r="M2187">
        <v>499</v>
      </c>
      <c r="N2187">
        <v>1</v>
      </c>
      <c r="O2187">
        <v>1617</v>
      </c>
      <c r="P2187" s="3" t="s">
        <v>52</v>
      </c>
      <c r="Q2187">
        <v>50</v>
      </c>
      <c r="R2187">
        <v>0.999</v>
      </c>
      <c r="S2187">
        <v>1</v>
      </c>
    </row>
    <row r="2188" spans="1:19" x14ac:dyDescent="0.2">
      <c r="A2188" s="3" t="s">
        <v>54</v>
      </c>
      <c r="B2188" s="3" t="s">
        <v>55</v>
      </c>
      <c r="C2188">
        <v>4</v>
      </c>
      <c r="D2188">
        <v>15000</v>
      </c>
      <c r="E2188">
        <v>499</v>
      </c>
      <c r="F2188">
        <v>1</v>
      </c>
      <c r="G2188">
        <v>15000</v>
      </c>
      <c r="H2188">
        <v>2.4182026999999998E-2</v>
      </c>
      <c r="I2188">
        <v>13774</v>
      </c>
      <c r="J2188">
        <v>4308</v>
      </c>
      <c r="K2188">
        <v>9466</v>
      </c>
      <c r="L2188">
        <v>500</v>
      </c>
      <c r="M2188">
        <v>499</v>
      </c>
      <c r="N2188">
        <v>1</v>
      </c>
      <c r="O2188">
        <v>1226</v>
      </c>
      <c r="P2188" s="3" t="s">
        <v>50</v>
      </c>
      <c r="Q2188">
        <v>50</v>
      </c>
      <c r="R2188">
        <v>0.999</v>
      </c>
      <c r="S2188">
        <v>1</v>
      </c>
    </row>
    <row r="2189" spans="1:19" x14ac:dyDescent="0.2">
      <c r="A2189" s="3" t="s">
        <v>54</v>
      </c>
      <c r="B2189" s="3" t="s">
        <v>55</v>
      </c>
      <c r="C2189">
        <v>5</v>
      </c>
      <c r="D2189">
        <v>15000</v>
      </c>
      <c r="E2189">
        <v>499</v>
      </c>
      <c r="F2189">
        <v>1</v>
      </c>
      <c r="G2189">
        <v>15000</v>
      </c>
      <c r="H2189">
        <v>2.4147478E-2</v>
      </c>
      <c r="I2189">
        <v>13789</v>
      </c>
      <c r="J2189">
        <v>4354</v>
      </c>
      <c r="K2189">
        <v>9435</v>
      </c>
      <c r="L2189">
        <v>500</v>
      </c>
      <c r="M2189">
        <v>499</v>
      </c>
      <c r="N2189">
        <v>1</v>
      </c>
      <c r="O2189">
        <v>1211</v>
      </c>
      <c r="P2189" s="3" t="s">
        <v>50</v>
      </c>
      <c r="Q2189">
        <v>50</v>
      </c>
      <c r="R2189">
        <v>0.999</v>
      </c>
      <c r="S2189">
        <v>1</v>
      </c>
    </row>
    <row r="2190" spans="1:19" x14ac:dyDescent="0.2">
      <c r="A2190" s="3" t="s">
        <v>54</v>
      </c>
      <c r="B2190" s="3" t="s">
        <v>55</v>
      </c>
      <c r="C2190">
        <v>40</v>
      </c>
      <c r="D2190">
        <v>15000</v>
      </c>
      <c r="E2190">
        <v>499</v>
      </c>
      <c r="F2190">
        <v>1</v>
      </c>
      <c r="G2190">
        <v>15000</v>
      </c>
      <c r="H2190">
        <v>2.4140218000000001E-2</v>
      </c>
      <c r="I2190">
        <v>13793</v>
      </c>
      <c r="J2190">
        <v>4340</v>
      </c>
      <c r="K2190">
        <v>9453</v>
      </c>
      <c r="L2190">
        <v>500</v>
      </c>
      <c r="M2190">
        <v>499</v>
      </c>
      <c r="N2190">
        <v>1</v>
      </c>
      <c r="O2190">
        <v>1207</v>
      </c>
      <c r="P2190" s="3" t="s">
        <v>50</v>
      </c>
      <c r="Q2190">
        <v>50</v>
      </c>
      <c r="R2190">
        <v>0.999</v>
      </c>
      <c r="S2190">
        <v>1</v>
      </c>
    </row>
    <row r="2191" spans="1:19" x14ac:dyDescent="0.2">
      <c r="A2191" s="3" t="s">
        <v>54</v>
      </c>
      <c r="B2191" s="3" t="s">
        <v>55</v>
      </c>
      <c r="C2191">
        <v>28</v>
      </c>
      <c r="D2191">
        <v>16000</v>
      </c>
      <c r="E2191">
        <v>499</v>
      </c>
      <c r="F2191">
        <v>1</v>
      </c>
      <c r="G2191">
        <v>16000</v>
      </c>
      <c r="H2191">
        <v>2.4139357E-2</v>
      </c>
      <c r="I2191">
        <v>14352</v>
      </c>
      <c r="J2191">
        <v>4552</v>
      </c>
      <c r="K2191">
        <v>9800</v>
      </c>
      <c r="L2191">
        <v>500</v>
      </c>
      <c r="M2191">
        <v>499</v>
      </c>
      <c r="N2191">
        <v>1</v>
      </c>
      <c r="O2191">
        <v>1648</v>
      </c>
      <c r="P2191" s="3" t="s">
        <v>52</v>
      </c>
      <c r="Q2191">
        <v>50</v>
      </c>
      <c r="R2191">
        <v>0.999</v>
      </c>
      <c r="S2191">
        <v>1</v>
      </c>
    </row>
    <row r="2192" spans="1:19" x14ac:dyDescent="0.2">
      <c r="A2192" s="3" t="s">
        <v>54</v>
      </c>
      <c r="B2192" s="3" t="s">
        <v>55</v>
      </c>
      <c r="C2192">
        <v>38</v>
      </c>
      <c r="D2192">
        <v>10000</v>
      </c>
      <c r="E2192">
        <v>499</v>
      </c>
      <c r="F2192">
        <v>1</v>
      </c>
      <c r="G2192">
        <v>10000</v>
      </c>
      <c r="H2192">
        <v>2.4138814000000001E-2</v>
      </c>
      <c r="I2192">
        <v>10000</v>
      </c>
      <c r="J2192">
        <v>4183</v>
      </c>
      <c r="K2192">
        <v>5817</v>
      </c>
      <c r="L2192">
        <v>500</v>
      </c>
      <c r="M2192">
        <v>499</v>
      </c>
      <c r="N2192">
        <v>1</v>
      </c>
      <c r="O2192">
        <v>0</v>
      </c>
      <c r="P2192" s="3" t="s">
        <v>51</v>
      </c>
      <c r="Q2192">
        <v>50</v>
      </c>
      <c r="R2192">
        <v>0.999</v>
      </c>
      <c r="S2192">
        <v>1</v>
      </c>
    </row>
    <row r="2193" spans="1:19" x14ac:dyDescent="0.2">
      <c r="A2193" s="3" t="s">
        <v>54</v>
      </c>
      <c r="B2193" s="3" t="s">
        <v>55</v>
      </c>
      <c r="C2193">
        <v>47</v>
      </c>
      <c r="D2193">
        <v>16000</v>
      </c>
      <c r="E2193">
        <v>499</v>
      </c>
      <c r="F2193">
        <v>1</v>
      </c>
      <c r="G2193">
        <v>16000</v>
      </c>
      <c r="H2193">
        <v>2.4129399999999999E-2</v>
      </c>
      <c r="I2193">
        <v>14357</v>
      </c>
      <c r="J2193">
        <v>4556</v>
      </c>
      <c r="K2193">
        <v>9801</v>
      </c>
      <c r="L2193">
        <v>500</v>
      </c>
      <c r="M2193">
        <v>499</v>
      </c>
      <c r="N2193">
        <v>1</v>
      </c>
      <c r="O2193">
        <v>1643</v>
      </c>
      <c r="P2193" s="3" t="s">
        <v>52</v>
      </c>
      <c r="Q2193">
        <v>50</v>
      </c>
      <c r="R2193">
        <v>0.999</v>
      </c>
      <c r="S2193">
        <v>1</v>
      </c>
    </row>
    <row r="2194" spans="1:19" x14ac:dyDescent="0.2">
      <c r="A2194" s="3" t="s">
        <v>54</v>
      </c>
      <c r="B2194" s="3" t="s">
        <v>55</v>
      </c>
      <c r="C2194">
        <v>17</v>
      </c>
      <c r="D2194">
        <v>15000</v>
      </c>
      <c r="E2194">
        <v>499</v>
      </c>
      <c r="F2194">
        <v>1</v>
      </c>
      <c r="G2194">
        <v>15000</v>
      </c>
      <c r="H2194">
        <v>2.4125230000000001E-2</v>
      </c>
      <c r="I2194">
        <v>13785</v>
      </c>
      <c r="J2194">
        <v>4346</v>
      </c>
      <c r="K2194">
        <v>9439</v>
      </c>
      <c r="L2194">
        <v>500</v>
      </c>
      <c r="M2194">
        <v>499</v>
      </c>
      <c r="N2194">
        <v>1</v>
      </c>
      <c r="O2194">
        <v>1215</v>
      </c>
      <c r="P2194" s="3" t="s">
        <v>50</v>
      </c>
      <c r="Q2194">
        <v>50</v>
      </c>
      <c r="R2194">
        <v>0.999</v>
      </c>
      <c r="S2194">
        <v>1</v>
      </c>
    </row>
    <row r="2195" spans="1:19" x14ac:dyDescent="0.2">
      <c r="A2195" s="3" t="s">
        <v>54</v>
      </c>
      <c r="B2195" s="3" t="s">
        <v>55</v>
      </c>
      <c r="C2195">
        <v>29</v>
      </c>
      <c r="D2195">
        <v>15000</v>
      </c>
      <c r="E2195">
        <v>499</v>
      </c>
      <c r="F2195">
        <v>1</v>
      </c>
      <c r="G2195">
        <v>15000</v>
      </c>
      <c r="H2195">
        <v>2.4115569999999999E-2</v>
      </c>
      <c r="I2195">
        <v>13769</v>
      </c>
      <c r="J2195">
        <v>4331</v>
      </c>
      <c r="K2195">
        <v>9438</v>
      </c>
      <c r="L2195">
        <v>500</v>
      </c>
      <c r="M2195">
        <v>499</v>
      </c>
      <c r="N2195">
        <v>1</v>
      </c>
      <c r="O2195">
        <v>1231</v>
      </c>
      <c r="P2195" s="3" t="s">
        <v>50</v>
      </c>
      <c r="Q2195">
        <v>50</v>
      </c>
      <c r="R2195">
        <v>0.999</v>
      </c>
      <c r="S2195">
        <v>1</v>
      </c>
    </row>
    <row r="2196" spans="1:19" x14ac:dyDescent="0.2">
      <c r="A2196" s="3" t="s">
        <v>54</v>
      </c>
      <c r="B2196" s="3" t="s">
        <v>55</v>
      </c>
      <c r="C2196">
        <v>39</v>
      </c>
      <c r="D2196">
        <v>15000</v>
      </c>
      <c r="E2196">
        <v>499</v>
      </c>
      <c r="F2196">
        <v>1</v>
      </c>
      <c r="G2196">
        <v>15000</v>
      </c>
      <c r="H2196">
        <v>2.4110425000000001E-2</v>
      </c>
      <c r="I2196">
        <v>13824</v>
      </c>
      <c r="J2196">
        <v>4361</v>
      </c>
      <c r="K2196">
        <v>9463</v>
      </c>
      <c r="L2196">
        <v>500</v>
      </c>
      <c r="M2196">
        <v>499</v>
      </c>
      <c r="N2196">
        <v>1</v>
      </c>
      <c r="O2196">
        <v>1176</v>
      </c>
      <c r="P2196" s="3" t="s">
        <v>50</v>
      </c>
      <c r="Q2196">
        <v>50</v>
      </c>
      <c r="R2196">
        <v>0.999</v>
      </c>
      <c r="S2196">
        <v>1</v>
      </c>
    </row>
    <row r="2197" spans="1:19" x14ac:dyDescent="0.2">
      <c r="A2197" s="3" t="s">
        <v>54</v>
      </c>
      <c r="B2197" s="3" t="s">
        <v>55</v>
      </c>
      <c r="C2197">
        <v>43</v>
      </c>
      <c r="D2197">
        <v>15000</v>
      </c>
      <c r="E2197">
        <v>499</v>
      </c>
      <c r="F2197">
        <v>1</v>
      </c>
      <c r="G2197">
        <v>15000</v>
      </c>
      <c r="H2197">
        <v>2.4103835000000001E-2</v>
      </c>
      <c r="I2197">
        <v>13822</v>
      </c>
      <c r="J2197">
        <v>4371</v>
      </c>
      <c r="K2197">
        <v>9451</v>
      </c>
      <c r="L2197">
        <v>500</v>
      </c>
      <c r="M2197">
        <v>499</v>
      </c>
      <c r="N2197">
        <v>1</v>
      </c>
      <c r="O2197">
        <v>1178</v>
      </c>
      <c r="P2197" s="3" t="s">
        <v>50</v>
      </c>
      <c r="Q2197">
        <v>50</v>
      </c>
      <c r="R2197">
        <v>0.999</v>
      </c>
      <c r="S2197">
        <v>1</v>
      </c>
    </row>
    <row r="2198" spans="1:19" x14ac:dyDescent="0.2">
      <c r="A2198" s="3" t="s">
        <v>54</v>
      </c>
      <c r="B2198" s="3" t="s">
        <v>55</v>
      </c>
      <c r="C2198">
        <v>33</v>
      </c>
      <c r="D2198">
        <v>16000</v>
      </c>
      <c r="E2198">
        <v>499</v>
      </c>
      <c r="F2198">
        <v>1</v>
      </c>
      <c r="G2198">
        <v>16000</v>
      </c>
      <c r="H2198">
        <v>2.4091432999999999E-2</v>
      </c>
      <c r="I2198">
        <v>14332</v>
      </c>
      <c r="J2198">
        <v>4532</v>
      </c>
      <c r="K2198">
        <v>9800</v>
      </c>
      <c r="L2198">
        <v>500</v>
      </c>
      <c r="M2198">
        <v>499</v>
      </c>
      <c r="N2198">
        <v>1</v>
      </c>
      <c r="O2198">
        <v>1668</v>
      </c>
      <c r="P2198" s="3" t="s">
        <v>52</v>
      </c>
      <c r="Q2198">
        <v>50</v>
      </c>
      <c r="R2198">
        <v>0.999</v>
      </c>
      <c r="S2198">
        <v>1</v>
      </c>
    </row>
    <row r="2199" spans="1:19" x14ac:dyDescent="0.2">
      <c r="A2199" s="3" t="s">
        <v>54</v>
      </c>
      <c r="B2199" s="3" t="s">
        <v>55</v>
      </c>
      <c r="C2199">
        <v>7</v>
      </c>
      <c r="D2199">
        <v>16000</v>
      </c>
      <c r="E2199">
        <v>499</v>
      </c>
      <c r="F2199">
        <v>1</v>
      </c>
      <c r="G2199">
        <v>16000</v>
      </c>
      <c r="H2199">
        <v>2.4082807000000001E-2</v>
      </c>
      <c r="I2199">
        <v>14343</v>
      </c>
      <c r="J2199">
        <v>4544</v>
      </c>
      <c r="K2199">
        <v>9799</v>
      </c>
      <c r="L2199">
        <v>500</v>
      </c>
      <c r="M2199">
        <v>499</v>
      </c>
      <c r="N2199">
        <v>1</v>
      </c>
      <c r="O2199">
        <v>1657</v>
      </c>
      <c r="P2199" s="3" t="s">
        <v>52</v>
      </c>
      <c r="Q2199">
        <v>50</v>
      </c>
      <c r="R2199">
        <v>0.999</v>
      </c>
      <c r="S2199">
        <v>1</v>
      </c>
    </row>
    <row r="2200" spans="1:19" x14ac:dyDescent="0.2">
      <c r="A2200" s="3" t="s">
        <v>54</v>
      </c>
      <c r="B2200" s="3" t="s">
        <v>55</v>
      </c>
      <c r="C2200">
        <v>49</v>
      </c>
      <c r="D2200">
        <v>16000</v>
      </c>
      <c r="E2200">
        <v>499</v>
      </c>
      <c r="F2200">
        <v>1</v>
      </c>
      <c r="G2200">
        <v>16000</v>
      </c>
      <c r="H2200">
        <v>2.4059707E-2</v>
      </c>
      <c r="I2200">
        <v>14363</v>
      </c>
      <c r="J2200">
        <v>4557</v>
      </c>
      <c r="K2200">
        <v>9806</v>
      </c>
      <c r="L2200">
        <v>500</v>
      </c>
      <c r="M2200">
        <v>499</v>
      </c>
      <c r="N2200">
        <v>1</v>
      </c>
      <c r="O2200">
        <v>1637</v>
      </c>
      <c r="P2200" s="3" t="s">
        <v>52</v>
      </c>
      <c r="Q2200">
        <v>50</v>
      </c>
      <c r="R2200">
        <v>0.999</v>
      </c>
      <c r="S2200">
        <v>1</v>
      </c>
    </row>
    <row r="2201" spans="1:19" x14ac:dyDescent="0.2">
      <c r="A2201" s="3" t="s">
        <v>54</v>
      </c>
      <c r="B2201" s="3" t="s">
        <v>55</v>
      </c>
      <c r="C2201">
        <v>2</v>
      </c>
      <c r="D2201">
        <v>16000</v>
      </c>
      <c r="E2201">
        <v>499</v>
      </c>
      <c r="F2201">
        <v>1</v>
      </c>
      <c r="G2201">
        <v>16000</v>
      </c>
      <c r="H2201">
        <v>2.4057828E-2</v>
      </c>
      <c r="I2201">
        <v>14360</v>
      </c>
      <c r="J2201">
        <v>4523</v>
      </c>
      <c r="K2201">
        <v>9837</v>
      </c>
      <c r="L2201">
        <v>500</v>
      </c>
      <c r="M2201">
        <v>499</v>
      </c>
      <c r="N2201">
        <v>1</v>
      </c>
      <c r="O2201">
        <v>1640</v>
      </c>
      <c r="P2201" s="3" t="s">
        <v>52</v>
      </c>
      <c r="Q2201">
        <v>50</v>
      </c>
      <c r="R2201">
        <v>0.999</v>
      </c>
      <c r="S2201">
        <v>1</v>
      </c>
    </row>
    <row r="2202" spans="1:19" x14ac:dyDescent="0.2">
      <c r="A2202" s="3" t="s">
        <v>54</v>
      </c>
      <c r="B2202" s="3" t="s">
        <v>55</v>
      </c>
      <c r="C2202">
        <v>47</v>
      </c>
      <c r="D2202">
        <v>12000</v>
      </c>
      <c r="E2202">
        <v>499</v>
      </c>
      <c r="F2202">
        <v>1</v>
      </c>
      <c r="G2202">
        <v>50533.323552418398</v>
      </c>
      <c r="H2202">
        <v>2.4026286000000001E-2</v>
      </c>
      <c r="I2202">
        <v>11885</v>
      </c>
      <c r="J2202">
        <v>4047</v>
      </c>
      <c r="K2202">
        <v>7838</v>
      </c>
      <c r="L2202">
        <v>500</v>
      </c>
      <c r="M2202">
        <v>499</v>
      </c>
      <c r="N2202">
        <v>1</v>
      </c>
      <c r="O2202">
        <v>423.57293614380001</v>
      </c>
      <c r="P2202" s="3" t="s">
        <v>51</v>
      </c>
      <c r="Q2202">
        <v>50</v>
      </c>
      <c r="R2202">
        <v>0.999</v>
      </c>
      <c r="S2202">
        <v>0</v>
      </c>
    </row>
    <row r="2203" spans="1:19" x14ac:dyDescent="0.2">
      <c r="A2203" s="3" t="s">
        <v>54</v>
      </c>
      <c r="B2203" s="3" t="s">
        <v>55</v>
      </c>
      <c r="C2203">
        <v>19</v>
      </c>
      <c r="D2203">
        <v>10000</v>
      </c>
      <c r="E2203">
        <v>499</v>
      </c>
      <c r="F2203">
        <v>1</v>
      </c>
      <c r="G2203">
        <v>10000</v>
      </c>
      <c r="H2203">
        <v>2.4010436E-2</v>
      </c>
      <c r="I2203">
        <v>10000</v>
      </c>
      <c r="J2203">
        <v>4183</v>
      </c>
      <c r="K2203">
        <v>5817</v>
      </c>
      <c r="L2203">
        <v>500</v>
      </c>
      <c r="M2203">
        <v>499</v>
      </c>
      <c r="N2203">
        <v>1</v>
      </c>
      <c r="O2203">
        <v>0</v>
      </c>
      <c r="P2203" s="3" t="s">
        <v>51</v>
      </c>
      <c r="Q2203">
        <v>50</v>
      </c>
      <c r="R2203">
        <v>0.999</v>
      </c>
      <c r="S2203">
        <v>1</v>
      </c>
    </row>
    <row r="2204" spans="1:19" x14ac:dyDescent="0.2">
      <c r="A2204" s="3" t="s">
        <v>54</v>
      </c>
      <c r="B2204" s="3" t="s">
        <v>55</v>
      </c>
      <c r="C2204">
        <v>19</v>
      </c>
      <c r="D2204">
        <v>11000</v>
      </c>
      <c r="E2204">
        <v>499</v>
      </c>
      <c r="F2204">
        <v>1</v>
      </c>
      <c r="G2204">
        <v>11000</v>
      </c>
      <c r="H2204">
        <v>2.3972861000000002E-2</v>
      </c>
      <c r="I2204">
        <v>11000</v>
      </c>
      <c r="J2204">
        <v>4329</v>
      </c>
      <c r="K2204">
        <v>6671</v>
      </c>
      <c r="L2204">
        <v>500</v>
      </c>
      <c r="M2204">
        <v>499</v>
      </c>
      <c r="N2204">
        <v>1</v>
      </c>
      <c r="O2204">
        <v>0</v>
      </c>
      <c r="P2204" s="3" t="s">
        <v>51</v>
      </c>
      <c r="Q2204">
        <v>50</v>
      </c>
      <c r="R2204">
        <v>0.999</v>
      </c>
      <c r="S2204">
        <v>1</v>
      </c>
    </row>
    <row r="2205" spans="1:19" x14ac:dyDescent="0.2">
      <c r="A2205" s="3" t="s">
        <v>54</v>
      </c>
      <c r="B2205" s="3" t="s">
        <v>55</v>
      </c>
      <c r="C2205">
        <v>45</v>
      </c>
      <c r="D2205">
        <v>15000</v>
      </c>
      <c r="E2205">
        <v>499</v>
      </c>
      <c r="F2205">
        <v>1</v>
      </c>
      <c r="G2205">
        <v>15000</v>
      </c>
      <c r="H2205">
        <v>2.3954868000000001E-2</v>
      </c>
      <c r="I2205">
        <v>13784</v>
      </c>
      <c r="J2205">
        <v>4383</v>
      </c>
      <c r="K2205">
        <v>9401</v>
      </c>
      <c r="L2205">
        <v>500</v>
      </c>
      <c r="M2205">
        <v>499</v>
      </c>
      <c r="N2205">
        <v>1</v>
      </c>
      <c r="O2205">
        <v>1216</v>
      </c>
      <c r="P2205" s="3" t="s">
        <v>50</v>
      </c>
      <c r="Q2205">
        <v>50</v>
      </c>
      <c r="R2205">
        <v>0.999</v>
      </c>
      <c r="S2205">
        <v>1</v>
      </c>
    </row>
    <row r="2206" spans="1:19" x14ac:dyDescent="0.2">
      <c r="A2206" s="3" t="s">
        <v>54</v>
      </c>
      <c r="B2206" s="3" t="s">
        <v>55</v>
      </c>
      <c r="C2206">
        <v>18</v>
      </c>
      <c r="D2206">
        <v>15000</v>
      </c>
      <c r="E2206">
        <v>499</v>
      </c>
      <c r="F2206">
        <v>1</v>
      </c>
      <c r="G2206">
        <v>15000</v>
      </c>
      <c r="H2206">
        <v>2.3911426E-2</v>
      </c>
      <c r="I2206">
        <v>13783</v>
      </c>
      <c r="J2206">
        <v>4401</v>
      </c>
      <c r="K2206">
        <v>9382</v>
      </c>
      <c r="L2206">
        <v>500</v>
      </c>
      <c r="M2206">
        <v>499</v>
      </c>
      <c r="N2206">
        <v>1</v>
      </c>
      <c r="O2206">
        <v>1217</v>
      </c>
      <c r="P2206" s="3" t="s">
        <v>50</v>
      </c>
      <c r="Q2206">
        <v>50</v>
      </c>
      <c r="R2206">
        <v>0.999</v>
      </c>
      <c r="S2206">
        <v>1</v>
      </c>
    </row>
    <row r="2207" spans="1:19" x14ac:dyDescent="0.2">
      <c r="A2207" s="3" t="s">
        <v>54</v>
      </c>
      <c r="B2207" s="3" t="s">
        <v>55</v>
      </c>
      <c r="C2207">
        <v>36</v>
      </c>
      <c r="D2207">
        <v>16000</v>
      </c>
      <c r="E2207">
        <v>499</v>
      </c>
      <c r="F2207">
        <v>1</v>
      </c>
      <c r="G2207">
        <v>16000</v>
      </c>
      <c r="H2207">
        <v>2.3910959999999998E-2</v>
      </c>
      <c r="I2207">
        <v>14332</v>
      </c>
      <c r="J2207">
        <v>4524</v>
      </c>
      <c r="K2207">
        <v>9808</v>
      </c>
      <c r="L2207">
        <v>500</v>
      </c>
      <c r="M2207">
        <v>499</v>
      </c>
      <c r="N2207">
        <v>1</v>
      </c>
      <c r="O2207">
        <v>1668</v>
      </c>
      <c r="P2207" s="3" t="s">
        <v>52</v>
      </c>
      <c r="Q2207">
        <v>50</v>
      </c>
      <c r="R2207">
        <v>0.999</v>
      </c>
      <c r="S2207">
        <v>1</v>
      </c>
    </row>
    <row r="2208" spans="1:19" x14ac:dyDescent="0.2">
      <c r="A2208" s="3" t="s">
        <v>54</v>
      </c>
      <c r="B2208" s="3" t="s">
        <v>55</v>
      </c>
      <c r="C2208">
        <v>13</v>
      </c>
      <c r="D2208">
        <v>15000</v>
      </c>
      <c r="E2208">
        <v>499</v>
      </c>
      <c r="F2208">
        <v>1</v>
      </c>
      <c r="G2208">
        <v>15000</v>
      </c>
      <c r="H2208">
        <v>2.3909302E-2</v>
      </c>
      <c r="I2208">
        <v>13781</v>
      </c>
      <c r="J2208">
        <v>4345</v>
      </c>
      <c r="K2208">
        <v>9436</v>
      </c>
      <c r="L2208">
        <v>500</v>
      </c>
      <c r="M2208">
        <v>499</v>
      </c>
      <c r="N2208">
        <v>1</v>
      </c>
      <c r="O2208">
        <v>1219</v>
      </c>
      <c r="P2208" s="3" t="s">
        <v>50</v>
      </c>
      <c r="Q2208">
        <v>50</v>
      </c>
      <c r="R2208">
        <v>0.999</v>
      </c>
      <c r="S2208">
        <v>1</v>
      </c>
    </row>
    <row r="2209" spans="1:19" x14ac:dyDescent="0.2">
      <c r="A2209" s="3" t="s">
        <v>54</v>
      </c>
      <c r="B2209" s="3" t="s">
        <v>55</v>
      </c>
      <c r="C2209">
        <v>30</v>
      </c>
      <c r="D2209">
        <v>15000</v>
      </c>
      <c r="E2209">
        <v>499</v>
      </c>
      <c r="F2209">
        <v>1</v>
      </c>
      <c r="G2209">
        <v>15000</v>
      </c>
      <c r="H2209">
        <v>2.3903113E-2</v>
      </c>
      <c r="I2209">
        <v>13795</v>
      </c>
      <c r="J2209">
        <v>4392</v>
      </c>
      <c r="K2209">
        <v>9403</v>
      </c>
      <c r="L2209">
        <v>500</v>
      </c>
      <c r="M2209">
        <v>499</v>
      </c>
      <c r="N2209">
        <v>1</v>
      </c>
      <c r="O2209">
        <v>1205</v>
      </c>
      <c r="P2209" s="3" t="s">
        <v>50</v>
      </c>
      <c r="Q2209">
        <v>50</v>
      </c>
      <c r="R2209">
        <v>0.999</v>
      </c>
      <c r="S2209">
        <v>1</v>
      </c>
    </row>
    <row r="2210" spans="1:19" x14ac:dyDescent="0.2">
      <c r="A2210" s="3" t="s">
        <v>54</v>
      </c>
      <c r="B2210" s="3" t="s">
        <v>55</v>
      </c>
      <c r="C2210">
        <v>6</v>
      </c>
      <c r="D2210">
        <v>15000</v>
      </c>
      <c r="E2210">
        <v>499</v>
      </c>
      <c r="F2210">
        <v>1</v>
      </c>
      <c r="G2210">
        <v>15000</v>
      </c>
      <c r="H2210">
        <v>2.3896772E-2</v>
      </c>
      <c r="I2210">
        <v>13802</v>
      </c>
      <c r="J2210">
        <v>4375</v>
      </c>
      <c r="K2210">
        <v>9427</v>
      </c>
      <c r="L2210">
        <v>500</v>
      </c>
      <c r="M2210">
        <v>499</v>
      </c>
      <c r="N2210">
        <v>1</v>
      </c>
      <c r="O2210">
        <v>1198</v>
      </c>
      <c r="P2210" s="3" t="s">
        <v>50</v>
      </c>
      <c r="Q2210">
        <v>50</v>
      </c>
      <c r="R2210">
        <v>0.999</v>
      </c>
      <c r="S2210">
        <v>1</v>
      </c>
    </row>
    <row r="2211" spans="1:19" x14ac:dyDescent="0.2">
      <c r="A2211" s="3" t="s">
        <v>54</v>
      </c>
      <c r="B2211" s="3" t="s">
        <v>55</v>
      </c>
      <c r="C2211">
        <v>11</v>
      </c>
      <c r="D2211">
        <v>15000</v>
      </c>
      <c r="E2211">
        <v>499</v>
      </c>
      <c r="F2211">
        <v>1</v>
      </c>
      <c r="G2211">
        <v>15000</v>
      </c>
      <c r="H2211">
        <v>2.3896046000000001E-2</v>
      </c>
      <c r="I2211">
        <v>13785</v>
      </c>
      <c r="J2211">
        <v>4360</v>
      </c>
      <c r="K2211">
        <v>9425</v>
      </c>
      <c r="L2211">
        <v>500</v>
      </c>
      <c r="M2211">
        <v>499</v>
      </c>
      <c r="N2211">
        <v>1</v>
      </c>
      <c r="O2211">
        <v>1215</v>
      </c>
      <c r="P2211" s="3" t="s">
        <v>50</v>
      </c>
      <c r="Q2211">
        <v>50</v>
      </c>
      <c r="R2211">
        <v>0.999</v>
      </c>
      <c r="S2211">
        <v>1</v>
      </c>
    </row>
    <row r="2212" spans="1:19" x14ac:dyDescent="0.2">
      <c r="A2212" s="3" t="s">
        <v>54</v>
      </c>
      <c r="B2212" s="3" t="s">
        <v>55</v>
      </c>
      <c r="C2212">
        <v>10</v>
      </c>
      <c r="D2212">
        <v>16000</v>
      </c>
      <c r="E2212">
        <v>499</v>
      </c>
      <c r="F2212">
        <v>1</v>
      </c>
      <c r="G2212">
        <v>16000</v>
      </c>
      <c r="H2212">
        <v>2.3889371999999999E-2</v>
      </c>
      <c r="I2212">
        <v>14362</v>
      </c>
      <c r="J2212">
        <v>4549</v>
      </c>
      <c r="K2212">
        <v>9813</v>
      </c>
      <c r="L2212">
        <v>500</v>
      </c>
      <c r="M2212">
        <v>499</v>
      </c>
      <c r="N2212">
        <v>1</v>
      </c>
      <c r="O2212">
        <v>1638</v>
      </c>
      <c r="P2212" s="3" t="s">
        <v>52</v>
      </c>
      <c r="Q2212">
        <v>50</v>
      </c>
      <c r="R2212">
        <v>0.999</v>
      </c>
      <c r="S2212">
        <v>1</v>
      </c>
    </row>
    <row r="2213" spans="1:19" x14ac:dyDescent="0.2">
      <c r="A2213" s="3" t="s">
        <v>54</v>
      </c>
      <c r="B2213" s="3" t="s">
        <v>55</v>
      </c>
      <c r="C2213">
        <v>31</v>
      </c>
      <c r="D2213">
        <v>14000</v>
      </c>
      <c r="E2213">
        <v>499</v>
      </c>
      <c r="F2213">
        <v>1</v>
      </c>
      <c r="G2213">
        <v>14000</v>
      </c>
      <c r="H2213">
        <v>2.3880087000000001E-2</v>
      </c>
      <c r="I2213">
        <v>13306</v>
      </c>
      <c r="J2213">
        <v>4026</v>
      </c>
      <c r="K2213">
        <v>9280</v>
      </c>
      <c r="L2213">
        <v>500</v>
      </c>
      <c r="M2213">
        <v>499</v>
      </c>
      <c r="N2213">
        <v>1</v>
      </c>
      <c r="O2213">
        <v>694</v>
      </c>
      <c r="P2213" s="3" t="s">
        <v>52</v>
      </c>
      <c r="Q2213">
        <v>50</v>
      </c>
      <c r="R2213">
        <v>0.999</v>
      </c>
      <c r="S2213">
        <v>1</v>
      </c>
    </row>
    <row r="2214" spans="1:19" x14ac:dyDescent="0.2">
      <c r="A2214" s="3" t="s">
        <v>54</v>
      </c>
      <c r="B2214" s="3" t="s">
        <v>55</v>
      </c>
      <c r="C2214">
        <v>20</v>
      </c>
      <c r="D2214">
        <v>11000</v>
      </c>
      <c r="E2214">
        <v>499</v>
      </c>
      <c r="F2214">
        <v>1</v>
      </c>
      <c r="G2214">
        <v>11000</v>
      </c>
      <c r="H2214">
        <v>2.3745914E-2</v>
      </c>
      <c r="I2214">
        <v>11000</v>
      </c>
      <c r="J2214">
        <v>4329</v>
      </c>
      <c r="K2214">
        <v>6671</v>
      </c>
      <c r="L2214">
        <v>500</v>
      </c>
      <c r="M2214">
        <v>499</v>
      </c>
      <c r="N2214">
        <v>1</v>
      </c>
      <c r="O2214">
        <v>0</v>
      </c>
      <c r="P2214" s="3" t="s">
        <v>51</v>
      </c>
      <c r="Q2214">
        <v>50</v>
      </c>
      <c r="R2214">
        <v>0.999</v>
      </c>
      <c r="S2214">
        <v>1</v>
      </c>
    </row>
    <row r="2215" spans="1:19" x14ac:dyDescent="0.2">
      <c r="A2215" s="3" t="s">
        <v>54</v>
      </c>
      <c r="B2215" s="3" t="s">
        <v>55</v>
      </c>
      <c r="C2215">
        <v>21</v>
      </c>
      <c r="D2215">
        <v>16000</v>
      </c>
      <c r="E2215">
        <v>499</v>
      </c>
      <c r="F2215">
        <v>1</v>
      </c>
      <c r="G2215">
        <v>16000</v>
      </c>
      <c r="H2215">
        <v>2.3743475999999999E-2</v>
      </c>
      <c r="I2215">
        <v>14379</v>
      </c>
      <c r="J2215">
        <v>4586</v>
      </c>
      <c r="K2215">
        <v>9793</v>
      </c>
      <c r="L2215">
        <v>500</v>
      </c>
      <c r="M2215">
        <v>499</v>
      </c>
      <c r="N2215">
        <v>1</v>
      </c>
      <c r="O2215">
        <v>1621</v>
      </c>
      <c r="P2215" s="3" t="s">
        <v>52</v>
      </c>
      <c r="Q2215">
        <v>50</v>
      </c>
      <c r="R2215">
        <v>0.999</v>
      </c>
      <c r="S2215">
        <v>1</v>
      </c>
    </row>
    <row r="2216" spans="1:19" x14ac:dyDescent="0.2">
      <c r="A2216" s="3" t="s">
        <v>54</v>
      </c>
      <c r="B2216" s="3" t="s">
        <v>55</v>
      </c>
      <c r="C2216">
        <v>1</v>
      </c>
      <c r="D2216">
        <v>12000</v>
      </c>
      <c r="E2216">
        <v>499</v>
      </c>
      <c r="F2216">
        <v>1</v>
      </c>
      <c r="G2216">
        <v>12000</v>
      </c>
      <c r="H2216">
        <v>2.3743337E-2</v>
      </c>
      <c r="I2216">
        <v>12000</v>
      </c>
      <c r="J2216">
        <v>3729</v>
      </c>
      <c r="K2216">
        <v>8271</v>
      </c>
      <c r="L2216">
        <v>500</v>
      </c>
      <c r="M2216">
        <v>499</v>
      </c>
      <c r="N2216">
        <v>1</v>
      </c>
      <c r="O2216">
        <v>0</v>
      </c>
      <c r="P2216" s="3" t="s">
        <v>50</v>
      </c>
      <c r="Q2216">
        <v>50</v>
      </c>
      <c r="R2216">
        <v>0.999</v>
      </c>
      <c r="S2216">
        <v>1</v>
      </c>
    </row>
    <row r="2217" spans="1:19" x14ac:dyDescent="0.2">
      <c r="A2217" s="3" t="s">
        <v>54</v>
      </c>
      <c r="B2217" s="3" t="s">
        <v>55</v>
      </c>
      <c r="C2217">
        <v>44</v>
      </c>
      <c r="D2217">
        <v>12000</v>
      </c>
      <c r="E2217">
        <v>499</v>
      </c>
      <c r="F2217">
        <v>1</v>
      </c>
      <c r="G2217">
        <v>12000</v>
      </c>
      <c r="H2217">
        <v>2.3716581E-2</v>
      </c>
      <c r="I2217">
        <v>12000</v>
      </c>
      <c r="J2217">
        <v>4724</v>
      </c>
      <c r="K2217">
        <v>7276</v>
      </c>
      <c r="L2217">
        <v>500</v>
      </c>
      <c r="M2217">
        <v>499</v>
      </c>
      <c r="N2217">
        <v>1</v>
      </c>
      <c r="O2217">
        <v>0</v>
      </c>
      <c r="P2217" s="3" t="s">
        <v>51</v>
      </c>
      <c r="Q2217">
        <v>50</v>
      </c>
      <c r="R2217">
        <v>0.999</v>
      </c>
      <c r="S2217">
        <v>1</v>
      </c>
    </row>
    <row r="2218" spans="1:19" x14ac:dyDescent="0.2">
      <c r="A2218" s="3" t="s">
        <v>54</v>
      </c>
      <c r="B2218" s="3" t="s">
        <v>55</v>
      </c>
      <c r="C2218">
        <v>13</v>
      </c>
      <c r="D2218">
        <v>11000</v>
      </c>
      <c r="E2218">
        <v>499</v>
      </c>
      <c r="F2218">
        <v>1</v>
      </c>
      <c r="G2218">
        <v>11000</v>
      </c>
      <c r="H2218">
        <v>2.3714300000000001E-2</v>
      </c>
      <c r="I2218">
        <v>11000</v>
      </c>
      <c r="J2218">
        <v>4329</v>
      </c>
      <c r="K2218">
        <v>6671</v>
      </c>
      <c r="L2218">
        <v>500</v>
      </c>
      <c r="M2218">
        <v>499</v>
      </c>
      <c r="N2218">
        <v>1</v>
      </c>
      <c r="O2218">
        <v>0</v>
      </c>
      <c r="P2218" s="3" t="s">
        <v>51</v>
      </c>
      <c r="Q2218">
        <v>50</v>
      </c>
      <c r="R2218">
        <v>0.999</v>
      </c>
      <c r="S2218">
        <v>1</v>
      </c>
    </row>
    <row r="2219" spans="1:19" x14ac:dyDescent="0.2">
      <c r="A2219" s="3" t="s">
        <v>54</v>
      </c>
      <c r="B2219" s="3" t="s">
        <v>55</v>
      </c>
      <c r="C2219">
        <v>27</v>
      </c>
      <c r="D2219">
        <v>15000</v>
      </c>
      <c r="E2219">
        <v>499</v>
      </c>
      <c r="F2219">
        <v>1</v>
      </c>
      <c r="G2219">
        <v>15000</v>
      </c>
      <c r="H2219">
        <v>2.3703070999999999E-2</v>
      </c>
      <c r="I2219">
        <v>13794</v>
      </c>
      <c r="J2219">
        <v>4385</v>
      </c>
      <c r="K2219">
        <v>9409</v>
      </c>
      <c r="L2219">
        <v>500</v>
      </c>
      <c r="M2219">
        <v>499</v>
      </c>
      <c r="N2219">
        <v>1</v>
      </c>
      <c r="O2219">
        <v>1206</v>
      </c>
      <c r="P2219" s="3" t="s">
        <v>50</v>
      </c>
      <c r="Q2219">
        <v>50</v>
      </c>
      <c r="R2219">
        <v>0.999</v>
      </c>
      <c r="S2219">
        <v>1</v>
      </c>
    </row>
    <row r="2220" spans="1:19" x14ac:dyDescent="0.2">
      <c r="A2220" s="3" t="s">
        <v>54</v>
      </c>
      <c r="B2220" s="3" t="s">
        <v>55</v>
      </c>
      <c r="C2220">
        <v>44</v>
      </c>
      <c r="D2220">
        <v>15000</v>
      </c>
      <c r="E2220">
        <v>499</v>
      </c>
      <c r="F2220">
        <v>1</v>
      </c>
      <c r="G2220">
        <v>15000</v>
      </c>
      <c r="H2220">
        <v>2.3701905999999998E-2</v>
      </c>
      <c r="I2220">
        <v>13772</v>
      </c>
      <c r="J2220">
        <v>4344</v>
      </c>
      <c r="K2220">
        <v>9428</v>
      </c>
      <c r="L2220">
        <v>500</v>
      </c>
      <c r="M2220">
        <v>499</v>
      </c>
      <c r="N2220">
        <v>1</v>
      </c>
      <c r="O2220">
        <v>1228</v>
      </c>
      <c r="P2220" s="3" t="s">
        <v>50</v>
      </c>
      <c r="Q2220">
        <v>50</v>
      </c>
      <c r="R2220">
        <v>0.999</v>
      </c>
      <c r="S2220">
        <v>1</v>
      </c>
    </row>
    <row r="2221" spans="1:19" x14ac:dyDescent="0.2">
      <c r="A2221" s="3" t="s">
        <v>54</v>
      </c>
      <c r="B2221" s="3" t="s">
        <v>55</v>
      </c>
      <c r="C2221">
        <v>31</v>
      </c>
      <c r="D2221">
        <v>15000</v>
      </c>
      <c r="E2221">
        <v>499</v>
      </c>
      <c r="F2221">
        <v>1</v>
      </c>
      <c r="G2221">
        <v>15000</v>
      </c>
      <c r="H2221">
        <v>2.3675853E-2</v>
      </c>
      <c r="I2221">
        <v>13770</v>
      </c>
      <c r="J2221">
        <v>4359</v>
      </c>
      <c r="K2221">
        <v>9411</v>
      </c>
      <c r="L2221">
        <v>500</v>
      </c>
      <c r="M2221">
        <v>499</v>
      </c>
      <c r="N2221">
        <v>1</v>
      </c>
      <c r="O2221">
        <v>1230</v>
      </c>
      <c r="P2221" s="3" t="s">
        <v>50</v>
      </c>
      <c r="Q2221">
        <v>50</v>
      </c>
      <c r="R2221">
        <v>0.999</v>
      </c>
      <c r="S2221">
        <v>1</v>
      </c>
    </row>
    <row r="2222" spans="1:19" x14ac:dyDescent="0.2">
      <c r="A2222" s="3" t="s">
        <v>54</v>
      </c>
      <c r="B2222" s="3" t="s">
        <v>55</v>
      </c>
      <c r="C2222">
        <v>1</v>
      </c>
      <c r="D2222">
        <v>15000</v>
      </c>
      <c r="E2222">
        <v>499</v>
      </c>
      <c r="F2222">
        <v>1</v>
      </c>
      <c r="G2222">
        <v>15000</v>
      </c>
      <c r="H2222">
        <v>2.3645650000000001E-2</v>
      </c>
      <c r="I2222">
        <v>13784</v>
      </c>
      <c r="J2222">
        <v>4342</v>
      </c>
      <c r="K2222">
        <v>9442</v>
      </c>
      <c r="L2222">
        <v>500</v>
      </c>
      <c r="M2222">
        <v>499</v>
      </c>
      <c r="N2222">
        <v>1</v>
      </c>
      <c r="O2222">
        <v>1216</v>
      </c>
      <c r="P2222" s="3" t="s">
        <v>50</v>
      </c>
      <c r="Q2222">
        <v>50</v>
      </c>
      <c r="R2222">
        <v>0.999</v>
      </c>
      <c r="S2222">
        <v>1</v>
      </c>
    </row>
    <row r="2223" spans="1:19" x14ac:dyDescent="0.2">
      <c r="A2223" s="3" t="s">
        <v>54</v>
      </c>
      <c r="B2223" s="3" t="s">
        <v>55</v>
      </c>
      <c r="C2223">
        <v>25</v>
      </c>
      <c r="D2223">
        <v>12000</v>
      </c>
      <c r="E2223">
        <v>499</v>
      </c>
      <c r="F2223">
        <v>1</v>
      </c>
      <c r="G2223">
        <v>50533.323552418398</v>
      </c>
      <c r="H2223">
        <v>2.359404E-2</v>
      </c>
      <c r="I2223">
        <v>11856</v>
      </c>
      <c r="J2223">
        <v>4034</v>
      </c>
      <c r="K2223">
        <v>7822</v>
      </c>
      <c r="L2223">
        <v>500</v>
      </c>
      <c r="M2223">
        <v>499</v>
      </c>
      <c r="N2223">
        <v>1</v>
      </c>
      <c r="O2223">
        <v>505.77854677409999</v>
      </c>
      <c r="P2223" s="3" t="s">
        <v>51</v>
      </c>
      <c r="Q2223">
        <v>50</v>
      </c>
      <c r="R2223">
        <v>0.999</v>
      </c>
      <c r="S2223">
        <v>0</v>
      </c>
    </row>
    <row r="2224" spans="1:19" x14ac:dyDescent="0.2">
      <c r="A2224" s="3" t="s">
        <v>54</v>
      </c>
      <c r="B2224" s="3" t="s">
        <v>55</v>
      </c>
      <c r="C2224">
        <v>14</v>
      </c>
      <c r="D2224">
        <v>15000</v>
      </c>
      <c r="E2224">
        <v>499</v>
      </c>
      <c r="F2224">
        <v>1</v>
      </c>
      <c r="G2224">
        <v>15000</v>
      </c>
      <c r="H2224">
        <v>2.3590923999999999E-2</v>
      </c>
      <c r="I2224">
        <v>13811</v>
      </c>
      <c r="J2224">
        <v>4376</v>
      </c>
      <c r="K2224">
        <v>9435</v>
      </c>
      <c r="L2224">
        <v>500</v>
      </c>
      <c r="M2224">
        <v>499</v>
      </c>
      <c r="N2224">
        <v>1</v>
      </c>
      <c r="O2224">
        <v>1189</v>
      </c>
      <c r="P2224" s="3" t="s">
        <v>50</v>
      </c>
      <c r="Q2224">
        <v>50</v>
      </c>
      <c r="R2224">
        <v>0.999</v>
      </c>
      <c r="S2224">
        <v>1</v>
      </c>
    </row>
    <row r="2225" spans="1:19" x14ac:dyDescent="0.2">
      <c r="A2225" s="3" t="s">
        <v>54</v>
      </c>
      <c r="B2225" s="3" t="s">
        <v>55</v>
      </c>
      <c r="C2225">
        <v>25</v>
      </c>
      <c r="D2225">
        <v>15000</v>
      </c>
      <c r="E2225">
        <v>499</v>
      </c>
      <c r="F2225">
        <v>1</v>
      </c>
      <c r="G2225">
        <v>15000</v>
      </c>
      <c r="H2225">
        <v>2.3501817000000001E-2</v>
      </c>
      <c r="I2225">
        <v>13796</v>
      </c>
      <c r="J2225">
        <v>4330</v>
      </c>
      <c r="K2225">
        <v>9466</v>
      </c>
      <c r="L2225">
        <v>500</v>
      </c>
      <c r="M2225">
        <v>499</v>
      </c>
      <c r="N2225">
        <v>1</v>
      </c>
      <c r="O2225">
        <v>1204</v>
      </c>
      <c r="P2225" s="3" t="s">
        <v>50</v>
      </c>
      <c r="Q2225">
        <v>50</v>
      </c>
      <c r="R2225">
        <v>0.999</v>
      </c>
      <c r="S2225">
        <v>1</v>
      </c>
    </row>
    <row r="2226" spans="1:19" x14ac:dyDescent="0.2">
      <c r="A2226" s="3" t="s">
        <v>54</v>
      </c>
      <c r="B2226" s="3" t="s">
        <v>55</v>
      </c>
      <c r="C2226">
        <v>10</v>
      </c>
      <c r="D2226">
        <v>12000</v>
      </c>
      <c r="E2226">
        <v>499</v>
      </c>
      <c r="F2226">
        <v>1</v>
      </c>
      <c r="G2226">
        <v>12000</v>
      </c>
      <c r="H2226">
        <v>2.3490844E-2</v>
      </c>
      <c r="I2226">
        <v>12000</v>
      </c>
      <c r="J2226">
        <v>4726</v>
      </c>
      <c r="K2226">
        <v>7274</v>
      </c>
      <c r="L2226">
        <v>500</v>
      </c>
      <c r="M2226">
        <v>499</v>
      </c>
      <c r="N2226">
        <v>1</v>
      </c>
      <c r="O2226">
        <v>0</v>
      </c>
      <c r="P2226" s="3" t="s">
        <v>51</v>
      </c>
      <c r="Q2226">
        <v>50</v>
      </c>
      <c r="R2226">
        <v>0.999</v>
      </c>
      <c r="S2226">
        <v>1</v>
      </c>
    </row>
    <row r="2227" spans="1:19" x14ac:dyDescent="0.2">
      <c r="A2227" s="3" t="s">
        <v>54</v>
      </c>
      <c r="B2227" s="3" t="s">
        <v>55</v>
      </c>
      <c r="C2227">
        <v>24</v>
      </c>
      <c r="D2227">
        <v>15000</v>
      </c>
      <c r="E2227">
        <v>499</v>
      </c>
      <c r="F2227">
        <v>1</v>
      </c>
      <c r="G2227">
        <v>15000</v>
      </c>
      <c r="H2227">
        <v>2.3463828999999999E-2</v>
      </c>
      <c r="I2227">
        <v>13774</v>
      </c>
      <c r="J2227">
        <v>4342</v>
      </c>
      <c r="K2227">
        <v>9432</v>
      </c>
      <c r="L2227">
        <v>500</v>
      </c>
      <c r="M2227">
        <v>499</v>
      </c>
      <c r="N2227">
        <v>1</v>
      </c>
      <c r="O2227">
        <v>1226</v>
      </c>
      <c r="P2227" s="3" t="s">
        <v>52</v>
      </c>
      <c r="Q2227">
        <v>50</v>
      </c>
      <c r="R2227">
        <v>0.999</v>
      </c>
      <c r="S2227">
        <v>1</v>
      </c>
    </row>
    <row r="2228" spans="1:19" x14ac:dyDescent="0.2">
      <c r="A2228" s="3" t="s">
        <v>54</v>
      </c>
      <c r="B2228" s="3" t="s">
        <v>55</v>
      </c>
      <c r="C2228">
        <v>2</v>
      </c>
      <c r="D2228">
        <v>15000</v>
      </c>
      <c r="E2228">
        <v>499</v>
      </c>
      <c r="F2228">
        <v>1</v>
      </c>
      <c r="G2228">
        <v>15000</v>
      </c>
      <c r="H2228">
        <v>2.3457689E-2</v>
      </c>
      <c r="I2228">
        <v>13784</v>
      </c>
      <c r="J2228">
        <v>4341</v>
      </c>
      <c r="K2228">
        <v>9443</v>
      </c>
      <c r="L2228">
        <v>500</v>
      </c>
      <c r="M2228">
        <v>499</v>
      </c>
      <c r="N2228">
        <v>1</v>
      </c>
      <c r="O2228">
        <v>1216</v>
      </c>
      <c r="P2228" s="3" t="s">
        <v>50</v>
      </c>
      <c r="Q2228">
        <v>50</v>
      </c>
      <c r="R2228">
        <v>0.999</v>
      </c>
      <c r="S2228">
        <v>1</v>
      </c>
    </row>
    <row r="2229" spans="1:19" x14ac:dyDescent="0.2">
      <c r="A2229" s="3" t="s">
        <v>54</v>
      </c>
      <c r="B2229" s="3" t="s">
        <v>55</v>
      </c>
      <c r="C2229">
        <v>13</v>
      </c>
      <c r="D2229">
        <v>15000</v>
      </c>
      <c r="E2229">
        <v>499</v>
      </c>
      <c r="F2229">
        <v>1</v>
      </c>
      <c r="G2229">
        <v>15000</v>
      </c>
      <c r="H2229">
        <v>2.3456292E-2</v>
      </c>
      <c r="I2229">
        <v>13783</v>
      </c>
      <c r="J2229">
        <v>4324</v>
      </c>
      <c r="K2229">
        <v>9459</v>
      </c>
      <c r="L2229">
        <v>500</v>
      </c>
      <c r="M2229">
        <v>499</v>
      </c>
      <c r="N2229">
        <v>1</v>
      </c>
      <c r="O2229">
        <v>1217</v>
      </c>
      <c r="P2229" s="3" t="s">
        <v>52</v>
      </c>
      <c r="Q2229">
        <v>50</v>
      </c>
      <c r="R2229">
        <v>0.999</v>
      </c>
      <c r="S2229">
        <v>1</v>
      </c>
    </row>
    <row r="2230" spans="1:19" x14ac:dyDescent="0.2">
      <c r="A2230" s="3" t="s">
        <v>54</v>
      </c>
      <c r="B2230" s="3" t="s">
        <v>55</v>
      </c>
      <c r="C2230">
        <v>43</v>
      </c>
      <c r="D2230">
        <v>12000</v>
      </c>
      <c r="E2230">
        <v>499</v>
      </c>
      <c r="F2230">
        <v>1</v>
      </c>
      <c r="G2230">
        <v>12000</v>
      </c>
      <c r="H2230">
        <v>2.3425174999999999E-2</v>
      </c>
      <c r="I2230">
        <v>12000</v>
      </c>
      <c r="J2230">
        <v>4732</v>
      </c>
      <c r="K2230">
        <v>7268</v>
      </c>
      <c r="L2230">
        <v>500</v>
      </c>
      <c r="M2230">
        <v>499</v>
      </c>
      <c r="N2230">
        <v>1</v>
      </c>
      <c r="O2230">
        <v>0</v>
      </c>
      <c r="P2230" s="3" t="s">
        <v>51</v>
      </c>
      <c r="Q2230">
        <v>50</v>
      </c>
      <c r="R2230">
        <v>0.999</v>
      </c>
      <c r="S2230">
        <v>1</v>
      </c>
    </row>
    <row r="2231" spans="1:19" x14ac:dyDescent="0.2">
      <c r="A2231" s="3" t="s">
        <v>54</v>
      </c>
      <c r="B2231" s="3" t="s">
        <v>55</v>
      </c>
      <c r="C2231">
        <v>47</v>
      </c>
      <c r="D2231">
        <v>10000</v>
      </c>
      <c r="E2231">
        <v>499</v>
      </c>
      <c r="F2231">
        <v>1</v>
      </c>
      <c r="G2231">
        <v>10000</v>
      </c>
      <c r="H2231">
        <v>2.3408427999999998E-2</v>
      </c>
      <c r="I2231">
        <v>10000</v>
      </c>
      <c r="J2231">
        <v>4183</v>
      </c>
      <c r="K2231">
        <v>5817</v>
      </c>
      <c r="L2231">
        <v>500</v>
      </c>
      <c r="M2231">
        <v>499</v>
      </c>
      <c r="N2231">
        <v>1</v>
      </c>
      <c r="O2231">
        <v>0</v>
      </c>
      <c r="P2231" s="3" t="s">
        <v>51</v>
      </c>
      <c r="Q2231">
        <v>50</v>
      </c>
      <c r="R2231">
        <v>0.999</v>
      </c>
      <c r="S2231">
        <v>1</v>
      </c>
    </row>
    <row r="2232" spans="1:19" x14ac:dyDescent="0.2">
      <c r="A2232" s="3" t="s">
        <v>54</v>
      </c>
      <c r="B2232" s="3" t="s">
        <v>55</v>
      </c>
      <c r="C2232">
        <v>12</v>
      </c>
      <c r="D2232">
        <v>12000</v>
      </c>
      <c r="E2232">
        <v>499</v>
      </c>
      <c r="F2232">
        <v>1</v>
      </c>
      <c r="G2232">
        <v>12000</v>
      </c>
      <c r="H2232">
        <v>2.3387837000000002E-2</v>
      </c>
      <c r="I2232">
        <v>12000</v>
      </c>
      <c r="J2232">
        <v>4715</v>
      </c>
      <c r="K2232">
        <v>7285</v>
      </c>
      <c r="L2232">
        <v>500</v>
      </c>
      <c r="M2232">
        <v>499</v>
      </c>
      <c r="N2232">
        <v>1</v>
      </c>
      <c r="O2232">
        <v>0</v>
      </c>
      <c r="P2232" s="3" t="s">
        <v>51</v>
      </c>
      <c r="Q2232">
        <v>50</v>
      </c>
      <c r="R2232">
        <v>0.999</v>
      </c>
      <c r="S2232">
        <v>1</v>
      </c>
    </row>
    <row r="2233" spans="1:19" x14ac:dyDescent="0.2">
      <c r="A2233" s="3" t="s">
        <v>54</v>
      </c>
      <c r="B2233" s="3" t="s">
        <v>55</v>
      </c>
      <c r="C2233">
        <v>28</v>
      </c>
      <c r="D2233">
        <v>15000</v>
      </c>
      <c r="E2233">
        <v>499</v>
      </c>
      <c r="F2233">
        <v>1</v>
      </c>
      <c r="G2233">
        <v>15000</v>
      </c>
      <c r="H2233">
        <v>2.3354067999999999E-2</v>
      </c>
      <c r="I2233">
        <v>13779</v>
      </c>
      <c r="J2233">
        <v>4343</v>
      </c>
      <c r="K2233">
        <v>9436</v>
      </c>
      <c r="L2233">
        <v>500</v>
      </c>
      <c r="M2233">
        <v>499</v>
      </c>
      <c r="N2233">
        <v>1</v>
      </c>
      <c r="O2233">
        <v>1221</v>
      </c>
      <c r="P2233" s="3" t="s">
        <v>50</v>
      </c>
      <c r="Q2233">
        <v>50</v>
      </c>
      <c r="R2233">
        <v>0.999</v>
      </c>
      <c r="S2233">
        <v>1</v>
      </c>
    </row>
    <row r="2234" spans="1:19" x14ac:dyDescent="0.2">
      <c r="A2234" s="3" t="s">
        <v>54</v>
      </c>
      <c r="B2234" s="3" t="s">
        <v>55</v>
      </c>
      <c r="C2234">
        <v>29</v>
      </c>
      <c r="D2234">
        <v>15000</v>
      </c>
      <c r="E2234">
        <v>499</v>
      </c>
      <c r="F2234">
        <v>1</v>
      </c>
      <c r="G2234">
        <v>15000</v>
      </c>
      <c r="H2234">
        <v>2.3329741000000001E-2</v>
      </c>
      <c r="I2234">
        <v>13783</v>
      </c>
      <c r="J2234">
        <v>4364</v>
      </c>
      <c r="K2234">
        <v>9419</v>
      </c>
      <c r="L2234">
        <v>500</v>
      </c>
      <c r="M2234">
        <v>499</v>
      </c>
      <c r="N2234">
        <v>1</v>
      </c>
      <c r="O2234">
        <v>1217</v>
      </c>
      <c r="P2234" s="3" t="s">
        <v>52</v>
      </c>
      <c r="Q2234">
        <v>50</v>
      </c>
      <c r="R2234">
        <v>0.999</v>
      </c>
      <c r="S2234">
        <v>1</v>
      </c>
    </row>
    <row r="2235" spans="1:19" x14ac:dyDescent="0.2">
      <c r="A2235" s="3" t="s">
        <v>54</v>
      </c>
      <c r="B2235" s="3" t="s">
        <v>55</v>
      </c>
      <c r="C2235">
        <v>36</v>
      </c>
      <c r="D2235">
        <v>15000</v>
      </c>
      <c r="E2235">
        <v>499</v>
      </c>
      <c r="F2235">
        <v>1</v>
      </c>
      <c r="G2235">
        <v>15000</v>
      </c>
      <c r="H2235">
        <v>2.3313753E-2</v>
      </c>
      <c r="I2235">
        <v>13795</v>
      </c>
      <c r="J2235">
        <v>4393</v>
      </c>
      <c r="K2235">
        <v>9402</v>
      </c>
      <c r="L2235">
        <v>500</v>
      </c>
      <c r="M2235">
        <v>499</v>
      </c>
      <c r="N2235">
        <v>1</v>
      </c>
      <c r="O2235">
        <v>1205</v>
      </c>
      <c r="P2235" s="3" t="s">
        <v>50</v>
      </c>
      <c r="Q2235">
        <v>50</v>
      </c>
      <c r="R2235">
        <v>0.999</v>
      </c>
      <c r="S2235">
        <v>1</v>
      </c>
    </row>
    <row r="2236" spans="1:19" x14ac:dyDescent="0.2">
      <c r="A2236" s="3" t="s">
        <v>54</v>
      </c>
      <c r="B2236" s="3" t="s">
        <v>55</v>
      </c>
      <c r="C2236">
        <v>42</v>
      </c>
      <c r="D2236">
        <v>15000</v>
      </c>
      <c r="E2236">
        <v>499</v>
      </c>
      <c r="F2236">
        <v>1</v>
      </c>
      <c r="G2236">
        <v>15000</v>
      </c>
      <c r="H2236">
        <v>2.3267280000000001E-2</v>
      </c>
      <c r="I2236">
        <v>13806</v>
      </c>
      <c r="J2236">
        <v>4378</v>
      </c>
      <c r="K2236">
        <v>9428</v>
      </c>
      <c r="L2236">
        <v>500</v>
      </c>
      <c r="M2236">
        <v>499</v>
      </c>
      <c r="N2236">
        <v>1</v>
      </c>
      <c r="O2236">
        <v>1194</v>
      </c>
      <c r="P2236" s="3" t="s">
        <v>50</v>
      </c>
      <c r="Q2236">
        <v>50</v>
      </c>
      <c r="R2236">
        <v>0.999</v>
      </c>
      <c r="S2236">
        <v>1</v>
      </c>
    </row>
    <row r="2237" spans="1:19" x14ac:dyDescent="0.2">
      <c r="A2237" s="3" t="s">
        <v>54</v>
      </c>
      <c r="B2237" s="3" t="s">
        <v>55</v>
      </c>
      <c r="C2237">
        <v>47</v>
      </c>
      <c r="D2237">
        <v>15000</v>
      </c>
      <c r="E2237">
        <v>499</v>
      </c>
      <c r="F2237">
        <v>1</v>
      </c>
      <c r="G2237">
        <v>15000</v>
      </c>
      <c r="H2237">
        <v>2.3248424E-2</v>
      </c>
      <c r="I2237">
        <v>13811</v>
      </c>
      <c r="J2237">
        <v>4389</v>
      </c>
      <c r="K2237">
        <v>9422</v>
      </c>
      <c r="L2237">
        <v>500</v>
      </c>
      <c r="M2237">
        <v>499</v>
      </c>
      <c r="N2237">
        <v>1</v>
      </c>
      <c r="O2237">
        <v>1189</v>
      </c>
      <c r="P2237" s="3" t="s">
        <v>50</v>
      </c>
      <c r="Q2237">
        <v>50</v>
      </c>
      <c r="R2237">
        <v>0.999</v>
      </c>
      <c r="S2237">
        <v>1</v>
      </c>
    </row>
    <row r="2238" spans="1:19" x14ac:dyDescent="0.2">
      <c r="A2238" s="3" t="s">
        <v>54</v>
      </c>
      <c r="B2238" s="3" t="s">
        <v>55</v>
      </c>
      <c r="C2238">
        <v>33</v>
      </c>
      <c r="D2238">
        <v>15000</v>
      </c>
      <c r="E2238">
        <v>499</v>
      </c>
      <c r="F2238">
        <v>1</v>
      </c>
      <c r="G2238">
        <v>15000</v>
      </c>
      <c r="H2238">
        <v>2.3246579999999999E-2</v>
      </c>
      <c r="I2238">
        <v>13806</v>
      </c>
      <c r="J2238">
        <v>4391</v>
      </c>
      <c r="K2238">
        <v>9415</v>
      </c>
      <c r="L2238">
        <v>500</v>
      </c>
      <c r="M2238">
        <v>499</v>
      </c>
      <c r="N2238">
        <v>1</v>
      </c>
      <c r="O2238">
        <v>1194</v>
      </c>
      <c r="P2238" s="3" t="s">
        <v>50</v>
      </c>
      <c r="Q2238">
        <v>50</v>
      </c>
      <c r="R2238">
        <v>0.999</v>
      </c>
      <c r="S2238">
        <v>1</v>
      </c>
    </row>
    <row r="2239" spans="1:19" x14ac:dyDescent="0.2">
      <c r="A2239" s="3" t="s">
        <v>54</v>
      </c>
      <c r="B2239" s="3" t="s">
        <v>55</v>
      </c>
      <c r="C2239">
        <v>35</v>
      </c>
      <c r="D2239">
        <v>15000</v>
      </c>
      <c r="E2239">
        <v>499</v>
      </c>
      <c r="F2239">
        <v>1</v>
      </c>
      <c r="G2239">
        <v>15000</v>
      </c>
      <c r="H2239">
        <v>2.3246315E-2</v>
      </c>
      <c r="I2239">
        <v>13765</v>
      </c>
      <c r="J2239">
        <v>4322</v>
      </c>
      <c r="K2239">
        <v>9443</v>
      </c>
      <c r="L2239">
        <v>500</v>
      </c>
      <c r="M2239">
        <v>499</v>
      </c>
      <c r="N2239">
        <v>1</v>
      </c>
      <c r="O2239">
        <v>1235</v>
      </c>
      <c r="P2239" s="3" t="s">
        <v>50</v>
      </c>
      <c r="Q2239">
        <v>50</v>
      </c>
      <c r="R2239">
        <v>0.999</v>
      </c>
      <c r="S2239">
        <v>1</v>
      </c>
    </row>
    <row r="2240" spans="1:19" x14ac:dyDescent="0.2">
      <c r="A2240" s="3" t="s">
        <v>54</v>
      </c>
      <c r="B2240" s="3" t="s">
        <v>55</v>
      </c>
      <c r="C2240">
        <v>15</v>
      </c>
      <c r="D2240">
        <v>15000</v>
      </c>
      <c r="E2240">
        <v>499</v>
      </c>
      <c r="F2240">
        <v>1</v>
      </c>
      <c r="G2240">
        <v>15000</v>
      </c>
      <c r="H2240">
        <v>2.3243969E-2</v>
      </c>
      <c r="I2240">
        <v>13777</v>
      </c>
      <c r="J2240">
        <v>4360</v>
      </c>
      <c r="K2240">
        <v>9417</v>
      </c>
      <c r="L2240">
        <v>500</v>
      </c>
      <c r="M2240">
        <v>499</v>
      </c>
      <c r="N2240">
        <v>1</v>
      </c>
      <c r="O2240">
        <v>1223</v>
      </c>
      <c r="P2240" s="3" t="s">
        <v>50</v>
      </c>
      <c r="Q2240">
        <v>50</v>
      </c>
      <c r="R2240">
        <v>0.999</v>
      </c>
      <c r="S2240">
        <v>1</v>
      </c>
    </row>
    <row r="2241" spans="1:19" x14ac:dyDescent="0.2">
      <c r="A2241" s="3" t="s">
        <v>54</v>
      </c>
      <c r="B2241" s="3" t="s">
        <v>55</v>
      </c>
      <c r="C2241">
        <v>26</v>
      </c>
      <c r="D2241">
        <v>15000</v>
      </c>
      <c r="E2241">
        <v>499</v>
      </c>
      <c r="F2241">
        <v>1</v>
      </c>
      <c r="G2241">
        <v>15000</v>
      </c>
      <c r="H2241">
        <v>2.3209758E-2</v>
      </c>
      <c r="I2241">
        <v>13784</v>
      </c>
      <c r="J2241">
        <v>4349</v>
      </c>
      <c r="K2241">
        <v>9435</v>
      </c>
      <c r="L2241">
        <v>500</v>
      </c>
      <c r="M2241">
        <v>499</v>
      </c>
      <c r="N2241">
        <v>1</v>
      </c>
      <c r="O2241">
        <v>1216</v>
      </c>
      <c r="P2241" s="3" t="s">
        <v>50</v>
      </c>
      <c r="Q2241">
        <v>50</v>
      </c>
      <c r="R2241">
        <v>0.999</v>
      </c>
      <c r="S2241">
        <v>1</v>
      </c>
    </row>
    <row r="2242" spans="1:19" x14ac:dyDescent="0.2">
      <c r="A2242" s="3" t="s">
        <v>54</v>
      </c>
      <c r="B2242" s="3" t="s">
        <v>55</v>
      </c>
      <c r="C2242">
        <v>38</v>
      </c>
      <c r="D2242">
        <v>15000</v>
      </c>
      <c r="E2242">
        <v>499</v>
      </c>
      <c r="F2242">
        <v>1</v>
      </c>
      <c r="G2242">
        <v>15000</v>
      </c>
      <c r="H2242">
        <v>2.3185165000000001E-2</v>
      </c>
      <c r="I2242">
        <v>13815</v>
      </c>
      <c r="J2242">
        <v>4391</v>
      </c>
      <c r="K2242">
        <v>9424</v>
      </c>
      <c r="L2242">
        <v>500</v>
      </c>
      <c r="M2242">
        <v>499</v>
      </c>
      <c r="N2242">
        <v>1</v>
      </c>
      <c r="O2242">
        <v>1185</v>
      </c>
      <c r="P2242" s="3" t="s">
        <v>50</v>
      </c>
      <c r="Q2242">
        <v>50</v>
      </c>
      <c r="R2242">
        <v>0.999</v>
      </c>
      <c r="S2242">
        <v>1</v>
      </c>
    </row>
    <row r="2243" spans="1:19" x14ac:dyDescent="0.2">
      <c r="A2243" s="3" t="s">
        <v>54</v>
      </c>
      <c r="B2243" s="3" t="s">
        <v>55</v>
      </c>
      <c r="C2243">
        <v>50</v>
      </c>
      <c r="D2243">
        <v>15000</v>
      </c>
      <c r="E2243">
        <v>499</v>
      </c>
      <c r="F2243">
        <v>1</v>
      </c>
      <c r="G2243">
        <v>15000</v>
      </c>
      <c r="H2243">
        <v>2.3158259E-2</v>
      </c>
      <c r="I2243">
        <v>13783</v>
      </c>
      <c r="J2243">
        <v>4338</v>
      </c>
      <c r="K2243">
        <v>9445</v>
      </c>
      <c r="L2243">
        <v>500</v>
      </c>
      <c r="M2243">
        <v>499</v>
      </c>
      <c r="N2243">
        <v>1</v>
      </c>
      <c r="O2243">
        <v>1217</v>
      </c>
      <c r="P2243" s="3" t="s">
        <v>50</v>
      </c>
      <c r="Q2243">
        <v>50</v>
      </c>
      <c r="R2243">
        <v>0.999</v>
      </c>
      <c r="S2243">
        <v>1</v>
      </c>
    </row>
    <row r="2244" spans="1:19" x14ac:dyDescent="0.2">
      <c r="A2244" s="3" t="s">
        <v>54</v>
      </c>
      <c r="B2244" s="3" t="s">
        <v>55</v>
      </c>
      <c r="C2244">
        <v>9</v>
      </c>
      <c r="D2244">
        <v>12000</v>
      </c>
      <c r="E2244">
        <v>499</v>
      </c>
      <c r="F2244">
        <v>1</v>
      </c>
      <c r="G2244">
        <v>12000</v>
      </c>
      <c r="H2244">
        <v>2.3139595999999998E-2</v>
      </c>
      <c r="I2244">
        <v>12000</v>
      </c>
      <c r="J2244">
        <v>4715</v>
      </c>
      <c r="K2244">
        <v>7285</v>
      </c>
      <c r="L2244">
        <v>500</v>
      </c>
      <c r="M2244">
        <v>499</v>
      </c>
      <c r="N2244">
        <v>1</v>
      </c>
      <c r="O2244">
        <v>0</v>
      </c>
      <c r="P2244" s="3" t="s">
        <v>51</v>
      </c>
      <c r="Q2244">
        <v>50</v>
      </c>
      <c r="R2244">
        <v>0.999</v>
      </c>
      <c r="S2244">
        <v>1</v>
      </c>
    </row>
    <row r="2245" spans="1:19" x14ac:dyDescent="0.2">
      <c r="A2245" s="3" t="s">
        <v>54</v>
      </c>
      <c r="B2245" s="3" t="s">
        <v>55</v>
      </c>
      <c r="C2245">
        <v>28</v>
      </c>
      <c r="D2245">
        <v>11000</v>
      </c>
      <c r="E2245">
        <v>499</v>
      </c>
      <c r="F2245">
        <v>1</v>
      </c>
      <c r="G2245">
        <v>11000</v>
      </c>
      <c r="H2245">
        <v>2.313581E-2</v>
      </c>
      <c r="I2245">
        <v>11000</v>
      </c>
      <c r="J2245">
        <v>4329</v>
      </c>
      <c r="K2245">
        <v>6671</v>
      </c>
      <c r="L2245">
        <v>500</v>
      </c>
      <c r="M2245">
        <v>499</v>
      </c>
      <c r="N2245">
        <v>1</v>
      </c>
      <c r="O2245">
        <v>0</v>
      </c>
      <c r="P2245" s="3" t="s">
        <v>51</v>
      </c>
      <c r="Q2245">
        <v>50</v>
      </c>
      <c r="R2245">
        <v>0.999</v>
      </c>
      <c r="S2245">
        <v>1</v>
      </c>
    </row>
    <row r="2246" spans="1:19" x14ac:dyDescent="0.2">
      <c r="A2246" s="3" t="s">
        <v>54</v>
      </c>
      <c r="B2246" s="3" t="s">
        <v>55</v>
      </c>
      <c r="C2246">
        <v>3</v>
      </c>
      <c r="D2246">
        <v>15000</v>
      </c>
      <c r="E2246">
        <v>499</v>
      </c>
      <c r="F2246">
        <v>1</v>
      </c>
      <c r="G2246">
        <v>15000</v>
      </c>
      <c r="H2246">
        <v>2.3132858999999999E-2</v>
      </c>
      <c r="I2246">
        <v>13796</v>
      </c>
      <c r="J2246">
        <v>4342</v>
      </c>
      <c r="K2246">
        <v>9454</v>
      </c>
      <c r="L2246">
        <v>500</v>
      </c>
      <c r="M2246">
        <v>499</v>
      </c>
      <c r="N2246">
        <v>1</v>
      </c>
      <c r="O2246">
        <v>1204</v>
      </c>
      <c r="P2246" s="3" t="s">
        <v>50</v>
      </c>
      <c r="Q2246">
        <v>50</v>
      </c>
      <c r="R2246">
        <v>0.999</v>
      </c>
      <c r="S2246">
        <v>1</v>
      </c>
    </row>
    <row r="2247" spans="1:19" x14ac:dyDescent="0.2">
      <c r="A2247" s="3" t="s">
        <v>54</v>
      </c>
      <c r="B2247" s="3" t="s">
        <v>55</v>
      </c>
      <c r="C2247">
        <v>49</v>
      </c>
      <c r="D2247">
        <v>15000</v>
      </c>
      <c r="E2247">
        <v>499</v>
      </c>
      <c r="F2247">
        <v>1</v>
      </c>
      <c r="G2247">
        <v>15000</v>
      </c>
      <c r="H2247">
        <v>2.3113344000000001E-2</v>
      </c>
      <c r="I2247">
        <v>13791</v>
      </c>
      <c r="J2247">
        <v>4370</v>
      </c>
      <c r="K2247">
        <v>9421</v>
      </c>
      <c r="L2247">
        <v>500</v>
      </c>
      <c r="M2247">
        <v>499</v>
      </c>
      <c r="N2247">
        <v>1</v>
      </c>
      <c r="O2247">
        <v>1209</v>
      </c>
      <c r="P2247" s="3" t="s">
        <v>50</v>
      </c>
      <c r="Q2247">
        <v>50</v>
      </c>
      <c r="R2247">
        <v>0.999</v>
      </c>
      <c r="S2247">
        <v>1</v>
      </c>
    </row>
    <row r="2248" spans="1:19" x14ac:dyDescent="0.2">
      <c r="A2248" s="3" t="s">
        <v>54</v>
      </c>
      <c r="B2248" s="3" t="s">
        <v>55</v>
      </c>
      <c r="C2248">
        <v>3</v>
      </c>
      <c r="D2248">
        <v>11000</v>
      </c>
      <c r="E2248">
        <v>499</v>
      </c>
      <c r="F2248">
        <v>1</v>
      </c>
      <c r="G2248">
        <v>44062.122210792702</v>
      </c>
      <c r="H2248">
        <v>2.3100951000000002E-2</v>
      </c>
      <c r="I2248">
        <v>11000</v>
      </c>
      <c r="J2248">
        <v>3547</v>
      </c>
      <c r="K2248">
        <v>7453</v>
      </c>
      <c r="L2248">
        <v>500</v>
      </c>
      <c r="M2248">
        <v>499</v>
      </c>
      <c r="N2248">
        <v>1</v>
      </c>
      <c r="O2248">
        <v>0</v>
      </c>
      <c r="P2248" s="3" t="s">
        <v>51</v>
      </c>
      <c r="Q2248">
        <v>50</v>
      </c>
      <c r="R2248">
        <v>0.999</v>
      </c>
      <c r="S2248">
        <v>0</v>
      </c>
    </row>
    <row r="2249" spans="1:19" x14ac:dyDescent="0.2">
      <c r="A2249" s="3" t="s">
        <v>54</v>
      </c>
      <c r="B2249" s="3" t="s">
        <v>55</v>
      </c>
      <c r="C2249">
        <v>48</v>
      </c>
      <c r="D2249">
        <v>15000</v>
      </c>
      <c r="E2249">
        <v>499</v>
      </c>
      <c r="F2249">
        <v>1</v>
      </c>
      <c r="G2249">
        <v>15000</v>
      </c>
      <c r="H2249">
        <v>2.3047784000000002E-2</v>
      </c>
      <c r="I2249">
        <v>13806</v>
      </c>
      <c r="J2249">
        <v>4361</v>
      </c>
      <c r="K2249">
        <v>9445</v>
      </c>
      <c r="L2249">
        <v>500</v>
      </c>
      <c r="M2249">
        <v>499</v>
      </c>
      <c r="N2249">
        <v>1</v>
      </c>
      <c r="O2249">
        <v>1194</v>
      </c>
      <c r="P2249" s="3" t="s">
        <v>50</v>
      </c>
      <c r="Q2249">
        <v>50</v>
      </c>
      <c r="R2249">
        <v>0.999</v>
      </c>
      <c r="S2249">
        <v>1</v>
      </c>
    </row>
    <row r="2250" spans="1:19" x14ac:dyDescent="0.2">
      <c r="A2250" s="3" t="s">
        <v>54</v>
      </c>
      <c r="B2250" s="3" t="s">
        <v>55</v>
      </c>
      <c r="C2250">
        <v>14</v>
      </c>
      <c r="D2250">
        <v>12000</v>
      </c>
      <c r="E2250">
        <v>499</v>
      </c>
      <c r="F2250">
        <v>1</v>
      </c>
      <c r="G2250">
        <v>12000</v>
      </c>
      <c r="H2250">
        <v>2.303682E-2</v>
      </c>
      <c r="I2250">
        <v>12000</v>
      </c>
      <c r="J2250">
        <v>4731</v>
      </c>
      <c r="K2250">
        <v>7269</v>
      </c>
      <c r="L2250">
        <v>500</v>
      </c>
      <c r="M2250">
        <v>499</v>
      </c>
      <c r="N2250">
        <v>1</v>
      </c>
      <c r="O2250">
        <v>0</v>
      </c>
      <c r="P2250" s="3" t="s">
        <v>51</v>
      </c>
      <c r="Q2250">
        <v>50</v>
      </c>
      <c r="R2250">
        <v>0.999</v>
      </c>
      <c r="S2250">
        <v>1</v>
      </c>
    </row>
    <row r="2251" spans="1:19" x14ac:dyDescent="0.2">
      <c r="A2251" s="3" t="s">
        <v>54</v>
      </c>
      <c r="B2251" s="3" t="s">
        <v>55</v>
      </c>
      <c r="C2251">
        <v>24</v>
      </c>
      <c r="D2251">
        <v>15000</v>
      </c>
      <c r="E2251">
        <v>499</v>
      </c>
      <c r="F2251">
        <v>1</v>
      </c>
      <c r="G2251">
        <v>15000</v>
      </c>
      <c r="H2251">
        <v>2.3032164000000001E-2</v>
      </c>
      <c r="I2251">
        <v>13783</v>
      </c>
      <c r="J2251">
        <v>4320</v>
      </c>
      <c r="K2251">
        <v>9463</v>
      </c>
      <c r="L2251">
        <v>500</v>
      </c>
      <c r="M2251">
        <v>499</v>
      </c>
      <c r="N2251">
        <v>1</v>
      </c>
      <c r="O2251">
        <v>1217</v>
      </c>
      <c r="P2251" s="3" t="s">
        <v>50</v>
      </c>
      <c r="Q2251">
        <v>50</v>
      </c>
      <c r="R2251">
        <v>0.999</v>
      </c>
      <c r="S2251">
        <v>1</v>
      </c>
    </row>
    <row r="2252" spans="1:19" x14ac:dyDescent="0.2">
      <c r="A2252" s="3" t="s">
        <v>54</v>
      </c>
      <c r="B2252" s="3" t="s">
        <v>55</v>
      </c>
      <c r="C2252">
        <v>37</v>
      </c>
      <c r="D2252">
        <v>15000</v>
      </c>
      <c r="E2252">
        <v>499</v>
      </c>
      <c r="F2252">
        <v>1</v>
      </c>
      <c r="G2252">
        <v>15000</v>
      </c>
      <c r="H2252">
        <v>2.3016241999999999E-2</v>
      </c>
      <c r="I2252">
        <v>13776</v>
      </c>
      <c r="J2252">
        <v>4371</v>
      </c>
      <c r="K2252">
        <v>9405</v>
      </c>
      <c r="L2252">
        <v>500</v>
      </c>
      <c r="M2252">
        <v>499</v>
      </c>
      <c r="N2252">
        <v>1</v>
      </c>
      <c r="O2252">
        <v>1224</v>
      </c>
      <c r="P2252" s="3" t="s">
        <v>50</v>
      </c>
      <c r="Q2252">
        <v>50</v>
      </c>
      <c r="R2252">
        <v>0.999</v>
      </c>
      <c r="S2252">
        <v>1</v>
      </c>
    </row>
    <row r="2253" spans="1:19" x14ac:dyDescent="0.2">
      <c r="A2253" s="3" t="s">
        <v>54</v>
      </c>
      <c r="B2253" s="3" t="s">
        <v>55</v>
      </c>
      <c r="C2253">
        <v>8</v>
      </c>
      <c r="D2253">
        <v>11000</v>
      </c>
      <c r="E2253">
        <v>499</v>
      </c>
      <c r="F2253">
        <v>1</v>
      </c>
      <c r="G2253">
        <v>11000</v>
      </c>
      <c r="H2253">
        <v>2.2860528000000001E-2</v>
      </c>
      <c r="I2253">
        <v>11000</v>
      </c>
      <c r="J2253">
        <v>4329</v>
      </c>
      <c r="K2253">
        <v>6671</v>
      </c>
      <c r="L2253">
        <v>500</v>
      </c>
      <c r="M2253">
        <v>499</v>
      </c>
      <c r="N2253">
        <v>1</v>
      </c>
      <c r="O2253">
        <v>0</v>
      </c>
      <c r="P2253" s="3" t="s">
        <v>51</v>
      </c>
      <c r="Q2253">
        <v>50</v>
      </c>
      <c r="R2253">
        <v>0.999</v>
      </c>
      <c r="S2253">
        <v>1</v>
      </c>
    </row>
    <row r="2254" spans="1:19" x14ac:dyDescent="0.2">
      <c r="A2254" s="3" t="s">
        <v>54</v>
      </c>
      <c r="B2254" s="3" t="s">
        <v>55</v>
      </c>
      <c r="C2254">
        <v>20</v>
      </c>
      <c r="D2254">
        <v>15000</v>
      </c>
      <c r="E2254">
        <v>499</v>
      </c>
      <c r="F2254">
        <v>1</v>
      </c>
      <c r="G2254">
        <v>15000</v>
      </c>
      <c r="H2254">
        <v>2.2851086E-2</v>
      </c>
      <c r="I2254">
        <v>13784</v>
      </c>
      <c r="J2254">
        <v>4348</v>
      </c>
      <c r="K2254">
        <v>9436</v>
      </c>
      <c r="L2254">
        <v>500</v>
      </c>
      <c r="M2254">
        <v>499</v>
      </c>
      <c r="N2254">
        <v>1</v>
      </c>
      <c r="O2254">
        <v>1216</v>
      </c>
      <c r="P2254" s="3" t="s">
        <v>50</v>
      </c>
      <c r="Q2254">
        <v>50</v>
      </c>
      <c r="R2254">
        <v>0.999</v>
      </c>
      <c r="S2254">
        <v>1</v>
      </c>
    </row>
    <row r="2255" spans="1:19" x14ac:dyDescent="0.2">
      <c r="A2255" s="3" t="s">
        <v>54</v>
      </c>
      <c r="B2255" s="3" t="s">
        <v>55</v>
      </c>
      <c r="C2255">
        <v>41</v>
      </c>
      <c r="D2255">
        <v>15000</v>
      </c>
      <c r="E2255">
        <v>499</v>
      </c>
      <c r="F2255">
        <v>1</v>
      </c>
      <c r="G2255">
        <v>15000</v>
      </c>
      <c r="H2255">
        <v>2.2779695999999999E-2</v>
      </c>
      <c r="I2255">
        <v>13796</v>
      </c>
      <c r="J2255">
        <v>4359</v>
      </c>
      <c r="K2255">
        <v>9437</v>
      </c>
      <c r="L2255">
        <v>500</v>
      </c>
      <c r="M2255">
        <v>499</v>
      </c>
      <c r="N2255">
        <v>1</v>
      </c>
      <c r="O2255">
        <v>1204</v>
      </c>
      <c r="P2255" s="3" t="s">
        <v>50</v>
      </c>
      <c r="Q2255">
        <v>50</v>
      </c>
      <c r="R2255">
        <v>0.999</v>
      </c>
      <c r="S2255">
        <v>1</v>
      </c>
    </row>
    <row r="2256" spans="1:19" x14ac:dyDescent="0.2">
      <c r="A2256" s="3" t="s">
        <v>54</v>
      </c>
      <c r="B2256" s="3" t="s">
        <v>55</v>
      </c>
      <c r="C2256">
        <v>39</v>
      </c>
      <c r="D2256">
        <v>15000</v>
      </c>
      <c r="E2256">
        <v>499</v>
      </c>
      <c r="F2256">
        <v>1</v>
      </c>
      <c r="G2256">
        <v>15000</v>
      </c>
      <c r="H2256">
        <v>2.2763426E-2</v>
      </c>
      <c r="I2256">
        <v>13786</v>
      </c>
      <c r="J2256">
        <v>4365</v>
      </c>
      <c r="K2256">
        <v>9421</v>
      </c>
      <c r="L2256">
        <v>500</v>
      </c>
      <c r="M2256">
        <v>499</v>
      </c>
      <c r="N2256">
        <v>1</v>
      </c>
      <c r="O2256">
        <v>1214</v>
      </c>
      <c r="P2256" s="3" t="s">
        <v>52</v>
      </c>
      <c r="Q2256">
        <v>50</v>
      </c>
      <c r="R2256">
        <v>0.999</v>
      </c>
      <c r="S2256">
        <v>1</v>
      </c>
    </row>
    <row r="2257" spans="1:19" x14ac:dyDescent="0.2">
      <c r="A2257" s="3" t="s">
        <v>54</v>
      </c>
      <c r="B2257" s="3" t="s">
        <v>55</v>
      </c>
      <c r="C2257">
        <v>46</v>
      </c>
      <c r="D2257">
        <v>12000</v>
      </c>
      <c r="E2257">
        <v>499</v>
      </c>
      <c r="F2257">
        <v>1</v>
      </c>
      <c r="G2257">
        <v>12000</v>
      </c>
      <c r="H2257">
        <v>2.2668879999999999E-2</v>
      </c>
      <c r="I2257">
        <v>11999</v>
      </c>
      <c r="J2257">
        <v>4734</v>
      </c>
      <c r="K2257">
        <v>7265</v>
      </c>
      <c r="L2257">
        <v>500</v>
      </c>
      <c r="M2257">
        <v>499</v>
      </c>
      <c r="N2257">
        <v>1</v>
      </c>
      <c r="O2257">
        <v>1</v>
      </c>
      <c r="P2257" s="3" t="s">
        <v>51</v>
      </c>
      <c r="Q2257">
        <v>50</v>
      </c>
      <c r="R2257">
        <v>0.999</v>
      </c>
      <c r="S2257">
        <v>1</v>
      </c>
    </row>
    <row r="2258" spans="1:19" x14ac:dyDescent="0.2">
      <c r="A2258" s="3" t="s">
        <v>54</v>
      </c>
      <c r="B2258" s="3" t="s">
        <v>55</v>
      </c>
      <c r="C2258">
        <v>28</v>
      </c>
      <c r="D2258">
        <v>12000</v>
      </c>
      <c r="E2258">
        <v>499</v>
      </c>
      <c r="F2258">
        <v>1</v>
      </c>
      <c r="G2258">
        <v>12000</v>
      </c>
      <c r="H2258">
        <v>2.265702E-2</v>
      </c>
      <c r="I2258">
        <v>12000</v>
      </c>
      <c r="J2258">
        <v>4728</v>
      </c>
      <c r="K2258">
        <v>7272</v>
      </c>
      <c r="L2258">
        <v>500</v>
      </c>
      <c r="M2258">
        <v>499</v>
      </c>
      <c r="N2258">
        <v>1</v>
      </c>
      <c r="O2258">
        <v>0</v>
      </c>
      <c r="P2258" s="3" t="s">
        <v>51</v>
      </c>
      <c r="Q2258">
        <v>50</v>
      </c>
      <c r="R2258">
        <v>0.999</v>
      </c>
      <c r="S2258">
        <v>1</v>
      </c>
    </row>
    <row r="2259" spans="1:19" x14ac:dyDescent="0.2">
      <c r="A2259" s="3" t="s">
        <v>54</v>
      </c>
      <c r="B2259" s="3" t="s">
        <v>55</v>
      </c>
      <c r="C2259">
        <v>2</v>
      </c>
      <c r="D2259">
        <v>12000</v>
      </c>
      <c r="E2259">
        <v>499</v>
      </c>
      <c r="F2259">
        <v>1</v>
      </c>
      <c r="G2259">
        <v>12000</v>
      </c>
      <c r="H2259">
        <v>2.2642867000000001E-2</v>
      </c>
      <c r="I2259">
        <v>12000</v>
      </c>
      <c r="J2259">
        <v>4736</v>
      </c>
      <c r="K2259">
        <v>7264</v>
      </c>
      <c r="L2259">
        <v>500</v>
      </c>
      <c r="M2259">
        <v>499</v>
      </c>
      <c r="N2259">
        <v>1</v>
      </c>
      <c r="O2259">
        <v>0</v>
      </c>
      <c r="P2259" s="3" t="s">
        <v>51</v>
      </c>
      <c r="Q2259">
        <v>50</v>
      </c>
      <c r="R2259">
        <v>0.999</v>
      </c>
      <c r="S2259">
        <v>1</v>
      </c>
    </row>
    <row r="2260" spans="1:19" x14ac:dyDescent="0.2">
      <c r="A2260" s="3" t="s">
        <v>54</v>
      </c>
      <c r="B2260" s="3" t="s">
        <v>55</v>
      </c>
      <c r="C2260">
        <v>3</v>
      </c>
      <c r="D2260">
        <v>10000</v>
      </c>
      <c r="E2260">
        <v>499</v>
      </c>
      <c r="F2260">
        <v>1</v>
      </c>
      <c r="G2260">
        <v>10000</v>
      </c>
      <c r="H2260">
        <v>2.2626402E-2</v>
      </c>
      <c r="I2260">
        <v>10000</v>
      </c>
      <c r="J2260">
        <v>4183</v>
      </c>
      <c r="K2260">
        <v>5817</v>
      </c>
      <c r="L2260">
        <v>500</v>
      </c>
      <c r="M2260">
        <v>499</v>
      </c>
      <c r="N2260">
        <v>1</v>
      </c>
      <c r="O2260">
        <v>0</v>
      </c>
      <c r="P2260" s="3" t="s">
        <v>51</v>
      </c>
      <c r="Q2260">
        <v>50</v>
      </c>
      <c r="R2260">
        <v>0.999</v>
      </c>
      <c r="S2260">
        <v>1</v>
      </c>
    </row>
    <row r="2261" spans="1:19" x14ac:dyDescent="0.2">
      <c r="A2261" s="3" t="s">
        <v>54</v>
      </c>
      <c r="B2261" s="3" t="s">
        <v>55</v>
      </c>
      <c r="C2261">
        <v>17</v>
      </c>
      <c r="D2261">
        <v>12000</v>
      </c>
      <c r="E2261">
        <v>499</v>
      </c>
      <c r="F2261">
        <v>1</v>
      </c>
      <c r="G2261">
        <v>12000</v>
      </c>
      <c r="H2261">
        <v>2.2613542E-2</v>
      </c>
      <c r="I2261">
        <v>12000</v>
      </c>
      <c r="J2261">
        <v>4718</v>
      </c>
      <c r="K2261">
        <v>7282</v>
      </c>
      <c r="L2261">
        <v>500</v>
      </c>
      <c r="M2261">
        <v>499</v>
      </c>
      <c r="N2261">
        <v>1</v>
      </c>
      <c r="O2261">
        <v>0</v>
      </c>
      <c r="P2261" s="3" t="s">
        <v>51</v>
      </c>
      <c r="Q2261">
        <v>50</v>
      </c>
      <c r="R2261">
        <v>0.999</v>
      </c>
      <c r="S2261">
        <v>1</v>
      </c>
    </row>
    <row r="2262" spans="1:19" x14ac:dyDescent="0.2">
      <c r="A2262" s="3" t="s">
        <v>54</v>
      </c>
      <c r="B2262" s="3" t="s">
        <v>55</v>
      </c>
      <c r="C2262">
        <v>49</v>
      </c>
      <c r="D2262">
        <v>12000</v>
      </c>
      <c r="E2262">
        <v>499</v>
      </c>
      <c r="F2262">
        <v>1</v>
      </c>
      <c r="G2262">
        <v>12000</v>
      </c>
      <c r="H2262">
        <v>2.2600441999999998E-2</v>
      </c>
      <c r="I2262">
        <v>12000</v>
      </c>
      <c r="J2262">
        <v>4717</v>
      </c>
      <c r="K2262">
        <v>7283</v>
      </c>
      <c r="L2262">
        <v>500</v>
      </c>
      <c r="M2262">
        <v>499</v>
      </c>
      <c r="N2262">
        <v>1</v>
      </c>
      <c r="O2262">
        <v>0</v>
      </c>
      <c r="P2262" s="3" t="s">
        <v>51</v>
      </c>
      <c r="Q2262">
        <v>50</v>
      </c>
      <c r="R2262">
        <v>0.999</v>
      </c>
      <c r="S2262">
        <v>1</v>
      </c>
    </row>
    <row r="2263" spans="1:19" x14ac:dyDescent="0.2">
      <c r="A2263" s="3" t="s">
        <v>54</v>
      </c>
      <c r="B2263" s="3" t="s">
        <v>55</v>
      </c>
      <c r="C2263">
        <v>11</v>
      </c>
      <c r="D2263">
        <v>12000</v>
      </c>
      <c r="E2263">
        <v>499</v>
      </c>
      <c r="F2263">
        <v>1</v>
      </c>
      <c r="G2263">
        <v>12000</v>
      </c>
      <c r="H2263">
        <v>2.2599747E-2</v>
      </c>
      <c r="I2263">
        <v>12000</v>
      </c>
      <c r="J2263">
        <v>4709</v>
      </c>
      <c r="K2263">
        <v>7291</v>
      </c>
      <c r="L2263">
        <v>500</v>
      </c>
      <c r="M2263">
        <v>499</v>
      </c>
      <c r="N2263">
        <v>1</v>
      </c>
      <c r="O2263">
        <v>0</v>
      </c>
      <c r="P2263" s="3" t="s">
        <v>51</v>
      </c>
      <c r="Q2263">
        <v>50</v>
      </c>
      <c r="R2263">
        <v>0.999</v>
      </c>
      <c r="S2263">
        <v>1</v>
      </c>
    </row>
    <row r="2264" spans="1:19" x14ac:dyDescent="0.2">
      <c r="A2264" s="3" t="s">
        <v>54</v>
      </c>
      <c r="B2264" s="3" t="s">
        <v>55</v>
      </c>
      <c r="C2264">
        <v>40</v>
      </c>
      <c r="D2264">
        <v>10000</v>
      </c>
      <c r="E2264">
        <v>499</v>
      </c>
      <c r="F2264">
        <v>1</v>
      </c>
      <c r="G2264">
        <v>10000</v>
      </c>
      <c r="H2264">
        <v>2.2574703000000002E-2</v>
      </c>
      <c r="I2264">
        <v>10000</v>
      </c>
      <c r="J2264">
        <v>4183</v>
      </c>
      <c r="K2264">
        <v>5817</v>
      </c>
      <c r="L2264">
        <v>500</v>
      </c>
      <c r="M2264">
        <v>499</v>
      </c>
      <c r="N2264">
        <v>1</v>
      </c>
      <c r="O2264">
        <v>0</v>
      </c>
      <c r="P2264" s="3" t="s">
        <v>51</v>
      </c>
      <c r="Q2264">
        <v>50</v>
      </c>
      <c r="R2264">
        <v>0.999</v>
      </c>
      <c r="S2264">
        <v>1</v>
      </c>
    </row>
    <row r="2265" spans="1:19" x14ac:dyDescent="0.2">
      <c r="A2265" s="3" t="s">
        <v>54</v>
      </c>
      <c r="B2265" s="3" t="s">
        <v>55</v>
      </c>
      <c r="C2265">
        <v>8</v>
      </c>
      <c r="D2265">
        <v>15000</v>
      </c>
      <c r="E2265">
        <v>499</v>
      </c>
      <c r="F2265">
        <v>1</v>
      </c>
      <c r="G2265">
        <v>15000</v>
      </c>
      <c r="H2265">
        <v>2.2502781999999999E-2</v>
      </c>
      <c r="I2265">
        <v>13796</v>
      </c>
      <c r="J2265">
        <v>4364</v>
      </c>
      <c r="K2265">
        <v>9432</v>
      </c>
      <c r="L2265">
        <v>500</v>
      </c>
      <c r="M2265">
        <v>499</v>
      </c>
      <c r="N2265">
        <v>1</v>
      </c>
      <c r="O2265">
        <v>1204</v>
      </c>
      <c r="P2265" s="3" t="s">
        <v>52</v>
      </c>
      <c r="Q2265">
        <v>50</v>
      </c>
      <c r="R2265">
        <v>0.999</v>
      </c>
      <c r="S2265">
        <v>1</v>
      </c>
    </row>
    <row r="2266" spans="1:19" x14ac:dyDescent="0.2">
      <c r="A2266" s="3" t="s">
        <v>54</v>
      </c>
      <c r="B2266" s="3" t="s">
        <v>55</v>
      </c>
      <c r="C2266">
        <v>14</v>
      </c>
      <c r="D2266">
        <v>10000</v>
      </c>
      <c r="E2266">
        <v>499</v>
      </c>
      <c r="F2266">
        <v>1</v>
      </c>
      <c r="G2266">
        <v>10000</v>
      </c>
      <c r="H2266">
        <v>2.2455005E-2</v>
      </c>
      <c r="I2266">
        <v>10000</v>
      </c>
      <c r="J2266">
        <v>4183</v>
      </c>
      <c r="K2266">
        <v>5817</v>
      </c>
      <c r="L2266">
        <v>500</v>
      </c>
      <c r="M2266">
        <v>499</v>
      </c>
      <c r="N2266">
        <v>1</v>
      </c>
      <c r="O2266">
        <v>0</v>
      </c>
      <c r="P2266" s="3" t="s">
        <v>51</v>
      </c>
      <c r="Q2266">
        <v>50</v>
      </c>
      <c r="R2266">
        <v>0.999</v>
      </c>
      <c r="S2266">
        <v>1</v>
      </c>
    </row>
    <row r="2267" spans="1:19" x14ac:dyDescent="0.2">
      <c r="A2267" s="3" t="s">
        <v>54</v>
      </c>
      <c r="B2267" s="3" t="s">
        <v>55</v>
      </c>
      <c r="C2267">
        <v>33</v>
      </c>
      <c r="D2267">
        <v>14000</v>
      </c>
      <c r="E2267">
        <v>499</v>
      </c>
      <c r="F2267">
        <v>1</v>
      </c>
      <c r="G2267">
        <v>14000</v>
      </c>
      <c r="H2267">
        <v>2.2449522999999999E-2</v>
      </c>
      <c r="I2267">
        <v>13291</v>
      </c>
      <c r="J2267">
        <v>4059</v>
      </c>
      <c r="K2267">
        <v>9232</v>
      </c>
      <c r="L2267">
        <v>500</v>
      </c>
      <c r="M2267">
        <v>499</v>
      </c>
      <c r="N2267">
        <v>1</v>
      </c>
      <c r="O2267">
        <v>709</v>
      </c>
      <c r="P2267" s="3" t="s">
        <v>50</v>
      </c>
      <c r="Q2267">
        <v>50</v>
      </c>
      <c r="R2267">
        <v>0.999</v>
      </c>
      <c r="S2267">
        <v>1</v>
      </c>
    </row>
    <row r="2268" spans="1:19" x14ac:dyDescent="0.2">
      <c r="A2268" s="3" t="s">
        <v>54</v>
      </c>
      <c r="B2268" s="3" t="s">
        <v>55</v>
      </c>
      <c r="C2268">
        <v>46</v>
      </c>
      <c r="D2268">
        <v>15000</v>
      </c>
      <c r="E2268">
        <v>499</v>
      </c>
      <c r="F2268">
        <v>1</v>
      </c>
      <c r="G2268">
        <v>15000</v>
      </c>
      <c r="H2268">
        <v>2.2441162000000001E-2</v>
      </c>
      <c r="I2268">
        <v>13808</v>
      </c>
      <c r="J2268">
        <v>4365</v>
      </c>
      <c r="K2268">
        <v>9443</v>
      </c>
      <c r="L2268">
        <v>500</v>
      </c>
      <c r="M2268">
        <v>499</v>
      </c>
      <c r="N2268">
        <v>1</v>
      </c>
      <c r="O2268">
        <v>1192</v>
      </c>
      <c r="P2268" s="3" t="s">
        <v>52</v>
      </c>
      <c r="Q2268">
        <v>50</v>
      </c>
      <c r="R2268">
        <v>0.999</v>
      </c>
      <c r="S2268">
        <v>1</v>
      </c>
    </row>
    <row r="2269" spans="1:19" x14ac:dyDescent="0.2">
      <c r="A2269" s="3" t="s">
        <v>54</v>
      </c>
      <c r="B2269" s="3" t="s">
        <v>55</v>
      </c>
      <c r="C2269">
        <v>3</v>
      </c>
      <c r="D2269">
        <v>15000</v>
      </c>
      <c r="E2269">
        <v>499</v>
      </c>
      <c r="F2269">
        <v>1</v>
      </c>
      <c r="G2269">
        <v>15000</v>
      </c>
      <c r="H2269">
        <v>2.2432675999999999E-2</v>
      </c>
      <c r="I2269">
        <v>13808</v>
      </c>
      <c r="J2269">
        <v>4366</v>
      </c>
      <c r="K2269">
        <v>9442</v>
      </c>
      <c r="L2269">
        <v>500</v>
      </c>
      <c r="M2269">
        <v>499</v>
      </c>
      <c r="N2269">
        <v>1</v>
      </c>
      <c r="O2269">
        <v>1192</v>
      </c>
      <c r="P2269" s="3" t="s">
        <v>52</v>
      </c>
      <c r="Q2269">
        <v>50</v>
      </c>
      <c r="R2269">
        <v>0.999</v>
      </c>
      <c r="S2269">
        <v>1</v>
      </c>
    </row>
    <row r="2270" spans="1:19" x14ac:dyDescent="0.2">
      <c r="A2270" s="3" t="s">
        <v>54</v>
      </c>
      <c r="B2270" s="3" t="s">
        <v>55</v>
      </c>
      <c r="C2270">
        <v>45</v>
      </c>
      <c r="D2270">
        <v>15000</v>
      </c>
      <c r="E2270">
        <v>499</v>
      </c>
      <c r="F2270">
        <v>1</v>
      </c>
      <c r="G2270">
        <v>15000</v>
      </c>
      <c r="H2270">
        <v>2.2366334000000002E-2</v>
      </c>
      <c r="I2270">
        <v>13804</v>
      </c>
      <c r="J2270">
        <v>4355</v>
      </c>
      <c r="K2270">
        <v>9449</v>
      </c>
      <c r="L2270">
        <v>500</v>
      </c>
      <c r="M2270">
        <v>499</v>
      </c>
      <c r="N2270">
        <v>1</v>
      </c>
      <c r="O2270">
        <v>1196</v>
      </c>
      <c r="P2270" s="3" t="s">
        <v>52</v>
      </c>
      <c r="Q2270">
        <v>50</v>
      </c>
      <c r="R2270">
        <v>0.999</v>
      </c>
      <c r="S2270">
        <v>1</v>
      </c>
    </row>
    <row r="2271" spans="1:19" x14ac:dyDescent="0.2">
      <c r="A2271" s="3" t="s">
        <v>54</v>
      </c>
      <c r="B2271" s="3" t="s">
        <v>55</v>
      </c>
      <c r="C2271">
        <v>37</v>
      </c>
      <c r="D2271">
        <v>11000</v>
      </c>
      <c r="E2271">
        <v>499</v>
      </c>
      <c r="F2271">
        <v>1</v>
      </c>
      <c r="G2271">
        <v>44062.122210792702</v>
      </c>
      <c r="H2271">
        <v>2.2362202000000001E-2</v>
      </c>
      <c r="I2271">
        <v>11000</v>
      </c>
      <c r="J2271">
        <v>3547</v>
      </c>
      <c r="K2271">
        <v>7453</v>
      </c>
      <c r="L2271">
        <v>500</v>
      </c>
      <c r="M2271">
        <v>499</v>
      </c>
      <c r="N2271">
        <v>1</v>
      </c>
      <c r="O2271">
        <v>0</v>
      </c>
      <c r="P2271" s="3" t="s">
        <v>51</v>
      </c>
      <c r="Q2271">
        <v>50</v>
      </c>
      <c r="R2271">
        <v>0.999</v>
      </c>
      <c r="S2271">
        <v>0</v>
      </c>
    </row>
    <row r="2272" spans="1:19" x14ac:dyDescent="0.2">
      <c r="A2272" s="3" t="s">
        <v>54</v>
      </c>
      <c r="B2272" s="3" t="s">
        <v>55</v>
      </c>
      <c r="C2272">
        <v>38</v>
      </c>
      <c r="D2272">
        <v>11000</v>
      </c>
      <c r="E2272">
        <v>499</v>
      </c>
      <c r="F2272">
        <v>1</v>
      </c>
      <c r="G2272">
        <v>44062.122210792702</v>
      </c>
      <c r="H2272">
        <v>2.2355162000000001E-2</v>
      </c>
      <c r="I2272">
        <v>11000</v>
      </c>
      <c r="J2272">
        <v>3547</v>
      </c>
      <c r="K2272">
        <v>7453</v>
      </c>
      <c r="L2272">
        <v>500</v>
      </c>
      <c r="M2272">
        <v>499</v>
      </c>
      <c r="N2272">
        <v>1</v>
      </c>
      <c r="O2272">
        <v>0</v>
      </c>
      <c r="P2272" s="3" t="s">
        <v>51</v>
      </c>
      <c r="Q2272">
        <v>50</v>
      </c>
      <c r="R2272">
        <v>0.999</v>
      </c>
      <c r="S2272">
        <v>0</v>
      </c>
    </row>
    <row r="2273" spans="1:19" x14ac:dyDescent="0.2">
      <c r="A2273" s="3" t="s">
        <v>54</v>
      </c>
      <c r="B2273" s="3" t="s">
        <v>55</v>
      </c>
      <c r="C2273">
        <v>41</v>
      </c>
      <c r="D2273">
        <v>10000</v>
      </c>
      <c r="E2273">
        <v>499</v>
      </c>
      <c r="F2273">
        <v>1</v>
      </c>
      <c r="G2273">
        <v>10000</v>
      </c>
      <c r="H2273">
        <v>2.2352364E-2</v>
      </c>
      <c r="I2273">
        <v>10000</v>
      </c>
      <c r="J2273">
        <v>4183</v>
      </c>
      <c r="K2273">
        <v>5817</v>
      </c>
      <c r="L2273">
        <v>500</v>
      </c>
      <c r="M2273">
        <v>499</v>
      </c>
      <c r="N2273">
        <v>1</v>
      </c>
      <c r="O2273">
        <v>0</v>
      </c>
      <c r="P2273" s="3" t="s">
        <v>51</v>
      </c>
      <c r="Q2273">
        <v>50</v>
      </c>
      <c r="R2273">
        <v>0.999</v>
      </c>
      <c r="S2273">
        <v>1</v>
      </c>
    </row>
    <row r="2274" spans="1:19" x14ac:dyDescent="0.2">
      <c r="A2274" s="3" t="s">
        <v>54</v>
      </c>
      <c r="B2274" s="3" t="s">
        <v>55</v>
      </c>
      <c r="C2274">
        <v>4</v>
      </c>
      <c r="D2274">
        <v>11000</v>
      </c>
      <c r="E2274">
        <v>499</v>
      </c>
      <c r="F2274">
        <v>1</v>
      </c>
      <c r="G2274">
        <v>11000</v>
      </c>
      <c r="H2274">
        <v>2.2346996000000001E-2</v>
      </c>
      <c r="I2274">
        <v>11000</v>
      </c>
      <c r="J2274">
        <v>4329</v>
      </c>
      <c r="K2274">
        <v>6671</v>
      </c>
      <c r="L2274">
        <v>500</v>
      </c>
      <c r="M2274">
        <v>499</v>
      </c>
      <c r="N2274">
        <v>1</v>
      </c>
      <c r="O2274">
        <v>0</v>
      </c>
      <c r="P2274" s="3" t="s">
        <v>51</v>
      </c>
      <c r="Q2274">
        <v>50</v>
      </c>
      <c r="R2274">
        <v>0.999</v>
      </c>
      <c r="S2274">
        <v>1</v>
      </c>
    </row>
    <row r="2275" spans="1:19" x14ac:dyDescent="0.2">
      <c r="A2275" s="3" t="s">
        <v>54</v>
      </c>
      <c r="B2275" s="3" t="s">
        <v>55</v>
      </c>
      <c r="C2275">
        <v>42</v>
      </c>
      <c r="D2275">
        <v>12000</v>
      </c>
      <c r="E2275">
        <v>499</v>
      </c>
      <c r="F2275">
        <v>1</v>
      </c>
      <c r="G2275">
        <v>12000</v>
      </c>
      <c r="H2275">
        <v>2.2343472999999999E-2</v>
      </c>
      <c r="I2275">
        <v>12000</v>
      </c>
      <c r="J2275">
        <v>4729</v>
      </c>
      <c r="K2275">
        <v>7271</v>
      </c>
      <c r="L2275">
        <v>500</v>
      </c>
      <c r="M2275">
        <v>499</v>
      </c>
      <c r="N2275">
        <v>1</v>
      </c>
      <c r="O2275">
        <v>0</v>
      </c>
      <c r="P2275" s="3" t="s">
        <v>51</v>
      </c>
      <c r="Q2275">
        <v>50</v>
      </c>
      <c r="R2275">
        <v>0.999</v>
      </c>
      <c r="S2275">
        <v>1</v>
      </c>
    </row>
    <row r="2276" spans="1:19" x14ac:dyDescent="0.2">
      <c r="A2276" s="3" t="s">
        <v>54</v>
      </c>
      <c r="B2276" s="3" t="s">
        <v>55</v>
      </c>
      <c r="C2276">
        <v>40</v>
      </c>
      <c r="D2276">
        <v>12000</v>
      </c>
      <c r="E2276">
        <v>499</v>
      </c>
      <c r="F2276">
        <v>1</v>
      </c>
      <c r="G2276">
        <v>12000</v>
      </c>
      <c r="H2276">
        <v>2.2341218999999999E-2</v>
      </c>
      <c r="I2276">
        <v>12000</v>
      </c>
      <c r="J2276">
        <v>4719</v>
      </c>
      <c r="K2276">
        <v>7281</v>
      </c>
      <c r="L2276">
        <v>500</v>
      </c>
      <c r="M2276">
        <v>499</v>
      </c>
      <c r="N2276">
        <v>1</v>
      </c>
      <c r="O2276">
        <v>0</v>
      </c>
      <c r="P2276" s="3" t="s">
        <v>51</v>
      </c>
      <c r="Q2276">
        <v>50</v>
      </c>
      <c r="R2276">
        <v>0.999</v>
      </c>
      <c r="S2276">
        <v>1</v>
      </c>
    </row>
    <row r="2277" spans="1:19" x14ac:dyDescent="0.2">
      <c r="A2277" s="3" t="s">
        <v>54</v>
      </c>
      <c r="B2277" s="3" t="s">
        <v>55</v>
      </c>
      <c r="C2277">
        <v>31</v>
      </c>
      <c r="D2277">
        <v>12000</v>
      </c>
      <c r="E2277">
        <v>499</v>
      </c>
      <c r="F2277">
        <v>1</v>
      </c>
      <c r="G2277">
        <v>12000</v>
      </c>
      <c r="H2277">
        <v>2.2338055999999998E-2</v>
      </c>
      <c r="I2277">
        <v>12000</v>
      </c>
      <c r="J2277">
        <v>4726</v>
      </c>
      <c r="K2277">
        <v>7274</v>
      </c>
      <c r="L2277">
        <v>500</v>
      </c>
      <c r="M2277">
        <v>499</v>
      </c>
      <c r="N2277">
        <v>1</v>
      </c>
      <c r="O2277">
        <v>0</v>
      </c>
      <c r="P2277" s="3" t="s">
        <v>51</v>
      </c>
      <c r="Q2277">
        <v>50</v>
      </c>
      <c r="R2277">
        <v>0.999</v>
      </c>
      <c r="S2277">
        <v>1</v>
      </c>
    </row>
    <row r="2278" spans="1:19" x14ac:dyDescent="0.2">
      <c r="A2278" s="3" t="s">
        <v>54</v>
      </c>
      <c r="B2278" s="3" t="s">
        <v>55</v>
      </c>
      <c r="C2278">
        <v>2</v>
      </c>
      <c r="D2278">
        <v>11000</v>
      </c>
      <c r="E2278">
        <v>499</v>
      </c>
      <c r="F2278">
        <v>1</v>
      </c>
      <c r="G2278">
        <v>44062.122210792702</v>
      </c>
      <c r="H2278">
        <v>2.2330438000000001E-2</v>
      </c>
      <c r="I2278">
        <v>11000</v>
      </c>
      <c r="J2278">
        <v>3547</v>
      </c>
      <c r="K2278">
        <v>7453</v>
      </c>
      <c r="L2278">
        <v>500</v>
      </c>
      <c r="M2278">
        <v>499</v>
      </c>
      <c r="N2278">
        <v>1</v>
      </c>
      <c r="O2278">
        <v>0</v>
      </c>
      <c r="P2278" s="3" t="s">
        <v>51</v>
      </c>
      <c r="Q2278">
        <v>50</v>
      </c>
      <c r="R2278">
        <v>0.999</v>
      </c>
      <c r="S2278">
        <v>0</v>
      </c>
    </row>
    <row r="2279" spans="1:19" x14ac:dyDescent="0.2">
      <c r="A2279" s="3" t="s">
        <v>54</v>
      </c>
      <c r="B2279" s="3" t="s">
        <v>55</v>
      </c>
      <c r="C2279">
        <v>4</v>
      </c>
      <c r="D2279">
        <v>12000</v>
      </c>
      <c r="E2279">
        <v>499</v>
      </c>
      <c r="F2279">
        <v>1</v>
      </c>
      <c r="G2279">
        <v>12000</v>
      </c>
      <c r="H2279">
        <v>2.2218359999999999E-2</v>
      </c>
      <c r="I2279">
        <v>12000</v>
      </c>
      <c r="J2279">
        <v>4725</v>
      </c>
      <c r="K2279">
        <v>7275</v>
      </c>
      <c r="L2279">
        <v>500</v>
      </c>
      <c r="M2279">
        <v>499</v>
      </c>
      <c r="N2279">
        <v>1</v>
      </c>
      <c r="O2279">
        <v>0</v>
      </c>
      <c r="P2279" s="3" t="s">
        <v>51</v>
      </c>
      <c r="Q2279">
        <v>50</v>
      </c>
      <c r="R2279">
        <v>0.999</v>
      </c>
      <c r="S2279">
        <v>1</v>
      </c>
    </row>
    <row r="2280" spans="1:19" x14ac:dyDescent="0.2">
      <c r="A2280" s="3" t="s">
        <v>54</v>
      </c>
      <c r="B2280" s="3" t="s">
        <v>55</v>
      </c>
      <c r="C2280">
        <v>29</v>
      </c>
      <c r="D2280">
        <v>12000</v>
      </c>
      <c r="E2280">
        <v>499</v>
      </c>
      <c r="F2280">
        <v>1</v>
      </c>
      <c r="G2280">
        <v>12000</v>
      </c>
      <c r="H2280">
        <v>2.2210301000000002E-2</v>
      </c>
      <c r="I2280">
        <v>12000</v>
      </c>
      <c r="J2280">
        <v>4737</v>
      </c>
      <c r="K2280">
        <v>7263</v>
      </c>
      <c r="L2280">
        <v>500</v>
      </c>
      <c r="M2280">
        <v>499</v>
      </c>
      <c r="N2280">
        <v>1</v>
      </c>
      <c r="O2280">
        <v>0</v>
      </c>
      <c r="P2280" s="3" t="s">
        <v>51</v>
      </c>
      <c r="Q2280">
        <v>50</v>
      </c>
      <c r="R2280">
        <v>0.999</v>
      </c>
      <c r="S2280">
        <v>1</v>
      </c>
    </row>
    <row r="2281" spans="1:19" x14ac:dyDescent="0.2">
      <c r="A2281" s="3" t="s">
        <v>54</v>
      </c>
      <c r="B2281" s="3" t="s">
        <v>55</v>
      </c>
      <c r="C2281">
        <v>10</v>
      </c>
      <c r="D2281">
        <v>15000</v>
      </c>
      <c r="E2281">
        <v>499</v>
      </c>
      <c r="F2281">
        <v>1</v>
      </c>
      <c r="G2281">
        <v>15000</v>
      </c>
      <c r="H2281">
        <v>2.2171653999999999E-2</v>
      </c>
      <c r="I2281">
        <v>13779</v>
      </c>
      <c r="J2281">
        <v>4327</v>
      </c>
      <c r="K2281">
        <v>9452</v>
      </c>
      <c r="L2281">
        <v>500</v>
      </c>
      <c r="M2281">
        <v>499</v>
      </c>
      <c r="N2281">
        <v>1</v>
      </c>
      <c r="O2281">
        <v>1221</v>
      </c>
      <c r="P2281" s="3" t="s">
        <v>52</v>
      </c>
      <c r="Q2281">
        <v>50</v>
      </c>
      <c r="R2281">
        <v>0.999</v>
      </c>
      <c r="S2281">
        <v>1</v>
      </c>
    </row>
    <row r="2282" spans="1:19" x14ac:dyDescent="0.2">
      <c r="A2282" s="3" t="s">
        <v>54</v>
      </c>
      <c r="B2282" s="3" t="s">
        <v>55</v>
      </c>
      <c r="C2282">
        <v>27</v>
      </c>
      <c r="D2282">
        <v>12000</v>
      </c>
      <c r="E2282">
        <v>499</v>
      </c>
      <c r="F2282">
        <v>1</v>
      </c>
      <c r="G2282">
        <v>12000</v>
      </c>
      <c r="H2282">
        <v>2.2156575000000001E-2</v>
      </c>
      <c r="I2282">
        <v>12000</v>
      </c>
      <c r="J2282">
        <v>4719</v>
      </c>
      <c r="K2282">
        <v>7281</v>
      </c>
      <c r="L2282">
        <v>500</v>
      </c>
      <c r="M2282">
        <v>499</v>
      </c>
      <c r="N2282">
        <v>1</v>
      </c>
      <c r="O2282">
        <v>0</v>
      </c>
      <c r="P2282" s="3" t="s">
        <v>51</v>
      </c>
      <c r="Q2282">
        <v>50</v>
      </c>
      <c r="R2282">
        <v>0.999</v>
      </c>
      <c r="S2282">
        <v>1</v>
      </c>
    </row>
    <row r="2283" spans="1:19" x14ac:dyDescent="0.2">
      <c r="A2283" s="3" t="s">
        <v>54</v>
      </c>
      <c r="B2283" s="3" t="s">
        <v>55</v>
      </c>
      <c r="C2283">
        <v>5</v>
      </c>
      <c r="D2283">
        <v>12000</v>
      </c>
      <c r="E2283">
        <v>499</v>
      </c>
      <c r="F2283">
        <v>1</v>
      </c>
      <c r="G2283">
        <v>12000</v>
      </c>
      <c r="H2283">
        <v>2.2146979000000001E-2</v>
      </c>
      <c r="I2283">
        <v>12000</v>
      </c>
      <c r="J2283">
        <v>4722</v>
      </c>
      <c r="K2283">
        <v>7278</v>
      </c>
      <c r="L2283">
        <v>500</v>
      </c>
      <c r="M2283">
        <v>499</v>
      </c>
      <c r="N2283">
        <v>1</v>
      </c>
      <c r="O2283">
        <v>0</v>
      </c>
      <c r="P2283" s="3" t="s">
        <v>51</v>
      </c>
      <c r="Q2283">
        <v>50</v>
      </c>
      <c r="R2283">
        <v>0.999</v>
      </c>
      <c r="S2283">
        <v>1</v>
      </c>
    </row>
    <row r="2284" spans="1:19" x14ac:dyDescent="0.2">
      <c r="A2284" s="3" t="s">
        <v>54</v>
      </c>
      <c r="B2284" s="3" t="s">
        <v>55</v>
      </c>
      <c r="C2284">
        <v>38</v>
      </c>
      <c r="D2284">
        <v>12000</v>
      </c>
      <c r="E2284">
        <v>499</v>
      </c>
      <c r="F2284">
        <v>1</v>
      </c>
      <c r="G2284">
        <v>12000</v>
      </c>
      <c r="H2284">
        <v>2.2128525E-2</v>
      </c>
      <c r="I2284">
        <v>12000</v>
      </c>
      <c r="J2284">
        <v>4730</v>
      </c>
      <c r="K2284">
        <v>7270</v>
      </c>
      <c r="L2284">
        <v>500</v>
      </c>
      <c r="M2284">
        <v>499</v>
      </c>
      <c r="N2284">
        <v>1</v>
      </c>
      <c r="O2284">
        <v>0</v>
      </c>
      <c r="P2284" s="3" t="s">
        <v>51</v>
      </c>
      <c r="Q2284">
        <v>50</v>
      </c>
      <c r="R2284">
        <v>0.999</v>
      </c>
      <c r="S2284">
        <v>1</v>
      </c>
    </row>
    <row r="2285" spans="1:19" x14ac:dyDescent="0.2">
      <c r="A2285" s="3" t="s">
        <v>54</v>
      </c>
      <c r="B2285" s="3" t="s">
        <v>55</v>
      </c>
      <c r="C2285">
        <v>23</v>
      </c>
      <c r="D2285">
        <v>12000</v>
      </c>
      <c r="E2285">
        <v>499</v>
      </c>
      <c r="F2285">
        <v>1</v>
      </c>
      <c r="G2285">
        <v>12000</v>
      </c>
      <c r="H2285">
        <v>2.2122339000000001E-2</v>
      </c>
      <c r="I2285">
        <v>12000</v>
      </c>
      <c r="J2285">
        <v>4708</v>
      </c>
      <c r="K2285">
        <v>7292</v>
      </c>
      <c r="L2285">
        <v>500</v>
      </c>
      <c r="M2285">
        <v>499</v>
      </c>
      <c r="N2285">
        <v>1</v>
      </c>
      <c r="O2285">
        <v>0</v>
      </c>
      <c r="P2285" s="3" t="s">
        <v>51</v>
      </c>
      <c r="Q2285">
        <v>50</v>
      </c>
      <c r="R2285">
        <v>0.999</v>
      </c>
      <c r="S2285">
        <v>1</v>
      </c>
    </row>
    <row r="2286" spans="1:19" x14ac:dyDescent="0.2">
      <c r="A2286" s="3" t="s">
        <v>54</v>
      </c>
      <c r="B2286" s="3" t="s">
        <v>55</v>
      </c>
      <c r="C2286">
        <v>21</v>
      </c>
      <c r="D2286">
        <v>12000</v>
      </c>
      <c r="E2286">
        <v>499</v>
      </c>
      <c r="F2286">
        <v>1</v>
      </c>
      <c r="G2286">
        <v>12000</v>
      </c>
      <c r="H2286">
        <v>2.2122007999999999E-2</v>
      </c>
      <c r="I2286">
        <v>12000</v>
      </c>
      <c r="J2286">
        <v>4723</v>
      </c>
      <c r="K2286">
        <v>7277</v>
      </c>
      <c r="L2286">
        <v>500</v>
      </c>
      <c r="M2286">
        <v>499</v>
      </c>
      <c r="N2286">
        <v>1</v>
      </c>
      <c r="O2286">
        <v>0</v>
      </c>
      <c r="P2286" s="3" t="s">
        <v>51</v>
      </c>
      <c r="Q2286">
        <v>50</v>
      </c>
      <c r="R2286">
        <v>0.999</v>
      </c>
      <c r="S2286">
        <v>1</v>
      </c>
    </row>
    <row r="2287" spans="1:19" x14ac:dyDescent="0.2">
      <c r="A2287" s="3" t="s">
        <v>54</v>
      </c>
      <c r="B2287" s="3" t="s">
        <v>55</v>
      </c>
      <c r="C2287">
        <v>2</v>
      </c>
      <c r="D2287">
        <v>10000</v>
      </c>
      <c r="E2287">
        <v>499</v>
      </c>
      <c r="F2287">
        <v>1</v>
      </c>
      <c r="G2287">
        <v>39482.677260513999</v>
      </c>
      <c r="H2287">
        <v>2.2119625E-2</v>
      </c>
      <c r="I2287">
        <v>10000</v>
      </c>
      <c r="J2287">
        <v>3500</v>
      </c>
      <c r="K2287">
        <v>6500</v>
      </c>
      <c r="L2287">
        <v>500</v>
      </c>
      <c r="M2287">
        <v>499</v>
      </c>
      <c r="N2287">
        <v>1</v>
      </c>
      <c r="O2287">
        <v>0</v>
      </c>
      <c r="P2287" s="3" t="s">
        <v>51</v>
      </c>
      <c r="Q2287">
        <v>50</v>
      </c>
      <c r="R2287">
        <v>0.999</v>
      </c>
      <c r="S2287">
        <v>0</v>
      </c>
    </row>
    <row r="2288" spans="1:19" x14ac:dyDescent="0.2">
      <c r="A2288" s="3" t="s">
        <v>54</v>
      </c>
      <c r="B2288" s="3" t="s">
        <v>55</v>
      </c>
      <c r="C2288">
        <v>17</v>
      </c>
      <c r="D2288">
        <v>11000</v>
      </c>
      <c r="E2288">
        <v>499</v>
      </c>
      <c r="F2288">
        <v>1</v>
      </c>
      <c r="G2288">
        <v>11000</v>
      </c>
      <c r="H2288">
        <v>2.2119129000000001E-2</v>
      </c>
      <c r="I2288">
        <v>11000</v>
      </c>
      <c r="J2288">
        <v>4329</v>
      </c>
      <c r="K2288">
        <v>6671</v>
      </c>
      <c r="L2288">
        <v>500</v>
      </c>
      <c r="M2288">
        <v>499</v>
      </c>
      <c r="N2288">
        <v>1</v>
      </c>
      <c r="O2288">
        <v>0</v>
      </c>
      <c r="P2288" s="3" t="s">
        <v>51</v>
      </c>
      <c r="Q2288">
        <v>50</v>
      </c>
      <c r="R2288">
        <v>0.999</v>
      </c>
      <c r="S2288">
        <v>1</v>
      </c>
    </row>
    <row r="2289" spans="1:19" x14ac:dyDescent="0.2">
      <c r="A2289" s="3" t="s">
        <v>54</v>
      </c>
      <c r="B2289" s="3" t="s">
        <v>55</v>
      </c>
      <c r="C2289">
        <v>35</v>
      </c>
      <c r="D2289">
        <v>11000</v>
      </c>
      <c r="E2289">
        <v>499</v>
      </c>
      <c r="F2289">
        <v>1</v>
      </c>
      <c r="G2289">
        <v>11000</v>
      </c>
      <c r="H2289">
        <v>2.2096938E-2</v>
      </c>
      <c r="I2289">
        <v>11000</v>
      </c>
      <c r="J2289">
        <v>4329</v>
      </c>
      <c r="K2289">
        <v>6671</v>
      </c>
      <c r="L2289">
        <v>500</v>
      </c>
      <c r="M2289">
        <v>499</v>
      </c>
      <c r="N2289">
        <v>1</v>
      </c>
      <c r="O2289">
        <v>0</v>
      </c>
      <c r="P2289" s="3" t="s">
        <v>51</v>
      </c>
      <c r="Q2289">
        <v>50</v>
      </c>
      <c r="R2289">
        <v>0.999</v>
      </c>
      <c r="S2289">
        <v>1</v>
      </c>
    </row>
    <row r="2290" spans="1:19" x14ac:dyDescent="0.2">
      <c r="A2290" s="3" t="s">
        <v>54</v>
      </c>
      <c r="B2290" s="3" t="s">
        <v>55</v>
      </c>
      <c r="C2290">
        <v>45</v>
      </c>
      <c r="D2290">
        <v>12000</v>
      </c>
      <c r="E2290">
        <v>499</v>
      </c>
      <c r="F2290">
        <v>1</v>
      </c>
      <c r="G2290">
        <v>12000</v>
      </c>
      <c r="H2290">
        <v>2.2092482E-2</v>
      </c>
      <c r="I2290">
        <v>12000</v>
      </c>
      <c r="J2290">
        <v>4714</v>
      </c>
      <c r="K2290">
        <v>7286</v>
      </c>
      <c r="L2290">
        <v>500</v>
      </c>
      <c r="M2290">
        <v>499</v>
      </c>
      <c r="N2290">
        <v>1</v>
      </c>
      <c r="O2290">
        <v>0</v>
      </c>
      <c r="P2290" s="3" t="s">
        <v>51</v>
      </c>
      <c r="Q2290">
        <v>50</v>
      </c>
      <c r="R2290">
        <v>0.999</v>
      </c>
      <c r="S2290">
        <v>1</v>
      </c>
    </row>
    <row r="2291" spans="1:19" x14ac:dyDescent="0.2">
      <c r="A2291" s="3" t="s">
        <v>54</v>
      </c>
      <c r="B2291" s="3" t="s">
        <v>55</v>
      </c>
      <c r="C2291">
        <v>26</v>
      </c>
      <c r="D2291">
        <v>12000</v>
      </c>
      <c r="E2291">
        <v>499</v>
      </c>
      <c r="F2291">
        <v>1</v>
      </c>
      <c r="G2291">
        <v>12000</v>
      </c>
      <c r="H2291">
        <v>2.2082793E-2</v>
      </c>
      <c r="I2291">
        <v>12000</v>
      </c>
      <c r="J2291">
        <v>4714</v>
      </c>
      <c r="K2291">
        <v>7286</v>
      </c>
      <c r="L2291">
        <v>500</v>
      </c>
      <c r="M2291">
        <v>499</v>
      </c>
      <c r="N2291">
        <v>1</v>
      </c>
      <c r="O2291">
        <v>0</v>
      </c>
      <c r="P2291" s="3" t="s">
        <v>51</v>
      </c>
      <c r="Q2291">
        <v>50</v>
      </c>
      <c r="R2291">
        <v>0.999</v>
      </c>
      <c r="S2291">
        <v>1</v>
      </c>
    </row>
    <row r="2292" spans="1:19" x14ac:dyDescent="0.2">
      <c r="A2292" s="3" t="s">
        <v>54</v>
      </c>
      <c r="B2292" s="3" t="s">
        <v>55</v>
      </c>
      <c r="C2292">
        <v>30</v>
      </c>
      <c r="D2292">
        <v>12000</v>
      </c>
      <c r="E2292">
        <v>499</v>
      </c>
      <c r="F2292">
        <v>1</v>
      </c>
      <c r="G2292">
        <v>12000</v>
      </c>
      <c r="H2292">
        <v>2.2081325999999998E-2</v>
      </c>
      <c r="I2292">
        <v>12000</v>
      </c>
      <c r="J2292">
        <v>4730</v>
      </c>
      <c r="K2292">
        <v>7270</v>
      </c>
      <c r="L2292">
        <v>500</v>
      </c>
      <c r="M2292">
        <v>499</v>
      </c>
      <c r="N2292">
        <v>1</v>
      </c>
      <c r="O2292">
        <v>0</v>
      </c>
      <c r="P2292" s="3" t="s">
        <v>51</v>
      </c>
      <c r="Q2292">
        <v>50</v>
      </c>
      <c r="R2292">
        <v>0.999</v>
      </c>
      <c r="S2292">
        <v>1</v>
      </c>
    </row>
    <row r="2293" spans="1:19" x14ac:dyDescent="0.2">
      <c r="A2293" s="3" t="s">
        <v>54</v>
      </c>
      <c r="B2293" s="3" t="s">
        <v>55</v>
      </c>
      <c r="C2293">
        <v>15</v>
      </c>
      <c r="D2293">
        <v>11000</v>
      </c>
      <c r="E2293">
        <v>499</v>
      </c>
      <c r="F2293">
        <v>1</v>
      </c>
      <c r="G2293">
        <v>11000</v>
      </c>
      <c r="H2293">
        <v>2.2077705999999999E-2</v>
      </c>
      <c r="I2293">
        <v>11000</v>
      </c>
      <c r="J2293">
        <v>4329</v>
      </c>
      <c r="K2293">
        <v>6671</v>
      </c>
      <c r="L2293">
        <v>500</v>
      </c>
      <c r="M2293">
        <v>499</v>
      </c>
      <c r="N2293">
        <v>1</v>
      </c>
      <c r="O2293">
        <v>0</v>
      </c>
      <c r="P2293" s="3" t="s">
        <v>51</v>
      </c>
      <c r="Q2293">
        <v>50</v>
      </c>
      <c r="R2293">
        <v>0.999</v>
      </c>
      <c r="S2293">
        <v>1</v>
      </c>
    </row>
    <row r="2294" spans="1:19" x14ac:dyDescent="0.2">
      <c r="A2294" s="3" t="s">
        <v>54</v>
      </c>
      <c r="B2294" s="3" t="s">
        <v>55</v>
      </c>
      <c r="C2294">
        <v>25</v>
      </c>
      <c r="D2294">
        <v>11000</v>
      </c>
      <c r="E2294">
        <v>499</v>
      </c>
      <c r="F2294">
        <v>1</v>
      </c>
      <c r="G2294">
        <v>11000</v>
      </c>
      <c r="H2294">
        <v>2.2075661999999999E-2</v>
      </c>
      <c r="I2294">
        <v>11000</v>
      </c>
      <c r="J2294">
        <v>4329</v>
      </c>
      <c r="K2294">
        <v>6671</v>
      </c>
      <c r="L2294">
        <v>500</v>
      </c>
      <c r="M2294">
        <v>499</v>
      </c>
      <c r="N2294">
        <v>1</v>
      </c>
      <c r="O2294">
        <v>0</v>
      </c>
      <c r="P2294" s="3" t="s">
        <v>51</v>
      </c>
      <c r="Q2294">
        <v>50</v>
      </c>
      <c r="R2294">
        <v>0.999</v>
      </c>
      <c r="S2294">
        <v>1</v>
      </c>
    </row>
    <row r="2295" spans="1:19" x14ac:dyDescent="0.2">
      <c r="A2295" s="3" t="s">
        <v>54</v>
      </c>
      <c r="B2295" s="3" t="s">
        <v>55</v>
      </c>
      <c r="C2295">
        <v>14</v>
      </c>
      <c r="D2295">
        <v>11000</v>
      </c>
      <c r="E2295">
        <v>499</v>
      </c>
      <c r="F2295">
        <v>1</v>
      </c>
      <c r="G2295">
        <v>11000</v>
      </c>
      <c r="H2295">
        <v>2.2073848E-2</v>
      </c>
      <c r="I2295">
        <v>11000</v>
      </c>
      <c r="J2295">
        <v>4329</v>
      </c>
      <c r="K2295">
        <v>6671</v>
      </c>
      <c r="L2295">
        <v>500</v>
      </c>
      <c r="M2295">
        <v>499</v>
      </c>
      <c r="N2295">
        <v>1</v>
      </c>
      <c r="O2295">
        <v>0</v>
      </c>
      <c r="P2295" s="3" t="s">
        <v>51</v>
      </c>
      <c r="Q2295">
        <v>50</v>
      </c>
      <c r="R2295">
        <v>0.999</v>
      </c>
      <c r="S2295">
        <v>1</v>
      </c>
    </row>
    <row r="2296" spans="1:19" x14ac:dyDescent="0.2">
      <c r="A2296" s="3" t="s">
        <v>54</v>
      </c>
      <c r="B2296" s="3" t="s">
        <v>55</v>
      </c>
      <c r="C2296">
        <v>48</v>
      </c>
      <c r="D2296">
        <v>10000</v>
      </c>
      <c r="E2296">
        <v>499</v>
      </c>
      <c r="F2296">
        <v>1</v>
      </c>
      <c r="G2296">
        <v>10000</v>
      </c>
      <c r="H2296">
        <v>2.2069100000000001E-2</v>
      </c>
      <c r="I2296">
        <v>10000</v>
      </c>
      <c r="J2296">
        <v>4183</v>
      </c>
      <c r="K2296">
        <v>5817</v>
      </c>
      <c r="L2296">
        <v>500</v>
      </c>
      <c r="M2296">
        <v>499</v>
      </c>
      <c r="N2296">
        <v>1</v>
      </c>
      <c r="O2296">
        <v>0</v>
      </c>
      <c r="P2296" s="3" t="s">
        <v>51</v>
      </c>
      <c r="Q2296">
        <v>50</v>
      </c>
      <c r="R2296">
        <v>0.999</v>
      </c>
      <c r="S2296">
        <v>1</v>
      </c>
    </row>
    <row r="2297" spans="1:19" x14ac:dyDescent="0.2">
      <c r="A2297" s="3" t="s">
        <v>54</v>
      </c>
      <c r="B2297" s="3" t="s">
        <v>55</v>
      </c>
      <c r="C2297">
        <v>31</v>
      </c>
      <c r="D2297">
        <v>11000</v>
      </c>
      <c r="E2297">
        <v>499</v>
      </c>
      <c r="F2297">
        <v>1</v>
      </c>
      <c r="G2297">
        <v>44062.122210792702</v>
      </c>
      <c r="H2297">
        <v>2.2065734E-2</v>
      </c>
      <c r="I2297">
        <v>11000</v>
      </c>
      <c r="J2297">
        <v>3547</v>
      </c>
      <c r="K2297">
        <v>7453</v>
      </c>
      <c r="L2297">
        <v>500</v>
      </c>
      <c r="M2297">
        <v>499</v>
      </c>
      <c r="N2297">
        <v>1</v>
      </c>
      <c r="O2297">
        <v>0</v>
      </c>
      <c r="P2297" s="3" t="s">
        <v>51</v>
      </c>
      <c r="Q2297">
        <v>50</v>
      </c>
      <c r="R2297">
        <v>0.999</v>
      </c>
      <c r="S2297">
        <v>0</v>
      </c>
    </row>
    <row r="2298" spans="1:19" x14ac:dyDescent="0.2">
      <c r="A2298" s="3" t="s">
        <v>54</v>
      </c>
      <c r="B2298" s="3" t="s">
        <v>55</v>
      </c>
      <c r="C2298">
        <v>1</v>
      </c>
      <c r="D2298">
        <v>10000</v>
      </c>
      <c r="E2298">
        <v>499</v>
      </c>
      <c r="F2298">
        <v>1</v>
      </c>
      <c r="G2298">
        <v>10000</v>
      </c>
      <c r="H2298">
        <v>2.2062261E-2</v>
      </c>
      <c r="I2298">
        <v>10000</v>
      </c>
      <c r="J2298">
        <v>4183</v>
      </c>
      <c r="K2298">
        <v>5817</v>
      </c>
      <c r="L2298">
        <v>500</v>
      </c>
      <c r="M2298">
        <v>499</v>
      </c>
      <c r="N2298">
        <v>1</v>
      </c>
      <c r="O2298">
        <v>0</v>
      </c>
      <c r="P2298" s="3" t="s">
        <v>51</v>
      </c>
      <c r="Q2298">
        <v>50</v>
      </c>
      <c r="R2298">
        <v>0.999</v>
      </c>
      <c r="S2298">
        <v>1</v>
      </c>
    </row>
    <row r="2299" spans="1:19" x14ac:dyDescent="0.2">
      <c r="A2299" s="3" t="s">
        <v>54</v>
      </c>
      <c r="B2299" s="3" t="s">
        <v>55</v>
      </c>
      <c r="C2299">
        <v>3</v>
      </c>
      <c r="D2299">
        <v>12000</v>
      </c>
      <c r="E2299">
        <v>499</v>
      </c>
      <c r="F2299">
        <v>1</v>
      </c>
      <c r="G2299">
        <v>12000</v>
      </c>
      <c r="H2299">
        <v>2.2061363000000001E-2</v>
      </c>
      <c r="I2299">
        <v>12000</v>
      </c>
      <c r="J2299">
        <v>4727</v>
      </c>
      <c r="K2299">
        <v>7273</v>
      </c>
      <c r="L2299">
        <v>500</v>
      </c>
      <c r="M2299">
        <v>499</v>
      </c>
      <c r="N2299">
        <v>1</v>
      </c>
      <c r="O2299">
        <v>0</v>
      </c>
      <c r="P2299" s="3" t="s">
        <v>51</v>
      </c>
      <c r="Q2299">
        <v>50</v>
      </c>
      <c r="R2299">
        <v>0.999</v>
      </c>
      <c r="S2299">
        <v>1</v>
      </c>
    </row>
    <row r="2300" spans="1:19" x14ac:dyDescent="0.2">
      <c r="A2300" s="3" t="s">
        <v>54</v>
      </c>
      <c r="B2300" s="3" t="s">
        <v>55</v>
      </c>
      <c r="C2300">
        <v>5</v>
      </c>
      <c r="D2300">
        <v>15000</v>
      </c>
      <c r="E2300">
        <v>499</v>
      </c>
      <c r="F2300">
        <v>1</v>
      </c>
      <c r="G2300">
        <v>15000</v>
      </c>
      <c r="H2300">
        <v>2.2041891000000001E-2</v>
      </c>
      <c r="I2300">
        <v>13787</v>
      </c>
      <c r="J2300">
        <v>4335</v>
      </c>
      <c r="K2300">
        <v>9452</v>
      </c>
      <c r="L2300">
        <v>500</v>
      </c>
      <c r="M2300">
        <v>499</v>
      </c>
      <c r="N2300">
        <v>1</v>
      </c>
      <c r="O2300">
        <v>1213</v>
      </c>
      <c r="P2300" s="3" t="s">
        <v>52</v>
      </c>
      <c r="Q2300">
        <v>50</v>
      </c>
      <c r="R2300">
        <v>0.999</v>
      </c>
      <c r="S2300">
        <v>1</v>
      </c>
    </row>
    <row r="2301" spans="1:19" x14ac:dyDescent="0.2">
      <c r="A2301" s="3" t="s">
        <v>54</v>
      </c>
      <c r="B2301" s="3" t="s">
        <v>55</v>
      </c>
      <c r="C2301">
        <v>22</v>
      </c>
      <c r="D2301">
        <v>12000</v>
      </c>
      <c r="E2301">
        <v>499</v>
      </c>
      <c r="F2301">
        <v>1</v>
      </c>
      <c r="G2301">
        <v>12000</v>
      </c>
      <c r="H2301">
        <v>2.2036961000000001E-2</v>
      </c>
      <c r="I2301">
        <v>12000</v>
      </c>
      <c r="J2301">
        <v>4736</v>
      </c>
      <c r="K2301">
        <v>7264</v>
      </c>
      <c r="L2301">
        <v>500</v>
      </c>
      <c r="M2301">
        <v>499</v>
      </c>
      <c r="N2301">
        <v>1</v>
      </c>
      <c r="O2301">
        <v>0</v>
      </c>
      <c r="P2301" s="3" t="s">
        <v>51</v>
      </c>
      <c r="Q2301">
        <v>50</v>
      </c>
      <c r="R2301">
        <v>0.999</v>
      </c>
      <c r="S2301">
        <v>1</v>
      </c>
    </row>
    <row r="2302" spans="1:19" x14ac:dyDescent="0.2">
      <c r="A2302" s="3" t="s">
        <v>54</v>
      </c>
      <c r="B2302" s="3" t="s">
        <v>55</v>
      </c>
      <c r="C2302">
        <v>1</v>
      </c>
      <c r="D2302">
        <v>11000</v>
      </c>
      <c r="E2302">
        <v>499</v>
      </c>
      <c r="F2302">
        <v>1</v>
      </c>
      <c r="G2302">
        <v>11000</v>
      </c>
      <c r="H2302">
        <v>2.2025409999999999E-2</v>
      </c>
      <c r="I2302">
        <v>11000</v>
      </c>
      <c r="J2302">
        <v>4329</v>
      </c>
      <c r="K2302">
        <v>6671</v>
      </c>
      <c r="L2302">
        <v>500</v>
      </c>
      <c r="M2302">
        <v>499</v>
      </c>
      <c r="N2302">
        <v>1</v>
      </c>
      <c r="O2302">
        <v>0</v>
      </c>
      <c r="P2302" s="3" t="s">
        <v>51</v>
      </c>
      <c r="Q2302">
        <v>50</v>
      </c>
      <c r="R2302">
        <v>0.999</v>
      </c>
      <c r="S2302">
        <v>1</v>
      </c>
    </row>
    <row r="2303" spans="1:19" x14ac:dyDescent="0.2">
      <c r="A2303" s="3" t="s">
        <v>54</v>
      </c>
      <c r="B2303" s="3" t="s">
        <v>55</v>
      </c>
      <c r="C2303">
        <v>13</v>
      </c>
      <c r="D2303">
        <v>12000</v>
      </c>
      <c r="E2303">
        <v>499</v>
      </c>
      <c r="F2303">
        <v>1</v>
      </c>
      <c r="G2303">
        <v>12000</v>
      </c>
      <c r="H2303">
        <v>2.2018579999999999E-2</v>
      </c>
      <c r="I2303">
        <v>12000</v>
      </c>
      <c r="J2303">
        <v>4712</v>
      </c>
      <c r="K2303">
        <v>7288</v>
      </c>
      <c r="L2303">
        <v>500</v>
      </c>
      <c r="M2303">
        <v>499</v>
      </c>
      <c r="N2303">
        <v>1</v>
      </c>
      <c r="O2303">
        <v>0</v>
      </c>
      <c r="P2303" s="3" t="s">
        <v>51</v>
      </c>
      <c r="Q2303">
        <v>50</v>
      </c>
      <c r="R2303">
        <v>0.999</v>
      </c>
      <c r="S2303">
        <v>1</v>
      </c>
    </row>
    <row r="2304" spans="1:19" x14ac:dyDescent="0.2">
      <c r="A2304" s="3" t="s">
        <v>54</v>
      </c>
      <c r="B2304" s="3" t="s">
        <v>55</v>
      </c>
      <c r="C2304">
        <v>30</v>
      </c>
      <c r="D2304">
        <v>15000</v>
      </c>
      <c r="E2304">
        <v>499</v>
      </c>
      <c r="F2304">
        <v>1</v>
      </c>
      <c r="G2304">
        <v>15000</v>
      </c>
      <c r="H2304">
        <v>2.2005793999999999E-2</v>
      </c>
      <c r="I2304">
        <v>13790</v>
      </c>
      <c r="J2304">
        <v>4300</v>
      </c>
      <c r="K2304">
        <v>9490</v>
      </c>
      <c r="L2304">
        <v>500</v>
      </c>
      <c r="M2304">
        <v>499</v>
      </c>
      <c r="N2304">
        <v>1</v>
      </c>
      <c r="O2304">
        <v>1210</v>
      </c>
      <c r="P2304" s="3" t="s">
        <v>52</v>
      </c>
      <c r="Q2304">
        <v>50</v>
      </c>
      <c r="R2304">
        <v>0.999</v>
      </c>
      <c r="S2304">
        <v>1</v>
      </c>
    </row>
    <row r="2305" spans="1:19" x14ac:dyDescent="0.2">
      <c r="A2305" s="3" t="s">
        <v>54</v>
      </c>
      <c r="B2305" s="3" t="s">
        <v>55</v>
      </c>
      <c r="C2305">
        <v>34</v>
      </c>
      <c r="D2305">
        <v>12000</v>
      </c>
      <c r="E2305">
        <v>499</v>
      </c>
      <c r="F2305">
        <v>1</v>
      </c>
      <c r="G2305">
        <v>12000</v>
      </c>
      <c r="H2305">
        <v>2.2005363E-2</v>
      </c>
      <c r="I2305">
        <v>12000</v>
      </c>
      <c r="J2305">
        <v>4728</v>
      </c>
      <c r="K2305">
        <v>7272</v>
      </c>
      <c r="L2305">
        <v>500</v>
      </c>
      <c r="M2305">
        <v>499</v>
      </c>
      <c r="N2305">
        <v>1</v>
      </c>
      <c r="O2305">
        <v>0</v>
      </c>
      <c r="P2305" s="3" t="s">
        <v>51</v>
      </c>
      <c r="Q2305">
        <v>50</v>
      </c>
      <c r="R2305">
        <v>0.999</v>
      </c>
      <c r="S2305">
        <v>1</v>
      </c>
    </row>
    <row r="2306" spans="1:19" x14ac:dyDescent="0.2">
      <c r="A2306" s="3" t="s">
        <v>54</v>
      </c>
      <c r="B2306" s="3" t="s">
        <v>55</v>
      </c>
      <c r="C2306">
        <v>32</v>
      </c>
      <c r="D2306">
        <v>12000</v>
      </c>
      <c r="E2306">
        <v>499</v>
      </c>
      <c r="F2306">
        <v>1</v>
      </c>
      <c r="G2306">
        <v>12000</v>
      </c>
      <c r="H2306">
        <v>2.1988587E-2</v>
      </c>
      <c r="I2306">
        <v>12000</v>
      </c>
      <c r="J2306">
        <v>4726</v>
      </c>
      <c r="K2306">
        <v>7274</v>
      </c>
      <c r="L2306">
        <v>500</v>
      </c>
      <c r="M2306">
        <v>499</v>
      </c>
      <c r="N2306">
        <v>1</v>
      </c>
      <c r="O2306">
        <v>0</v>
      </c>
      <c r="P2306" s="3" t="s">
        <v>51</v>
      </c>
      <c r="Q2306">
        <v>50</v>
      </c>
      <c r="R2306">
        <v>0.999</v>
      </c>
      <c r="S2306">
        <v>1</v>
      </c>
    </row>
    <row r="2307" spans="1:19" x14ac:dyDescent="0.2">
      <c r="A2307" s="3" t="s">
        <v>54</v>
      </c>
      <c r="B2307" s="3" t="s">
        <v>55</v>
      </c>
      <c r="C2307">
        <v>39</v>
      </c>
      <c r="D2307">
        <v>12000</v>
      </c>
      <c r="E2307">
        <v>499</v>
      </c>
      <c r="F2307">
        <v>1</v>
      </c>
      <c r="G2307">
        <v>12000</v>
      </c>
      <c r="H2307">
        <v>2.1970255000000001E-2</v>
      </c>
      <c r="I2307">
        <v>12000</v>
      </c>
      <c r="J2307">
        <v>4737</v>
      </c>
      <c r="K2307">
        <v>7263</v>
      </c>
      <c r="L2307">
        <v>500</v>
      </c>
      <c r="M2307">
        <v>499</v>
      </c>
      <c r="N2307">
        <v>1</v>
      </c>
      <c r="O2307">
        <v>0</v>
      </c>
      <c r="P2307" s="3" t="s">
        <v>51</v>
      </c>
      <c r="Q2307">
        <v>50</v>
      </c>
      <c r="R2307">
        <v>0.999</v>
      </c>
      <c r="S2307">
        <v>1</v>
      </c>
    </row>
    <row r="2308" spans="1:19" x14ac:dyDescent="0.2">
      <c r="A2308" s="3" t="s">
        <v>54</v>
      </c>
      <c r="B2308" s="3" t="s">
        <v>55</v>
      </c>
      <c r="C2308">
        <v>19</v>
      </c>
      <c r="D2308">
        <v>12000</v>
      </c>
      <c r="E2308">
        <v>499</v>
      </c>
      <c r="F2308">
        <v>1</v>
      </c>
      <c r="G2308">
        <v>12000</v>
      </c>
      <c r="H2308">
        <v>2.1961077999999998E-2</v>
      </c>
      <c r="I2308">
        <v>12000</v>
      </c>
      <c r="J2308">
        <v>4724</v>
      </c>
      <c r="K2308">
        <v>7276</v>
      </c>
      <c r="L2308">
        <v>500</v>
      </c>
      <c r="M2308">
        <v>499</v>
      </c>
      <c r="N2308">
        <v>1</v>
      </c>
      <c r="O2308">
        <v>0</v>
      </c>
      <c r="P2308" s="3" t="s">
        <v>51</v>
      </c>
      <c r="Q2308">
        <v>50</v>
      </c>
      <c r="R2308">
        <v>0.999</v>
      </c>
      <c r="S2308">
        <v>1</v>
      </c>
    </row>
    <row r="2309" spans="1:19" x14ac:dyDescent="0.2">
      <c r="A2309" s="3" t="s">
        <v>54</v>
      </c>
      <c r="B2309" s="3" t="s">
        <v>55</v>
      </c>
      <c r="C2309">
        <v>35</v>
      </c>
      <c r="D2309">
        <v>12000</v>
      </c>
      <c r="E2309">
        <v>499</v>
      </c>
      <c r="F2309">
        <v>1</v>
      </c>
      <c r="G2309">
        <v>12000</v>
      </c>
      <c r="H2309">
        <v>2.1959163E-2</v>
      </c>
      <c r="I2309">
        <v>12000</v>
      </c>
      <c r="J2309">
        <v>4714</v>
      </c>
      <c r="K2309">
        <v>7286</v>
      </c>
      <c r="L2309">
        <v>500</v>
      </c>
      <c r="M2309">
        <v>499</v>
      </c>
      <c r="N2309">
        <v>1</v>
      </c>
      <c r="O2309">
        <v>0</v>
      </c>
      <c r="P2309" s="3" t="s">
        <v>51</v>
      </c>
      <c r="Q2309">
        <v>50</v>
      </c>
      <c r="R2309">
        <v>0.999</v>
      </c>
      <c r="S2309">
        <v>1</v>
      </c>
    </row>
    <row r="2310" spans="1:19" x14ac:dyDescent="0.2">
      <c r="A2310" s="3" t="s">
        <v>54</v>
      </c>
      <c r="B2310" s="3" t="s">
        <v>55</v>
      </c>
      <c r="C2310">
        <v>36</v>
      </c>
      <c r="D2310">
        <v>12000</v>
      </c>
      <c r="E2310">
        <v>499</v>
      </c>
      <c r="F2310">
        <v>1</v>
      </c>
      <c r="G2310">
        <v>12000</v>
      </c>
      <c r="H2310">
        <v>2.1954909000000002E-2</v>
      </c>
      <c r="I2310">
        <v>12000</v>
      </c>
      <c r="J2310">
        <v>4727</v>
      </c>
      <c r="K2310">
        <v>7273</v>
      </c>
      <c r="L2310">
        <v>500</v>
      </c>
      <c r="M2310">
        <v>499</v>
      </c>
      <c r="N2310">
        <v>1</v>
      </c>
      <c r="O2310">
        <v>0</v>
      </c>
      <c r="P2310" s="3" t="s">
        <v>51</v>
      </c>
      <c r="Q2310">
        <v>50</v>
      </c>
      <c r="R2310">
        <v>0.999</v>
      </c>
      <c r="S2310">
        <v>1</v>
      </c>
    </row>
    <row r="2311" spans="1:19" x14ac:dyDescent="0.2">
      <c r="A2311" s="3" t="s">
        <v>54</v>
      </c>
      <c r="B2311" s="3" t="s">
        <v>55</v>
      </c>
      <c r="C2311">
        <v>15</v>
      </c>
      <c r="D2311">
        <v>12000</v>
      </c>
      <c r="E2311">
        <v>499</v>
      </c>
      <c r="F2311">
        <v>1</v>
      </c>
      <c r="G2311">
        <v>12000</v>
      </c>
      <c r="H2311">
        <v>2.1950819999999999E-2</v>
      </c>
      <c r="I2311">
        <v>12000</v>
      </c>
      <c r="J2311">
        <v>4729</v>
      </c>
      <c r="K2311">
        <v>7271</v>
      </c>
      <c r="L2311">
        <v>500</v>
      </c>
      <c r="M2311">
        <v>499</v>
      </c>
      <c r="N2311">
        <v>1</v>
      </c>
      <c r="O2311">
        <v>0</v>
      </c>
      <c r="P2311" s="3" t="s">
        <v>51</v>
      </c>
      <c r="Q2311">
        <v>50</v>
      </c>
      <c r="R2311">
        <v>0.999</v>
      </c>
      <c r="S2311">
        <v>1</v>
      </c>
    </row>
    <row r="2312" spans="1:19" x14ac:dyDescent="0.2">
      <c r="A2312" s="3" t="s">
        <v>54</v>
      </c>
      <c r="B2312" s="3" t="s">
        <v>55</v>
      </c>
      <c r="C2312">
        <v>6</v>
      </c>
      <c r="D2312">
        <v>15000</v>
      </c>
      <c r="E2312">
        <v>499</v>
      </c>
      <c r="F2312">
        <v>1</v>
      </c>
      <c r="G2312">
        <v>15000</v>
      </c>
      <c r="H2312">
        <v>2.1944386E-2</v>
      </c>
      <c r="I2312">
        <v>13808</v>
      </c>
      <c r="J2312">
        <v>4363</v>
      </c>
      <c r="K2312">
        <v>9445</v>
      </c>
      <c r="L2312">
        <v>500</v>
      </c>
      <c r="M2312">
        <v>499</v>
      </c>
      <c r="N2312">
        <v>1</v>
      </c>
      <c r="O2312">
        <v>1192</v>
      </c>
      <c r="P2312" s="3" t="s">
        <v>52</v>
      </c>
      <c r="Q2312">
        <v>50</v>
      </c>
      <c r="R2312">
        <v>0.999</v>
      </c>
      <c r="S2312">
        <v>1</v>
      </c>
    </row>
    <row r="2313" spans="1:19" x14ac:dyDescent="0.2">
      <c r="A2313" s="3" t="s">
        <v>54</v>
      </c>
      <c r="B2313" s="3" t="s">
        <v>55</v>
      </c>
      <c r="C2313">
        <v>12</v>
      </c>
      <c r="D2313">
        <v>11000</v>
      </c>
      <c r="E2313">
        <v>499</v>
      </c>
      <c r="F2313">
        <v>1</v>
      </c>
      <c r="G2313">
        <v>11000</v>
      </c>
      <c r="H2313">
        <v>2.1937556E-2</v>
      </c>
      <c r="I2313">
        <v>11000</v>
      </c>
      <c r="J2313">
        <v>4329</v>
      </c>
      <c r="K2313">
        <v>6671</v>
      </c>
      <c r="L2313">
        <v>500</v>
      </c>
      <c r="M2313">
        <v>499</v>
      </c>
      <c r="N2313">
        <v>1</v>
      </c>
      <c r="O2313">
        <v>0</v>
      </c>
      <c r="P2313" s="3" t="s">
        <v>51</v>
      </c>
      <c r="Q2313">
        <v>50</v>
      </c>
      <c r="R2313">
        <v>0.999</v>
      </c>
      <c r="S2313">
        <v>1</v>
      </c>
    </row>
    <row r="2314" spans="1:19" x14ac:dyDescent="0.2">
      <c r="A2314" s="3" t="s">
        <v>54</v>
      </c>
      <c r="B2314" s="3" t="s">
        <v>55</v>
      </c>
      <c r="C2314">
        <v>11</v>
      </c>
      <c r="D2314">
        <v>11000</v>
      </c>
      <c r="E2314">
        <v>499</v>
      </c>
      <c r="F2314">
        <v>1</v>
      </c>
      <c r="G2314">
        <v>11000</v>
      </c>
      <c r="H2314">
        <v>2.1931847000000001E-2</v>
      </c>
      <c r="I2314">
        <v>11000</v>
      </c>
      <c r="J2314">
        <v>4329</v>
      </c>
      <c r="K2314">
        <v>6671</v>
      </c>
      <c r="L2314">
        <v>500</v>
      </c>
      <c r="M2314">
        <v>499</v>
      </c>
      <c r="N2314">
        <v>1</v>
      </c>
      <c r="O2314">
        <v>0</v>
      </c>
      <c r="P2314" s="3" t="s">
        <v>51</v>
      </c>
      <c r="Q2314">
        <v>50</v>
      </c>
      <c r="R2314">
        <v>0.999</v>
      </c>
      <c r="S2314">
        <v>1</v>
      </c>
    </row>
    <row r="2315" spans="1:19" x14ac:dyDescent="0.2">
      <c r="A2315" s="3" t="s">
        <v>54</v>
      </c>
      <c r="B2315" s="3" t="s">
        <v>55</v>
      </c>
      <c r="C2315">
        <v>50</v>
      </c>
      <c r="D2315">
        <v>12000</v>
      </c>
      <c r="E2315">
        <v>499</v>
      </c>
      <c r="F2315">
        <v>1</v>
      </c>
      <c r="G2315">
        <v>12000</v>
      </c>
      <c r="H2315">
        <v>2.1912752000000001E-2</v>
      </c>
      <c r="I2315">
        <v>12000</v>
      </c>
      <c r="J2315">
        <v>4728</v>
      </c>
      <c r="K2315">
        <v>7272</v>
      </c>
      <c r="L2315">
        <v>500</v>
      </c>
      <c r="M2315">
        <v>499</v>
      </c>
      <c r="N2315">
        <v>1</v>
      </c>
      <c r="O2315">
        <v>0</v>
      </c>
      <c r="P2315" s="3" t="s">
        <v>51</v>
      </c>
      <c r="Q2315">
        <v>50</v>
      </c>
      <c r="R2315">
        <v>0.999</v>
      </c>
      <c r="S2315">
        <v>1</v>
      </c>
    </row>
    <row r="2316" spans="1:19" x14ac:dyDescent="0.2">
      <c r="A2316" s="3" t="s">
        <v>54</v>
      </c>
      <c r="B2316" s="3" t="s">
        <v>55</v>
      </c>
      <c r="C2316">
        <v>35</v>
      </c>
      <c r="D2316">
        <v>10000</v>
      </c>
      <c r="E2316">
        <v>499</v>
      </c>
      <c r="F2316">
        <v>1</v>
      </c>
      <c r="G2316">
        <v>39482.677260513999</v>
      </c>
      <c r="H2316">
        <v>2.1905767E-2</v>
      </c>
      <c r="I2316">
        <v>10000</v>
      </c>
      <c r="J2316">
        <v>3500</v>
      </c>
      <c r="K2316">
        <v>6500</v>
      </c>
      <c r="L2316">
        <v>500</v>
      </c>
      <c r="M2316">
        <v>499</v>
      </c>
      <c r="N2316">
        <v>1</v>
      </c>
      <c r="O2316">
        <v>0</v>
      </c>
      <c r="P2316" s="3" t="s">
        <v>51</v>
      </c>
      <c r="Q2316">
        <v>50</v>
      </c>
      <c r="R2316">
        <v>0.999</v>
      </c>
      <c r="S2316">
        <v>0</v>
      </c>
    </row>
    <row r="2317" spans="1:19" x14ac:dyDescent="0.2">
      <c r="A2317" s="3" t="s">
        <v>54</v>
      </c>
      <c r="B2317" s="3" t="s">
        <v>55</v>
      </c>
      <c r="C2317">
        <v>33</v>
      </c>
      <c r="D2317">
        <v>12000</v>
      </c>
      <c r="E2317">
        <v>499</v>
      </c>
      <c r="F2317">
        <v>1</v>
      </c>
      <c r="G2317">
        <v>12000</v>
      </c>
      <c r="H2317">
        <v>2.1902741999999999E-2</v>
      </c>
      <c r="I2317">
        <v>12000</v>
      </c>
      <c r="J2317">
        <v>4719</v>
      </c>
      <c r="K2317">
        <v>7281</v>
      </c>
      <c r="L2317">
        <v>500</v>
      </c>
      <c r="M2317">
        <v>499</v>
      </c>
      <c r="N2317">
        <v>1</v>
      </c>
      <c r="O2317">
        <v>0</v>
      </c>
      <c r="P2317" s="3" t="s">
        <v>51</v>
      </c>
      <c r="Q2317">
        <v>50</v>
      </c>
      <c r="R2317">
        <v>0.999</v>
      </c>
      <c r="S2317">
        <v>1</v>
      </c>
    </row>
    <row r="2318" spans="1:19" x14ac:dyDescent="0.2">
      <c r="A2318" s="3" t="s">
        <v>54</v>
      </c>
      <c r="B2318" s="3" t="s">
        <v>55</v>
      </c>
      <c r="C2318">
        <v>20</v>
      </c>
      <c r="D2318">
        <v>12000</v>
      </c>
      <c r="E2318">
        <v>499</v>
      </c>
      <c r="F2318">
        <v>1</v>
      </c>
      <c r="G2318">
        <v>12000</v>
      </c>
      <c r="H2318">
        <v>2.1897856E-2</v>
      </c>
      <c r="I2318">
        <v>12000</v>
      </c>
      <c r="J2318">
        <v>4726</v>
      </c>
      <c r="K2318">
        <v>7274</v>
      </c>
      <c r="L2318">
        <v>500</v>
      </c>
      <c r="M2318">
        <v>499</v>
      </c>
      <c r="N2318">
        <v>1</v>
      </c>
      <c r="O2318">
        <v>0</v>
      </c>
      <c r="P2318" s="3" t="s">
        <v>51</v>
      </c>
      <c r="Q2318">
        <v>50</v>
      </c>
      <c r="R2318">
        <v>0.999</v>
      </c>
      <c r="S2318">
        <v>1</v>
      </c>
    </row>
    <row r="2319" spans="1:19" x14ac:dyDescent="0.2">
      <c r="A2319" s="3" t="s">
        <v>54</v>
      </c>
      <c r="B2319" s="3" t="s">
        <v>55</v>
      </c>
      <c r="C2319">
        <v>6</v>
      </c>
      <c r="D2319">
        <v>12000</v>
      </c>
      <c r="E2319">
        <v>499</v>
      </c>
      <c r="F2319">
        <v>1</v>
      </c>
      <c r="G2319">
        <v>12000</v>
      </c>
      <c r="H2319">
        <v>2.1882502000000002E-2</v>
      </c>
      <c r="I2319">
        <v>12000</v>
      </c>
      <c r="J2319">
        <v>4724</v>
      </c>
      <c r="K2319">
        <v>7276</v>
      </c>
      <c r="L2319">
        <v>500</v>
      </c>
      <c r="M2319">
        <v>499</v>
      </c>
      <c r="N2319">
        <v>1</v>
      </c>
      <c r="O2319">
        <v>0</v>
      </c>
      <c r="P2319" s="3" t="s">
        <v>51</v>
      </c>
      <c r="Q2319">
        <v>50</v>
      </c>
      <c r="R2319">
        <v>0.999</v>
      </c>
      <c r="S2319">
        <v>1</v>
      </c>
    </row>
    <row r="2320" spans="1:19" x14ac:dyDescent="0.2">
      <c r="A2320" s="3" t="s">
        <v>54</v>
      </c>
      <c r="B2320" s="3" t="s">
        <v>55</v>
      </c>
      <c r="C2320">
        <v>42</v>
      </c>
      <c r="D2320">
        <v>10000</v>
      </c>
      <c r="E2320">
        <v>499</v>
      </c>
      <c r="F2320">
        <v>1</v>
      </c>
      <c r="G2320">
        <v>10000</v>
      </c>
      <c r="H2320">
        <v>2.1872958000000001E-2</v>
      </c>
      <c r="I2320">
        <v>10000</v>
      </c>
      <c r="J2320">
        <v>4183</v>
      </c>
      <c r="K2320">
        <v>5817</v>
      </c>
      <c r="L2320">
        <v>500</v>
      </c>
      <c r="M2320">
        <v>499</v>
      </c>
      <c r="N2320">
        <v>1</v>
      </c>
      <c r="O2320">
        <v>0</v>
      </c>
      <c r="P2320" s="3" t="s">
        <v>51</v>
      </c>
      <c r="Q2320">
        <v>50</v>
      </c>
      <c r="R2320">
        <v>0.999</v>
      </c>
      <c r="S2320">
        <v>1</v>
      </c>
    </row>
    <row r="2321" spans="1:19" x14ac:dyDescent="0.2">
      <c r="A2321" s="3" t="s">
        <v>54</v>
      </c>
      <c r="B2321" s="3" t="s">
        <v>55</v>
      </c>
      <c r="C2321">
        <v>15</v>
      </c>
      <c r="D2321">
        <v>15000</v>
      </c>
      <c r="E2321">
        <v>499</v>
      </c>
      <c r="F2321">
        <v>1</v>
      </c>
      <c r="G2321">
        <v>15000</v>
      </c>
      <c r="H2321">
        <v>2.1864747E-2</v>
      </c>
      <c r="I2321">
        <v>13803</v>
      </c>
      <c r="J2321">
        <v>4379</v>
      </c>
      <c r="K2321">
        <v>9424</v>
      </c>
      <c r="L2321">
        <v>500</v>
      </c>
      <c r="M2321">
        <v>499</v>
      </c>
      <c r="N2321">
        <v>1</v>
      </c>
      <c r="O2321">
        <v>1197</v>
      </c>
      <c r="P2321" s="3" t="s">
        <v>52</v>
      </c>
      <c r="Q2321">
        <v>50</v>
      </c>
      <c r="R2321">
        <v>0.999</v>
      </c>
      <c r="S2321">
        <v>1</v>
      </c>
    </row>
    <row r="2322" spans="1:19" x14ac:dyDescent="0.2">
      <c r="A2322" s="3" t="s">
        <v>54</v>
      </c>
      <c r="B2322" s="3" t="s">
        <v>55</v>
      </c>
      <c r="C2322">
        <v>8</v>
      </c>
      <c r="D2322">
        <v>12000</v>
      </c>
      <c r="E2322">
        <v>499</v>
      </c>
      <c r="F2322">
        <v>1</v>
      </c>
      <c r="G2322">
        <v>12000</v>
      </c>
      <c r="H2322">
        <v>2.1859521E-2</v>
      </c>
      <c r="I2322">
        <v>12000</v>
      </c>
      <c r="J2322">
        <v>4729</v>
      </c>
      <c r="K2322">
        <v>7271</v>
      </c>
      <c r="L2322">
        <v>500</v>
      </c>
      <c r="M2322">
        <v>499</v>
      </c>
      <c r="N2322">
        <v>1</v>
      </c>
      <c r="O2322">
        <v>0</v>
      </c>
      <c r="P2322" s="3" t="s">
        <v>51</v>
      </c>
      <c r="Q2322">
        <v>50</v>
      </c>
      <c r="R2322">
        <v>0.999</v>
      </c>
      <c r="S2322">
        <v>1</v>
      </c>
    </row>
    <row r="2323" spans="1:19" x14ac:dyDescent="0.2">
      <c r="A2323" s="3" t="s">
        <v>54</v>
      </c>
      <c r="B2323" s="3" t="s">
        <v>55</v>
      </c>
      <c r="C2323">
        <v>7</v>
      </c>
      <c r="D2323">
        <v>12000</v>
      </c>
      <c r="E2323">
        <v>499</v>
      </c>
      <c r="F2323">
        <v>1</v>
      </c>
      <c r="G2323">
        <v>12000</v>
      </c>
      <c r="H2323">
        <v>2.1843508000000001E-2</v>
      </c>
      <c r="I2323">
        <v>12000</v>
      </c>
      <c r="J2323">
        <v>4742</v>
      </c>
      <c r="K2323">
        <v>7258</v>
      </c>
      <c r="L2323">
        <v>500</v>
      </c>
      <c r="M2323">
        <v>499</v>
      </c>
      <c r="N2323">
        <v>1</v>
      </c>
      <c r="O2323">
        <v>0</v>
      </c>
      <c r="P2323" s="3" t="s">
        <v>51</v>
      </c>
      <c r="Q2323">
        <v>50</v>
      </c>
      <c r="R2323">
        <v>0.999</v>
      </c>
      <c r="S2323">
        <v>1</v>
      </c>
    </row>
    <row r="2324" spans="1:19" x14ac:dyDescent="0.2">
      <c r="A2324" s="3" t="s">
        <v>54</v>
      </c>
      <c r="B2324" s="3" t="s">
        <v>55</v>
      </c>
      <c r="C2324">
        <v>18</v>
      </c>
      <c r="D2324">
        <v>12000</v>
      </c>
      <c r="E2324">
        <v>499</v>
      </c>
      <c r="F2324">
        <v>1</v>
      </c>
      <c r="G2324">
        <v>12000</v>
      </c>
      <c r="H2324">
        <v>2.1842389E-2</v>
      </c>
      <c r="I2324">
        <v>12000</v>
      </c>
      <c r="J2324">
        <v>4727</v>
      </c>
      <c r="K2324">
        <v>7273</v>
      </c>
      <c r="L2324">
        <v>500</v>
      </c>
      <c r="M2324">
        <v>499</v>
      </c>
      <c r="N2324">
        <v>1</v>
      </c>
      <c r="O2324">
        <v>0</v>
      </c>
      <c r="P2324" s="3" t="s">
        <v>51</v>
      </c>
      <c r="Q2324">
        <v>50</v>
      </c>
      <c r="R2324">
        <v>0.999</v>
      </c>
      <c r="S2324">
        <v>1</v>
      </c>
    </row>
    <row r="2325" spans="1:19" x14ac:dyDescent="0.2">
      <c r="A2325" s="3" t="s">
        <v>54</v>
      </c>
      <c r="B2325" s="3" t="s">
        <v>55</v>
      </c>
      <c r="C2325">
        <v>26</v>
      </c>
      <c r="D2325">
        <v>15000</v>
      </c>
      <c r="E2325">
        <v>499</v>
      </c>
      <c r="F2325">
        <v>1</v>
      </c>
      <c r="G2325">
        <v>15000</v>
      </c>
      <c r="H2325">
        <v>2.1836688E-2</v>
      </c>
      <c r="I2325">
        <v>13782</v>
      </c>
      <c r="J2325">
        <v>4332</v>
      </c>
      <c r="K2325">
        <v>9450</v>
      </c>
      <c r="L2325">
        <v>500</v>
      </c>
      <c r="M2325">
        <v>499</v>
      </c>
      <c r="N2325">
        <v>1</v>
      </c>
      <c r="O2325">
        <v>1218</v>
      </c>
      <c r="P2325" s="3" t="s">
        <v>52</v>
      </c>
      <c r="Q2325">
        <v>50</v>
      </c>
      <c r="R2325">
        <v>0.999</v>
      </c>
      <c r="S2325">
        <v>1</v>
      </c>
    </row>
    <row r="2326" spans="1:19" x14ac:dyDescent="0.2">
      <c r="A2326" s="3" t="s">
        <v>54</v>
      </c>
      <c r="B2326" s="3" t="s">
        <v>55</v>
      </c>
      <c r="C2326">
        <v>16</v>
      </c>
      <c r="D2326">
        <v>12000</v>
      </c>
      <c r="E2326">
        <v>499</v>
      </c>
      <c r="F2326">
        <v>1</v>
      </c>
      <c r="G2326">
        <v>12000</v>
      </c>
      <c r="H2326">
        <v>2.1822250000000001E-2</v>
      </c>
      <c r="I2326">
        <v>12000</v>
      </c>
      <c r="J2326">
        <v>4730</v>
      </c>
      <c r="K2326">
        <v>7270</v>
      </c>
      <c r="L2326">
        <v>500</v>
      </c>
      <c r="M2326">
        <v>499</v>
      </c>
      <c r="N2326">
        <v>1</v>
      </c>
      <c r="O2326">
        <v>0</v>
      </c>
      <c r="P2326" s="3" t="s">
        <v>51</v>
      </c>
      <c r="Q2326">
        <v>50</v>
      </c>
      <c r="R2326">
        <v>0.999</v>
      </c>
      <c r="S2326">
        <v>1</v>
      </c>
    </row>
    <row r="2327" spans="1:19" x14ac:dyDescent="0.2">
      <c r="A2327" s="3" t="s">
        <v>54</v>
      </c>
      <c r="B2327" s="3" t="s">
        <v>55</v>
      </c>
      <c r="C2327">
        <v>31</v>
      </c>
      <c r="D2327">
        <v>15000</v>
      </c>
      <c r="E2327">
        <v>499</v>
      </c>
      <c r="F2327">
        <v>1</v>
      </c>
      <c r="G2327">
        <v>15000</v>
      </c>
      <c r="H2327">
        <v>2.1814531000000002E-2</v>
      </c>
      <c r="I2327">
        <v>13780</v>
      </c>
      <c r="J2327">
        <v>4321</v>
      </c>
      <c r="K2327">
        <v>9459</v>
      </c>
      <c r="L2327">
        <v>500</v>
      </c>
      <c r="M2327">
        <v>499</v>
      </c>
      <c r="N2327">
        <v>1</v>
      </c>
      <c r="O2327">
        <v>1220</v>
      </c>
      <c r="P2327" s="3" t="s">
        <v>52</v>
      </c>
      <c r="Q2327">
        <v>50</v>
      </c>
      <c r="R2327">
        <v>0.999</v>
      </c>
      <c r="S2327">
        <v>1</v>
      </c>
    </row>
    <row r="2328" spans="1:19" x14ac:dyDescent="0.2">
      <c r="A2328" s="3" t="s">
        <v>54</v>
      </c>
      <c r="B2328" s="3" t="s">
        <v>55</v>
      </c>
      <c r="C2328">
        <v>6</v>
      </c>
      <c r="D2328">
        <v>10000</v>
      </c>
      <c r="E2328">
        <v>499</v>
      </c>
      <c r="F2328">
        <v>1</v>
      </c>
      <c r="G2328">
        <v>39482.677260513999</v>
      </c>
      <c r="H2328">
        <v>2.1796416999999998E-2</v>
      </c>
      <c r="I2328">
        <v>10000</v>
      </c>
      <c r="J2328">
        <v>3500</v>
      </c>
      <c r="K2328">
        <v>6500</v>
      </c>
      <c r="L2328">
        <v>500</v>
      </c>
      <c r="M2328">
        <v>499</v>
      </c>
      <c r="N2328">
        <v>1</v>
      </c>
      <c r="O2328">
        <v>0</v>
      </c>
      <c r="P2328" s="3" t="s">
        <v>51</v>
      </c>
      <c r="Q2328">
        <v>50</v>
      </c>
      <c r="R2328">
        <v>0.999</v>
      </c>
      <c r="S2328">
        <v>0</v>
      </c>
    </row>
    <row r="2329" spans="1:19" x14ac:dyDescent="0.2">
      <c r="A2329" s="3" t="s">
        <v>54</v>
      </c>
      <c r="B2329" s="3" t="s">
        <v>55</v>
      </c>
      <c r="C2329">
        <v>24</v>
      </c>
      <c r="D2329">
        <v>12000</v>
      </c>
      <c r="E2329">
        <v>499</v>
      </c>
      <c r="F2329">
        <v>1</v>
      </c>
      <c r="G2329">
        <v>12000</v>
      </c>
      <c r="H2329">
        <v>2.1795511E-2</v>
      </c>
      <c r="I2329">
        <v>12000</v>
      </c>
      <c r="J2329">
        <v>4720</v>
      </c>
      <c r="K2329">
        <v>7280</v>
      </c>
      <c r="L2329">
        <v>500</v>
      </c>
      <c r="M2329">
        <v>499</v>
      </c>
      <c r="N2329">
        <v>1</v>
      </c>
      <c r="O2329">
        <v>0</v>
      </c>
      <c r="P2329" s="3" t="s">
        <v>51</v>
      </c>
      <c r="Q2329">
        <v>50</v>
      </c>
      <c r="R2329">
        <v>0.999</v>
      </c>
      <c r="S2329">
        <v>1</v>
      </c>
    </row>
    <row r="2330" spans="1:19" x14ac:dyDescent="0.2">
      <c r="A2330" s="3" t="s">
        <v>54</v>
      </c>
      <c r="B2330" s="3" t="s">
        <v>55</v>
      </c>
      <c r="C2330">
        <v>4</v>
      </c>
      <c r="D2330">
        <v>15000</v>
      </c>
      <c r="E2330">
        <v>499</v>
      </c>
      <c r="F2330">
        <v>1</v>
      </c>
      <c r="G2330">
        <v>15000</v>
      </c>
      <c r="H2330">
        <v>2.1790167999999999E-2</v>
      </c>
      <c r="I2330">
        <v>13765</v>
      </c>
      <c r="J2330">
        <v>4357</v>
      </c>
      <c r="K2330">
        <v>9408</v>
      </c>
      <c r="L2330">
        <v>500</v>
      </c>
      <c r="M2330">
        <v>499</v>
      </c>
      <c r="N2330">
        <v>1</v>
      </c>
      <c r="O2330">
        <v>1235</v>
      </c>
      <c r="P2330" s="3" t="s">
        <v>52</v>
      </c>
      <c r="Q2330">
        <v>50</v>
      </c>
      <c r="R2330">
        <v>0.999</v>
      </c>
      <c r="S2330">
        <v>1</v>
      </c>
    </row>
    <row r="2331" spans="1:19" x14ac:dyDescent="0.2">
      <c r="A2331" s="3" t="s">
        <v>54</v>
      </c>
      <c r="B2331" s="3" t="s">
        <v>55</v>
      </c>
      <c r="C2331">
        <v>47</v>
      </c>
      <c r="D2331">
        <v>11000</v>
      </c>
      <c r="E2331">
        <v>499</v>
      </c>
      <c r="F2331">
        <v>1</v>
      </c>
      <c r="G2331">
        <v>11000</v>
      </c>
      <c r="H2331">
        <v>2.1760531E-2</v>
      </c>
      <c r="I2331">
        <v>11000</v>
      </c>
      <c r="J2331">
        <v>4329</v>
      </c>
      <c r="K2331">
        <v>6671</v>
      </c>
      <c r="L2331">
        <v>500</v>
      </c>
      <c r="M2331">
        <v>499</v>
      </c>
      <c r="N2331">
        <v>1</v>
      </c>
      <c r="O2331">
        <v>0</v>
      </c>
      <c r="P2331" s="3" t="s">
        <v>51</v>
      </c>
      <c r="Q2331">
        <v>50</v>
      </c>
      <c r="R2331">
        <v>0.999</v>
      </c>
      <c r="S2331">
        <v>1</v>
      </c>
    </row>
    <row r="2332" spans="1:19" x14ac:dyDescent="0.2">
      <c r="A2332" s="3" t="s">
        <v>54</v>
      </c>
      <c r="B2332" s="3" t="s">
        <v>55</v>
      </c>
      <c r="C2332">
        <v>11</v>
      </c>
      <c r="D2332">
        <v>15000</v>
      </c>
      <c r="E2332">
        <v>499</v>
      </c>
      <c r="F2332">
        <v>1</v>
      </c>
      <c r="G2332">
        <v>15000</v>
      </c>
      <c r="H2332">
        <v>2.1749705000000001E-2</v>
      </c>
      <c r="I2332">
        <v>13781</v>
      </c>
      <c r="J2332">
        <v>4329</v>
      </c>
      <c r="K2332">
        <v>9452</v>
      </c>
      <c r="L2332">
        <v>500</v>
      </c>
      <c r="M2332">
        <v>499</v>
      </c>
      <c r="N2332">
        <v>1</v>
      </c>
      <c r="O2332">
        <v>1219</v>
      </c>
      <c r="P2332" s="3" t="s">
        <v>52</v>
      </c>
      <c r="Q2332">
        <v>50</v>
      </c>
      <c r="R2332">
        <v>0.999</v>
      </c>
      <c r="S2332">
        <v>1</v>
      </c>
    </row>
    <row r="2333" spans="1:19" x14ac:dyDescent="0.2">
      <c r="A2333" s="3" t="s">
        <v>54</v>
      </c>
      <c r="B2333" s="3" t="s">
        <v>55</v>
      </c>
      <c r="C2333">
        <v>2</v>
      </c>
      <c r="D2333">
        <v>11000</v>
      </c>
      <c r="E2333">
        <v>499</v>
      </c>
      <c r="F2333">
        <v>1</v>
      </c>
      <c r="G2333">
        <v>11000</v>
      </c>
      <c r="H2333">
        <v>2.1706804999999999E-2</v>
      </c>
      <c r="I2333">
        <v>11000</v>
      </c>
      <c r="J2333">
        <v>4329</v>
      </c>
      <c r="K2333">
        <v>6671</v>
      </c>
      <c r="L2333">
        <v>500</v>
      </c>
      <c r="M2333">
        <v>499</v>
      </c>
      <c r="N2333">
        <v>1</v>
      </c>
      <c r="O2333">
        <v>0</v>
      </c>
      <c r="P2333" s="3" t="s">
        <v>51</v>
      </c>
      <c r="Q2333">
        <v>50</v>
      </c>
      <c r="R2333">
        <v>0.999</v>
      </c>
      <c r="S2333">
        <v>1</v>
      </c>
    </row>
    <row r="2334" spans="1:19" x14ac:dyDescent="0.2">
      <c r="A2334" s="3" t="s">
        <v>54</v>
      </c>
      <c r="B2334" s="3" t="s">
        <v>55</v>
      </c>
      <c r="C2334">
        <v>37</v>
      </c>
      <c r="D2334">
        <v>12000</v>
      </c>
      <c r="E2334">
        <v>499</v>
      </c>
      <c r="F2334">
        <v>1</v>
      </c>
      <c r="G2334">
        <v>12000</v>
      </c>
      <c r="H2334">
        <v>2.1703990999999999E-2</v>
      </c>
      <c r="I2334">
        <v>12000</v>
      </c>
      <c r="J2334">
        <v>4741</v>
      </c>
      <c r="K2334">
        <v>7259</v>
      </c>
      <c r="L2334">
        <v>500</v>
      </c>
      <c r="M2334">
        <v>499</v>
      </c>
      <c r="N2334">
        <v>1</v>
      </c>
      <c r="O2334">
        <v>0</v>
      </c>
      <c r="P2334" s="3" t="s">
        <v>51</v>
      </c>
      <c r="Q2334">
        <v>50</v>
      </c>
      <c r="R2334">
        <v>0.999</v>
      </c>
      <c r="S2334">
        <v>1</v>
      </c>
    </row>
    <row r="2335" spans="1:19" x14ac:dyDescent="0.2">
      <c r="A2335" s="3" t="s">
        <v>54</v>
      </c>
      <c r="B2335" s="3" t="s">
        <v>55</v>
      </c>
      <c r="C2335">
        <v>32</v>
      </c>
      <c r="D2335">
        <v>11000</v>
      </c>
      <c r="E2335">
        <v>499</v>
      </c>
      <c r="F2335">
        <v>1</v>
      </c>
      <c r="G2335">
        <v>44062.122210792702</v>
      </c>
      <c r="H2335">
        <v>2.1663036E-2</v>
      </c>
      <c r="I2335">
        <v>11000</v>
      </c>
      <c r="J2335">
        <v>3547</v>
      </c>
      <c r="K2335">
        <v>7453</v>
      </c>
      <c r="L2335">
        <v>500</v>
      </c>
      <c r="M2335">
        <v>499</v>
      </c>
      <c r="N2335">
        <v>1</v>
      </c>
      <c r="O2335">
        <v>0</v>
      </c>
      <c r="P2335" s="3" t="s">
        <v>51</v>
      </c>
      <c r="Q2335">
        <v>50</v>
      </c>
      <c r="R2335">
        <v>0.999</v>
      </c>
      <c r="S2335">
        <v>0</v>
      </c>
    </row>
    <row r="2336" spans="1:19" x14ac:dyDescent="0.2">
      <c r="A2336" s="3" t="s">
        <v>54</v>
      </c>
      <c r="B2336" s="3" t="s">
        <v>55</v>
      </c>
      <c r="C2336">
        <v>22</v>
      </c>
      <c r="D2336">
        <v>15000</v>
      </c>
      <c r="E2336">
        <v>499</v>
      </c>
      <c r="F2336">
        <v>1</v>
      </c>
      <c r="G2336">
        <v>15000</v>
      </c>
      <c r="H2336">
        <v>2.166243E-2</v>
      </c>
      <c r="I2336">
        <v>13769</v>
      </c>
      <c r="J2336">
        <v>4292</v>
      </c>
      <c r="K2336">
        <v>9477</v>
      </c>
      <c r="L2336">
        <v>500</v>
      </c>
      <c r="M2336">
        <v>499</v>
      </c>
      <c r="N2336">
        <v>1</v>
      </c>
      <c r="O2336">
        <v>1231</v>
      </c>
      <c r="P2336" s="3" t="s">
        <v>52</v>
      </c>
      <c r="Q2336">
        <v>50</v>
      </c>
      <c r="R2336">
        <v>0.999</v>
      </c>
      <c r="S2336">
        <v>1</v>
      </c>
    </row>
    <row r="2337" spans="1:19" x14ac:dyDescent="0.2">
      <c r="A2337" s="3" t="s">
        <v>54</v>
      </c>
      <c r="B2337" s="3" t="s">
        <v>55</v>
      </c>
      <c r="C2337">
        <v>28</v>
      </c>
      <c r="D2337">
        <v>15000</v>
      </c>
      <c r="E2337">
        <v>499</v>
      </c>
      <c r="F2337">
        <v>1</v>
      </c>
      <c r="G2337">
        <v>15000</v>
      </c>
      <c r="H2337">
        <v>2.1661623000000001E-2</v>
      </c>
      <c r="I2337">
        <v>13789</v>
      </c>
      <c r="J2337">
        <v>4331</v>
      </c>
      <c r="K2337">
        <v>9458</v>
      </c>
      <c r="L2337">
        <v>500</v>
      </c>
      <c r="M2337">
        <v>499</v>
      </c>
      <c r="N2337">
        <v>1</v>
      </c>
      <c r="O2337">
        <v>1211</v>
      </c>
      <c r="P2337" s="3" t="s">
        <v>52</v>
      </c>
      <c r="Q2337">
        <v>50</v>
      </c>
      <c r="R2337">
        <v>0.999</v>
      </c>
      <c r="S2337">
        <v>1</v>
      </c>
    </row>
    <row r="2338" spans="1:19" x14ac:dyDescent="0.2">
      <c r="A2338" s="3" t="s">
        <v>54</v>
      </c>
      <c r="B2338" s="3" t="s">
        <v>55</v>
      </c>
      <c r="C2338">
        <v>33</v>
      </c>
      <c r="D2338">
        <v>15000</v>
      </c>
      <c r="E2338">
        <v>499</v>
      </c>
      <c r="F2338">
        <v>1</v>
      </c>
      <c r="G2338">
        <v>15000</v>
      </c>
      <c r="H2338">
        <v>2.1627028E-2</v>
      </c>
      <c r="I2338">
        <v>13787</v>
      </c>
      <c r="J2338">
        <v>4362</v>
      </c>
      <c r="K2338">
        <v>9425</v>
      </c>
      <c r="L2338">
        <v>500</v>
      </c>
      <c r="M2338">
        <v>499</v>
      </c>
      <c r="N2338">
        <v>1</v>
      </c>
      <c r="O2338">
        <v>1213</v>
      </c>
      <c r="P2338" s="3" t="s">
        <v>52</v>
      </c>
      <c r="Q2338">
        <v>50</v>
      </c>
      <c r="R2338">
        <v>0.999</v>
      </c>
      <c r="S2338">
        <v>1</v>
      </c>
    </row>
    <row r="2339" spans="1:19" x14ac:dyDescent="0.2">
      <c r="A2339" s="3" t="s">
        <v>54</v>
      </c>
      <c r="B2339" s="3" t="s">
        <v>55</v>
      </c>
      <c r="C2339">
        <v>33</v>
      </c>
      <c r="D2339">
        <v>11000</v>
      </c>
      <c r="E2339">
        <v>499</v>
      </c>
      <c r="F2339">
        <v>1</v>
      </c>
      <c r="G2339">
        <v>44062.122210792702</v>
      </c>
      <c r="H2339">
        <v>2.1620032000000001E-2</v>
      </c>
      <c r="I2339">
        <v>11000</v>
      </c>
      <c r="J2339">
        <v>3547</v>
      </c>
      <c r="K2339">
        <v>7453</v>
      </c>
      <c r="L2339">
        <v>500</v>
      </c>
      <c r="M2339">
        <v>499</v>
      </c>
      <c r="N2339">
        <v>1</v>
      </c>
      <c r="O2339">
        <v>0</v>
      </c>
      <c r="P2339" s="3" t="s">
        <v>51</v>
      </c>
      <c r="Q2339">
        <v>50</v>
      </c>
      <c r="R2339">
        <v>0.999</v>
      </c>
      <c r="S2339">
        <v>0</v>
      </c>
    </row>
    <row r="2340" spans="1:19" x14ac:dyDescent="0.2">
      <c r="A2340" s="3" t="s">
        <v>54</v>
      </c>
      <c r="B2340" s="3" t="s">
        <v>55</v>
      </c>
      <c r="C2340">
        <v>48</v>
      </c>
      <c r="D2340">
        <v>15000</v>
      </c>
      <c r="E2340">
        <v>499</v>
      </c>
      <c r="F2340">
        <v>1</v>
      </c>
      <c r="G2340">
        <v>15000</v>
      </c>
      <c r="H2340">
        <v>2.1618117999999999E-2</v>
      </c>
      <c r="I2340">
        <v>13779</v>
      </c>
      <c r="J2340">
        <v>4322</v>
      </c>
      <c r="K2340">
        <v>9457</v>
      </c>
      <c r="L2340">
        <v>500</v>
      </c>
      <c r="M2340">
        <v>499</v>
      </c>
      <c r="N2340">
        <v>1</v>
      </c>
      <c r="O2340">
        <v>1221</v>
      </c>
      <c r="P2340" s="3" t="s">
        <v>52</v>
      </c>
      <c r="Q2340">
        <v>50</v>
      </c>
      <c r="R2340">
        <v>0.999</v>
      </c>
      <c r="S2340">
        <v>1</v>
      </c>
    </row>
    <row r="2341" spans="1:19" x14ac:dyDescent="0.2">
      <c r="A2341" s="3" t="s">
        <v>54</v>
      </c>
      <c r="B2341" s="3" t="s">
        <v>55</v>
      </c>
      <c r="C2341">
        <v>18</v>
      </c>
      <c r="D2341">
        <v>11000</v>
      </c>
      <c r="E2341">
        <v>499</v>
      </c>
      <c r="F2341">
        <v>1</v>
      </c>
      <c r="G2341">
        <v>44062.122210792702</v>
      </c>
      <c r="H2341">
        <v>2.1610289000000001E-2</v>
      </c>
      <c r="I2341">
        <v>11000</v>
      </c>
      <c r="J2341">
        <v>3547</v>
      </c>
      <c r="K2341">
        <v>7453</v>
      </c>
      <c r="L2341">
        <v>500</v>
      </c>
      <c r="M2341">
        <v>499</v>
      </c>
      <c r="N2341">
        <v>1</v>
      </c>
      <c r="O2341">
        <v>0</v>
      </c>
      <c r="P2341" s="3" t="s">
        <v>51</v>
      </c>
      <c r="Q2341">
        <v>50</v>
      </c>
      <c r="R2341">
        <v>0.999</v>
      </c>
      <c r="S2341">
        <v>0</v>
      </c>
    </row>
    <row r="2342" spans="1:19" x14ac:dyDescent="0.2">
      <c r="A2342" s="3" t="s">
        <v>54</v>
      </c>
      <c r="B2342" s="3" t="s">
        <v>55</v>
      </c>
      <c r="C2342">
        <v>5</v>
      </c>
      <c r="D2342">
        <v>11000</v>
      </c>
      <c r="E2342">
        <v>499</v>
      </c>
      <c r="F2342">
        <v>1</v>
      </c>
      <c r="G2342">
        <v>11000</v>
      </c>
      <c r="H2342">
        <v>2.1601710999999999E-2</v>
      </c>
      <c r="I2342">
        <v>11000</v>
      </c>
      <c r="J2342">
        <v>4329</v>
      </c>
      <c r="K2342">
        <v>6671</v>
      </c>
      <c r="L2342">
        <v>500</v>
      </c>
      <c r="M2342">
        <v>499</v>
      </c>
      <c r="N2342">
        <v>1</v>
      </c>
      <c r="O2342">
        <v>0</v>
      </c>
      <c r="P2342" s="3" t="s">
        <v>51</v>
      </c>
      <c r="Q2342">
        <v>50</v>
      </c>
      <c r="R2342">
        <v>0.999</v>
      </c>
      <c r="S2342">
        <v>1</v>
      </c>
    </row>
    <row r="2343" spans="1:19" x14ac:dyDescent="0.2">
      <c r="A2343" s="3" t="s">
        <v>54</v>
      </c>
      <c r="B2343" s="3" t="s">
        <v>55</v>
      </c>
      <c r="C2343">
        <v>26</v>
      </c>
      <c r="D2343">
        <v>11000</v>
      </c>
      <c r="E2343">
        <v>499</v>
      </c>
      <c r="F2343">
        <v>1</v>
      </c>
      <c r="G2343">
        <v>11000</v>
      </c>
      <c r="H2343">
        <v>2.1599060999999999E-2</v>
      </c>
      <c r="I2343">
        <v>11000</v>
      </c>
      <c r="J2343">
        <v>4329</v>
      </c>
      <c r="K2343">
        <v>6671</v>
      </c>
      <c r="L2343">
        <v>500</v>
      </c>
      <c r="M2343">
        <v>499</v>
      </c>
      <c r="N2343">
        <v>1</v>
      </c>
      <c r="O2343">
        <v>0</v>
      </c>
      <c r="P2343" s="3" t="s">
        <v>51</v>
      </c>
      <c r="Q2343">
        <v>50</v>
      </c>
      <c r="R2343">
        <v>0.999</v>
      </c>
      <c r="S2343">
        <v>1</v>
      </c>
    </row>
    <row r="2344" spans="1:19" x14ac:dyDescent="0.2">
      <c r="A2344" s="3" t="s">
        <v>54</v>
      </c>
      <c r="B2344" s="3" t="s">
        <v>55</v>
      </c>
      <c r="C2344">
        <v>4</v>
      </c>
      <c r="D2344">
        <v>10000</v>
      </c>
      <c r="E2344">
        <v>499</v>
      </c>
      <c r="F2344">
        <v>1</v>
      </c>
      <c r="G2344">
        <v>10000</v>
      </c>
      <c r="H2344">
        <v>2.1587473999999999E-2</v>
      </c>
      <c r="I2344">
        <v>10000</v>
      </c>
      <c r="J2344">
        <v>4183</v>
      </c>
      <c r="K2344">
        <v>5817</v>
      </c>
      <c r="L2344">
        <v>500</v>
      </c>
      <c r="M2344">
        <v>499</v>
      </c>
      <c r="N2344">
        <v>1</v>
      </c>
      <c r="O2344">
        <v>0</v>
      </c>
      <c r="P2344" s="3" t="s">
        <v>51</v>
      </c>
      <c r="Q2344">
        <v>50</v>
      </c>
      <c r="R2344">
        <v>0.999</v>
      </c>
      <c r="S2344">
        <v>1</v>
      </c>
    </row>
    <row r="2345" spans="1:19" x14ac:dyDescent="0.2">
      <c r="A2345" s="3" t="s">
        <v>54</v>
      </c>
      <c r="B2345" s="3" t="s">
        <v>55</v>
      </c>
      <c r="C2345">
        <v>24</v>
      </c>
      <c r="D2345">
        <v>10000</v>
      </c>
      <c r="E2345">
        <v>499</v>
      </c>
      <c r="F2345">
        <v>1</v>
      </c>
      <c r="G2345">
        <v>10000</v>
      </c>
      <c r="H2345">
        <v>2.1587254E-2</v>
      </c>
      <c r="I2345">
        <v>10000</v>
      </c>
      <c r="J2345">
        <v>4183</v>
      </c>
      <c r="K2345">
        <v>5817</v>
      </c>
      <c r="L2345">
        <v>500</v>
      </c>
      <c r="M2345">
        <v>499</v>
      </c>
      <c r="N2345">
        <v>1</v>
      </c>
      <c r="O2345">
        <v>0</v>
      </c>
      <c r="P2345" s="3" t="s">
        <v>51</v>
      </c>
      <c r="Q2345">
        <v>50</v>
      </c>
      <c r="R2345">
        <v>0.999</v>
      </c>
      <c r="S2345">
        <v>1</v>
      </c>
    </row>
    <row r="2346" spans="1:19" x14ac:dyDescent="0.2">
      <c r="A2346" s="3" t="s">
        <v>54</v>
      </c>
      <c r="B2346" s="3" t="s">
        <v>55</v>
      </c>
      <c r="C2346">
        <v>38</v>
      </c>
      <c r="D2346">
        <v>15000</v>
      </c>
      <c r="E2346">
        <v>499</v>
      </c>
      <c r="F2346">
        <v>1</v>
      </c>
      <c r="G2346">
        <v>15000</v>
      </c>
      <c r="H2346">
        <v>2.1582276000000001E-2</v>
      </c>
      <c r="I2346">
        <v>13798</v>
      </c>
      <c r="J2346">
        <v>4354</v>
      </c>
      <c r="K2346">
        <v>9444</v>
      </c>
      <c r="L2346">
        <v>500</v>
      </c>
      <c r="M2346">
        <v>499</v>
      </c>
      <c r="N2346">
        <v>1</v>
      </c>
      <c r="O2346">
        <v>1202</v>
      </c>
      <c r="P2346" s="3" t="s">
        <v>52</v>
      </c>
      <c r="Q2346">
        <v>50</v>
      </c>
      <c r="R2346">
        <v>0.999</v>
      </c>
      <c r="S2346">
        <v>1</v>
      </c>
    </row>
    <row r="2347" spans="1:19" x14ac:dyDescent="0.2">
      <c r="A2347" s="3" t="s">
        <v>54</v>
      </c>
      <c r="B2347" s="3" t="s">
        <v>55</v>
      </c>
      <c r="C2347">
        <v>7</v>
      </c>
      <c r="D2347">
        <v>11000</v>
      </c>
      <c r="E2347">
        <v>499</v>
      </c>
      <c r="F2347">
        <v>1</v>
      </c>
      <c r="G2347">
        <v>11000</v>
      </c>
      <c r="H2347">
        <v>2.1546546E-2</v>
      </c>
      <c r="I2347">
        <v>11000</v>
      </c>
      <c r="J2347">
        <v>4329</v>
      </c>
      <c r="K2347">
        <v>6671</v>
      </c>
      <c r="L2347">
        <v>500</v>
      </c>
      <c r="M2347">
        <v>499</v>
      </c>
      <c r="N2347">
        <v>1</v>
      </c>
      <c r="O2347">
        <v>0</v>
      </c>
      <c r="P2347" s="3" t="s">
        <v>51</v>
      </c>
      <c r="Q2347">
        <v>50</v>
      </c>
      <c r="R2347">
        <v>0.999</v>
      </c>
      <c r="S2347">
        <v>1</v>
      </c>
    </row>
    <row r="2348" spans="1:19" x14ac:dyDescent="0.2">
      <c r="A2348" s="3" t="s">
        <v>54</v>
      </c>
      <c r="B2348" s="3" t="s">
        <v>55</v>
      </c>
      <c r="C2348">
        <v>44</v>
      </c>
      <c r="D2348">
        <v>11000</v>
      </c>
      <c r="E2348">
        <v>499</v>
      </c>
      <c r="F2348">
        <v>1</v>
      </c>
      <c r="G2348">
        <v>11000</v>
      </c>
      <c r="H2348">
        <v>2.1545215999999999E-2</v>
      </c>
      <c r="I2348">
        <v>11000</v>
      </c>
      <c r="J2348">
        <v>4329</v>
      </c>
      <c r="K2348">
        <v>6671</v>
      </c>
      <c r="L2348">
        <v>500</v>
      </c>
      <c r="M2348">
        <v>499</v>
      </c>
      <c r="N2348">
        <v>1</v>
      </c>
      <c r="O2348">
        <v>0</v>
      </c>
      <c r="P2348" s="3" t="s">
        <v>51</v>
      </c>
      <c r="Q2348">
        <v>50</v>
      </c>
      <c r="R2348">
        <v>0.999</v>
      </c>
      <c r="S2348">
        <v>1</v>
      </c>
    </row>
    <row r="2349" spans="1:19" x14ac:dyDescent="0.2">
      <c r="A2349" s="3" t="s">
        <v>54</v>
      </c>
      <c r="B2349" s="3" t="s">
        <v>55</v>
      </c>
      <c r="C2349">
        <v>6</v>
      </c>
      <c r="D2349">
        <v>11000</v>
      </c>
      <c r="E2349">
        <v>499</v>
      </c>
      <c r="F2349">
        <v>1</v>
      </c>
      <c r="G2349">
        <v>11000</v>
      </c>
      <c r="H2349">
        <v>2.1541109999999999E-2</v>
      </c>
      <c r="I2349">
        <v>11000</v>
      </c>
      <c r="J2349">
        <v>4329</v>
      </c>
      <c r="K2349">
        <v>6671</v>
      </c>
      <c r="L2349">
        <v>500</v>
      </c>
      <c r="M2349">
        <v>499</v>
      </c>
      <c r="N2349">
        <v>1</v>
      </c>
      <c r="O2349">
        <v>0</v>
      </c>
      <c r="P2349" s="3" t="s">
        <v>51</v>
      </c>
      <c r="Q2349">
        <v>50</v>
      </c>
      <c r="R2349">
        <v>0.999</v>
      </c>
      <c r="S2349">
        <v>1</v>
      </c>
    </row>
    <row r="2350" spans="1:19" x14ac:dyDescent="0.2">
      <c r="A2350" s="3" t="s">
        <v>54</v>
      </c>
      <c r="B2350" s="3" t="s">
        <v>55</v>
      </c>
      <c r="C2350">
        <v>21</v>
      </c>
      <c r="D2350">
        <v>11000</v>
      </c>
      <c r="E2350">
        <v>499</v>
      </c>
      <c r="F2350">
        <v>1</v>
      </c>
      <c r="G2350">
        <v>11000</v>
      </c>
      <c r="H2350">
        <v>2.1538999999999999E-2</v>
      </c>
      <c r="I2350">
        <v>11000</v>
      </c>
      <c r="J2350">
        <v>4329</v>
      </c>
      <c r="K2350">
        <v>6671</v>
      </c>
      <c r="L2350">
        <v>500</v>
      </c>
      <c r="M2350">
        <v>499</v>
      </c>
      <c r="N2350">
        <v>1</v>
      </c>
      <c r="O2350">
        <v>0</v>
      </c>
      <c r="P2350" s="3" t="s">
        <v>51</v>
      </c>
      <c r="Q2350">
        <v>50</v>
      </c>
      <c r="R2350">
        <v>0.999</v>
      </c>
      <c r="S2350">
        <v>1</v>
      </c>
    </row>
    <row r="2351" spans="1:19" x14ac:dyDescent="0.2">
      <c r="A2351" s="3" t="s">
        <v>54</v>
      </c>
      <c r="B2351" s="3" t="s">
        <v>55</v>
      </c>
      <c r="C2351">
        <v>31</v>
      </c>
      <c r="D2351">
        <v>11000</v>
      </c>
      <c r="E2351">
        <v>499</v>
      </c>
      <c r="F2351">
        <v>1</v>
      </c>
      <c r="G2351">
        <v>11000</v>
      </c>
      <c r="H2351">
        <v>2.1519474E-2</v>
      </c>
      <c r="I2351">
        <v>11000</v>
      </c>
      <c r="J2351">
        <v>4329</v>
      </c>
      <c r="K2351">
        <v>6671</v>
      </c>
      <c r="L2351">
        <v>500</v>
      </c>
      <c r="M2351">
        <v>499</v>
      </c>
      <c r="N2351">
        <v>1</v>
      </c>
      <c r="O2351">
        <v>0</v>
      </c>
      <c r="P2351" s="3" t="s">
        <v>51</v>
      </c>
      <c r="Q2351">
        <v>50</v>
      </c>
      <c r="R2351">
        <v>0.999</v>
      </c>
      <c r="S2351">
        <v>1</v>
      </c>
    </row>
    <row r="2352" spans="1:19" x14ac:dyDescent="0.2">
      <c r="A2352" s="3" t="s">
        <v>54</v>
      </c>
      <c r="B2352" s="3" t="s">
        <v>55</v>
      </c>
      <c r="C2352">
        <v>43</v>
      </c>
      <c r="D2352">
        <v>11000</v>
      </c>
      <c r="E2352">
        <v>499</v>
      </c>
      <c r="F2352">
        <v>1</v>
      </c>
      <c r="G2352">
        <v>11000</v>
      </c>
      <c r="H2352">
        <v>2.1517167E-2</v>
      </c>
      <c r="I2352">
        <v>11000</v>
      </c>
      <c r="J2352">
        <v>4329</v>
      </c>
      <c r="K2352">
        <v>6671</v>
      </c>
      <c r="L2352">
        <v>500</v>
      </c>
      <c r="M2352">
        <v>499</v>
      </c>
      <c r="N2352">
        <v>1</v>
      </c>
      <c r="O2352">
        <v>0</v>
      </c>
      <c r="P2352" s="3" t="s">
        <v>51</v>
      </c>
      <c r="Q2352">
        <v>50</v>
      </c>
      <c r="R2352">
        <v>0.999</v>
      </c>
      <c r="S2352">
        <v>1</v>
      </c>
    </row>
    <row r="2353" spans="1:19" x14ac:dyDescent="0.2">
      <c r="A2353" s="3" t="s">
        <v>54</v>
      </c>
      <c r="B2353" s="3" t="s">
        <v>55</v>
      </c>
      <c r="C2353">
        <v>1</v>
      </c>
      <c r="D2353">
        <v>15000</v>
      </c>
      <c r="E2353">
        <v>499</v>
      </c>
      <c r="F2353">
        <v>1</v>
      </c>
      <c r="G2353">
        <v>15000</v>
      </c>
      <c r="H2353">
        <v>2.1499747999999999E-2</v>
      </c>
      <c r="I2353">
        <v>13811</v>
      </c>
      <c r="J2353">
        <v>4354</v>
      </c>
      <c r="K2353">
        <v>9457</v>
      </c>
      <c r="L2353">
        <v>500</v>
      </c>
      <c r="M2353">
        <v>499</v>
      </c>
      <c r="N2353">
        <v>1</v>
      </c>
      <c r="O2353">
        <v>1189</v>
      </c>
      <c r="P2353" s="3" t="s">
        <v>52</v>
      </c>
      <c r="Q2353">
        <v>50</v>
      </c>
      <c r="R2353">
        <v>0.999</v>
      </c>
      <c r="S2353">
        <v>1</v>
      </c>
    </row>
    <row r="2354" spans="1:19" x14ac:dyDescent="0.2">
      <c r="A2354" s="3" t="s">
        <v>54</v>
      </c>
      <c r="B2354" s="3" t="s">
        <v>55</v>
      </c>
      <c r="C2354">
        <v>49</v>
      </c>
      <c r="D2354">
        <v>15000</v>
      </c>
      <c r="E2354">
        <v>499</v>
      </c>
      <c r="F2354">
        <v>1</v>
      </c>
      <c r="G2354">
        <v>15000</v>
      </c>
      <c r="H2354">
        <v>2.1495185E-2</v>
      </c>
      <c r="I2354">
        <v>13794</v>
      </c>
      <c r="J2354">
        <v>4362</v>
      </c>
      <c r="K2354">
        <v>9432</v>
      </c>
      <c r="L2354">
        <v>500</v>
      </c>
      <c r="M2354">
        <v>499</v>
      </c>
      <c r="N2354">
        <v>1</v>
      </c>
      <c r="O2354">
        <v>1206</v>
      </c>
      <c r="P2354" s="3" t="s">
        <v>52</v>
      </c>
      <c r="Q2354">
        <v>50</v>
      </c>
      <c r="R2354">
        <v>0.999</v>
      </c>
      <c r="S2354">
        <v>1</v>
      </c>
    </row>
    <row r="2355" spans="1:19" x14ac:dyDescent="0.2">
      <c r="A2355" s="3" t="s">
        <v>54</v>
      </c>
      <c r="B2355" s="3" t="s">
        <v>55</v>
      </c>
      <c r="C2355">
        <v>8</v>
      </c>
      <c r="D2355">
        <v>11000</v>
      </c>
      <c r="E2355">
        <v>499</v>
      </c>
      <c r="F2355">
        <v>1</v>
      </c>
      <c r="G2355">
        <v>44062.122210792702</v>
      </c>
      <c r="H2355">
        <v>2.1493379999999999E-2</v>
      </c>
      <c r="I2355">
        <v>11000</v>
      </c>
      <c r="J2355">
        <v>3547</v>
      </c>
      <c r="K2355">
        <v>7453</v>
      </c>
      <c r="L2355">
        <v>500</v>
      </c>
      <c r="M2355">
        <v>499</v>
      </c>
      <c r="N2355">
        <v>1</v>
      </c>
      <c r="O2355">
        <v>0</v>
      </c>
      <c r="P2355" s="3" t="s">
        <v>51</v>
      </c>
      <c r="Q2355">
        <v>50</v>
      </c>
      <c r="R2355">
        <v>0.999</v>
      </c>
      <c r="S2355">
        <v>0</v>
      </c>
    </row>
    <row r="2356" spans="1:19" x14ac:dyDescent="0.2">
      <c r="A2356" s="3" t="s">
        <v>54</v>
      </c>
      <c r="B2356" s="3" t="s">
        <v>55</v>
      </c>
      <c r="C2356">
        <v>44</v>
      </c>
      <c r="D2356">
        <v>10000</v>
      </c>
      <c r="E2356">
        <v>499</v>
      </c>
      <c r="F2356">
        <v>1</v>
      </c>
      <c r="G2356">
        <v>10000</v>
      </c>
      <c r="H2356">
        <v>2.1480132999999998E-2</v>
      </c>
      <c r="I2356">
        <v>10000</v>
      </c>
      <c r="J2356">
        <v>4183</v>
      </c>
      <c r="K2356">
        <v>5817</v>
      </c>
      <c r="L2356">
        <v>500</v>
      </c>
      <c r="M2356">
        <v>499</v>
      </c>
      <c r="N2356">
        <v>1</v>
      </c>
      <c r="O2356">
        <v>0</v>
      </c>
      <c r="P2356" s="3" t="s">
        <v>51</v>
      </c>
      <c r="Q2356">
        <v>50</v>
      </c>
      <c r="R2356">
        <v>0.999</v>
      </c>
      <c r="S2356">
        <v>1</v>
      </c>
    </row>
    <row r="2357" spans="1:19" x14ac:dyDescent="0.2">
      <c r="A2357" s="3" t="s">
        <v>54</v>
      </c>
      <c r="B2357" s="3" t="s">
        <v>55</v>
      </c>
      <c r="C2357">
        <v>34</v>
      </c>
      <c r="D2357">
        <v>11000</v>
      </c>
      <c r="E2357">
        <v>499</v>
      </c>
      <c r="F2357">
        <v>1</v>
      </c>
      <c r="G2357">
        <v>11000</v>
      </c>
      <c r="H2357">
        <v>2.1477979000000001E-2</v>
      </c>
      <c r="I2357">
        <v>11000</v>
      </c>
      <c r="J2357">
        <v>4329</v>
      </c>
      <c r="K2357">
        <v>6671</v>
      </c>
      <c r="L2357">
        <v>500</v>
      </c>
      <c r="M2357">
        <v>499</v>
      </c>
      <c r="N2357">
        <v>1</v>
      </c>
      <c r="O2357">
        <v>0</v>
      </c>
      <c r="P2357" s="3" t="s">
        <v>51</v>
      </c>
      <c r="Q2357">
        <v>50</v>
      </c>
      <c r="R2357">
        <v>0.999</v>
      </c>
      <c r="S2357">
        <v>1</v>
      </c>
    </row>
    <row r="2358" spans="1:19" x14ac:dyDescent="0.2">
      <c r="A2358" s="3" t="s">
        <v>54</v>
      </c>
      <c r="B2358" s="3" t="s">
        <v>55</v>
      </c>
      <c r="C2358">
        <v>30</v>
      </c>
      <c r="D2358">
        <v>11000</v>
      </c>
      <c r="E2358">
        <v>499</v>
      </c>
      <c r="F2358">
        <v>1</v>
      </c>
      <c r="G2358">
        <v>11000</v>
      </c>
      <c r="H2358">
        <v>2.1477044000000001E-2</v>
      </c>
      <c r="I2358">
        <v>11000</v>
      </c>
      <c r="J2358">
        <v>4329</v>
      </c>
      <c r="K2358">
        <v>6671</v>
      </c>
      <c r="L2358">
        <v>500</v>
      </c>
      <c r="M2358">
        <v>499</v>
      </c>
      <c r="N2358">
        <v>1</v>
      </c>
      <c r="O2358">
        <v>0</v>
      </c>
      <c r="P2358" s="3" t="s">
        <v>51</v>
      </c>
      <c r="Q2358">
        <v>50</v>
      </c>
      <c r="R2358">
        <v>0.999</v>
      </c>
      <c r="S2358">
        <v>1</v>
      </c>
    </row>
    <row r="2359" spans="1:19" x14ac:dyDescent="0.2">
      <c r="A2359" s="3" t="s">
        <v>54</v>
      </c>
      <c r="B2359" s="3" t="s">
        <v>55</v>
      </c>
      <c r="C2359">
        <v>10</v>
      </c>
      <c r="D2359">
        <v>11000</v>
      </c>
      <c r="E2359">
        <v>499</v>
      </c>
      <c r="F2359">
        <v>1</v>
      </c>
      <c r="G2359">
        <v>44062.122210792702</v>
      </c>
      <c r="H2359">
        <v>2.1466136E-2</v>
      </c>
      <c r="I2359">
        <v>11000</v>
      </c>
      <c r="J2359">
        <v>3547</v>
      </c>
      <c r="K2359">
        <v>7453</v>
      </c>
      <c r="L2359">
        <v>500</v>
      </c>
      <c r="M2359">
        <v>499</v>
      </c>
      <c r="N2359">
        <v>1</v>
      </c>
      <c r="O2359">
        <v>0</v>
      </c>
      <c r="P2359" s="3" t="s">
        <v>51</v>
      </c>
      <c r="Q2359">
        <v>50</v>
      </c>
      <c r="R2359">
        <v>0.999</v>
      </c>
      <c r="S2359">
        <v>0</v>
      </c>
    </row>
    <row r="2360" spans="1:19" x14ac:dyDescent="0.2">
      <c r="A2360" s="3" t="s">
        <v>54</v>
      </c>
      <c r="B2360" s="3" t="s">
        <v>55</v>
      </c>
      <c r="C2360">
        <v>27</v>
      </c>
      <c r="D2360">
        <v>15000</v>
      </c>
      <c r="E2360">
        <v>499</v>
      </c>
      <c r="F2360">
        <v>1</v>
      </c>
      <c r="G2360">
        <v>15000</v>
      </c>
      <c r="H2360">
        <v>2.1450296000000001E-2</v>
      </c>
      <c r="I2360">
        <v>13786</v>
      </c>
      <c r="J2360">
        <v>4343</v>
      </c>
      <c r="K2360">
        <v>9443</v>
      </c>
      <c r="L2360">
        <v>500</v>
      </c>
      <c r="M2360">
        <v>499</v>
      </c>
      <c r="N2360">
        <v>1</v>
      </c>
      <c r="O2360">
        <v>1214</v>
      </c>
      <c r="P2360" s="3" t="s">
        <v>52</v>
      </c>
      <c r="Q2360">
        <v>50</v>
      </c>
      <c r="R2360">
        <v>0.999</v>
      </c>
      <c r="S2360">
        <v>1</v>
      </c>
    </row>
    <row r="2361" spans="1:19" x14ac:dyDescent="0.2">
      <c r="A2361" s="3" t="s">
        <v>54</v>
      </c>
      <c r="B2361" s="3" t="s">
        <v>55</v>
      </c>
      <c r="C2361">
        <v>42</v>
      </c>
      <c r="D2361">
        <v>11000</v>
      </c>
      <c r="E2361">
        <v>499</v>
      </c>
      <c r="F2361">
        <v>1</v>
      </c>
      <c r="G2361">
        <v>11000</v>
      </c>
      <c r="H2361">
        <v>2.1449506E-2</v>
      </c>
      <c r="I2361">
        <v>11000</v>
      </c>
      <c r="J2361">
        <v>4329</v>
      </c>
      <c r="K2361">
        <v>6671</v>
      </c>
      <c r="L2361">
        <v>500</v>
      </c>
      <c r="M2361">
        <v>499</v>
      </c>
      <c r="N2361">
        <v>1</v>
      </c>
      <c r="O2361">
        <v>0</v>
      </c>
      <c r="P2361" s="3" t="s">
        <v>51</v>
      </c>
      <c r="Q2361">
        <v>50</v>
      </c>
      <c r="R2361">
        <v>0.999</v>
      </c>
      <c r="S2361">
        <v>1</v>
      </c>
    </row>
    <row r="2362" spans="1:19" x14ac:dyDescent="0.2">
      <c r="A2362" s="3" t="s">
        <v>54</v>
      </c>
      <c r="B2362" s="3" t="s">
        <v>55</v>
      </c>
      <c r="C2362">
        <v>42</v>
      </c>
      <c r="D2362">
        <v>15000</v>
      </c>
      <c r="E2362">
        <v>499</v>
      </c>
      <c r="F2362">
        <v>1</v>
      </c>
      <c r="G2362">
        <v>15000</v>
      </c>
      <c r="H2362">
        <v>2.1449003000000001E-2</v>
      </c>
      <c r="I2362">
        <v>13815</v>
      </c>
      <c r="J2362">
        <v>4336</v>
      </c>
      <c r="K2362">
        <v>9479</v>
      </c>
      <c r="L2362">
        <v>500</v>
      </c>
      <c r="M2362">
        <v>499</v>
      </c>
      <c r="N2362">
        <v>1</v>
      </c>
      <c r="O2362">
        <v>1185</v>
      </c>
      <c r="P2362" s="3" t="s">
        <v>52</v>
      </c>
      <c r="Q2362">
        <v>50</v>
      </c>
      <c r="R2362">
        <v>0.999</v>
      </c>
      <c r="S2362">
        <v>1</v>
      </c>
    </row>
    <row r="2363" spans="1:19" x14ac:dyDescent="0.2">
      <c r="A2363" s="3" t="s">
        <v>54</v>
      </c>
      <c r="B2363" s="3" t="s">
        <v>55</v>
      </c>
      <c r="C2363">
        <v>14</v>
      </c>
      <c r="D2363">
        <v>11000</v>
      </c>
      <c r="E2363">
        <v>499</v>
      </c>
      <c r="F2363">
        <v>1</v>
      </c>
      <c r="G2363">
        <v>44062.122210792702</v>
      </c>
      <c r="H2363">
        <v>2.1446389999999999E-2</v>
      </c>
      <c r="I2363">
        <v>11000</v>
      </c>
      <c r="J2363">
        <v>3547</v>
      </c>
      <c r="K2363">
        <v>7453</v>
      </c>
      <c r="L2363">
        <v>500</v>
      </c>
      <c r="M2363">
        <v>499</v>
      </c>
      <c r="N2363">
        <v>1</v>
      </c>
      <c r="O2363">
        <v>0</v>
      </c>
      <c r="P2363" s="3" t="s">
        <v>51</v>
      </c>
      <c r="Q2363">
        <v>50</v>
      </c>
      <c r="R2363">
        <v>0.999</v>
      </c>
      <c r="S2363">
        <v>0</v>
      </c>
    </row>
    <row r="2364" spans="1:19" x14ac:dyDescent="0.2">
      <c r="A2364" s="3" t="s">
        <v>54</v>
      </c>
      <c r="B2364" s="3" t="s">
        <v>55</v>
      </c>
      <c r="C2364">
        <v>22</v>
      </c>
      <c r="D2364">
        <v>11000</v>
      </c>
      <c r="E2364">
        <v>499</v>
      </c>
      <c r="F2364">
        <v>1</v>
      </c>
      <c r="G2364">
        <v>11000</v>
      </c>
      <c r="H2364">
        <v>2.1445648000000001E-2</v>
      </c>
      <c r="I2364">
        <v>11000</v>
      </c>
      <c r="J2364">
        <v>4329</v>
      </c>
      <c r="K2364">
        <v>6671</v>
      </c>
      <c r="L2364">
        <v>500</v>
      </c>
      <c r="M2364">
        <v>499</v>
      </c>
      <c r="N2364">
        <v>1</v>
      </c>
      <c r="O2364">
        <v>0</v>
      </c>
      <c r="P2364" s="3" t="s">
        <v>51</v>
      </c>
      <c r="Q2364">
        <v>50</v>
      </c>
      <c r="R2364">
        <v>0.999</v>
      </c>
      <c r="S2364">
        <v>1</v>
      </c>
    </row>
    <row r="2365" spans="1:19" x14ac:dyDescent="0.2">
      <c r="A2365" s="3" t="s">
        <v>54</v>
      </c>
      <c r="B2365" s="3" t="s">
        <v>55</v>
      </c>
      <c r="C2365">
        <v>41</v>
      </c>
      <c r="D2365">
        <v>15000</v>
      </c>
      <c r="E2365">
        <v>499</v>
      </c>
      <c r="F2365">
        <v>1</v>
      </c>
      <c r="G2365">
        <v>15000</v>
      </c>
      <c r="H2365">
        <v>2.1442696000000001E-2</v>
      </c>
      <c r="I2365">
        <v>13812</v>
      </c>
      <c r="J2365">
        <v>4352</v>
      </c>
      <c r="K2365">
        <v>9460</v>
      </c>
      <c r="L2365">
        <v>500</v>
      </c>
      <c r="M2365">
        <v>499</v>
      </c>
      <c r="N2365">
        <v>1</v>
      </c>
      <c r="O2365">
        <v>1188</v>
      </c>
      <c r="P2365" s="3" t="s">
        <v>52</v>
      </c>
      <c r="Q2365">
        <v>50</v>
      </c>
      <c r="R2365">
        <v>0.999</v>
      </c>
      <c r="S2365">
        <v>1</v>
      </c>
    </row>
    <row r="2366" spans="1:19" x14ac:dyDescent="0.2">
      <c r="A2366" s="3" t="s">
        <v>54</v>
      </c>
      <c r="B2366" s="3" t="s">
        <v>55</v>
      </c>
      <c r="C2366">
        <v>19</v>
      </c>
      <c r="D2366">
        <v>15000</v>
      </c>
      <c r="E2366">
        <v>499</v>
      </c>
      <c r="F2366">
        <v>1</v>
      </c>
      <c r="G2366">
        <v>15000</v>
      </c>
      <c r="H2366">
        <v>2.1441742E-2</v>
      </c>
      <c r="I2366">
        <v>13796</v>
      </c>
      <c r="J2366">
        <v>4370</v>
      </c>
      <c r="K2366">
        <v>9426</v>
      </c>
      <c r="L2366">
        <v>500</v>
      </c>
      <c r="M2366">
        <v>499</v>
      </c>
      <c r="N2366">
        <v>1</v>
      </c>
      <c r="O2366">
        <v>1204</v>
      </c>
      <c r="P2366" s="3" t="s">
        <v>52</v>
      </c>
      <c r="Q2366">
        <v>50</v>
      </c>
      <c r="R2366">
        <v>0.999</v>
      </c>
      <c r="S2366">
        <v>1</v>
      </c>
    </row>
    <row r="2367" spans="1:19" x14ac:dyDescent="0.2">
      <c r="A2367" s="3" t="s">
        <v>54</v>
      </c>
      <c r="B2367" s="3" t="s">
        <v>55</v>
      </c>
      <c r="C2367">
        <v>38</v>
      </c>
      <c r="D2367">
        <v>14000</v>
      </c>
      <c r="E2367">
        <v>499</v>
      </c>
      <c r="F2367">
        <v>1</v>
      </c>
      <c r="G2367">
        <v>14000</v>
      </c>
      <c r="H2367">
        <v>2.1435793000000002E-2</v>
      </c>
      <c r="I2367">
        <v>13295</v>
      </c>
      <c r="J2367">
        <v>4092</v>
      </c>
      <c r="K2367">
        <v>9203</v>
      </c>
      <c r="L2367">
        <v>500</v>
      </c>
      <c r="M2367">
        <v>499</v>
      </c>
      <c r="N2367">
        <v>1</v>
      </c>
      <c r="O2367">
        <v>705</v>
      </c>
      <c r="P2367" s="3" t="s">
        <v>50</v>
      </c>
      <c r="Q2367">
        <v>50</v>
      </c>
      <c r="R2367">
        <v>0.999</v>
      </c>
      <c r="S2367">
        <v>1</v>
      </c>
    </row>
    <row r="2368" spans="1:19" x14ac:dyDescent="0.2">
      <c r="A2368" s="3" t="s">
        <v>54</v>
      </c>
      <c r="B2368" s="3" t="s">
        <v>55</v>
      </c>
      <c r="C2368">
        <v>45</v>
      </c>
      <c r="D2368">
        <v>11000</v>
      </c>
      <c r="E2368">
        <v>499</v>
      </c>
      <c r="F2368">
        <v>1</v>
      </c>
      <c r="G2368">
        <v>11000</v>
      </c>
      <c r="H2368">
        <v>2.1419761999999998E-2</v>
      </c>
      <c r="I2368">
        <v>11000</v>
      </c>
      <c r="J2368">
        <v>4329</v>
      </c>
      <c r="K2368">
        <v>6671</v>
      </c>
      <c r="L2368">
        <v>500</v>
      </c>
      <c r="M2368">
        <v>499</v>
      </c>
      <c r="N2368">
        <v>1</v>
      </c>
      <c r="O2368">
        <v>0</v>
      </c>
      <c r="P2368" s="3" t="s">
        <v>51</v>
      </c>
      <c r="Q2368">
        <v>50</v>
      </c>
      <c r="R2368">
        <v>0.999</v>
      </c>
      <c r="S2368">
        <v>1</v>
      </c>
    </row>
    <row r="2369" spans="1:19" x14ac:dyDescent="0.2">
      <c r="A2369" s="3" t="s">
        <v>54</v>
      </c>
      <c r="B2369" s="3" t="s">
        <v>55</v>
      </c>
      <c r="C2369">
        <v>29</v>
      </c>
      <c r="D2369">
        <v>11000</v>
      </c>
      <c r="E2369">
        <v>499</v>
      </c>
      <c r="F2369">
        <v>1</v>
      </c>
      <c r="G2369">
        <v>44062.122210792702</v>
      </c>
      <c r="H2369">
        <v>2.1407901E-2</v>
      </c>
      <c r="I2369">
        <v>11000</v>
      </c>
      <c r="J2369">
        <v>3547</v>
      </c>
      <c r="K2369">
        <v>7453</v>
      </c>
      <c r="L2369">
        <v>500</v>
      </c>
      <c r="M2369">
        <v>499</v>
      </c>
      <c r="N2369">
        <v>1</v>
      </c>
      <c r="O2369">
        <v>0</v>
      </c>
      <c r="P2369" s="3" t="s">
        <v>51</v>
      </c>
      <c r="Q2369">
        <v>50</v>
      </c>
      <c r="R2369">
        <v>0.999</v>
      </c>
      <c r="S2369">
        <v>0</v>
      </c>
    </row>
    <row r="2370" spans="1:19" x14ac:dyDescent="0.2">
      <c r="A2370" s="3" t="s">
        <v>54</v>
      </c>
      <c r="B2370" s="3" t="s">
        <v>55</v>
      </c>
      <c r="C2370">
        <v>7</v>
      </c>
      <c r="D2370">
        <v>15000</v>
      </c>
      <c r="E2370">
        <v>499</v>
      </c>
      <c r="F2370">
        <v>1</v>
      </c>
      <c r="G2370">
        <v>15000</v>
      </c>
      <c r="H2370">
        <v>2.1400556000000001E-2</v>
      </c>
      <c r="I2370">
        <v>13805</v>
      </c>
      <c r="J2370">
        <v>4360</v>
      </c>
      <c r="K2370">
        <v>9445</v>
      </c>
      <c r="L2370">
        <v>500</v>
      </c>
      <c r="M2370">
        <v>499</v>
      </c>
      <c r="N2370">
        <v>1</v>
      </c>
      <c r="O2370">
        <v>1195</v>
      </c>
      <c r="P2370" s="3" t="s">
        <v>52</v>
      </c>
      <c r="Q2370">
        <v>50</v>
      </c>
      <c r="R2370">
        <v>0.999</v>
      </c>
      <c r="S2370">
        <v>1</v>
      </c>
    </row>
    <row r="2371" spans="1:19" x14ac:dyDescent="0.2">
      <c r="A2371" s="3" t="s">
        <v>54</v>
      </c>
      <c r="B2371" s="3" t="s">
        <v>55</v>
      </c>
      <c r="C2371">
        <v>32</v>
      </c>
      <c r="D2371">
        <v>15000</v>
      </c>
      <c r="E2371">
        <v>499</v>
      </c>
      <c r="F2371">
        <v>1</v>
      </c>
      <c r="G2371">
        <v>15000</v>
      </c>
      <c r="H2371">
        <v>2.1397240000000001E-2</v>
      </c>
      <c r="I2371">
        <v>13831</v>
      </c>
      <c r="J2371">
        <v>4369</v>
      </c>
      <c r="K2371">
        <v>9462</v>
      </c>
      <c r="L2371">
        <v>500</v>
      </c>
      <c r="M2371">
        <v>499</v>
      </c>
      <c r="N2371">
        <v>1</v>
      </c>
      <c r="O2371">
        <v>1169</v>
      </c>
      <c r="P2371" s="3" t="s">
        <v>52</v>
      </c>
      <c r="Q2371">
        <v>50</v>
      </c>
      <c r="R2371">
        <v>0.999</v>
      </c>
      <c r="S2371">
        <v>1</v>
      </c>
    </row>
    <row r="2372" spans="1:19" x14ac:dyDescent="0.2">
      <c r="A2372" s="3" t="s">
        <v>54</v>
      </c>
      <c r="B2372" s="3" t="s">
        <v>55</v>
      </c>
      <c r="C2372">
        <v>3</v>
      </c>
      <c r="D2372">
        <v>11000</v>
      </c>
      <c r="E2372">
        <v>499</v>
      </c>
      <c r="F2372">
        <v>1</v>
      </c>
      <c r="G2372">
        <v>11000</v>
      </c>
      <c r="H2372">
        <v>2.1395434000000001E-2</v>
      </c>
      <c r="I2372">
        <v>11000</v>
      </c>
      <c r="J2372">
        <v>4329</v>
      </c>
      <c r="K2372">
        <v>6671</v>
      </c>
      <c r="L2372">
        <v>500</v>
      </c>
      <c r="M2372">
        <v>499</v>
      </c>
      <c r="N2372">
        <v>1</v>
      </c>
      <c r="O2372">
        <v>0</v>
      </c>
      <c r="P2372" s="3" t="s">
        <v>51</v>
      </c>
      <c r="Q2372">
        <v>50</v>
      </c>
      <c r="R2372">
        <v>0.999</v>
      </c>
      <c r="S2372">
        <v>1</v>
      </c>
    </row>
    <row r="2373" spans="1:19" x14ac:dyDescent="0.2">
      <c r="A2373" s="3" t="s">
        <v>54</v>
      </c>
      <c r="B2373" s="3" t="s">
        <v>55</v>
      </c>
      <c r="C2373">
        <v>14</v>
      </c>
      <c r="D2373">
        <v>15000</v>
      </c>
      <c r="E2373">
        <v>499</v>
      </c>
      <c r="F2373">
        <v>1</v>
      </c>
      <c r="G2373">
        <v>15000</v>
      </c>
      <c r="H2373">
        <v>2.1394462999999999E-2</v>
      </c>
      <c r="I2373">
        <v>13789</v>
      </c>
      <c r="J2373">
        <v>4365</v>
      </c>
      <c r="K2373">
        <v>9424</v>
      </c>
      <c r="L2373">
        <v>500</v>
      </c>
      <c r="M2373">
        <v>499</v>
      </c>
      <c r="N2373">
        <v>1</v>
      </c>
      <c r="O2373">
        <v>1211</v>
      </c>
      <c r="P2373" s="3" t="s">
        <v>52</v>
      </c>
      <c r="Q2373">
        <v>50</v>
      </c>
      <c r="R2373">
        <v>0.999</v>
      </c>
      <c r="S2373">
        <v>1</v>
      </c>
    </row>
    <row r="2374" spans="1:19" x14ac:dyDescent="0.2">
      <c r="A2374" s="3" t="s">
        <v>54</v>
      </c>
      <c r="B2374" s="3" t="s">
        <v>55</v>
      </c>
      <c r="C2374">
        <v>36</v>
      </c>
      <c r="D2374">
        <v>15000</v>
      </c>
      <c r="E2374">
        <v>499</v>
      </c>
      <c r="F2374">
        <v>1</v>
      </c>
      <c r="G2374">
        <v>15000</v>
      </c>
      <c r="H2374">
        <v>2.137083E-2</v>
      </c>
      <c r="I2374">
        <v>13788</v>
      </c>
      <c r="J2374">
        <v>4361</v>
      </c>
      <c r="K2374">
        <v>9427</v>
      </c>
      <c r="L2374">
        <v>500</v>
      </c>
      <c r="M2374">
        <v>499</v>
      </c>
      <c r="N2374">
        <v>1</v>
      </c>
      <c r="O2374">
        <v>1212</v>
      </c>
      <c r="P2374" s="3" t="s">
        <v>52</v>
      </c>
      <c r="Q2374">
        <v>50</v>
      </c>
      <c r="R2374">
        <v>0.999</v>
      </c>
      <c r="S2374">
        <v>1</v>
      </c>
    </row>
    <row r="2375" spans="1:19" x14ac:dyDescent="0.2">
      <c r="A2375" s="3" t="s">
        <v>54</v>
      </c>
      <c r="B2375" s="3" t="s">
        <v>55</v>
      </c>
      <c r="C2375">
        <v>50</v>
      </c>
      <c r="D2375">
        <v>15000</v>
      </c>
      <c r="E2375">
        <v>499</v>
      </c>
      <c r="F2375">
        <v>1</v>
      </c>
      <c r="G2375">
        <v>15000</v>
      </c>
      <c r="H2375">
        <v>2.1349251999999999E-2</v>
      </c>
      <c r="I2375">
        <v>13776</v>
      </c>
      <c r="J2375">
        <v>4326</v>
      </c>
      <c r="K2375">
        <v>9450</v>
      </c>
      <c r="L2375">
        <v>500</v>
      </c>
      <c r="M2375">
        <v>499</v>
      </c>
      <c r="N2375">
        <v>1</v>
      </c>
      <c r="O2375">
        <v>1224</v>
      </c>
      <c r="P2375" s="3" t="s">
        <v>52</v>
      </c>
      <c r="Q2375">
        <v>50</v>
      </c>
      <c r="R2375">
        <v>0.999</v>
      </c>
      <c r="S2375">
        <v>1</v>
      </c>
    </row>
    <row r="2376" spans="1:19" x14ac:dyDescent="0.2">
      <c r="A2376" s="3" t="s">
        <v>54</v>
      </c>
      <c r="B2376" s="3" t="s">
        <v>55</v>
      </c>
      <c r="C2376">
        <v>36</v>
      </c>
      <c r="D2376">
        <v>11000</v>
      </c>
      <c r="E2376">
        <v>499</v>
      </c>
      <c r="F2376">
        <v>1</v>
      </c>
      <c r="G2376">
        <v>44062.122210792702</v>
      </c>
      <c r="H2376">
        <v>2.1348491000000001E-2</v>
      </c>
      <c r="I2376">
        <v>11000</v>
      </c>
      <c r="J2376">
        <v>3547</v>
      </c>
      <c r="K2376">
        <v>7453</v>
      </c>
      <c r="L2376">
        <v>500</v>
      </c>
      <c r="M2376">
        <v>499</v>
      </c>
      <c r="N2376">
        <v>1</v>
      </c>
      <c r="O2376">
        <v>0</v>
      </c>
      <c r="P2376" s="3" t="s">
        <v>51</v>
      </c>
      <c r="Q2376">
        <v>50</v>
      </c>
      <c r="R2376">
        <v>0.999</v>
      </c>
      <c r="S2376">
        <v>0</v>
      </c>
    </row>
    <row r="2377" spans="1:19" x14ac:dyDescent="0.2">
      <c r="A2377" s="3" t="s">
        <v>54</v>
      </c>
      <c r="B2377" s="3" t="s">
        <v>55</v>
      </c>
      <c r="C2377">
        <v>40</v>
      </c>
      <c r="D2377">
        <v>12000</v>
      </c>
      <c r="E2377">
        <v>499</v>
      </c>
      <c r="F2377">
        <v>1</v>
      </c>
      <c r="G2377">
        <v>12000</v>
      </c>
      <c r="H2377">
        <v>2.134608E-2</v>
      </c>
      <c r="I2377">
        <v>11999</v>
      </c>
      <c r="J2377">
        <v>3722</v>
      </c>
      <c r="K2377">
        <v>8277</v>
      </c>
      <c r="L2377">
        <v>500</v>
      </c>
      <c r="M2377">
        <v>499</v>
      </c>
      <c r="N2377">
        <v>1</v>
      </c>
      <c r="O2377">
        <v>1</v>
      </c>
      <c r="P2377" s="3" t="s">
        <v>50</v>
      </c>
      <c r="Q2377">
        <v>50</v>
      </c>
      <c r="R2377">
        <v>0.999</v>
      </c>
      <c r="S2377">
        <v>1</v>
      </c>
    </row>
    <row r="2378" spans="1:19" x14ac:dyDescent="0.2">
      <c r="A2378" s="3" t="s">
        <v>54</v>
      </c>
      <c r="B2378" s="3" t="s">
        <v>55</v>
      </c>
      <c r="C2378">
        <v>40</v>
      </c>
      <c r="D2378">
        <v>15000</v>
      </c>
      <c r="E2378">
        <v>499</v>
      </c>
      <c r="F2378">
        <v>1</v>
      </c>
      <c r="G2378">
        <v>15000</v>
      </c>
      <c r="H2378">
        <v>2.1346042999999999E-2</v>
      </c>
      <c r="I2378">
        <v>13785</v>
      </c>
      <c r="J2378">
        <v>4373</v>
      </c>
      <c r="K2378">
        <v>9412</v>
      </c>
      <c r="L2378">
        <v>500</v>
      </c>
      <c r="M2378">
        <v>499</v>
      </c>
      <c r="N2378">
        <v>1</v>
      </c>
      <c r="O2378">
        <v>1215</v>
      </c>
      <c r="P2378" s="3" t="s">
        <v>52</v>
      </c>
      <c r="Q2378">
        <v>50</v>
      </c>
      <c r="R2378">
        <v>0.999</v>
      </c>
      <c r="S2378">
        <v>1</v>
      </c>
    </row>
    <row r="2379" spans="1:19" x14ac:dyDescent="0.2">
      <c r="A2379" s="3" t="s">
        <v>54</v>
      </c>
      <c r="B2379" s="3" t="s">
        <v>55</v>
      </c>
      <c r="C2379">
        <v>40</v>
      </c>
      <c r="D2379">
        <v>11000</v>
      </c>
      <c r="E2379">
        <v>499</v>
      </c>
      <c r="F2379">
        <v>1</v>
      </c>
      <c r="G2379">
        <v>44062.122210792702</v>
      </c>
      <c r="H2379">
        <v>2.1343212E-2</v>
      </c>
      <c r="I2379">
        <v>11000</v>
      </c>
      <c r="J2379">
        <v>3547</v>
      </c>
      <c r="K2379">
        <v>7453</v>
      </c>
      <c r="L2379">
        <v>500</v>
      </c>
      <c r="M2379">
        <v>499</v>
      </c>
      <c r="N2379">
        <v>1</v>
      </c>
      <c r="O2379">
        <v>0</v>
      </c>
      <c r="P2379" s="3" t="s">
        <v>51</v>
      </c>
      <c r="Q2379">
        <v>50</v>
      </c>
      <c r="R2379">
        <v>0.999</v>
      </c>
      <c r="S2379">
        <v>0</v>
      </c>
    </row>
    <row r="2380" spans="1:19" x14ac:dyDescent="0.2">
      <c r="A2380" s="3" t="s">
        <v>54</v>
      </c>
      <c r="B2380" s="3" t="s">
        <v>55</v>
      </c>
      <c r="C2380">
        <v>35</v>
      </c>
      <c r="D2380">
        <v>15000</v>
      </c>
      <c r="E2380">
        <v>499</v>
      </c>
      <c r="F2380">
        <v>1</v>
      </c>
      <c r="G2380">
        <v>15000</v>
      </c>
      <c r="H2380">
        <v>2.1342065E-2</v>
      </c>
      <c r="I2380">
        <v>13781</v>
      </c>
      <c r="J2380">
        <v>4371</v>
      </c>
      <c r="K2380">
        <v>9410</v>
      </c>
      <c r="L2380">
        <v>500</v>
      </c>
      <c r="M2380">
        <v>499</v>
      </c>
      <c r="N2380">
        <v>1</v>
      </c>
      <c r="O2380">
        <v>1219</v>
      </c>
      <c r="P2380" s="3" t="s">
        <v>52</v>
      </c>
      <c r="Q2380">
        <v>50</v>
      </c>
      <c r="R2380">
        <v>0.999</v>
      </c>
      <c r="S2380">
        <v>1</v>
      </c>
    </row>
    <row r="2381" spans="1:19" x14ac:dyDescent="0.2">
      <c r="A2381" s="3" t="s">
        <v>54</v>
      </c>
      <c r="B2381" s="3" t="s">
        <v>55</v>
      </c>
      <c r="C2381">
        <v>9</v>
      </c>
      <c r="D2381">
        <v>11000</v>
      </c>
      <c r="E2381">
        <v>499</v>
      </c>
      <c r="F2381">
        <v>1</v>
      </c>
      <c r="G2381">
        <v>11000</v>
      </c>
      <c r="H2381">
        <v>2.1342047999999999E-2</v>
      </c>
      <c r="I2381">
        <v>11000</v>
      </c>
      <c r="J2381">
        <v>4329</v>
      </c>
      <c r="K2381">
        <v>6671</v>
      </c>
      <c r="L2381">
        <v>500</v>
      </c>
      <c r="M2381">
        <v>499</v>
      </c>
      <c r="N2381">
        <v>1</v>
      </c>
      <c r="O2381">
        <v>0</v>
      </c>
      <c r="P2381" s="3" t="s">
        <v>51</v>
      </c>
      <c r="Q2381">
        <v>50</v>
      </c>
      <c r="R2381">
        <v>0.999</v>
      </c>
      <c r="S2381">
        <v>1</v>
      </c>
    </row>
    <row r="2382" spans="1:19" x14ac:dyDescent="0.2">
      <c r="A2382" s="3" t="s">
        <v>54</v>
      </c>
      <c r="B2382" s="3" t="s">
        <v>55</v>
      </c>
      <c r="C2382">
        <v>10</v>
      </c>
      <c r="D2382">
        <v>11000</v>
      </c>
      <c r="E2382">
        <v>499</v>
      </c>
      <c r="F2382">
        <v>1</v>
      </c>
      <c r="G2382">
        <v>11000</v>
      </c>
      <c r="H2382">
        <v>2.1340901999999998E-2</v>
      </c>
      <c r="I2382">
        <v>11000</v>
      </c>
      <c r="J2382">
        <v>4329</v>
      </c>
      <c r="K2382">
        <v>6671</v>
      </c>
      <c r="L2382">
        <v>500</v>
      </c>
      <c r="M2382">
        <v>499</v>
      </c>
      <c r="N2382">
        <v>1</v>
      </c>
      <c r="O2382">
        <v>0</v>
      </c>
      <c r="P2382" s="3" t="s">
        <v>51</v>
      </c>
      <c r="Q2382">
        <v>50</v>
      </c>
      <c r="R2382">
        <v>0.999</v>
      </c>
      <c r="S2382">
        <v>1</v>
      </c>
    </row>
    <row r="2383" spans="1:19" x14ac:dyDescent="0.2">
      <c r="A2383" s="3" t="s">
        <v>54</v>
      </c>
      <c r="B2383" s="3" t="s">
        <v>55</v>
      </c>
      <c r="C2383">
        <v>47</v>
      </c>
      <c r="D2383">
        <v>15000</v>
      </c>
      <c r="E2383">
        <v>499</v>
      </c>
      <c r="F2383">
        <v>1</v>
      </c>
      <c r="G2383">
        <v>15000</v>
      </c>
      <c r="H2383">
        <v>2.1328315E-2</v>
      </c>
      <c r="I2383">
        <v>13795</v>
      </c>
      <c r="J2383">
        <v>4320</v>
      </c>
      <c r="K2383">
        <v>9475</v>
      </c>
      <c r="L2383">
        <v>500</v>
      </c>
      <c r="M2383">
        <v>499</v>
      </c>
      <c r="N2383">
        <v>1</v>
      </c>
      <c r="O2383">
        <v>1205</v>
      </c>
      <c r="P2383" s="3" t="s">
        <v>52</v>
      </c>
      <c r="Q2383">
        <v>50</v>
      </c>
      <c r="R2383">
        <v>0.999</v>
      </c>
      <c r="S2383">
        <v>1</v>
      </c>
    </row>
    <row r="2384" spans="1:19" x14ac:dyDescent="0.2">
      <c r="A2384" s="3" t="s">
        <v>54</v>
      </c>
      <c r="B2384" s="3" t="s">
        <v>55</v>
      </c>
      <c r="C2384">
        <v>42</v>
      </c>
      <c r="D2384">
        <v>11000</v>
      </c>
      <c r="E2384">
        <v>499</v>
      </c>
      <c r="F2384">
        <v>1</v>
      </c>
      <c r="G2384">
        <v>44062.122210792702</v>
      </c>
      <c r="H2384">
        <v>2.1304426000000001E-2</v>
      </c>
      <c r="I2384">
        <v>11000</v>
      </c>
      <c r="J2384">
        <v>3547</v>
      </c>
      <c r="K2384">
        <v>7453</v>
      </c>
      <c r="L2384">
        <v>500</v>
      </c>
      <c r="M2384">
        <v>499</v>
      </c>
      <c r="N2384">
        <v>1</v>
      </c>
      <c r="O2384">
        <v>0</v>
      </c>
      <c r="P2384" s="3" t="s">
        <v>51</v>
      </c>
      <c r="Q2384">
        <v>50</v>
      </c>
      <c r="R2384">
        <v>0.999</v>
      </c>
      <c r="S2384">
        <v>0</v>
      </c>
    </row>
    <row r="2385" spans="1:19" x14ac:dyDescent="0.2">
      <c r="A2385" s="3" t="s">
        <v>54</v>
      </c>
      <c r="B2385" s="3" t="s">
        <v>55</v>
      </c>
      <c r="C2385">
        <v>21</v>
      </c>
      <c r="D2385">
        <v>10000</v>
      </c>
      <c r="E2385">
        <v>499</v>
      </c>
      <c r="F2385">
        <v>1</v>
      </c>
      <c r="G2385">
        <v>39482.677260513999</v>
      </c>
      <c r="H2385">
        <v>2.1292126000000001E-2</v>
      </c>
      <c r="I2385">
        <v>10000</v>
      </c>
      <c r="J2385">
        <v>3500</v>
      </c>
      <c r="K2385">
        <v>6500</v>
      </c>
      <c r="L2385">
        <v>500</v>
      </c>
      <c r="M2385">
        <v>499</v>
      </c>
      <c r="N2385">
        <v>1</v>
      </c>
      <c r="O2385">
        <v>0</v>
      </c>
      <c r="P2385" s="3" t="s">
        <v>51</v>
      </c>
      <c r="Q2385">
        <v>50</v>
      </c>
      <c r="R2385">
        <v>0.999</v>
      </c>
      <c r="S2385">
        <v>0</v>
      </c>
    </row>
    <row r="2386" spans="1:19" x14ac:dyDescent="0.2">
      <c r="A2386" s="3" t="s">
        <v>54</v>
      </c>
      <c r="B2386" s="3" t="s">
        <v>55</v>
      </c>
      <c r="C2386">
        <v>43</v>
      </c>
      <c r="D2386">
        <v>15000</v>
      </c>
      <c r="E2386">
        <v>499</v>
      </c>
      <c r="F2386">
        <v>1</v>
      </c>
      <c r="G2386">
        <v>15000</v>
      </c>
      <c r="H2386">
        <v>2.1288229999999998E-2</v>
      </c>
      <c r="I2386">
        <v>13798</v>
      </c>
      <c r="J2386">
        <v>4371</v>
      </c>
      <c r="K2386">
        <v>9427</v>
      </c>
      <c r="L2386">
        <v>500</v>
      </c>
      <c r="M2386">
        <v>499</v>
      </c>
      <c r="N2386">
        <v>1</v>
      </c>
      <c r="O2386">
        <v>1202</v>
      </c>
      <c r="P2386" s="3" t="s">
        <v>52</v>
      </c>
      <c r="Q2386">
        <v>50</v>
      </c>
      <c r="R2386">
        <v>0.999</v>
      </c>
      <c r="S2386">
        <v>1</v>
      </c>
    </row>
    <row r="2387" spans="1:19" x14ac:dyDescent="0.2">
      <c r="A2387" s="3" t="s">
        <v>54</v>
      </c>
      <c r="B2387" s="3" t="s">
        <v>55</v>
      </c>
      <c r="C2387">
        <v>23</v>
      </c>
      <c r="D2387">
        <v>15000</v>
      </c>
      <c r="E2387">
        <v>499</v>
      </c>
      <c r="F2387">
        <v>1</v>
      </c>
      <c r="G2387">
        <v>15000</v>
      </c>
      <c r="H2387">
        <v>2.1286553E-2</v>
      </c>
      <c r="I2387">
        <v>13788</v>
      </c>
      <c r="J2387">
        <v>4310</v>
      </c>
      <c r="K2387">
        <v>9478</v>
      </c>
      <c r="L2387">
        <v>500</v>
      </c>
      <c r="M2387">
        <v>499</v>
      </c>
      <c r="N2387">
        <v>1</v>
      </c>
      <c r="O2387">
        <v>1212</v>
      </c>
      <c r="P2387" s="3" t="s">
        <v>52</v>
      </c>
      <c r="Q2387">
        <v>50</v>
      </c>
      <c r="R2387">
        <v>0.999</v>
      </c>
      <c r="S2387">
        <v>1</v>
      </c>
    </row>
    <row r="2388" spans="1:19" x14ac:dyDescent="0.2">
      <c r="A2388" s="3" t="s">
        <v>54</v>
      </c>
      <c r="B2388" s="3" t="s">
        <v>55</v>
      </c>
      <c r="C2388">
        <v>16</v>
      </c>
      <c r="D2388">
        <v>15000</v>
      </c>
      <c r="E2388">
        <v>499</v>
      </c>
      <c r="F2388">
        <v>1</v>
      </c>
      <c r="G2388">
        <v>15000</v>
      </c>
      <c r="H2388">
        <v>2.1282316999999999E-2</v>
      </c>
      <c r="I2388">
        <v>13784</v>
      </c>
      <c r="J2388">
        <v>4338</v>
      </c>
      <c r="K2388">
        <v>9446</v>
      </c>
      <c r="L2388">
        <v>500</v>
      </c>
      <c r="M2388">
        <v>499</v>
      </c>
      <c r="N2388">
        <v>1</v>
      </c>
      <c r="O2388">
        <v>1216</v>
      </c>
      <c r="P2388" s="3" t="s">
        <v>52</v>
      </c>
      <c r="Q2388">
        <v>50</v>
      </c>
      <c r="R2388">
        <v>0.999</v>
      </c>
      <c r="S2388">
        <v>1</v>
      </c>
    </row>
    <row r="2389" spans="1:19" x14ac:dyDescent="0.2">
      <c r="A2389" s="3" t="s">
        <v>54</v>
      </c>
      <c r="B2389" s="3" t="s">
        <v>55</v>
      </c>
      <c r="C2389">
        <v>44</v>
      </c>
      <c r="D2389">
        <v>15000</v>
      </c>
      <c r="E2389">
        <v>499</v>
      </c>
      <c r="F2389">
        <v>1</v>
      </c>
      <c r="G2389">
        <v>15000</v>
      </c>
      <c r="H2389">
        <v>2.1281135E-2</v>
      </c>
      <c r="I2389">
        <v>13801</v>
      </c>
      <c r="J2389">
        <v>4346</v>
      </c>
      <c r="K2389">
        <v>9455</v>
      </c>
      <c r="L2389">
        <v>500</v>
      </c>
      <c r="M2389">
        <v>499</v>
      </c>
      <c r="N2389">
        <v>1</v>
      </c>
      <c r="O2389">
        <v>1199</v>
      </c>
      <c r="P2389" s="3" t="s">
        <v>52</v>
      </c>
      <c r="Q2389">
        <v>50</v>
      </c>
      <c r="R2389">
        <v>0.999</v>
      </c>
      <c r="S2389">
        <v>1</v>
      </c>
    </row>
    <row r="2390" spans="1:19" x14ac:dyDescent="0.2">
      <c r="A2390" s="3" t="s">
        <v>54</v>
      </c>
      <c r="B2390" s="3" t="s">
        <v>55</v>
      </c>
      <c r="C2390">
        <v>13</v>
      </c>
      <c r="D2390">
        <v>10000</v>
      </c>
      <c r="E2390">
        <v>499</v>
      </c>
      <c r="F2390">
        <v>1</v>
      </c>
      <c r="G2390">
        <v>10000</v>
      </c>
      <c r="H2390">
        <v>2.1277816000000001E-2</v>
      </c>
      <c r="I2390">
        <v>10000</v>
      </c>
      <c r="J2390">
        <v>4183</v>
      </c>
      <c r="K2390">
        <v>5817</v>
      </c>
      <c r="L2390">
        <v>500</v>
      </c>
      <c r="M2390">
        <v>499</v>
      </c>
      <c r="N2390">
        <v>1</v>
      </c>
      <c r="O2390">
        <v>0</v>
      </c>
      <c r="P2390" s="3" t="s">
        <v>51</v>
      </c>
      <c r="Q2390">
        <v>50</v>
      </c>
      <c r="R2390">
        <v>0.999</v>
      </c>
      <c r="S2390">
        <v>1</v>
      </c>
    </row>
    <row r="2391" spans="1:19" x14ac:dyDescent="0.2">
      <c r="A2391" s="3" t="s">
        <v>54</v>
      </c>
      <c r="B2391" s="3" t="s">
        <v>55</v>
      </c>
      <c r="C2391">
        <v>46</v>
      </c>
      <c r="D2391">
        <v>11000</v>
      </c>
      <c r="E2391">
        <v>499</v>
      </c>
      <c r="F2391">
        <v>1</v>
      </c>
      <c r="G2391">
        <v>11000</v>
      </c>
      <c r="H2391">
        <v>2.1270126E-2</v>
      </c>
      <c r="I2391">
        <v>11000</v>
      </c>
      <c r="J2391">
        <v>4329</v>
      </c>
      <c r="K2391">
        <v>6671</v>
      </c>
      <c r="L2391">
        <v>500</v>
      </c>
      <c r="M2391">
        <v>499</v>
      </c>
      <c r="N2391">
        <v>1</v>
      </c>
      <c r="O2391">
        <v>0</v>
      </c>
      <c r="P2391" s="3" t="s">
        <v>51</v>
      </c>
      <c r="Q2391">
        <v>50</v>
      </c>
      <c r="R2391">
        <v>0.999</v>
      </c>
      <c r="S2391">
        <v>1</v>
      </c>
    </row>
    <row r="2392" spans="1:19" x14ac:dyDescent="0.2">
      <c r="A2392" s="3" t="s">
        <v>54</v>
      </c>
      <c r="B2392" s="3" t="s">
        <v>55</v>
      </c>
      <c r="C2392">
        <v>33</v>
      </c>
      <c r="D2392">
        <v>11000</v>
      </c>
      <c r="E2392">
        <v>499</v>
      </c>
      <c r="F2392">
        <v>1</v>
      </c>
      <c r="G2392">
        <v>11000</v>
      </c>
      <c r="H2392">
        <v>2.1268209E-2</v>
      </c>
      <c r="I2392">
        <v>11000</v>
      </c>
      <c r="J2392">
        <v>4329</v>
      </c>
      <c r="K2392">
        <v>6671</v>
      </c>
      <c r="L2392">
        <v>500</v>
      </c>
      <c r="M2392">
        <v>499</v>
      </c>
      <c r="N2392">
        <v>1</v>
      </c>
      <c r="O2392">
        <v>0</v>
      </c>
      <c r="P2392" s="3" t="s">
        <v>51</v>
      </c>
      <c r="Q2392">
        <v>50</v>
      </c>
      <c r="R2392">
        <v>0.999</v>
      </c>
      <c r="S2392">
        <v>1</v>
      </c>
    </row>
    <row r="2393" spans="1:19" x14ac:dyDescent="0.2">
      <c r="A2393" s="3" t="s">
        <v>54</v>
      </c>
      <c r="B2393" s="3" t="s">
        <v>55</v>
      </c>
      <c r="C2393">
        <v>2</v>
      </c>
      <c r="D2393">
        <v>15000</v>
      </c>
      <c r="E2393">
        <v>499</v>
      </c>
      <c r="F2393">
        <v>1</v>
      </c>
      <c r="G2393">
        <v>15000</v>
      </c>
      <c r="H2393">
        <v>2.1252285999999999E-2</v>
      </c>
      <c r="I2393">
        <v>13798</v>
      </c>
      <c r="J2393">
        <v>4352</v>
      </c>
      <c r="K2393">
        <v>9446</v>
      </c>
      <c r="L2393">
        <v>500</v>
      </c>
      <c r="M2393">
        <v>499</v>
      </c>
      <c r="N2393">
        <v>1</v>
      </c>
      <c r="O2393">
        <v>1202</v>
      </c>
      <c r="P2393" s="3" t="s">
        <v>52</v>
      </c>
      <c r="Q2393">
        <v>50</v>
      </c>
      <c r="R2393">
        <v>0.999</v>
      </c>
      <c r="S2393">
        <v>1</v>
      </c>
    </row>
    <row r="2394" spans="1:19" x14ac:dyDescent="0.2">
      <c r="A2394" s="3" t="s">
        <v>54</v>
      </c>
      <c r="B2394" s="3" t="s">
        <v>55</v>
      </c>
      <c r="C2394">
        <v>14</v>
      </c>
      <c r="D2394">
        <v>14000</v>
      </c>
      <c r="E2394">
        <v>499</v>
      </c>
      <c r="F2394">
        <v>1</v>
      </c>
      <c r="G2394">
        <v>14000</v>
      </c>
      <c r="H2394">
        <v>2.1251068000000001E-2</v>
      </c>
      <c r="I2394">
        <v>13321</v>
      </c>
      <c r="J2394">
        <v>4098</v>
      </c>
      <c r="K2394">
        <v>9223</v>
      </c>
      <c r="L2394">
        <v>500</v>
      </c>
      <c r="M2394">
        <v>499</v>
      </c>
      <c r="N2394">
        <v>1</v>
      </c>
      <c r="O2394">
        <v>679</v>
      </c>
      <c r="P2394" s="3" t="s">
        <v>50</v>
      </c>
      <c r="Q2394">
        <v>50</v>
      </c>
      <c r="R2394">
        <v>0.999</v>
      </c>
      <c r="S2394">
        <v>1</v>
      </c>
    </row>
    <row r="2395" spans="1:19" x14ac:dyDescent="0.2">
      <c r="A2395" s="3" t="s">
        <v>54</v>
      </c>
      <c r="B2395" s="3" t="s">
        <v>55</v>
      </c>
      <c r="C2395">
        <v>20</v>
      </c>
      <c r="D2395">
        <v>15000</v>
      </c>
      <c r="E2395">
        <v>499</v>
      </c>
      <c r="F2395">
        <v>1</v>
      </c>
      <c r="G2395">
        <v>15000</v>
      </c>
      <c r="H2395">
        <v>2.1250344000000001E-2</v>
      </c>
      <c r="I2395">
        <v>13792</v>
      </c>
      <c r="J2395">
        <v>4322</v>
      </c>
      <c r="K2395">
        <v>9470</v>
      </c>
      <c r="L2395">
        <v>500</v>
      </c>
      <c r="M2395">
        <v>499</v>
      </c>
      <c r="N2395">
        <v>1</v>
      </c>
      <c r="O2395">
        <v>1208</v>
      </c>
      <c r="P2395" s="3" t="s">
        <v>52</v>
      </c>
      <c r="Q2395">
        <v>50</v>
      </c>
      <c r="R2395">
        <v>0.999</v>
      </c>
      <c r="S2395">
        <v>1</v>
      </c>
    </row>
    <row r="2396" spans="1:19" x14ac:dyDescent="0.2">
      <c r="A2396" s="3" t="s">
        <v>54</v>
      </c>
      <c r="B2396" s="3" t="s">
        <v>55</v>
      </c>
      <c r="C2396">
        <v>27</v>
      </c>
      <c r="D2396">
        <v>10000</v>
      </c>
      <c r="E2396">
        <v>499</v>
      </c>
      <c r="F2396">
        <v>1</v>
      </c>
      <c r="G2396">
        <v>10000</v>
      </c>
      <c r="H2396">
        <v>2.1242753999999999E-2</v>
      </c>
      <c r="I2396">
        <v>10000</v>
      </c>
      <c r="J2396">
        <v>4183</v>
      </c>
      <c r="K2396">
        <v>5817</v>
      </c>
      <c r="L2396">
        <v>500</v>
      </c>
      <c r="M2396">
        <v>499</v>
      </c>
      <c r="N2396">
        <v>1</v>
      </c>
      <c r="O2396">
        <v>0</v>
      </c>
      <c r="P2396" s="3" t="s">
        <v>51</v>
      </c>
      <c r="Q2396">
        <v>50</v>
      </c>
      <c r="R2396">
        <v>0.999</v>
      </c>
      <c r="S2396">
        <v>1</v>
      </c>
    </row>
    <row r="2397" spans="1:19" x14ac:dyDescent="0.2">
      <c r="A2397" s="3" t="s">
        <v>54</v>
      </c>
      <c r="B2397" s="3" t="s">
        <v>55</v>
      </c>
      <c r="C2397">
        <v>10</v>
      </c>
      <c r="D2397">
        <v>10000</v>
      </c>
      <c r="E2397">
        <v>499</v>
      </c>
      <c r="F2397">
        <v>1</v>
      </c>
      <c r="G2397">
        <v>10000</v>
      </c>
      <c r="H2397">
        <v>2.1240131999999998E-2</v>
      </c>
      <c r="I2397">
        <v>10000</v>
      </c>
      <c r="J2397">
        <v>4183</v>
      </c>
      <c r="K2397">
        <v>5817</v>
      </c>
      <c r="L2397">
        <v>500</v>
      </c>
      <c r="M2397">
        <v>499</v>
      </c>
      <c r="N2397">
        <v>1</v>
      </c>
      <c r="O2397">
        <v>0</v>
      </c>
      <c r="P2397" s="3" t="s">
        <v>51</v>
      </c>
      <c r="Q2397">
        <v>50</v>
      </c>
      <c r="R2397">
        <v>0.999</v>
      </c>
      <c r="S2397">
        <v>1</v>
      </c>
    </row>
    <row r="2398" spans="1:19" x14ac:dyDescent="0.2">
      <c r="A2398" s="3" t="s">
        <v>54</v>
      </c>
      <c r="B2398" s="3" t="s">
        <v>55</v>
      </c>
      <c r="C2398">
        <v>7</v>
      </c>
      <c r="D2398">
        <v>11000</v>
      </c>
      <c r="E2398">
        <v>499</v>
      </c>
      <c r="F2398">
        <v>1</v>
      </c>
      <c r="G2398">
        <v>44062.122210792702</v>
      </c>
      <c r="H2398">
        <v>2.1238757E-2</v>
      </c>
      <c r="I2398">
        <v>11000</v>
      </c>
      <c r="J2398">
        <v>3547</v>
      </c>
      <c r="K2398">
        <v>7453</v>
      </c>
      <c r="L2398">
        <v>500</v>
      </c>
      <c r="M2398">
        <v>499</v>
      </c>
      <c r="N2398">
        <v>1</v>
      </c>
      <c r="O2398">
        <v>0</v>
      </c>
      <c r="P2398" s="3" t="s">
        <v>51</v>
      </c>
      <c r="Q2398">
        <v>50</v>
      </c>
      <c r="R2398">
        <v>0.999</v>
      </c>
      <c r="S2398">
        <v>0</v>
      </c>
    </row>
    <row r="2399" spans="1:19" x14ac:dyDescent="0.2">
      <c r="A2399" s="3" t="s">
        <v>54</v>
      </c>
      <c r="B2399" s="3" t="s">
        <v>55</v>
      </c>
      <c r="C2399">
        <v>20</v>
      </c>
      <c r="D2399">
        <v>10000</v>
      </c>
      <c r="E2399">
        <v>499</v>
      </c>
      <c r="F2399">
        <v>1</v>
      </c>
      <c r="G2399">
        <v>39482.677260513999</v>
      </c>
      <c r="H2399">
        <v>2.1238263E-2</v>
      </c>
      <c r="I2399">
        <v>10000</v>
      </c>
      <c r="J2399">
        <v>3500</v>
      </c>
      <c r="K2399">
        <v>6500</v>
      </c>
      <c r="L2399">
        <v>500</v>
      </c>
      <c r="M2399">
        <v>499</v>
      </c>
      <c r="N2399">
        <v>1</v>
      </c>
      <c r="O2399">
        <v>0</v>
      </c>
      <c r="P2399" s="3" t="s">
        <v>51</v>
      </c>
      <c r="Q2399">
        <v>50</v>
      </c>
      <c r="R2399">
        <v>0.999</v>
      </c>
      <c r="S2399">
        <v>0</v>
      </c>
    </row>
    <row r="2400" spans="1:19" x14ac:dyDescent="0.2">
      <c r="A2400" s="3" t="s">
        <v>54</v>
      </c>
      <c r="B2400" s="3" t="s">
        <v>55</v>
      </c>
      <c r="C2400">
        <v>5</v>
      </c>
      <c r="D2400">
        <v>10000</v>
      </c>
      <c r="E2400">
        <v>499</v>
      </c>
      <c r="F2400">
        <v>1</v>
      </c>
      <c r="G2400">
        <v>10000</v>
      </c>
      <c r="H2400">
        <v>2.1237775E-2</v>
      </c>
      <c r="I2400">
        <v>10000</v>
      </c>
      <c r="J2400">
        <v>4183</v>
      </c>
      <c r="K2400">
        <v>5817</v>
      </c>
      <c r="L2400">
        <v>500</v>
      </c>
      <c r="M2400">
        <v>499</v>
      </c>
      <c r="N2400">
        <v>1</v>
      </c>
      <c r="O2400">
        <v>0</v>
      </c>
      <c r="P2400" s="3" t="s">
        <v>51</v>
      </c>
      <c r="Q2400">
        <v>50</v>
      </c>
      <c r="R2400">
        <v>0.999</v>
      </c>
      <c r="S2400">
        <v>1</v>
      </c>
    </row>
    <row r="2401" spans="1:19" x14ac:dyDescent="0.2">
      <c r="A2401" s="3" t="s">
        <v>54</v>
      </c>
      <c r="B2401" s="3" t="s">
        <v>55</v>
      </c>
      <c r="C2401">
        <v>29</v>
      </c>
      <c r="D2401">
        <v>11000</v>
      </c>
      <c r="E2401">
        <v>499</v>
      </c>
      <c r="F2401">
        <v>1</v>
      </c>
      <c r="G2401">
        <v>11000</v>
      </c>
      <c r="H2401">
        <v>2.1233861999999999E-2</v>
      </c>
      <c r="I2401">
        <v>11000</v>
      </c>
      <c r="J2401">
        <v>4329</v>
      </c>
      <c r="K2401">
        <v>6671</v>
      </c>
      <c r="L2401">
        <v>500</v>
      </c>
      <c r="M2401">
        <v>499</v>
      </c>
      <c r="N2401">
        <v>1</v>
      </c>
      <c r="O2401">
        <v>0</v>
      </c>
      <c r="P2401" s="3" t="s">
        <v>51</v>
      </c>
      <c r="Q2401">
        <v>50</v>
      </c>
      <c r="R2401">
        <v>0.999</v>
      </c>
      <c r="S2401">
        <v>1</v>
      </c>
    </row>
    <row r="2402" spans="1:19" x14ac:dyDescent="0.2">
      <c r="A2402" s="3" t="s">
        <v>54</v>
      </c>
      <c r="B2402" s="3" t="s">
        <v>55</v>
      </c>
      <c r="C2402">
        <v>46</v>
      </c>
      <c r="D2402">
        <v>10000</v>
      </c>
      <c r="E2402">
        <v>499</v>
      </c>
      <c r="F2402">
        <v>1</v>
      </c>
      <c r="G2402">
        <v>10000</v>
      </c>
      <c r="H2402">
        <v>2.1233202E-2</v>
      </c>
      <c r="I2402">
        <v>10000</v>
      </c>
      <c r="J2402">
        <v>4183</v>
      </c>
      <c r="K2402">
        <v>5817</v>
      </c>
      <c r="L2402">
        <v>500</v>
      </c>
      <c r="M2402">
        <v>499</v>
      </c>
      <c r="N2402">
        <v>1</v>
      </c>
      <c r="O2402">
        <v>0</v>
      </c>
      <c r="P2402" s="3" t="s">
        <v>51</v>
      </c>
      <c r="Q2402">
        <v>50</v>
      </c>
      <c r="R2402">
        <v>0.999</v>
      </c>
      <c r="S2402">
        <v>1</v>
      </c>
    </row>
    <row r="2403" spans="1:19" x14ac:dyDescent="0.2">
      <c r="A2403" s="3" t="s">
        <v>54</v>
      </c>
      <c r="B2403" s="3" t="s">
        <v>55</v>
      </c>
      <c r="C2403">
        <v>49</v>
      </c>
      <c r="D2403">
        <v>11000</v>
      </c>
      <c r="E2403">
        <v>499</v>
      </c>
      <c r="F2403">
        <v>1</v>
      </c>
      <c r="G2403">
        <v>11000</v>
      </c>
      <c r="H2403">
        <v>2.1233037999999999E-2</v>
      </c>
      <c r="I2403">
        <v>11000</v>
      </c>
      <c r="J2403">
        <v>4329</v>
      </c>
      <c r="K2403">
        <v>6671</v>
      </c>
      <c r="L2403">
        <v>500</v>
      </c>
      <c r="M2403">
        <v>499</v>
      </c>
      <c r="N2403">
        <v>1</v>
      </c>
      <c r="O2403">
        <v>0</v>
      </c>
      <c r="P2403" s="3" t="s">
        <v>51</v>
      </c>
      <c r="Q2403">
        <v>50</v>
      </c>
      <c r="R2403">
        <v>0.999</v>
      </c>
      <c r="S2403">
        <v>1</v>
      </c>
    </row>
    <row r="2404" spans="1:19" x14ac:dyDescent="0.2">
      <c r="A2404" s="3" t="s">
        <v>54</v>
      </c>
      <c r="B2404" s="3" t="s">
        <v>55</v>
      </c>
      <c r="C2404">
        <v>22</v>
      </c>
      <c r="D2404">
        <v>10000</v>
      </c>
      <c r="E2404">
        <v>499</v>
      </c>
      <c r="F2404">
        <v>1</v>
      </c>
      <c r="G2404">
        <v>10000</v>
      </c>
      <c r="H2404">
        <v>2.1226997000000001E-2</v>
      </c>
      <c r="I2404">
        <v>10000</v>
      </c>
      <c r="J2404">
        <v>4183</v>
      </c>
      <c r="K2404">
        <v>5817</v>
      </c>
      <c r="L2404">
        <v>500</v>
      </c>
      <c r="M2404">
        <v>499</v>
      </c>
      <c r="N2404">
        <v>1</v>
      </c>
      <c r="O2404">
        <v>0</v>
      </c>
      <c r="P2404" s="3" t="s">
        <v>51</v>
      </c>
      <c r="Q2404">
        <v>50</v>
      </c>
      <c r="R2404">
        <v>0.999</v>
      </c>
      <c r="S2404">
        <v>1</v>
      </c>
    </row>
    <row r="2405" spans="1:19" x14ac:dyDescent="0.2">
      <c r="A2405" s="3" t="s">
        <v>54</v>
      </c>
      <c r="B2405" s="3" t="s">
        <v>55</v>
      </c>
      <c r="C2405">
        <v>21</v>
      </c>
      <c r="D2405">
        <v>15000</v>
      </c>
      <c r="E2405">
        <v>499</v>
      </c>
      <c r="F2405">
        <v>1</v>
      </c>
      <c r="G2405">
        <v>15000</v>
      </c>
      <c r="H2405">
        <v>2.1226371000000001E-2</v>
      </c>
      <c r="I2405">
        <v>13783</v>
      </c>
      <c r="J2405">
        <v>4362</v>
      </c>
      <c r="K2405">
        <v>9421</v>
      </c>
      <c r="L2405">
        <v>500</v>
      </c>
      <c r="M2405">
        <v>499</v>
      </c>
      <c r="N2405">
        <v>1</v>
      </c>
      <c r="O2405">
        <v>1217</v>
      </c>
      <c r="P2405" s="3" t="s">
        <v>52</v>
      </c>
      <c r="Q2405">
        <v>50</v>
      </c>
      <c r="R2405">
        <v>0.999</v>
      </c>
      <c r="S2405">
        <v>1</v>
      </c>
    </row>
    <row r="2406" spans="1:19" x14ac:dyDescent="0.2">
      <c r="A2406" s="3" t="s">
        <v>54</v>
      </c>
      <c r="B2406" s="3" t="s">
        <v>55</v>
      </c>
      <c r="C2406">
        <v>50</v>
      </c>
      <c r="D2406">
        <v>10000</v>
      </c>
      <c r="E2406">
        <v>499</v>
      </c>
      <c r="F2406">
        <v>1</v>
      </c>
      <c r="G2406">
        <v>10000</v>
      </c>
      <c r="H2406">
        <v>2.1222001000000001E-2</v>
      </c>
      <c r="I2406">
        <v>10000</v>
      </c>
      <c r="J2406">
        <v>4183</v>
      </c>
      <c r="K2406">
        <v>5817</v>
      </c>
      <c r="L2406">
        <v>500</v>
      </c>
      <c r="M2406">
        <v>499</v>
      </c>
      <c r="N2406">
        <v>1</v>
      </c>
      <c r="O2406">
        <v>0</v>
      </c>
      <c r="P2406" s="3" t="s">
        <v>51</v>
      </c>
      <c r="Q2406">
        <v>50</v>
      </c>
      <c r="R2406">
        <v>0.999</v>
      </c>
      <c r="S2406">
        <v>1</v>
      </c>
    </row>
    <row r="2407" spans="1:19" x14ac:dyDescent="0.2">
      <c r="A2407" s="3" t="s">
        <v>54</v>
      </c>
      <c r="B2407" s="3" t="s">
        <v>55</v>
      </c>
      <c r="C2407">
        <v>41</v>
      </c>
      <c r="D2407">
        <v>11000</v>
      </c>
      <c r="E2407">
        <v>499</v>
      </c>
      <c r="F2407">
        <v>1</v>
      </c>
      <c r="G2407">
        <v>11000</v>
      </c>
      <c r="H2407">
        <v>2.1220121000000002E-2</v>
      </c>
      <c r="I2407">
        <v>11000</v>
      </c>
      <c r="J2407">
        <v>4329</v>
      </c>
      <c r="K2407">
        <v>6671</v>
      </c>
      <c r="L2407">
        <v>500</v>
      </c>
      <c r="M2407">
        <v>499</v>
      </c>
      <c r="N2407">
        <v>1</v>
      </c>
      <c r="O2407">
        <v>0</v>
      </c>
      <c r="P2407" s="3" t="s">
        <v>51</v>
      </c>
      <c r="Q2407">
        <v>50</v>
      </c>
      <c r="R2407">
        <v>0.999</v>
      </c>
      <c r="S2407">
        <v>1</v>
      </c>
    </row>
    <row r="2408" spans="1:19" x14ac:dyDescent="0.2">
      <c r="A2408" s="3" t="s">
        <v>54</v>
      </c>
      <c r="B2408" s="3" t="s">
        <v>55</v>
      </c>
      <c r="C2408">
        <v>12</v>
      </c>
      <c r="D2408">
        <v>10000</v>
      </c>
      <c r="E2408">
        <v>499</v>
      </c>
      <c r="F2408">
        <v>1</v>
      </c>
      <c r="G2408">
        <v>10000</v>
      </c>
      <c r="H2408">
        <v>2.1217619E-2</v>
      </c>
      <c r="I2408">
        <v>10000</v>
      </c>
      <c r="J2408">
        <v>4183</v>
      </c>
      <c r="K2408">
        <v>5817</v>
      </c>
      <c r="L2408">
        <v>500</v>
      </c>
      <c r="M2408">
        <v>499</v>
      </c>
      <c r="N2408">
        <v>1</v>
      </c>
      <c r="O2408">
        <v>0</v>
      </c>
      <c r="P2408" s="3" t="s">
        <v>51</v>
      </c>
      <c r="Q2408">
        <v>50</v>
      </c>
      <c r="R2408">
        <v>0.999</v>
      </c>
      <c r="S2408">
        <v>1</v>
      </c>
    </row>
    <row r="2409" spans="1:19" x14ac:dyDescent="0.2">
      <c r="A2409" s="3" t="s">
        <v>54</v>
      </c>
      <c r="B2409" s="3" t="s">
        <v>55</v>
      </c>
      <c r="C2409">
        <v>50</v>
      </c>
      <c r="D2409">
        <v>11000</v>
      </c>
      <c r="E2409">
        <v>499</v>
      </c>
      <c r="F2409">
        <v>1</v>
      </c>
      <c r="G2409">
        <v>44062.122210792702</v>
      </c>
      <c r="H2409">
        <v>2.1213895999999999E-2</v>
      </c>
      <c r="I2409">
        <v>11000</v>
      </c>
      <c r="J2409">
        <v>3547</v>
      </c>
      <c r="K2409">
        <v>7453</v>
      </c>
      <c r="L2409">
        <v>500</v>
      </c>
      <c r="M2409">
        <v>499</v>
      </c>
      <c r="N2409">
        <v>1</v>
      </c>
      <c r="O2409">
        <v>0</v>
      </c>
      <c r="P2409" s="3" t="s">
        <v>51</v>
      </c>
      <c r="Q2409">
        <v>50</v>
      </c>
      <c r="R2409">
        <v>0.999</v>
      </c>
      <c r="S2409">
        <v>0</v>
      </c>
    </row>
    <row r="2410" spans="1:19" x14ac:dyDescent="0.2">
      <c r="A2410" s="3" t="s">
        <v>54</v>
      </c>
      <c r="B2410" s="3" t="s">
        <v>55</v>
      </c>
      <c r="C2410">
        <v>26</v>
      </c>
      <c r="D2410">
        <v>11000</v>
      </c>
      <c r="E2410">
        <v>499</v>
      </c>
      <c r="F2410">
        <v>1</v>
      </c>
      <c r="G2410">
        <v>44062.122210792702</v>
      </c>
      <c r="H2410">
        <v>2.1184702E-2</v>
      </c>
      <c r="I2410">
        <v>11000</v>
      </c>
      <c r="J2410">
        <v>3547</v>
      </c>
      <c r="K2410">
        <v>7453</v>
      </c>
      <c r="L2410">
        <v>500</v>
      </c>
      <c r="M2410">
        <v>499</v>
      </c>
      <c r="N2410">
        <v>1</v>
      </c>
      <c r="O2410">
        <v>0</v>
      </c>
      <c r="P2410" s="3" t="s">
        <v>51</v>
      </c>
      <c r="Q2410">
        <v>50</v>
      </c>
      <c r="R2410">
        <v>0.999</v>
      </c>
      <c r="S2410">
        <v>0</v>
      </c>
    </row>
    <row r="2411" spans="1:19" x14ac:dyDescent="0.2">
      <c r="A2411" s="3" t="s">
        <v>54</v>
      </c>
      <c r="B2411" s="3" t="s">
        <v>55</v>
      </c>
      <c r="C2411">
        <v>27</v>
      </c>
      <c r="D2411">
        <v>11000</v>
      </c>
      <c r="E2411">
        <v>499</v>
      </c>
      <c r="F2411">
        <v>1</v>
      </c>
      <c r="G2411">
        <v>44062.122210792702</v>
      </c>
      <c r="H2411">
        <v>2.1179724E-2</v>
      </c>
      <c r="I2411">
        <v>11000</v>
      </c>
      <c r="J2411">
        <v>3547</v>
      </c>
      <c r="K2411">
        <v>7453</v>
      </c>
      <c r="L2411">
        <v>500</v>
      </c>
      <c r="M2411">
        <v>499</v>
      </c>
      <c r="N2411">
        <v>1</v>
      </c>
      <c r="O2411">
        <v>0</v>
      </c>
      <c r="P2411" s="3" t="s">
        <v>51</v>
      </c>
      <c r="Q2411">
        <v>50</v>
      </c>
      <c r="R2411">
        <v>0.999</v>
      </c>
      <c r="S2411">
        <v>0</v>
      </c>
    </row>
    <row r="2412" spans="1:19" x14ac:dyDescent="0.2">
      <c r="A2412" s="3" t="s">
        <v>54</v>
      </c>
      <c r="B2412" s="3" t="s">
        <v>55</v>
      </c>
      <c r="C2412">
        <v>32</v>
      </c>
      <c r="D2412">
        <v>11000</v>
      </c>
      <c r="E2412">
        <v>499</v>
      </c>
      <c r="F2412">
        <v>1</v>
      </c>
      <c r="G2412">
        <v>11000</v>
      </c>
      <c r="H2412">
        <v>2.1166378E-2</v>
      </c>
      <c r="I2412">
        <v>11000</v>
      </c>
      <c r="J2412">
        <v>4329</v>
      </c>
      <c r="K2412">
        <v>6671</v>
      </c>
      <c r="L2412">
        <v>500</v>
      </c>
      <c r="M2412">
        <v>499</v>
      </c>
      <c r="N2412">
        <v>1</v>
      </c>
      <c r="O2412">
        <v>0</v>
      </c>
      <c r="P2412" s="3" t="s">
        <v>51</v>
      </c>
      <c r="Q2412">
        <v>50</v>
      </c>
      <c r="R2412">
        <v>0.999</v>
      </c>
      <c r="S2412">
        <v>1</v>
      </c>
    </row>
    <row r="2413" spans="1:19" x14ac:dyDescent="0.2">
      <c r="A2413" s="3" t="s">
        <v>54</v>
      </c>
      <c r="B2413" s="3" t="s">
        <v>55</v>
      </c>
      <c r="C2413">
        <v>20</v>
      </c>
      <c r="D2413">
        <v>10000</v>
      </c>
      <c r="E2413">
        <v>499</v>
      </c>
      <c r="F2413">
        <v>1</v>
      </c>
      <c r="G2413">
        <v>10000</v>
      </c>
      <c r="H2413">
        <v>2.1157707000000001E-2</v>
      </c>
      <c r="I2413">
        <v>10000</v>
      </c>
      <c r="J2413">
        <v>4183</v>
      </c>
      <c r="K2413">
        <v>5817</v>
      </c>
      <c r="L2413">
        <v>500</v>
      </c>
      <c r="M2413">
        <v>499</v>
      </c>
      <c r="N2413">
        <v>1</v>
      </c>
      <c r="O2413">
        <v>0</v>
      </c>
      <c r="P2413" s="3" t="s">
        <v>51</v>
      </c>
      <c r="Q2413">
        <v>50</v>
      </c>
      <c r="R2413">
        <v>0.999</v>
      </c>
      <c r="S2413">
        <v>1</v>
      </c>
    </row>
    <row r="2414" spans="1:19" x14ac:dyDescent="0.2">
      <c r="A2414" s="3" t="s">
        <v>54</v>
      </c>
      <c r="B2414" s="3" t="s">
        <v>55</v>
      </c>
      <c r="C2414">
        <v>16</v>
      </c>
      <c r="D2414">
        <v>11000</v>
      </c>
      <c r="E2414">
        <v>499</v>
      </c>
      <c r="F2414">
        <v>1</v>
      </c>
      <c r="G2414">
        <v>44062.122210792702</v>
      </c>
      <c r="H2414">
        <v>2.1135494000000001E-2</v>
      </c>
      <c r="I2414">
        <v>11000</v>
      </c>
      <c r="J2414">
        <v>3547</v>
      </c>
      <c r="K2414">
        <v>7453</v>
      </c>
      <c r="L2414">
        <v>500</v>
      </c>
      <c r="M2414">
        <v>499</v>
      </c>
      <c r="N2414">
        <v>1</v>
      </c>
      <c r="O2414">
        <v>0</v>
      </c>
      <c r="P2414" s="3" t="s">
        <v>51</v>
      </c>
      <c r="Q2414">
        <v>50</v>
      </c>
      <c r="R2414">
        <v>0.999</v>
      </c>
      <c r="S2414">
        <v>0</v>
      </c>
    </row>
    <row r="2415" spans="1:19" x14ac:dyDescent="0.2">
      <c r="A2415" s="3" t="s">
        <v>54</v>
      </c>
      <c r="B2415" s="3" t="s">
        <v>55</v>
      </c>
      <c r="C2415">
        <v>18</v>
      </c>
      <c r="D2415">
        <v>15000</v>
      </c>
      <c r="E2415">
        <v>499</v>
      </c>
      <c r="F2415">
        <v>1</v>
      </c>
      <c r="G2415">
        <v>15000</v>
      </c>
      <c r="H2415">
        <v>2.1131947000000002E-2</v>
      </c>
      <c r="I2415">
        <v>13804</v>
      </c>
      <c r="J2415">
        <v>4358</v>
      </c>
      <c r="K2415">
        <v>9446</v>
      </c>
      <c r="L2415">
        <v>500</v>
      </c>
      <c r="M2415">
        <v>499</v>
      </c>
      <c r="N2415">
        <v>1</v>
      </c>
      <c r="O2415">
        <v>1196</v>
      </c>
      <c r="P2415" s="3" t="s">
        <v>52</v>
      </c>
      <c r="Q2415">
        <v>50</v>
      </c>
      <c r="R2415">
        <v>0.999</v>
      </c>
      <c r="S2415">
        <v>1</v>
      </c>
    </row>
    <row r="2416" spans="1:19" x14ac:dyDescent="0.2">
      <c r="A2416" s="3" t="s">
        <v>54</v>
      </c>
      <c r="B2416" s="3" t="s">
        <v>55</v>
      </c>
      <c r="C2416">
        <v>44</v>
      </c>
      <c r="D2416">
        <v>11000</v>
      </c>
      <c r="E2416">
        <v>499</v>
      </c>
      <c r="F2416">
        <v>1</v>
      </c>
      <c r="G2416">
        <v>44062.122210792702</v>
      </c>
      <c r="H2416">
        <v>2.1130902E-2</v>
      </c>
      <c r="I2416">
        <v>11000</v>
      </c>
      <c r="J2416">
        <v>3547</v>
      </c>
      <c r="K2416">
        <v>7453</v>
      </c>
      <c r="L2416">
        <v>500</v>
      </c>
      <c r="M2416">
        <v>499</v>
      </c>
      <c r="N2416">
        <v>1</v>
      </c>
      <c r="O2416">
        <v>0</v>
      </c>
      <c r="P2416" s="3" t="s">
        <v>51</v>
      </c>
      <c r="Q2416">
        <v>50</v>
      </c>
      <c r="R2416">
        <v>0.999</v>
      </c>
      <c r="S2416">
        <v>0</v>
      </c>
    </row>
    <row r="2417" spans="1:19" x14ac:dyDescent="0.2">
      <c r="A2417" s="3" t="s">
        <v>54</v>
      </c>
      <c r="B2417" s="3" t="s">
        <v>55</v>
      </c>
      <c r="C2417">
        <v>43</v>
      </c>
      <c r="D2417">
        <v>11000</v>
      </c>
      <c r="E2417">
        <v>499</v>
      </c>
      <c r="F2417">
        <v>1</v>
      </c>
      <c r="G2417">
        <v>44062.122210792702</v>
      </c>
      <c r="H2417">
        <v>2.1124230000000001E-2</v>
      </c>
      <c r="I2417">
        <v>11000</v>
      </c>
      <c r="J2417">
        <v>3547</v>
      </c>
      <c r="K2417">
        <v>7453</v>
      </c>
      <c r="L2417">
        <v>500</v>
      </c>
      <c r="M2417">
        <v>499</v>
      </c>
      <c r="N2417">
        <v>1</v>
      </c>
      <c r="O2417">
        <v>0</v>
      </c>
      <c r="P2417" s="3" t="s">
        <v>51</v>
      </c>
      <c r="Q2417">
        <v>50</v>
      </c>
      <c r="R2417">
        <v>0.999</v>
      </c>
      <c r="S2417">
        <v>0</v>
      </c>
    </row>
    <row r="2418" spans="1:19" x14ac:dyDescent="0.2">
      <c r="A2418" s="3" t="s">
        <v>54</v>
      </c>
      <c r="B2418" s="3" t="s">
        <v>55</v>
      </c>
      <c r="C2418">
        <v>48</v>
      </c>
      <c r="D2418">
        <v>10000</v>
      </c>
      <c r="E2418">
        <v>499</v>
      </c>
      <c r="F2418">
        <v>1</v>
      </c>
      <c r="G2418">
        <v>39482.677260513999</v>
      </c>
      <c r="H2418">
        <v>2.1120745999999999E-2</v>
      </c>
      <c r="I2418">
        <v>10000</v>
      </c>
      <c r="J2418">
        <v>3500</v>
      </c>
      <c r="K2418">
        <v>6500</v>
      </c>
      <c r="L2418">
        <v>500</v>
      </c>
      <c r="M2418">
        <v>499</v>
      </c>
      <c r="N2418">
        <v>1</v>
      </c>
      <c r="O2418">
        <v>0</v>
      </c>
      <c r="P2418" s="3" t="s">
        <v>51</v>
      </c>
      <c r="Q2418">
        <v>50</v>
      </c>
      <c r="R2418">
        <v>0.999</v>
      </c>
      <c r="S2418">
        <v>0</v>
      </c>
    </row>
    <row r="2419" spans="1:19" x14ac:dyDescent="0.2">
      <c r="A2419" s="3" t="s">
        <v>54</v>
      </c>
      <c r="B2419" s="3" t="s">
        <v>55</v>
      </c>
      <c r="C2419">
        <v>8</v>
      </c>
      <c r="D2419">
        <v>10000</v>
      </c>
      <c r="E2419">
        <v>499</v>
      </c>
      <c r="F2419">
        <v>1</v>
      </c>
      <c r="G2419">
        <v>10000</v>
      </c>
      <c r="H2419">
        <v>2.1120377999999999E-2</v>
      </c>
      <c r="I2419">
        <v>10000</v>
      </c>
      <c r="J2419">
        <v>4183</v>
      </c>
      <c r="K2419">
        <v>5817</v>
      </c>
      <c r="L2419">
        <v>500</v>
      </c>
      <c r="M2419">
        <v>499</v>
      </c>
      <c r="N2419">
        <v>1</v>
      </c>
      <c r="O2419">
        <v>0</v>
      </c>
      <c r="P2419" s="3" t="s">
        <v>51</v>
      </c>
      <c r="Q2419">
        <v>50</v>
      </c>
      <c r="R2419">
        <v>0.999</v>
      </c>
      <c r="S2419">
        <v>1</v>
      </c>
    </row>
    <row r="2420" spans="1:19" x14ac:dyDescent="0.2">
      <c r="A2420" s="3" t="s">
        <v>54</v>
      </c>
      <c r="B2420" s="3" t="s">
        <v>55</v>
      </c>
      <c r="C2420">
        <v>37</v>
      </c>
      <c r="D2420">
        <v>11000</v>
      </c>
      <c r="E2420">
        <v>499</v>
      </c>
      <c r="F2420">
        <v>1</v>
      </c>
      <c r="G2420">
        <v>11000</v>
      </c>
      <c r="H2420">
        <v>2.1106804999999999E-2</v>
      </c>
      <c r="I2420">
        <v>11000</v>
      </c>
      <c r="J2420">
        <v>4329</v>
      </c>
      <c r="K2420">
        <v>6671</v>
      </c>
      <c r="L2420">
        <v>500</v>
      </c>
      <c r="M2420">
        <v>499</v>
      </c>
      <c r="N2420">
        <v>1</v>
      </c>
      <c r="O2420">
        <v>0</v>
      </c>
      <c r="P2420" s="3" t="s">
        <v>51</v>
      </c>
      <c r="Q2420">
        <v>50</v>
      </c>
      <c r="R2420">
        <v>0.999</v>
      </c>
      <c r="S2420">
        <v>1</v>
      </c>
    </row>
    <row r="2421" spans="1:19" x14ac:dyDescent="0.2">
      <c r="A2421" s="3" t="s">
        <v>54</v>
      </c>
      <c r="B2421" s="3" t="s">
        <v>55</v>
      </c>
      <c r="C2421">
        <v>5</v>
      </c>
      <c r="D2421">
        <v>11000</v>
      </c>
      <c r="E2421">
        <v>499</v>
      </c>
      <c r="F2421">
        <v>1</v>
      </c>
      <c r="G2421">
        <v>44062.122210792702</v>
      </c>
      <c r="H2421">
        <v>2.1103953000000002E-2</v>
      </c>
      <c r="I2421">
        <v>11000</v>
      </c>
      <c r="J2421">
        <v>3547</v>
      </c>
      <c r="K2421">
        <v>7453</v>
      </c>
      <c r="L2421">
        <v>500</v>
      </c>
      <c r="M2421">
        <v>499</v>
      </c>
      <c r="N2421">
        <v>1</v>
      </c>
      <c r="O2421">
        <v>0</v>
      </c>
      <c r="P2421" s="3" t="s">
        <v>51</v>
      </c>
      <c r="Q2421">
        <v>50</v>
      </c>
      <c r="R2421">
        <v>0.999</v>
      </c>
      <c r="S2421">
        <v>0</v>
      </c>
    </row>
    <row r="2422" spans="1:19" x14ac:dyDescent="0.2">
      <c r="A2422" s="3" t="s">
        <v>54</v>
      </c>
      <c r="B2422" s="3" t="s">
        <v>55</v>
      </c>
      <c r="C2422">
        <v>27</v>
      </c>
      <c r="D2422">
        <v>11000</v>
      </c>
      <c r="E2422">
        <v>499</v>
      </c>
      <c r="F2422">
        <v>1</v>
      </c>
      <c r="G2422">
        <v>11000</v>
      </c>
      <c r="H2422">
        <v>2.1098361999999999E-2</v>
      </c>
      <c r="I2422">
        <v>11000</v>
      </c>
      <c r="J2422">
        <v>4329</v>
      </c>
      <c r="K2422">
        <v>6671</v>
      </c>
      <c r="L2422">
        <v>500</v>
      </c>
      <c r="M2422">
        <v>499</v>
      </c>
      <c r="N2422">
        <v>1</v>
      </c>
      <c r="O2422">
        <v>0</v>
      </c>
      <c r="P2422" s="3" t="s">
        <v>51</v>
      </c>
      <c r="Q2422">
        <v>50</v>
      </c>
      <c r="R2422">
        <v>0.999</v>
      </c>
      <c r="S2422">
        <v>1</v>
      </c>
    </row>
    <row r="2423" spans="1:19" x14ac:dyDescent="0.2">
      <c r="A2423" s="3" t="s">
        <v>54</v>
      </c>
      <c r="B2423" s="3" t="s">
        <v>55</v>
      </c>
      <c r="C2423">
        <v>48</v>
      </c>
      <c r="D2423">
        <v>11000</v>
      </c>
      <c r="E2423">
        <v>499</v>
      </c>
      <c r="F2423">
        <v>1</v>
      </c>
      <c r="G2423">
        <v>11000</v>
      </c>
      <c r="H2423">
        <v>2.1098177999999999E-2</v>
      </c>
      <c r="I2423">
        <v>11000</v>
      </c>
      <c r="J2423">
        <v>4329</v>
      </c>
      <c r="K2423">
        <v>6671</v>
      </c>
      <c r="L2423">
        <v>500</v>
      </c>
      <c r="M2423">
        <v>499</v>
      </c>
      <c r="N2423">
        <v>1</v>
      </c>
      <c r="O2423">
        <v>0</v>
      </c>
      <c r="P2423" s="3" t="s">
        <v>51</v>
      </c>
      <c r="Q2423">
        <v>50</v>
      </c>
      <c r="R2423">
        <v>0.999</v>
      </c>
      <c r="S2423">
        <v>1</v>
      </c>
    </row>
    <row r="2424" spans="1:19" x14ac:dyDescent="0.2">
      <c r="A2424" s="3" t="s">
        <v>54</v>
      </c>
      <c r="B2424" s="3" t="s">
        <v>55</v>
      </c>
      <c r="C2424">
        <v>1</v>
      </c>
      <c r="D2424">
        <v>10000</v>
      </c>
      <c r="E2424">
        <v>499</v>
      </c>
      <c r="F2424">
        <v>1</v>
      </c>
      <c r="G2424">
        <v>39482.677260513999</v>
      </c>
      <c r="H2424">
        <v>2.1091578999999999E-2</v>
      </c>
      <c r="I2424">
        <v>10000</v>
      </c>
      <c r="J2424">
        <v>3500</v>
      </c>
      <c r="K2424">
        <v>6500</v>
      </c>
      <c r="L2424">
        <v>500</v>
      </c>
      <c r="M2424">
        <v>499</v>
      </c>
      <c r="N2424">
        <v>1</v>
      </c>
      <c r="O2424">
        <v>0</v>
      </c>
      <c r="P2424" s="3" t="s">
        <v>51</v>
      </c>
      <c r="Q2424">
        <v>50</v>
      </c>
      <c r="R2424">
        <v>0.999</v>
      </c>
      <c r="S2424">
        <v>0</v>
      </c>
    </row>
    <row r="2425" spans="1:19" x14ac:dyDescent="0.2">
      <c r="A2425" s="3" t="s">
        <v>54</v>
      </c>
      <c r="B2425" s="3" t="s">
        <v>55</v>
      </c>
      <c r="C2425">
        <v>11</v>
      </c>
      <c r="D2425">
        <v>11000</v>
      </c>
      <c r="E2425">
        <v>499</v>
      </c>
      <c r="F2425">
        <v>1</v>
      </c>
      <c r="G2425">
        <v>44062.122210792702</v>
      </c>
      <c r="H2425">
        <v>2.1086124000000001E-2</v>
      </c>
      <c r="I2425">
        <v>11000</v>
      </c>
      <c r="J2425">
        <v>3547</v>
      </c>
      <c r="K2425">
        <v>7453</v>
      </c>
      <c r="L2425">
        <v>500</v>
      </c>
      <c r="M2425">
        <v>499</v>
      </c>
      <c r="N2425">
        <v>1</v>
      </c>
      <c r="O2425">
        <v>0</v>
      </c>
      <c r="P2425" s="3" t="s">
        <v>51</v>
      </c>
      <c r="Q2425">
        <v>50</v>
      </c>
      <c r="R2425">
        <v>0.999</v>
      </c>
      <c r="S2425">
        <v>0</v>
      </c>
    </row>
    <row r="2426" spans="1:19" x14ac:dyDescent="0.2">
      <c r="A2426" s="3" t="s">
        <v>54</v>
      </c>
      <c r="B2426" s="3" t="s">
        <v>55</v>
      </c>
      <c r="C2426">
        <v>45</v>
      </c>
      <c r="D2426">
        <v>10000</v>
      </c>
      <c r="E2426">
        <v>499</v>
      </c>
      <c r="F2426">
        <v>1</v>
      </c>
      <c r="G2426">
        <v>10000</v>
      </c>
      <c r="H2426">
        <v>2.1080891000000001E-2</v>
      </c>
      <c r="I2426">
        <v>10000</v>
      </c>
      <c r="J2426">
        <v>4183</v>
      </c>
      <c r="K2426">
        <v>5817</v>
      </c>
      <c r="L2426">
        <v>500</v>
      </c>
      <c r="M2426">
        <v>499</v>
      </c>
      <c r="N2426">
        <v>1</v>
      </c>
      <c r="O2426">
        <v>0</v>
      </c>
      <c r="P2426" s="3" t="s">
        <v>51</v>
      </c>
      <c r="Q2426">
        <v>50</v>
      </c>
      <c r="R2426">
        <v>0.999</v>
      </c>
      <c r="S2426">
        <v>1</v>
      </c>
    </row>
    <row r="2427" spans="1:19" x14ac:dyDescent="0.2">
      <c r="A2427" s="3" t="s">
        <v>54</v>
      </c>
      <c r="B2427" s="3" t="s">
        <v>55</v>
      </c>
      <c r="C2427">
        <v>30</v>
      </c>
      <c r="D2427">
        <v>10000</v>
      </c>
      <c r="E2427">
        <v>499</v>
      </c>
      <c r="F2427">
        <v>1</v>
      </c>
      <c r="G2427">
        <v>10000</v>
      </c>
      <c r="H2427">
        <v>2.1073867999999999E-2</v>
      </c>
      <c r="I2427">
        <v>10000</v>
      </c>
      <c r="J2427">
        <v>4183</v>
      </c>
      <c r="K2427">
        <v>5817</v>
      </c>
      <c r="L2427">
        <v>500</v>
      </c>
      <c r="M2427">
        <v>499</v>
      </c>
      <c r="N2427">
        <v>1</v>
      </c>
      <c r="O2427">
        <v>0</v>
      </c>
      <c r="P2427" s="3" t="s">
        <v>51</v>
      </c>
      <c r="Q2427">
        <v>50</v>
      </c>
      <c r="R2427">
        <v>0.999</v>
      </c>
      <c r="S2427">
        <v>1</v>
      </c>
    </row>
    <row r="2428" spans="1:19" x14ac:dyDescent="0.2">
      <c r="A2428" s="3" t="s">
        <v>54</v>
      </c>
      <c r="B2428" s="3" t="s">
        <v>55</v>
      </c>
      <c r="C2428">
        <v>19</v>
      </c>
      <c r="D2428">
        <v>11000</v>
      </c>
      <c r="E2428">
        <v>499</v>
      </c>
      <c r="F2428">
        <v>1</v>
      </c>
      <c r="G2428">
        <v>44062.122210792702</v>
      </c>
      <c r="H2428">
        <v>2.107142E-2</v>
      </c>
      <c r="I2428">
        <v>11000</v>
      </c>
      <c r="J2428">
        <v>3547</v>
      </c>
      <c r="K2428">
        <v>7453</v>
      </c>
      <c r="L2428">
        <v>500</v>
      </c>
      <c r="M2428">
        <v>499</v>
      </c>
      <c r="N2428">
        <v>1</v>
      </c>
      <c r="O2428">
        <v>0</v>
      </c>
      <c r="P2428" s="3" t="s">
        <v>51</v>
      </c>
      <c r="Q2428">
        <v>50</v>
      </c>
      <c r="R2428">
        <v>0.999</v>
      </c>
      <c r="S2428">
        <v>0</v>
      </c>
    </row>
    <row r="2429" spans="1:19" x14ac:dyDescent="0.2">
      <c r="A2429" s="3" t="s">
        <v>54</v>
      </c>
      <c r="B2429" s="3" t="s">
        <v>55</v>
      </c>
      <c r="C2429">
        <v>15</v>
      </c>
      <c r="D2429">
        <v>11000</v>
      </c>
      <c r="E2429">
        <v>499</v>
      </c>
      <c r="F2429">
        <v>1</v>
      </c>
      <c r="G2429">
        <v>44062.122210792702</v>
      </c>
      <c r="H2429">
        <v>2.10691E-2</v>
      </c>
      <c r="I2429">
        <v>11000</v>
      </c>
      <c r="J2429">
        <v>3547</v>
      </c>
      <c r="K2429">
        <v>7453</v>
      </c>
      <c r="L2429">
        <v>500</v>
      </c>
      <c r="M2429">
        <v>499</v>
      </c>
      <c r="N2429">
        <v>1</v>
      </c>
      <c r="O2429">
        <v>0</v>
      </c>
      <c r="P2429" s="3" t="s">
        <v>51</v>
      </c>
      <c r="Q2429">
        <v>50</v>
      </c>
      <c r="R2429">
        <v>0.999</v>
      </c>
      <c r="S2429">
        <v>0</v>
      </c>
    </row>
    <row r="2430" spans="1:19" x14ac:dyDescent="0.2">
      <c r="A2430" s="3" t="s">
        <v>54</v>
      </c>
      <c r="B2430" s="3" t="s">
        <v>55</v>
      </c>
      <c r="C2430">
        <v>19</v>
      </c>
      <c r="D2430">
        <v>10000</v>
      </c>
      <c r="E2430">
        <v>499</v>
      </c>
      <c r="F2430">
        <v>1</v>
      </c>
      <c r="G2430">
        <v>39482.677260513999</v>
      </c>
      <c r="H2430">
        <v>2.1058411999999999E-2</v>
      </c>
      <c r="I2430">
        <v>10000</v>
      </c>
      <c r="J2430">
        <v>3500</v>
      </c>
      <c r="K2430">
        <v>6500</v>
      </c>
      <c r="L2430">
        <v>500</v>
      </c>
      <c r="M2430">
        <v>499</v>
      </c>
      <c r="N2430">
        <v>1</v>
      </c>
      <c r="O2430">
        <v>0</v>
      </c>
      <c r="P2430" s="3" t="s">
        <v>51</v>
      </c>
      <c r="Q2430">
        <v>50</v>
      </c>
      <c r="R2430">
        <v>0.999</v>
      </c>
      <c r="S2430">
        <v>0</v>
      </c>
    </row>
    <row r="2431" spans="1:19" x14ac:dyDescent="0.2">
      <c r="A2431" s="3" t="s">
        <v>54</v>
      </c>
      <c r="B2431" s="3" t="s">
        <v>55</v>
      </c>
      <c r="C2431">
        <v>37</v>
      </c>
      <c r="D2431">
        <v>15000</v>
      </c>
      <c r="E2431">
        <v>499</v>
      </c>
      <c r="F2431">
        <v>1</v>
      </c>
      <c r="G2431">
        <v>15000</v>
      </c>
      <c r="H2431">
        <v>2.1056139000000001E-2</v>
      </c>
      <c r="I2431">
        <v>13788</v>
      </c>
      <c r="J2431">
        <v>4342</v>
      </c>
      <c r="K2431">
        <v>9446</v>
      </c>
      <c r="L2431">
        <v>500</v>
      </c>
      <c r="M2431">
        <v>499</v>
      </c>
      <c r="N2431">
        <v>1</v>
      </c>
      <c r="O2431">
        <v>1212</v>
      </c>
      <c r="P2431" s="3" t="s">
        <v>52</v>
      </c>
      <c r="Q2431">
        <v>50</v>
      </c>
      <c r="R2431">
        <v>0.999</v>
      </c>
      <c r="S2431">
        <v>1</v>
      </c>
    </row>
    <row r="2432" spans="1:19" x14ac:dyDescent="0.2">
      <c r="A2432" s="3" t="s">
        <v>54</v>
      </c>
      <c r="B2432" s="3" t="s">
        <v>55</v>
      </c>
      <c r="C2432">
        <v>6</v>
      </c>
      <c r="D2432">
        <v>11000</v>
      </c>
      <c r="E2432">
        <v>499</v>
      </c>
      <c r="F2432">
        <v>1</v>
      </c>
      <c r="G2432">
        <v>44062.122210792702</v>
      </c>
      <c r="H2432">
        <v>2.1054122000000002E-2</v>
      </c>
      <c r="I2432">
        <v>11000</v>
      </c>
      <c r="J2432">
        <v>3547</v>
      </c>
      <c r="K2432">
        <v>7453</v>
      </c>
      <c r="L2432">
        <v>500</v>
      </c>
      <c r="M2432">
        <v>499</v>
      </c>
      <c r="N2432">
        <v>1</v>
      </c>
      <c r="O2432">
        <v>0</v>
      </c>
      <c r="P2432" s="3" t="s">
        <v>51</v>
      </c>
      <c r="Q2432">
        <v>50</v>
      </c>
      <c r="R2432">
        <v>0.999</v>
      </c>
      <c r="S2432">
        <v>0</v>
      </c>
    </row>
    <row r="2433" spans="1:19" x14ac:dyDescent="0.2">
      <c r="A2433" s="3" t="s">
        <v>54</v>
      </c>
      <c r="B2433" s="3" t="s">
        <v>55</v>
      </c>
      <c r="C2433">
        <v>40</v>
      </c>
      <c r="D2433">
        <v>10000</v>
      </c>
      <c r="E2433">
        <v>499</v>
      </c>
      <c r="F2433">
        <v>1</v>
      </c>
      <c r="G2433">
        <v>39482.677260513999</v>
      </c>
      <c r="H2433">
        <v>2.1048275000000002E-2</v>
      </c>
      <c r="I2433">
        <v>10000</v>
      </c>
      <c r="J2433">
        <v>3500</v>
      </c>
      <c r="K2433">
        <v>6500</v>
      </c>
      <c r="L2433">
        <v>500</v>
      </c>
      <c r="M2433">
        <v>499</v>
      </c>
      <c r="N2433">
        <v>1</v>
      </c>
      <c r="O2433">
        <v>0</v>
      </c>
      <c r="P2433" s="3" t="s">
        <v>51</v>
      </c>
      <c r="Q2433">
        <v>50</v>
      </c>
      <c r="R2433">
        <v>0.999</v>
      </c>
      <c r="S2433">
        <v>0</v>
      </c>
    </row>
    <row r="2434" spans="1:19" x14ac:dyDescent="0.2">
      <c r="A2434" s="3" t="s">
        <v>54</v>
      </c>
      <c r="B2434" s="3" t="s">
        <v>55</v>
      </c>
      <c r="C2434">
        <v>39</v>
      </c>
      <c r="D2434">
        <v>11000</v>
      </c>
      <c r="E2434">
        <v>499</v>
      </c>
      <c r="F2434">
        <v>1</v>
      </c>
      <c r="G2434">
        <v>11000</v>
      </c>
      <c r="H2434">
        <v>2.1042729999999999E-2</v>
      </c>
      <c r="I2434">
        <v>11000</v>
      </c>
      <c r="J2434">
        <v>4329</v>
      </c>
      <c r="K2434">
        <v>6671</v>
      </c>
      <c r="L2434">
        <v>500</v>
      </c>
      <c r="M2434">
        <v>499</v>
      </c>
      <c r="N2434">
        <v>1</v>
      </c>
      <c r="O2434">
        <v>0</v>
      </c>
      <c r="P2434" s="3" t="s">
        <v>51</v>
      </c>
      <c r="Q2434">
        <v>50</v>
      </c>
      <c r="R2434">
        <v>0.999</v>
      </c>
      <c r="S2434">
        <v>1</v>
      </c>
    </row>
    <row r="2435" spans="1:19" x14ac:dyDescent="0.2">
      <c r="A2435" s="3" t="s">
        <v>54</v>
      </c>
      <c r="B2435" s="3" t="s">
        <v>55</v>
      </c>
      <c r="C2435">
        <v>48</v>
      </c>
      <c r="D2435">
        <v>11000</v>
      </c>
      <c r="E2435">
        <v>499</v>
      </c>
      <c r="F2435">
        <v>1</v>
      </c>
      <c r="G2435">
        <v>44062.122210792702</v>
      </c>
      <c r="H2435">
        <v>2.1037696000000002E-2</v>
      </c>
      <c r="I2435">
        <v>11000</v>
      </c>
      <c r="J2435">
        <v>3547</v>
      </c>
      <c r="K2435">
        <v>7453</v>
      </c>
      <c r="L2435">
        <v>500</v>
      </c>
      <c r="M2435">
        <v>499</v>
      </c>
      <c r="N2435">
        <v>1</v>
      </c>
      <c r="O2435">
        <v>0</v>
      </c>
      <c r="P2435" s="3" t="s">
        <v>51</v>
      </c>
      <c r="Q2435">
        <v>50</v>
      </c>
      <c r="R2435">
        <v>0.999</v>
      </c>
      <c r="S2435">
        <v>0</v>
      </c>
    </row>
    <row r="2436" spans="1:19" x14ac:dyDescent="0.2">
      <c r="A2436" s="3" t="s">
        <v>54</v>
      </c>
      <c r="B2436" s="3" t="s">
        <v>55</v>
      </c>
      <c r="C2436">
        <v>4</v>
      </c>
      <c r="D2436">
        <v>11000</v>
      </c>
      <c r="E2436">
        <v>499</v>
      </c>
      <c r="F2436">
        <v>1</v>
      </c>
      <c r="G2436">
        <v>44062.122210792702</v>
      </c>
      <c r="H2436">
        <v>2.1019510000000002E-2</v>
      </c>
      <c r="I2436">
        <v>11000</v>
      </c>
      <c r="J2436">
        <v>3547</v>
      </c>
      <c r="K2436">
        <v>7453</v>
      </c>
      <c r="L2436">
        <v>500</v>
      </c>
      <c r="M2436">
        <v>499</v>
      </c>
      <c r="N2436">
        <v>1</v>
      </c>
      <c r="O2436">
        <v>0</v>
      </c>
      <c r="P2436" s="3" t="s">
        <v>51</v>
      </c>
      <c r="Q2436">
        <v>50</v>
      </c>
      <c r="R2436">
        <v>0.999</v>
      </c>
      <c r="S2436">
        <v>0</v>
      </c>
    </row>
    <row r="2437" spans="1:19" x14ac:dyDescent="0.2">
      <c r="A2437" s="3" t="s">
        <v>54</v>
      </c>
      <c r="B2437" s="3" t="s">
        <v>55</v>
      </c>
      <c r="C2437">
        <v>50</v>
      </c>
      <c r="D2437">
        <v>11000</v>
      </c>
      <c r="E2437">
        <v>499</v>
      </c>
      <c r="F2437">
        <v>1</v>
      </c>
      <c r="G2437">
        <v>11000</v>
      </c>
      <c r="H2437">
        <v>2.1010451999999999E-2</v>
      </c>
      <c r="I2437">
        <v>11000</v>
      </c>
      <c r="J2437">
        <v>4329</v>
      </c>
      <c r="K2437">
        <v>6671</v>
      </c>
      <c r="L2437">
        <v>500</v>
      </c>
      <c r="M2437">
        <v>499</v>
      </c>
      <c r="N2437">
        <v>1</v>
      </c>
      <c r="O2437">
        <v>0</v>
      </c>
      <c r="P2437" s="3" t="s">
        <v>51</v>
      </c>
      <c r="Q2437">
        <v>50</v>
      </c>
      <c r="R2437">
        <v>0.999</v>
      </c>
      <c r="S2437">
        <v>1</v>
      </c>
    </row>
    <row r="2438" spans="1:19" x14ac:dyDescent="0.2">
      <c r="A2438" s="3" t="s">
        <v>54</v>
      </c>
      <c r="B2438" s="3" t="s">
        <v>55</v>
      </c>
      <c r="C2438">
        <v>17</v>
      </c>
      <c r="D2438">
        <v>11000</v>
      </c>
      <c r="E2438">
        <v>499</v>
      </c>
      <c r="F2438">
        <v>1</v>
      </c>
      <c r="G2438">
        <v>44062.122210792702</v>
      </c>
      <c r="H2438">
        <v>2.1006291999999999E-2</v>
      </c>
      <c r="I2438">
        <v>11000</v>
      </c>
      <c r="J2438">
        <v>3547</v>
      </c>
      <c r="K2438">
        <v>7453</v>
      </c>
      <c r="L2438">
        <v>500</v>
      </c>
      <c r="M2438">
        <v>499</v>
      </c>
      <c r="N2438">
        <v>1</v>
      </c>
      <c r="O2438">
        <v>0</v>
      </c>
      <c r="P2438" s="3" t="s">
        <v>51</v>
      </c>
      <c r="Q2438">
        <v>50</v>
      </c>
      <c r="R2438">
        <v>0.999</v>
      </c>
      <c r="S2438">
        <v>0</v>
      </c>
    </row>
    <row r="2439" spans="1:19" x14ac:dyDescent="0.2">
      <c r="A2439" s="3" t="s">
        <v>54</v>
      </c>
      <c r="B2439" s="3" t="s">
        <v>55</v>
      </c>
      <c r="C2439">
        <v>40</v>
      </c>
      <c r="D2439">
        <v>11000</v>
      </c>
      <c r="E2439">
        <v>499</v>
      </c>
      <c r="F2439">
        <v>1</v>
      </c>
      <c r="G2439">
        <v>11000</v>
      </c>
      <c r="H2439">
        <v>2.1003715999999999E-2</v>
      </c>
      <c r="I2439">
        <v>11000</v>
      </c>
      <c r="J2439">
        <v>4329</v>
      </c>
      <c r="K2439">
        <v>6671</v>
      </c>
      <c r="L2439">
        <v>500</v>
      </c>
      <c r="M2439">
        <v>499</v>
      </c>
      <c r="N2439">
        <v>1</v>
      </c>
      <c r="O2439">
        <v>0</v>
      </c>
      <c r="P2439" s="3" t="s">
        <v>51</v>
      </c>
      <c r="Q2439">
        <v>50</v>
      </c>
      <c r="R2439">
        <v>0.999</v>
      </c>
      <c r="S2439">
        <v>1</v>
      </c>
    </row>
    <row r="2440" spans="1:19" x14ac:dyDescent="0.2">
      <c r="A2440" s="3" t="s">
        <v>54</v>
      </c>
      <c r="B2440" s="3" t="s">
        <v>55</v>
      </c>
      <c r="C2440">
        <v>11</v>
      </c>
      <c r="D2440">
        <v>10000</v>
      </c>
      <c r="E2440">
        <v>499</v>
      </c>
      <c r="F2440">
        <v>1</v>
      </c>
      <c r="G2440">
        <v>10000</v>
      </c>
      <c r="H2440">
        <v>2.0989784000000001E-2</v>
      </c>
      <c r="I2440">
        <v>10000</v>
      </c>
      <c r="J2440">
        <v>4183</v>
      </c>
      <c r="K2440">
        <v>5817</v>
      </c>
      <c r="L2440">
        <v>500</v>
      </c>
      <c r="M2440">
        <v>499</v>
      </c>
      <c r="N2440">
        <v>1</v>
      </c>
      <c r="O2440">
        <v>0</v>
      </c>
      <c r="P2440" s="3" t="s">
        <v>51</v>
      </c>
      <c r="Q2440">
        <v>50</v>
      </c>
      <c r="R2440">
        <v>0.999</v>
      </c>
      <c r="S2440">
        <v>1</v>
      </c>
    </row>
    <row r="2441" spans="1:19" x14ac:dyDescent="0.2">
      <c r="A2441" s="3" t="s">
        <v>54</v>
      </c>
      <c r="B2441" s="3" t="s">
        <v>55</v>
      </c>
      <c r="C2441">
        <v>33</v>
      </c>
      <c r="D2441">
        <v>10000</v>
      </c>
      <c r="E2441">
        <v>499</v>
      </c>
      <c r="F2441">
        <v>1</v>
      </c>
      <c r="G2441">
        <v>10000</v>
      </c>
      <c r="H2441">
        <v>2.0984264999999998E-2</v>
      </c>
      <c r="I2441">
        <v>10000</v>
      </c>
      <c r="J2441">
        <v>4183</v>
      </c>
      <c r="K2441">
        <v>5817</v>
      </c>
      <c r="L2441">
        <v>500</v>
      </c>
      <c r="M2441">
        <v>499</v>
      </c>
      <c r="N2441">
        <v>1</v>
      </c>
      <c r="O2441">
        <v>0</v>
      </c>
      <c r="P2441" s="3" t="s">
        <v>51</v>
      </c>
      <c r="Q2441">
        <v>50</v>
      </c>
      <c r="R2441">
        <v>0.999</v>
      </c>
      <c r="S2441">
        <v>1</v>
      </c>
    </row>
    <row r="2442" spans="1:19" x14ac:dyDescent="0.2">
      <c r="A2442" s="3" t="s">
        <v>54</v>
      </c>
      <c r="B2442" s="3" t="s">
        <v>55</v>
      </c>
      <c r="C2442">
        <v>12</v>
      </c>
      <c r="D2442">
        <v>11000</v>
      </c>
      <c r="E2442">
        <v>499</v>
      </c>
      <c r="F2442">
        <v>1</v>
      </c>
      <c r="G2442">
        <v>44062.122210792702</v>
      </c>
      <c r="H2442">
        <v>2.0982319999999999E-2</v>
      </c>
      <c r="I2442">
        <v>11000</v>
      </c>
      <c r="J2442">
        <v>3547</v>
      </c>
      <c r="K2442">
        <v>7453</v>
      </c>
      <c r="L2442">
        <v>500</v>
      </c>
      <c r="M2442">
        <v>499</v>
      </c>
      <c r="N2442">
        <v>1</v>
      </c>
      <c r="O2442">
        <v>0</v>
      </c>
      <c r="P2442" s="3" t="s">
        <v>51</v>
      </c>
      <c r="Q2442">
        <v>50</v>
      </c>
      <c r="R2442">
        <v>0.999</v>
      </c>
      <c r="S2442">
        <v>0</v>
      </c>
    </row>
    <row r="2443" spans="1:19" x14ac:dyDescent="0.2">
      <c r="A2443" s="3" t="s">
        <v>54</v>
      </c>
      <c r="B2443" s="3" t="s">
        <v>55</v>
      </c>
      <c r="C2443">
        <v>32</v>
      </c>
      <c r="D2443">
        <v>10000</v>
      </c>
      <c r="E2443">
        <v>499</v>
      </c>
      <c r="F2443">
        <v>1</v>
      </c>
      <c r="G2443">
        <v>10000</v>
      </c>
      <c r="H2443">
        <v>2.0980762E-2</v>
      </c>
      <c r="I2443">
        <v>10000</v>
      </c>
      <c r="J2443">
        <v>4183</v>
      </c>
      <c r="K2443">
        <v>5817</v>
      </c>
      <c r="L2443">
        <v>500</v>
      </c>
      <c r="M2443">
        <v>499</v>
      </c>
      <c r="N2443">
        <v>1</v>
      </c>
      <c r="O2443">
        <v>0</v>
      </c>
      <c r="P2443" s="3" t="s">
        <v>51</v>
      </c>
      <c r="Q2443">
        <v>50</v>
      </c>
      <c r="R2443">
        <v>0.999</v>
      </c>
      <c r="S2443">
        <v>1</v>
      </c>
    </row>
    <row r="2444" spans="1:19" x14ac:dyDescent="0.2">
      <c r="A2444" s="3" t="s">
        <v>54</v>
      </c>
      <c r="B2444" s="3" t="s">
        <v>55</v>
      </c>
      <c r="C2444">
        <v>45</v>
      </c>
      <c r="D2444">
        <v>11000</v>
      </c>
      <c r="E2444">
        <v>499</v>
      </c>
      <c r="F2444">
        <v>1</v>
      </c>
      <c r="G2444">
        <v>44062.122210792702</v>
      </c>
      <c r="H2444">
        <v>2.0979790000000002E-2</v>
      </c>
      <c r="I2444">
        <v>11000</v>
      </c>
      <c r="J2444">
        <v>3547</v>
      </c>
      <c r="K2444">
        <v>7453</v>
      </c>
      <c r="L2444">
        <v>500</v>
      </c>
      <c r="M2444">
        <v>499</v>
      </c>
      <c r="N2444">
        <v>1</v>
      </c>
      <c r="O2444">
        <v>0</v>
      </c>
      <c r="P2444" s="3" t="s">
        <v>51</v>
      </c>
      <c r="Q2444">
        <v>50</v>
      </c>
      <c r="R2444">
        <v>0.999</v>
      </c>
      <c r="S2444">
        <v>0</v>
      </c>
    </row>
    <row r="2445" spans="1:19" x14ac:dyDescent="0.2">
      <c r="A2445" s="3" t="s">
        <v>54</v>
      </c>
      <c r="B2445" s="3" t="s">
        <v>55</v>
      </c>
      <c r="C2445">
        <v>34</v>
      </c>
      <c r="D2445">
        <v>11000</v>
      </c>
      <c r="E2445">
        <v>499</v>
      </c>
      <c r="F2445">
        <v>1</v>
      </c>
      <c r="G2445">
        <v>44062.122210792702</v>
      </c>
      <c r="H2445">
        <v>2.0979726000000001E-2</v>
      </c>
      <c r="I2445">
        <v>11000</v>
      </c>
      <c r="J2445">
        <v>3547</v>
      </c>
      <c r="K2445">
        <v>7453</v>
      </c>
      <c r="L2445">
        <v>500</v>
      </c>
      <c r="M2445">
        <v>499</v>
      </c>
      <c r="N2445">
        <v>1</v>
      </c>
      <c r="O2445">
        <v>0</v>
      </c>
      <c r="P2445" s="3" t="s">
        <v>51</v>
      </c>
      <c r="Q2445">
        <v>50</v>
      </c>
      <c r="R2445">
        <v>0.999</v>
      </c>
      <c r="S2445">
        <v>0</v>
      </c>
    </row>
    <row r="2446" spans="1:19" x14ac:dyDescent="0.2">
      <c r="A2446" s="3" t="s">
        <v>54</v>
      </c>
      <c r="B2446" s="3" t="s">
        <v>55</v>
      </c>
      <c r="C2446">
        <v>44</v>
      </c>
      <c r="D2446">
        <v>14000</v>
      </c>
      <c r="E2446">
        <v>499</v>
      </c>
      <c r="F2446">
        <v>1</v>
      </c>
      <c r="G2446">
        <v>14000</v>
      </c>
      <c r="H2446">
        <v>2.0977920000000001E-2</v>
      </c>
      <c r="I2446">
        <v>13290</v>
      </c>
      <c r="J2446">
        <v>4061</v>
      </c>
      <c r="K2446">
        <v>9229</v>
      </c>
      <c r="L2446">
        <v>500</v>
      </c>
      <c r="M2446">
        <v>499</v>
      </c>
      <c r="N2446">
        <v>1</v>
      </c>
      <c r="O2446">
        <v>710</v>
      </c>
      <c r="P2446" s="3" t="s">
        <v>50</v>
      </c>
      <c r="Q2446">
        <v>50</v>
      </c>
      <c r="R2446">
        <v>0.999</v>
      </c>
      <c r="S2446">
        <v>1</v>
      </c>
    </row>
    <row r="2447" spans="1:19" x14ac:dyDescent="0.2">
      <c r="A2447" s="3" t="s">
        <v>54</v>
      </c>
      <c r="B2447" s="3" t="s">
        <v>55</v>
      </c>
      <c r="C2447">
        <v>13</v>
      </c>
      <c r="D2447">
        <v>11000</v>
      </c>
      <c r="E2447">
        <v>499</v>
      </c>
      <c r="F2447">
        <v>1</v>
      </c>
      <c r="G2447">
        <v>44062.122210792702</v>
      </c>
      <c r="H2447">
        <v>2.095253E-2</v>
      </c>
      <c r="I2447">
        <v>11000</v>
      </c>
      <c r="J2447">
        <v>3547</v>
      </c>
      <c r="K2447">
        <v>7453</v>
      </c>
      <c r="L2447">
        <v>500</v>
      </c>
      <c r="M2447">
        <v>499</v>
      </c>
      <c r="N2447">
        <v>1</v>
      </c>
      <c r="O2447">
        <v>0</v>
      </c>
      <c r="P2447" s="3" t="s">
        <v>51</v>
      </c>
      <c r="Q2447">
        <v>50</v>
      </c>
      <c r="R2447">
        <v>0.999</v>
      </c>
      <c r="S2447">
        <v>0</v>
      </c>
    </row>
    <row r="2448" spans="1:19" x14ac:dyDescent="0.2">
      <c r="A2448" s="3" t="s">
        <v>54</v>
      </c>
      <c r="B2448" s="3" t="s">
        <v>55</v>
      </c>
      <c r="C2448">
        <v>1</v>
      </c>
      <c r="D2448">
        <v>11000</v>
      </c>
      <c r="E2448">
        <v>499</v>
      </c>
      <c r="F2448">
        <v>1</v>
      </c>
      <c r="G2448">
        <v>44062.122210792702</v>
      </c>
      <c r="H2448">
        <v>2.0951877000000001E-2</v>
      </c>
      <c r="I2448">
        <v>11000</v>
      </c>
      <c r="J2448">
        <v>3547</v>
      </c>
      <c r="K2448">
        <v>7453</v>
      </c>
      <c r="L2448">
        <v>500</v>
      </c>
      <c r="M2448">
        <v>499</v>
      </c>
      <c r="N2448">
        <v>1</v>
      </c>
      <c r="O2448">
        <v>0</v>
      </c>
      <c r="P2448" s="3" t="s">
        <v>51</v>
      </c>
      <c r="Q2448">
        <v>50</v>
      </c>
      <c r="R2448">
        <v>0.999</v>
      </c>
      <c r="S2448">
        <v>0</v>
      </c>
    </row>
    <row r="2449" spans="1:19" x14ac:dyDescent="0.2">
      <c r="A2449" s="3" t="s">
        <v>54</v>
      </c>
      <c r="B2449" s="3" t="s">
        <v>55</v>
      </c>
      <c r="C2449">
        <v>47</v>
      </c>
      <c r="D2449">
        <v>11000</v>
      </c>
      <c r="E2449">
        <v>499</v>
      </c>
      <c r="F2449">
        <v>1</v>
      </c>
      <c r="G2449">
        <v>44062.122210792702</v>
      </c>
      <c r="H2449">
        <v>2.0945277000000002E-2</v>
      </c>
      <c r="I2449">
        <v>11000</v>
      </c>
      <c r="J2449">
        <v>3547</v>
      </c>
      <c r="K2449">
        <v>7453</v>
      </c>
      <c r="L2449">
        <v>500</v>
      </c>
      <c r="M2449">
        <v>499</v>
      </c>
      <c r="N2449">
        <v>1</v>
      </c>
      <c r="O2449">
        <v>0</v>
      </c>
      <c r="P2449" s="3" t="s">
        <v>51</v>
      </c>
      <c r="Q2449">
        <v>50</v>
      </c>
      <c r="R2449">
        <v>0.999</v>
      </c>
      <c r="S2449">
        <v>0</v>
      </c>
    </row>
    <row r="2450" spans="1:19" x14ac:dyDescent="0.2">
      <c r="A2450" s="3" t="s">
        <v>54</v>
      </c>
      <c r="B2450" s="3" t="s">
        <v>55</v>
      </c>
      <c r="C2450">
        <v>25</v>
      </c>
      <c r="D2450">
        <v>11000</v>
      </c>
      <c r="E2450">
        <v>499</v>
      </c>
      <c r="F2450">
        <v>1</v>
      </c>
      <c r="G2450">
        <v>44062.122210792702</v>
      </c>
      <c r="H2450">
        <v>2.0924910000000001E-2</v>
      </c>
      <c r="I2450">
        <v>11000</v>
      </c>
      <c r="J2450">
        <v>3547</v>
      </c>
      <c r="K2450">
        <v>7453</v>
      </c>
      <c r="L2450">
        <v>500</v>
      </c>
      <c r="M2450">
        <v>499</v>
      </c>
      <c r="N2450">
        <v>1</v>
      </c>
      <c r="O2450">
        <v>0</v>
      </c>
      <c r="P2450" s="3" t="s">
        <v>51</v>
      </c>
      <c r="Q2450">
        <v>50</v>
      </c>
      <c r="R2450">
        <v>0.999</v>
      </c>
      <c r="S2450">
        <v>0</v>
      </c>
    </row>
    <row r="2451" spans="1:19" x14ac:dyDescent="0.2">
      <c r="A2451" s="3" t="s">
        <v>54</v>
      </c>
      <c r="B2451" s="3" t="s">
        <v>55</v>
      </c>
      <c r="C2451">
        <v>22</v>
      </c>
      <c r="D2451">
        <v>11000</v>
      </c>
      <c r="E2451">
        <v>499</v>
      </c>
      <c r="F2451">
        <v>1</v>
      </c>
      <c r="G2451">
        <v>44062.122210792702</v>
      </c>
      <c r="H2451">
        <v>2.0920536E-2</v>
      </c>
      <c r="I2451">
        <v>11000</v>
      </c>
      <c r="J2451">
        <v>3547</v>
      </c>
      <c r="K2451">
        <v>7453</v>
      </c>
      <c r="L2451">
        <v>500</v>
      </c>
      <c r="M2451">
        <v>499</v>
      </c>
      <c r="N2451">
        <v>1</v>
      </c>
      <c r="O2451">
        <v>0</v>
      </c>
      <c r="P2451" s="3" t="s">
        <v>51</v>
      </c>
      <c r="Q2451">
        <v>50</v>
      </c>
      <c r="R2451">
        <v>0.999</v>
      </c>
      <c r="S2451">
        <v>0</v>
      </c>
    </row>
    <row r="2452" spans="1:19" x14ac:dyDescent="0.2">
      <c r="A2452" s="3" t="s">
        <v>54</v>
      </c>
      <c r="B2452" s="3" t="s">
        <v>55</v>
      </c>
      <c r="C2452">
        <v>43</v>
      </c>
      <c r="D2452">
        <v>10000</v>
      </c>
      <c r="E2452">
        <v>499</v>
      </c>
      <c r="F2452">
        <v>1</v>
      </c>
      <c r="G2452">
        <v>10000</v>
      </c>
      <c r="H2452">
        <v>2.0918435999999999E-2</v>
      </c>
      <c r="I2452">
        <v>10000</v>
      </c>
      <c r="J2452">
        <v>4183</v>
      </c>
      <c r="K2452">
        <v>5817</v>
      </c>
      <c r="L2452">
        <v>500</v>
      </c>
      <c r="M2452">
        <v>499</v>
      </c>
      <c r="N2452">
        <v>1</v>
      </c>
      <c r="O2452">
        <v>0</v>
      </c>
      <c r="P2452" s="3" t="s">
        <v>51</v>
      </c>
      <c r="Q2452">
        <v>50</v>
      </c>
      <c r="R2452">
        <v>0.999</v>
      </c>
      <c r="S2452">
        <v>1</v>
      </c>
    </row>
    <row r="2453" spans="1:19" x14ac:dyDescent="0.2">
      <c r="A2453" s="3" t="s">
        <v>54</v>
      </c>
      <c r="B2453" s="3" t="s">
        <v>55</v>
      </c>
      <c r="C2453">
        <v>38</v>
      </c>
      <c r="D2453">
        <v>11000</v>
      </c>
      <c r="E2453">
        <v>499</v>
      </c>
      <c r="F2453">
        <v>1</v>
      </c>
      <c r="G2453">
        <v>11000</v>
      </c>
      <c r="H2453">
        <v>2.0897822E-2</v>
      </c>
      <c r="I2453">
        <v>11000</v>
      </c>
      <c r="J2453">
        <v>4329</v>
      </c>
      <c r="K2453">
        <v>6671</v>
      </c>
      <c r="L2453">
        <v>500</v>
      </c>
      <c r="M2453">
        <v>499</v>
      </c>
      <c r="N2453">
        <v>1</v>
      </c>
      <c r="O2453">
        <v>0</v>
      </c>
      <c r="P2453" s="3" t="s">
        <v>51</v>
      </c>
      <c r="Q2453">
        <v>50</v>
      </c>
      <c r="R2453">
        <v>0.999</v>
      </c>
      <c r="S2453">
        <v>1</v>
      </c>
    </row>
    <row r="2454" spans="1:19" x14ac:dyDescent="0.2">
      <c r="A2454" s="3" t="s">
        <v>54</v>
      </c>
      <c r="B2454" s="3" t="s">
        <v>55</v>
      </c>
      <c r="C2454">
        <v>32</v>
      </c>
      <c r="D2454">
        <v>10000</v>
      </c>
      <c r="E2454">
        <v>499</v>
      </c>
      <c r="F2454">
        <v>1</v>
      </c>
      <c r="G2454">
        <v>39482.677260513999</v>
      </c>
      <c r="H2454">
        <v>2.0894027999999999E-2</v>
      </c>
      <c r="I2454">
        <v>10000</v>
      </c>
      <c r="J2454">
        <v>3500</v>
      </c>
      <c r="K2454">
        <v>6500</v>
      </c>
      <c r="L2454">
        <v>500</v>
      </c>
      <c r="M2454">
        <v>499</v>
      </c>
      <c r="N2454">
        <v>1</v>
      </c>
      <c r="O2454">
        <v>0</v>
      </c>
      <c r="P2454" s="3" t="s">
        <v>51</v>
      </c>
      <c r="Q2454">
        <v>50</v>
      </c>
      <c r="R2454">
        <v>0.999</v>
      </c>
      <c r="S2454">
        <v>0</v>
      </c>
    </row>
    <row r="2455" spans="1:19" x14ac:dyDescent="0.2">
      <c r="A2455" s="3" t="s">
        <v>54</v>
      </c>
      <c r="B2455" s="3" t="s">
        <v>55</v>
      </c>
      <c r="C2455">
        <v>6</v>
      </c>
      <c r="D2455">
        <v>10000</v>
      </c>
      <c r="E2455">
        <v>499</v>
      </c>
      <c r="F2455">
        <v>1</v>
      </c>
      <c r="G2455">
        <v>10000</v>
      </c>
      <c r="H2455">
        <v>2.0891139999999999E-2</v>
      </c>
      <c r="I2455">
        <v>10000</v>
      </c>
      <c r="J2455">
        <v>4183</v>
      </c>
      <c r="K2455">
        <v>5817</v>
      </c>
      <c r="L2455">
        <v>500</v>
      </c>
      <c r="M2455">
        <v>499</v>
      </c>
      <c r="N2455">
        <v>1</v>
      </c>
      <c r="O2455">
        <v>0</v>
      </c>
      <c r="P2455" s="3" t="s">
        <v>51</v>
      </c>
      <c r="Q2455">
        <v>50</v>
      </c>
      <c r="R2455">
        <v>0.999</v>
      </c>
      <c r="S2455">
        <v>1</v>
      </c>
    </row>
    <row r="2456" spans="1:19" x14ac:dyDescent="0.2">
      <c r="A2456" s="3" t="s">
        <v>54</v>
      </c>
      <c r="B2456" s="3" t="s">
        <v>55</v>
      </c>
      <c r="C2456">
        <v>49</v>
      </c>
      <c r="D2456">
        <v>11000</v>
      </c>
      <c r="E2456">
        <v>499</v>
      </c>
      <c r="F2456">
        <v>1</v>
      </c>
      <c r="G2456">
        <v>44062.122210792702</v>
      </c>
      <c r="H2456">
        <v>2.0890472E-2</v>
      </c>
      <c r="I2456">
        <v>11000</v>
      </c>
      <c r="J2456">
        <v>3547</v>
      </c>
      <c r="K2456">
        <v>7453</v>
      </c>
      <c r="L2456">
        <v>500</v>
      </c>
      <c r="M2456">
        <v>499</v>
      </c>
      <c r="N2456">
        <v>1</v>
      </c>
      <c r="O2456">
        <v>0</v>
      </c>
      <c r="P2456" s="3" t="s">
        <v>51</v>
      </c>
      <c r="Q2456">
        <v>50</v>
      </c>
      <c r="R2456">
        <v>0.999</v>
      </c>
      <c r="S2456">
        <v>0</v>
      </c>
    </row>
    <row r="2457" spans="1:19" x14ac:dyDescent="0.2">
      <c r="A2457" s="3" t="s">
        <v>54</v>
      </c>
      <c r="B2457" s="3" t="s">
        <v>55</v>
      </c>
      <c r="C2457">
        <v>24</v>
      </c>
      <c r="D2457">
        <v>11000</v>
      </c>
      <c r="E2457">
        <v>499</v>
      </c>
      <c r="F2457">
        <v>1</v>
      </c>
      <c r="G2457">
        <v>44062.122210792702</v>
      </c>
      <c r="H2457">
        <v>2.0859570000000001E-2</v>
      </c>
      <c r="I2457">
        <v>11000</v>
      </c>
      <c r="J2457">
        <v>3547</v>
      </c>
      <c r="K2457">
        <v>7453</v>
      </c>
      <c r="L2457">
        <v>500</v>
      </c>
      <c r="M2457">
        <v>499</v>
      </c>
      <c r="N2457">
        <v>1</v>
      </c>
      <c r="O2457">
        <v>0</v>
      </c>
      <c r="P2457" s="3" t="s">
        <v>51</v>
      </c>
      <c r="Q2457">
        <v>50</v>
      </c>
      <c r="R2457">
        <v>0.999</v>
      </c>
      <c r="S2457">
        <v>0</v>
      </c>
    </row>
    <row r="2458" spans="1:19" x14ac:dyDescent="0.2">
      <c r="A2458" s="3" t="s">
        <v>54</v>
      </c>
      <c r="B2458" s="3" t="s">
        <v>55</v>
      </c>
      <c r="C2458">
        <v>21</v>
      </c>
      <c r="D2458">
        <v>10000</v>
      </c>
      <c r="E2458">
        <v>499</v>
      </c>
      <c r="F2458">
        <v>1</v>
      </c>
      <c r="G2458">
        <v>10000</v>
      </c>
      <c r="H2458">
        <v>2.0856141000000002E-2</v>
      </c>
      <c r="I2458">
        <v>10000</v>
      </c>
      <c r="J2458">
        <v>4183</v>
      </c>
      <c r="K2458">
        <v>5817</v>
      </c>
      <c r="L2458">
        <v>500</v>
      </c>
      <c r="M2458">
        <v>499</v>
      </c>
      <c r="N2458">
        <v>1</v>
      </c>
      <c r="O2458">
        <v>0</v>
      </c>
      <c r="P2458" s="3" t="s">
        <v>51</v>
      </c>
      <c r="Q2458">
        <v>50</v>
      </c>
      <c r="R2458">
        <v>0.999</v>
      </c>
      <c r="S2458">
        <v>1</v>
      </c>
    </row>
    <row r="2459" spans="1:19" x14ac:dyDescent="0.2">
      <c r="A2459" s="3" t="s">
        <v>54</v>
      </c>
      <c r="B2459" s="3" t="s">
        <v>55</v>
      </c>
      <c r="C2459">
        <v>23</v>
      </c>
      <c r="D2459">
        <v>10000</v>
      </c>
      <c r="E2459">
        <v>499</v>
      </c>
      <c r="F2459">
        <v>1</v>
      </c>
      <c r="G2459">
        <v>10000</v>
      </c>
      <c r="H2459">
        <v>2.0850533000000001E-2</v>
      </c>
      <c r="I2459">
        <v>10000</v>
      </c>
      <c r="J2459">
        <v>4183</v>
      </c>
      <c r="K2459">
        <v>5817</v>
      </c>
      <c r="L2459">
        <v>500</v>
      </c>
      <c r="M2459">
        <v>499</v>
      </c>
      <c r="N2459">
        <v>1</v>
      </c>
      <c r="O2459">
        <v>0</v>
      </c>
      <c r="P2459" s="3" t="s">
        <v>51</v>
      </c>
      <c r="Q2459">
        <v>50</v>
      </c>
      <c r="R2459">
        <v>0.999</v>
      </c>
      <c r="S2459">
        <v>1</v>
      </c>
    </row>
    <row r="2460" spans="1:19" x14ac:dyDescent="0.2">
      <c r="A2460" s="3" t="s">
        <v>54</v>
      </c>
      <c r="B2460" s="3" t="s">
        <v>55</v>
      </c>
      <c r="C2460">
        <v>9</v>
      </c>
      <c r="D2460">
        <v>11000</v>
      </c>
      <c r="E2460">
        <v>499</v>
      </c>
      <c r="F2460">
        <v>1</v>
      </c>
      <c r="G2460">
        <v>44062.122210792702</v>
      </c>
      <c r="H2460">
        <v>2.0822189000000001E-2</v>
      </c>
      <c r="I2460">
        <v>11000</v>
      </c>
      <c r="J2460">
        <v>3547</v>
      </c>
      <c r="K2460">
        <v>7453</v>
      </c>
      <c r="L2460">
        <v>500</v>
      </c>
      <c r="M2460">
        <v>499</v>
      </c>
      <c r="N2460">
        <v>1</v>
      </c>
      <c r="O2460">
        <v>0</v>
      </c>
      <c r="P2460" s="3" t="s">
        <v>51</v>
      </c>
      <c r="Q2460">
        <v>50</v>
      </c>
      <c r="R2460">
        <v>0.999</v>
      </c>
      <c r="S2460">
        <v>0</v>
      </c>
    </row>
    <row r="2461" spans="1:19" x14ac:dyDescent="0.2">
      <c r="A2461" s="3" t="s">
        <v>54</v>
      </c>
      <c r="B2461" s="3" t="s">
        <v>55</v>
      </c>
      <c r="C2461">
        <v>7</v>
      </c>
      <c r="D2461">
        <v>14000</v>
      </c>
      <c r="E2461">
        <v>499</v>
      </c>
      <c r="F2461">
        <v>1</v>
      </c>
      <c r="G2461">
        <v>14000</v>
      </c>
      <c r="H2461">
        <v>2.0820997000000001E-2</v>
      </c>
      <c r="I2461">
        <v>13298</v>
      </c>
      <c r="J2461">
        <v>4078</v>
      </c>
      <c r="K2461">
        <v>9220</v>
      </c>
      <c r="L2461">
        <v>500</v>
      </c>
      <c r="M2461">
        <v>499</v>
      </c>
      <c r="N2461">
        <v>1</v>
      </c>
      <c r="O2461">
        <v>702</v>
      </c>
      <c r="P2461" s="3" t="s">
        <v>50</v>
      </c>
      <c r="Q2461">
        <v>50</v>
      </c>
      <c r="R2461">
        <v>0.999</v>
      </c>
      <c r="S2461">
        <v>1</v>
      </c>
    </row>
    <row r="2462" spans="1:19" x14ac:dyDescent="0.2">
      <c r="A2462" s="3" t="s">
        <v>54</v>
      </c>
      <c r="B2462" s="3" t="s">
        <v>55</v>
      </c>
      <c r="C2462">
        <v>49</v>
      </c>
      <c r="D2462">
        <v>13000</v>
      </c>
      <c r="E2462">
        <v>499</v>
      </c>
      <c r="F2462">
        <v>1</v>
      </c>
      <c r="G2462">
        <v>13000</v>
      </c>
      <c r="H2462">
        <v>2.081657E-2</v>
      </c>
      <c r="I2462">
        <v>12705</v>
      </c>
      <c r="J2462">
        <v>3842</v>
      </c>
      <c r="K2462">
        <v>8863</v>
      </c>
      <c r="L2462">
        <v>500</v>
      </c>
      <c r="M2462">
        <v>499</v>
      </c>
      <c r="N2462">
        <v>1</v>
      </c>
      <c r="O2462">
        <v>295</v>
      </c>
      <c r="P2462" s="3" t="s">
        <v>50</v>
      </c>
      <c r="Q2462">
        <v>50</v>
      </c>
      <c r="R2462">
        <v>0.999</v>
      </c>
      <c r="S2462">
        <v>1</v>
      </c>
    </row>
    <row r="2463" spans="1:19" x14ac:dyDescent="0.2">
      <c r="A2463" s="3" t="s">
        <v>54</v>
      </c>
      <c r="B2463" s="3" t="s">
        <v>55</v>
      </c>
      <c r="C2463">
        <v>50</v>
      </c>
      <c r="D2463">
        <v>10000</v>
      </c>
      <c r="E2463">
        <v>499</v>
      </c>
      <c r="F2463">
        <v>1</v>
      </c>
      <c r="G2463">
        <v>39482.677260513999</v>
      </c>
      <c r="H2463">
        <v>2.0814663000000001E-2</v>
      </c>
      <c r="I2463">
        <v>10000</v>
      </c>
      <c r="J2463">
        <v>3500</v>
      </c>
      <c r="K2463">
        <v>6500</v>
      </c>
      <c r="L2463">
        <v>500</v>
      </c>
      <c r="M2463">
        <v>499</v>
      </c>
      <c r="N2463">
        <v>1</v>
      </c>
      <c r="O2463">
        <v>0</v>
      </c>
      <c r="P2463" s="3" t="s">
        <v>51</v>
      </c>
      <c r="Q2463">
        <v>50</v>
      </c>
      <c r="R2463">
        <v>0.999</v>
      </c>
      <c r="S2463">
        <v>0</v>
      </c>
    </row>
    <row r="2464" spans="1:19" x14ac:dyDescent="0.2">
      <c r="A2464" s="3" t="s">
        <v>54</v>
      </c>
      <c r="B2464" s="3" t="s">
        <v>55</v>
      </c>
      <c r="C2464">
        <v>41</v>
      </c>
      <c r="D2464">
        <v>10000</v>
      </c>
      <c r="E2464">
        <v>499</v>
      </c>
      <c r="F2464">
        <v>1</v>
      </c>
      <c r="G2464">
        <v>39482.677260513999</v>
      </c>
      <c r="H2464">
        <v>2.0798071000000001E-2</v>
      </c>
      <c r="I2464">
        <v>10000</v>
      </c>
      <c r="J2464">
        <v>3500</v>
      </c>
      <c r="K2464">
        <v>6500</v>
      </c>
      <c r="L2464">
        <v>500</v>
      </c>
      <c r="M2464">
        <v>499</v>
      </c>
      <c r="N2464">
        <v>1</v>
      </c>
      <c r="O2464">
        <v>0</v>
      </c>
      <c r="P2464" s="3" t="s">
        <v>51</v>
      </c>
      <c r="Q2464">
        <v>50</v>
      </c>
      <c r="R2464">
        <v>0.999</v>
      </c>
      <c r="S2464">
        <v>0</v>
      </c>
    </row>
    <row r="2465" spans="1:19" x14ac:dyDescent="0.2">
      <c r="A2465" s="3" t="s">
        <v>54</v>
      </c>
      <c r="B2465" s="3" t="s">
        <v>55</v>
      </c>
      <c r="C2465">
        <v>30</v>
      </c>
      <c r="D2465">
        <v>11000</v>
      </c>
      <c r="E2465">
        <v>499</v>
      </c>
      <c r="F2465">
        <v>1</v>
      </c>
      <c r="G2465">
        <v>44062.122210792702</v>
      </c>
      <c r="H2465">
        <v>2.0795137000000002E-2</v>
      </c>
      <c r="I2465">
        <v>11000</v>
      </c>
      <c r="J2465">
        <v>3547</v>
      </c>
      <c r="K2465">
        <v>7453</v>
      </c>
      <c r="L2465">
        <v>500</v>
      </c>
      <c r="M2465">
        <v>499</v>
      </c>
      <c r="N2465">
        <v>1</v>
      </c>
      <c r="O2465">
        <v>0</v>
      </c>
      <c r="P2465" s="3" t="s">
        <v>51</v>
      </c>
      <c r="Q2465">
        <v>50</v>
      </c>
      <c r="R2465">
        <v>0.999</v>
      </c>
      <c r="S2465">
        <v>0</v>
      </c>
    </row>
    <row r="2466" spans="1:19" x14ac:dyDescent="0.2">
      <c r="A2466" s="3" t="s">
        <v>54</v>
      </c>
      <c r="B2466" s="3" t="s">
        <v>55</v>
      </c>
      <c r="C2466">
        <v>23</v>
      </c>
      <c r="D2466">
        <v>11000</v>
      </c>
      <c r="E2466">
        <v>499</v>
      </c>
      <c r="F2466">
        <v>1</v>
      </c>
      <c r="G2466">
        <v>44062.122210792702</v>
      </c>
      <c r="H2466">
        <v>2.0794989999999999E-2</v>
      </c>
      <c r="I2466">
        <v>11000</v>
      </c>
      <c r="J2466">
        <v>3547</v>
      </c>
      <c r="K2466">
        <v>7453</v>
      </c>
      <c r="L2466">
        <v>500</v>
      </c>
      <c r="M2466">
        <v>499</v>
      </c>
      <c r="N2466">
        <v>1</v>
      </c>
      <c r="O2466">
        <v>0</v>
      </c>
      <c r="P2466" s="3" t="s">
        <v>51</v>
      </c>
      <c r="Q2466">
        <v>50</v>
      </c>
      <c r="R2466">
        <v>0.999</v>
      </c>
      <c r="S2466">
        <v>0</v>
      </c>
    </row>
    <row r="2467" spans="1:19" x14ac:dyDescent="0.2">
      <c r="A2467" s="3" t="s">
        <v>54</v>
      </c>
      <c r="B2467" s="3" t="s">
        <v>55</v>
      </c>
      <c r="C2467">
        <v>11</v>
      </c>
      <c r="D2467">
        <v>10000</v>
      </c>
      <c r="E2467">
        <v>499</v>
      </c>
      <c r="F2467">
        <v>1</v>
      </c>
      <c r="G2467">
        <v>39482.677260513999</v>
      </c>
      <c r="H2467">
        <v>2.0788099000000001E-2</v>
      </c>
      <c r="I2467">
        <v>10000</v>
      </c>
      <c r="J2467">
        <v>3500</v>
      </c>
      <c r="K2467">
        <v>6500</v>
      </c>
      <c r="L2467">
        <v>500</v>
      </c>
      <c r="M2467">
        <v>499</v>
      </c>
      <c r="N2467">
        <v>1</v>
      </c>
      <c r="O2467">
        <v>0</v>
      </c>
      <c r="P2467" s="3" t="s">
        <v>51</v>
      </c>
      <c r="Q2467">
        <v>50</v>
      </c>
      <c r="R2467">
        <v>0.999</v>
      </c>
      <c r="S2467">
        <v>0</v>
      </c>
    </row>
    <row r="2468" spans="1:19" x14ac:dyDescent="0.2">
      <c r="A2468" s="3" t="s">
        <v>54</v>
      </c>
      <c r="B2468" s="3" t="s">
        <v>55</v>
      </c>
      <c r="C2468">
        <v>20</v>
      </c>
      <c r="D2468">
        <v>11000</v>
      </c>
      <c r="E2468">
        <v>499</v>
      </c>
      <c r="F2468">
        <v>1</v>
      </c>
      <c r="G2468">
        <v>44062.122210792702</v>
      </c>
      <c r="H2468">
        <v>2.0786181000000001E-2</v>
      </c>
      <c r="I2468">
        <v>11000</v>
      </c>
      <c r="J2468">
        <v>3547</v>
      </c>
      <c r="K2468">
        <v>7453</v>
      </c>
      <c r="L2468">
        <v>500</v>
      </c>
      <c r="M2468">
        <v>499</v>
      </c>
      <c r="N2468">
        <v>1</v>
      </c>
      <c r="O2468">
        <v>0</v>
      </c>
      <c r="P2468" s="3" t="s">
        <v>51</v>
      </c>
      <c r="Q2468">
        <v>50</v>
      </c>
      <c r="R2468">
        <v>0.999</v>
      </c>
      <c r="S2468">
        <v>0</v>
      </c>
    </row>
    <row r="2469" spans="1:19" x14ac:dyDescent="0.2">
      <c r="A2469" s="3" t="s">
        <v>54</v>
      </c>
      <c r="B2469" s="3" t="s">
        <v>55</v>
      </c>
      <c r="C2469">
        <v>46</v>
      </c>
      <c r="D2469">
        <v>11000</v>
      </c>
      <c r="E2469">
        <v>499</v>
      </c>
      <c r="F2469">
        <v>1</v>
      </c>
      <c r="G2469">
        <v>44062.122210792702</v>
      </c>
      <c r="H2469">
        <v>2.0776749000000001E-2</v>
      </c>
      <c r="I2469">
        <v>11000</v>
      </c>
      <c r="J2469">
        <v>3547</v>
      </c>
      <c r="K2469">
        <v>7453</v>
      </c>
      <c r="L2469">
        <v>500</v>
      </c>
      <c r="M2469">
        <v>499</v>
      </c>
      <c r="N2469">
        <v>1</v>
      </c>
      <c r="O2469">
        <v>0</v>
      </c>
      <c r="P2469" s="3" t="s">
        <v>51</v>
      </c>
      <c r="Q2469">
        <v>50</v>
      </c>
      <c r="R2469">
        <v>0.999</v>
      </c>
      <c r="S2469">
        <v>0</v>
      </c>
    </row>
    <row r="2470" spans="1:19" x14ac:dyDescent="0.2">
      <c r="A2470" s="3" t="s">
        <v>54</v>
      </c>
      <c r="B2470" s="3" t="s">
        <v>55</v>
      </c>
      <c r="C2470">
        <v>27</v>
      </c>
      <c r="D2470">
        <v>10000</v>
      </c>
      <c r="E2470">
        <v>499</v>
      </c>
      <c r="F2470">
        <v>1</v>
      </c>
      <c r="G2470">
        <v>39482.677260513999</v>
      </c>
      <c r="H2470">
        <v>2.0750881999999998E-2</v>
      </c>
      <c r="I2470">
        <v>10000</v>
      </c>
      <c r="J2470">
        <v>3500</v>
      </c>
      <c r="K2470">
        <v>6500</v>
      </c>
      <c r="L2470">
        <v>500</v>
      </c>
      <c r="M2470">
        <v>499</v>
      </c>
      <c r="N2470">
        <v>1</v>
      </c>
      <c r="O2470">
        <v>0</v>
      </c>
      <c r="P2470" s="3" t="s">
        <v>51</v>
      </c>
      <c r="Q2470">
        <v>50</v>
      </c>
      <c r="R2470">
        <v>0.999</v>
      </c>
      <c r="S2470">
        <v>0</v>
      </c>
    </row>
    <row r="2471" spans="1:19" x14ac:dyDescent="0.2">
      <c r="A2471" s="3" t="s">
        <v>54</v>
      </c>
      <c r="B2471" s="3" t="s">
        <v>55</v>
      </c>
      <c r="C2471">
        <v>35</v>
      </c>
      <c r="D2471">
        <v>11000</v>
      </c>
      <c r="E2471">
        <v>499</v>
      </c>
      <c r="F2471">
        <v>1</v>
      </c>
      <c r="G2471">
        <v>44062.122210792702</v>
      </c>
      <c r="H2471">
        <v>2.0749222000000001E-2</v>
      </c>
      <c r="I2471">
        <v>11000</v>
      </c>
      <c r="J2471">
        <v>3547</v>
      </c>
      <c r="K2471">
        <v>7453</v>
      </c>
      <c r="L2471">
        <v>500</v>
      </c>
      <c r="M2471">
        <v>499</v>
      </c>
      <c r="N2471">
        <v>1</v>
      </c>
      <c r="O2471">
        <v>0</v>
      </c>
      <c r="P2471" s="3" t="s">
        <v>51</v>
      </c>
      <c r="Q2471">
        <v>50</v>
      </c>
      <c r="R2471">
        <v>0.999</v>
      </c>
      <c r="S2471">
        <v>0</v>
      </c>
    </row>
    <row r="2472" spans="1:19" x14ac:dyDescent="0.2">
      <c r="A2472" s="3" t="s">
        <v>54</v>
      </c>
      <c r="B2472" s="3" t="s">
        <v>55</v>
      </c>
      <c r="C2472">
        <v>34</v>
      </c>
      <c r="D2472">
        <v>10000</v>
      </c>
      <c r="E2472">
        <v>499</v>
      </c>
      <c r="F2472">
        <v>1</v>
      </c>
      <c r="G2472">
        <v>10000</v>
      </c>
      <c r="H2472">
        <v>2.0736333999999999E-2</v>
      </c>
      <c r="I2472">
        <v>10000</v>
      </c>
      <c r="J2472">
        <v>4183</v>
      </c>
      <c r="K2472">
        <v>5817</v>
      </c>
      <c r="L2472">
        <v>500</v>
      </c>
      <c r="M2472">
        <v>499</v>
      </c>
      <c r="N2472">
        <v>1</v>
      </c>
      <c r="O2472">
        <v>0</v>
      </c>
      <c r="P2472" s="3" t="s">
        <v>51</v>
      </c>
      <c r="Q2472">
        <v>50</v>
      </c>
      <c r="R2472">
        <v>0.999</v>
      </c>
      <c r="S2472">
        <v>1</v>
      </c>
    </row>
    <row r="2473" spans="1:19" x14ac:dyDescent="0.2">
      <c r="A2473" s="3" t="s">
        <v>54</v>
      </c>
      <c r="B2473" s="3" t="s">
        <v>55</v>
      </c>
      <c r="C2473">
        <v>15</v>
      </c>
      <c r="D2473">
        <v>10000</v>
      </c>
      <c r="E2473">
        <v>499</v>
      </c>
      <c r="F2473">
        <v>1</v>
      </c>
      <c r="G2473">
        <v>10000</v>
      </c>
      <c r="H2473">
        <v>2.0706459999999999E-2</v>
      </c>
      <c r="I2473">
        <v>10000</v>
      </c>
      <c r="J2473">
        <v>4183</v>
      </c>
      <c r="K2473">
        <v>5817</v>
      </c>
      <c r="L2473">
        <v>500</v>
      </c>
      <c r="M2473">
        <v>499</v>
      </c>
      <c r="N2473">
        <v>1</v>
      </c>
      <c r="O2473">
        <v>0</v>
      </c>
      <c r="P2473" s="3" t="s">
        <v>51</v>
      </c>
      <c r="Q2473">
        <v>50</v>
      </c>
      <c r="R2473">
        <v>0.999</v>
      </c>
      <c r="S2473">
        <v>1</v>
      </c>
    </row>
    <row r="2474" spans="1:19" x14ac:dyDescent="0.2">
      <c r="A2474" s="3" t="s">
        <v>54</v>
      </c>
      <c r="B2474" s="3" t="s">
        <v>55</v>
      </c>
      <c r="C2474">
        <v>39</v>
      </c>
      <c r="D2474">
        <v>11000</v>
      </c>
      <c r="E2474">
        <v>499</v>
      </c>
      <c r="F2474">
        <v>1</v>
      </c>
      <c r="G2474">
        <v>44062.122210792702</v>
      </c>
      <c r="H2474">
        <v>2.0700969999999999E-2</v>
      </c>
      <c r="I2474">
        <v>11000</v>
      </c>
      <c r="J2474">
        <v>3547</v>
      </c>
      <c r="K2474">
        <v>7453</v>
      </c>
      <c r="L2474">
        <v>500</v>
      </c>
      <c r="M2474">
        <v>499</v>
      </c>
      <c r="N2474">
        <v>1</v>
      </c>
      <c r="O2474">
        <v>0</v>
      </c>
      <c r="P2474" s="3" t="s">
        <v>51</v>
      </c>
      <c r="Q2474">
        <v>50</v>
      </c>
      <c r="R2474">
        <v>0.999</v>
      </c>
      <c r="S2474">
        <v>0</v>
      </c>
    </row>
    <row r="2475" spans="1:19" x14ac:dyDescent="0.2">
      <c r="A2475" s="3" t="s">
        <v>54</v>
      </c>
      <c r="B2475" s="3" t="s">
        <v>55</v>
      </c>
      <c r="C2475">
        <v>21</v>
      </c>
      <c r="D2475">
        <v>11000</v>
      </c>
      <c r="E2475">
        <v>499</v>
      </c>
      <c r="F2475">
        <v>1</v>
      </c>
      <c r="G2475">
        <v>44062.122210792702</v>
      </c>
      <c r="H2475">
        <v>2.0700446000000001E-2</v>
      </c>
      <c r="I2475">
        <v>11000</v>
      </c>
      <c r="J2475">
        <v>3547</v>
      </c>
      <c r="K2475">
        <v>7453</v>
      </c>
      <c r="L2475">
        <v>500</v>
      </c>
      <c r="M2475">
        <v>499</v>
      </c>
      <c r="N2475">
        <v>1</v>
      </c>
      <c r="O2475">
        <v>0</v>
      </c>
      <c r="P2475" s="3" t="s">
        <v>51</v>
      </c>
      <c r="Q2475">
        <v>50</v>
      </c>
      <c r="R2475">
        <v>0.999</v>
      </c>
      <c r="S2475">
        <v>0</v>
      </c>
    </row>
    <row r="2476" spans="1:19" x14ac:dyDescent="0.2">
      <c r="A2476" s="3" t="s">
        <v>54</v>
      </c>
      <c r="B2476" s="3" t="s">
        <v>55</v>
      </c>
      <c r="C2476">
        <v>18</v>
      </c>
      <c r="D2476">
        <v>10000</v>
      </c>
      <c r="E2476">
        <v>499</v>
      </c>
      <c r="F2476">
        <v>1</v>
      </c>
      <c r="G2476">
        <v>10000</v>
      </c>
      <c r="H2476">
        <v>2.0694093E-2</v>
      </c>
      <c r="I2476">
        <v>10000</v>
      </c>
      <c r="J2476">
        <v>4183</v>
      </c>
      <c r="K2476">
        <v>5817</v>
      </c>
      <c r="L2476">
        <v>500</v>
      </c>
      <c r="M2476">
        <v>499</v>
      </c>
      <c r="N2476">
        <v>1</v>
      </c>
      <c r="O2476">
        <v>0</v>
      </c>
      <c r="P2476" s="3" t="s">
        <v>51</v>
      </c>
      <c r="Q2476">
        <v>50</v>
      </c>
      <c r="R2476">
        <v>0.999</v>
      </c>
      <c r="S2476">
        <v>1</v>
      </c>
    </row>
    <row r="2477" spans="1:19" x14ac:dyDescent="0.2">
      <c r="A2477" s="3" t="s">
        <v>54</v>
      </c>
      <c r="B2477" s="3" t="s">
        <v>55</v>
      </c>
      <c r="C2477">
        <v>39</v>
      </c>
      <c r="D2477">
        <v>10000</v>
      </c>
      <c r="E2477">
        <v>499</v>
      </c>
      <c r="F2477">
        <v>1</v>
      </c>
      <c r="G2477">
        <v>39482.677260513999</v>
      </c>
      <c r="H2477">
        <v>2.0688503E-2</v>
      </c>
      <c r="I2477">
        <v>10000</v>
      </c>
      <c r="J2477">
        <v>3500</v>
      </c>
      <c r="K2477">
        <v>6500</v>
      </c>
      <c r="L2477">
        <v>500</v>
      </c>
      <c r="M2477">
        <v>499</v>
      </c>
      <c r="N2477">
        <v>1</v>
      </c>
      <c r="O2477">
        <v>0</v>
      </c>
      <c r="P2477" s="3" t="s">
        <v>51</v>
      </c>
      <c r="Q2477">
        <v>50</v>
      </c>
      <c r="R2477">
        <v>0.999</v>
      </c>
      <c r="S2477">
        <v>0</v>
      </c>
    </row>
    <row r="2478" spans="1:19" x14ac:dyDescent="0.2">
      <c r="A2478" s="3" t="s">
        <v>54</v>
      </c>
      <c r="B2478" s="3" t="s">
        <v>55</v>
      </c>
      <c r="C2478">
        <v>9</v>
      </c>
      <c r="D2478">
        <v>10000</v>
      </c>
      <c r="E2478">
        <v>499</v>
      </c>
      <c r="F2478">
        <v>1</v>
      </c>
      <c r="G2478">
        <v>39482.677260513999</v>
      </c>
      <c r="H2478">
        <v>2.0688430000000001E-2</v>
      </c>
      <c r="I2478">
        <v>10000</v>
      </c>
      <c r="J2478">
        <v>3500</v>
      </c>
      <c r="K2478">
        <v>6500</v>
      </c>
      <c r="L2478">
        <v>500</v>
      </c>
      <c r="M2478">
        <v>499</v>
      </c>
      <c r="N2478">
        <v>1</v>
      </c>
      <c r="O2478">
        <v>0</v>
      </c>
      <c r="P2478" s="3" t="s">
        <v>51</v>
      </c>
      <c r="Q2478">
        <v>50</v>
      </c>
      <c r="R2478">
        <v>0.999</v>
      </c>
      <c r="S2478">
        <v>0</v>
      </c>
    </row>
    <row r="2479" spans="1:19" x14ac:dyDescent="0.2">
      <c r="A2479" s="3" t="s">
        <v>54</v>
      </c>
      <c r="B2479" s="3" t="s">
        <v>55</v>
      </c>
      <c r="C2479">
        <v>26</v>
      </c>
      <c r="D2479">
        <v>10000</v>
      </c>
      <c r="E2479">
        <v>499</v>
      </c>
      <c r="F2479">
        <v>1</v>
      </c>
      <c r="G2479">
        <v>39482.677260513999</v>
      </c>
      <c r="H2479">
        <v>2.066455E-2</v>
      </c>
      <c r="I2479">
        <v>10000</v>
      </c>
      <c r="J2479">
        <v>3500</v>
      </c>
      <c r="K2479">
        <v>6500</v>
      </c>
      <c r="L2479">
        <v>500</v>
      </c>
      <c r="M2479">
        <v>499</v>
      </c>
      <c r="N2479">
        <v>1</v>
      </c>
      <c r="O2479">
        <v>0</v>
      </c>
      <c r="P2479" s="3" t="s">
        <v>51</v>
      </c>
      <c r="Q2479">
        <v>50</v>
      </c>
      <c r="R2479">
        <v>0.999</v>
      </c>
      <c r="S2479">
        <v>0</v>
      </c>
    </row>
    <row r="2480" spans="1:19" x14ac:dyDescent="0.2">
      <c r="A2480" s="3" t="s">
        <v>54</v>
      </c>
      <c r="B2480" s="3" t="s">
        <v>55</v>
      </c>
      <c r="C2480">
        <v>36</v>
      </c>
      <c r="D2480">
        <v>10000</v>
      </c>
      <c r="E2480">
        <v>499</v>
      </c>
      <c r="F2480">
        <v>1</v>
      </c>
      <c r="G2480">
        <v>10000</v>
      </c>
      <c r="H2480">
        <v>2.066136E-2</v>
      </c>
      <c r="I2480">
        <v>10000</v>
      </c>
      <c r="J2480">
        <v>4183</v>
      </c>
      <c r="K2480">
        <v>5817</v>
      </c>
      <c r="L2480">
        <v>500</v>
      </c>
      <c r="M2480">
        <v>499</v>
      </c>
      <c r="N2480">
        <v>1</v>
      </c>
      <c r="O2480">
        <v>0</v>
      </c>
      <c r="P2480" s="3" t="s">
        <v>51</v>
      </c>
      <c r="Q2480">
        <v>50</v>
      </c>
      <c r="R2480">
        <v>0.999</v>
      </c>
      <c r="S2480">
        <v>1</v>
      </c>
    </row>
    <row r="2481" spans="1:19" x14ac:dyDescent="0.2">
      <c r="A2481" s="3" t="s">
        <v>54</v>
      </c>
      <c r="B2481" s="3" t="s">
        <v>55</v>
      </c>
      <c r="C2481">
        <v>25</v>
      </c>
      <c r="D2481">
        <v>10000</v>
      </c>
      <c r="E2481">
        <v>499</v>
      </c>
      <c r="F2481">
        <v>1</v>
      </c>
      <c r="G2481">
        <v>39482.677260513999</v>
      </c>
      <c r="H2481">
        <v>2.0656530999999999E-2</v>
      </c>
      <c r="I2481">
        <v>10000</v>
      </c>
      <c r="J2481">
        <v>3500</v>
      </c>
      <c r="K2481">
        <v>6500</v>
      </c>
      <c r="L2481">
        <v>500</v>
      </c>
      <c r="M2481">
        <v>499</v>
      </c>
      <c r="N2481">
        <v>1</v>
      </c>
      <c r="O2481">
        <v>0</v>
      </c>
      <c r="P2481" s="3" t="s">
        <v>51</v>
      </c>
      <c r="Q2481">
        <v>50</v>
      </c>
      <c r="R2481">
        <v>0.999</v>
      </c>
      <c r="S2481">
        <v>0</v>
      </c>
    </row>
    <row r="2482" spans="1:19" x14ac:dyDescent="0.2">
      <c r="A2482" s="3" t="s">
        <v>54</v>
      </c>
      <c r="B2482" s="3" t="s">
        <v>55</v>
      </c>
      <c r="C2482">
        <v>28</v>
      </c>
      <c r="D2482">
        <v>10000</v>
      </c>
      <c r="E2482">
        <v>499</v>
      </c>
      <c r="F2482">
        <v>1</v>
      </c>
      <c r="G2482">
        <v>10000</v>
      </c>
      <c r="H2482">
        <v>2.0637829999999999E-2</v>
      </c>
      <c r="I2482">
        <v>10000</v>
      </c>
      <c r="J2482">
        <v>4183</v>
      </c>
      <c r="K2482">
        <v>5817</v>
      </c>
      <c r="L2482">
        <v>500</v>
      </c>
      <c r="M2482">
        <v>499</v>
      </c>
      <c r="N2482">
        <v>1</v>
      </c>
      <c r="O2482">
        <v>0</v>
      </c>
      <c r="P2482" s="3" t="s">
        <v>51</v>
      </c>
      <c r="Q2482">
        <v>50</v>
      </c>
      <c r="R2482">
        <v>0.999</v>
      </c>
      <c r="S2482">
        <v>1</v>
      </c>
    </row>
    <row r="2483" spans="1:19" x14ac:dyDescent="0.2">
      <c r="A2483" s="3" t="s">
        <v>54</v>
      </c>
      <c r="B2483" s="3" t="s">
        <v>55</v>
      </c>
      <c r="C2483">
        <v>45</v>
      </c>
      <c r="D2483">
        <v>10000</v>
      </c>
      <c r="E2483">
        <v>499</v>
      </c>
      <c r="F2483">
        <v>1</v>
      </c>
      <c r="G2483">
        <v>39482.677260513999</v>
      </c>
      <c r="H2483">
        <v>2.0635491999999998E-2</v>
      </c>
      <c r="I2483">
        <v>10000</v>
      </c>
      <c r="J2483">
        <v>3500</v>
      </c>
      <c r="K2483">
        <v>6500</v>
      </c>
      <c r="L2483">
        <v>500</v>
      </c>
      <c r="M2483">
        <v>499</v>
      </c>
      <c r="N2483">
        <v>1</v>
      </c>
      <c r="O2483">
        <v>0</v>
      </c>
      <c r="P2483" s="3" t="s">
        <v>51</v>
      </c>
      <c r="Q2483">
        <v>50</v>
      </c>
      <c r="R2483">
        <v>0.999</v>
      </c>
      <c r="S2483">
        <v>0</v>
      </c>
    </row>
    <row r="2484" spans="1:19" x14ac:dyDescent="0.2">
      <c r="A2484" s="3" t="s">
        <v>54</v>
      </c>
      <c r="B2484" s="3" t="s">
        <v>55</v>
      </c>
      <c r="C2484">
        <v>46</v>
      </c>
      <c r="D2484">
        <v>10000</v>
      </c>
      <c r="E2484">
        <v>499</v>
      </c>
      <c r="F2484">
        <v>1</v>
      </c>
      <c r="G2484">
        <v>39482.677260513999</v>
      </c>
      <c r="H2484">
        <v>2.0634883999999999E-2</v>
      </c>
      <c r="I2484">
        <v>10000</v>
      </c>
      <c r="J2484">
        <v>3500</v>
      </c>
      <c r="K2484">
        <v>6500</v>
      </c>
      <c r="L2484">
        <v>500</v>
      </c>
      <c r="M2484">
        <v>499</v>
      </c>
      <c r="N2484">
        <v>1</v>
      </c>
      <c r="O2484">
        <v>0</v>
      </c>
      <c r="P2484" s="3" t="s">
        <v>51</v>
      </c>
      <c r="Q2484">
        <v>50</v>
      </c>
      <c r="R2484">
        <v>0.999</v>
      </c>
      <c r="S2484">
        <v>0</v>
      </c>
    </row>
    <row r="2485" spans="1:19" x14ac:dyDescent="0.2">
      <c r="A2485" s="3" t="s">
        <v>54</v>
      </c>
      <c r="B2485" s="3" t="s">
        <v>55</v>
      </c>
      <c r="C2485">
        <v>7</v>
      </c>
      <c r="D2485">
        <v>10000</v>
      </c>
      <c r="E2485">
        <v>499</v>
      </c>
      <c r="F2485">
        <v>1</v>
      </c>
      <c r="G2485">
        <v>10000</v>
      </c>
      <c r="H2485">
        <v>2.0632484999999999E-2</v>
      </c>
      <c r="I2485">
        <v>10000</v>
      </c>
      <c r="J2485">
        <v>4183</v>
      </c>
      <c r="K2485">
        <v>5817</v>
      </c>
      <c r="L2485">
        <v>500</v>
      </c>
      <c r="M2485">
        <v>499</v>
      </c>
      <c r="N2485">
        <v>1</v>
      </c>
      <c r="O2485">
        <v>0</v>
      </c>
      <c r="P2485" s="3" t="s">
        <v>51</v>
      </c>
      <c r="Q2485">
        <v>50</v>
      </c>
      <c r="R2485">
        <v>0.999</v>
      </c>
      <c r="S2485">
        <v>1</v>
      </c>
    </row>
    <row r="2486" spans="1:19" x14ac:dyDescent="0.2">
      <c r="A2486" s="3" t="s">
        <v>54</v>
      </c>
      <c r="B2486" s="3" t="s">
        <v>55</v>
      </c>
      <c r="C2486">
        <v>38</v>
      </c>
      <c r="D2486">
        <v>10000</v>
      </c>
      <c r="E2486">
        <v>499</v>
      </c>
      <c r="F2486">
        <v>1</v>
      </c>
      <c r="G2486">
        <v>39482.677260513999</v>
      </c>
      <c r="H2486">
        <v>2.0597714999999999E-2</v>
      </c>
      <c r="I2486">
        <v>10000</v>
      </c>
      <c r="J2486">
        <v>3500</v>
      </c>
      <c r="K2486">
        <v>6500</v>
      </c>
      <c r="L2486">
        <v>500</v>
      </c>
      <c r="M2486">
        <v>499</v>
      </c>
      <c r="N2486">
        <v>1</v>
      </c>
      <c r="O2486">
        <v>0</v>
      </c>
      <c r="P2486" s="3" t="s">
        <v>51</v>
      </c>
      <c r="Q2486">
        <v>50</v>
      </c>
      <c r="R2486">
        <v>0.999</v>
      </c>
      <c r="S2486">
        <v>0</v>
      </c>
    </row>
    <row r="2487" spans="1:19" x14ac:dyDescent="0.2">
      <c r="A2487" s="3" t="s">
        <v>54</v>
      </c>
      <c r="B2487" s="3" t="s">
        <v>55</v>
      </c>
      <c r="C2487">
        <v>45</v>
      </c>
      <c r="D2487">
        <v>14000</v>
      </c>
      <c r="E2487">
        <v>499</v>
      </c>
      <c r="F2487">
        <v>1</v>
      </c>
      <c r="G2487">
        <v>14000</v>
      </c>
      <c r="H2487">
        <v>2.0585468999999999E-2</v>
      </c>
      <c r="I2487">
        <v>13288</v>
      </c>
      <c r="J2487">
        <v>4050</v>
      </c>
      <c r="K2487">
        <v>9238</v>
      </c>
      <c r="L2487">
        <v>500</v>
      </c>
      <c r="M2487">
        <v>499</v>
      </c>
      <c r="N2487">
        <v>1</v>
      </c>
      <c r="O2487">
        <v>712</v>
      </c>
      <c r="P2487" s="3" t="s">
        <v>50</v>
      </c>
      <c r="Q2487">
        <v>50</v>
      </c>
      <c r="R2487">
        <v>0.999</v>
      </c>
      <c r="S2487">
        <v>1</v>
      </c>
    </row>
    <row r="2488" spans="1:19" x14ac:dyDescent="0.2">
      <c r="A2488" s="3" t="s">
        <v>54</v>
      </c>
      <c r="B2488" s="3" t="s">
        <v>55</v>
      </c>
      <c r="C2488">
        <v>47</v>
      </c>
      <c r="D2488">
        <v>10000</v>
      </c>
      <c r="E2488">
        <v>499</v>
      </c>
      <c r="F2488">
        <v>1</v>
      </c>
      <c r="G2488">
        <v>39482.677260513999</v>
      </c>
      <c r="H2488">
        <v>2.0571865000000002E-2</v>
      </c>
      <c r="I2488">
        <v>10000</v>
      </c>
      <c r="J2488">
        <v>3500</v>
      </c>
      <c r="K2488">
        <v>6500</v>
      </c>
      <c r="L2488">
        <v>500</v>
      </c>
      <c r="M2488">
        <v>499</v>
      </c>
      <c r="N2488">
        <v>1</v>
      </c>
      <c r="O2488">
        <v>0</v>
      </c>
      <c r="P2488" s="3" t="s">
        <v>51</v>
      </c>
      <c r="Q2488">
        <v>50</v>
      </c>
      <c r="R2488">
        <v>0.999</v>
      </c>
      <c r="S2488">
        <v>0</v>
      </c>
    </row>
    <row r="2489" spans="1:19" x14ac:dyDescent="0.2">
      <c r="A2489" s="3" t="s">
        <v>54</v>
      </c>
      <c r="B2489" s="3" t="s">
        <v>55</v>
      </c>
      <c r="C2489">
        <v>17</v>
      </c>
      <c r="D2489">
        <v>10000</v>
      </c>
      <c r="E2489">
        <v>499</v>
      </c>
      <c r="F2489">
        <v>1</v>
      </c>
      <c r="G2489">
        <v>10000</v>
      </c>
      <c r="H2489">
        <v>2.0571490000000001E-2</v>
      </c>
      <c r="I2489">
        <v>10000</v>
      </c>
      <c r="J2489">
        <v>4183</v>
      </c>
      <c r="K2489">
        <v>5817</v>
      </c>
      <c r="L2489">
        <v>500</v>
      </c>
      <c r="M2489">
        <v>499</v>
      </c>
      <c r="N2489">
        <v>1</v>
      </c>
      <c r="O2489">
        <v>0</v>
      </c>
      <c r="P2489" s="3" t="s">
        <v>51</v>
      </c>
      <c r="Q2489">
        <v>50</v>
      </c>
      <c r="R2489">
        <v>0.999</v>
      </c>
      <c r="S2489">
        <v>1</v>
      </c>
    </row>
    <row r="2490" spans="1:19" x14ac:dyDescent="0.2">
      <c r="A2490" s="3" t="s">
        <v>54</v>
      </c>
      <c r="B2490" s="3" t="s">
        <v>55</v>
      </c>
      <c r="C2490">
        <v>7</v>
      </c>
      <c r="D2490">
        <v>10000</v>
      </c>
      <c r="E2490">
        <v>499</v>
      </c>
      <c r="F2490">
        <v>1</v>
      </c>
      <c r="G2490">
        <v>39482.677260513999</v>
      </c>
      <c r="H2490">
        <v>2.0566072000000001E-2</v>
      </c>
      <c r="I2490">
        <v>10000</v>
      </c>
      <c r="J2490">
        <v>3500</v>
      </c>
      <c r="K2490">
        <v>6500</v>
      </c>
      <c r="L2490">
        <v>500</v>
      </c>
      <c r="M2490">
        <v>499</v>
      </c>
      <c r="N2490">
        <v>1</v>
      </c>
      <c r="O2490">
        <v>0</v>
      </c>
      <c r="P2490" s="3" t="s">
        <v>51</v>
      </c>
      <c r="Q2490">
        <v>50</v>
      </c>
      <c r="R2490">
        <v>0.999</v>
      </c>
      <c r="S2490">
        <v>0</v>
      </c>
    </row>
    <row r="2491" spans="1:19" x14ac:dyDescent="0.2">
      <c r="A2491" s="3" t="s">
        <v>54</v>
      </c>
      <c r="B2491" s="3" t="s">
        <v>55</v>
      </c>
      <c r="C2491">
        <v>43</v>
      </c>
      <c r="D2491">
        <v>10000</v>
      </c>
      <c r="E2491">
        <v>499</v>
      </c>
      <c r="F2491">
        <v>1</v>
      </c>
      <c r="G2491">
        <v>39482.677260513999</v>
      </c>
      <c r="H2491">
        <v>2.0563313E-2</v>
      </c>
      <c r="I2491">
        <v>10000</v>
      </c>
      <c r="J2491">
        <v>3500</v>
      </c>
      <c r="K2491">
        <v>6500</v>
      </c>
      <c r="L2491">
        <v>500</v>
      </c>
      <c r="M2491">
        <v>499</v>
      </c>
      <c r="N2491">
        <v>1</v>
      </c>
      <c r="O2491">
        <v>0</v>
      </c>
      <c r="P2491" s="3" t="s">
        <v>51</v>
      </c>
      <c r="Q2491">
        <v>50</v>
      </c>
      <c r="R2491">
        <v>0.999</v>
      </c>
      <c r="S2491">
        <v>0</v>
      </c>
    </row>
    <row r="2492" spans="1:19" x14ac:dyDescent="0.2">
      <c r="A2492" s="3" t="s">
        <v>54</v>
      </c>
      <c r="B2492" s="3" t="s">
        <v>55</v>
      </c>
      <c r="C2492">
        <v>12</v>
      </c>
      <c r="D2492">
        <v>10000</v>
      </c>
      <c r="E2492">
        <v>499</v>
      </c>
      <c r="F2492">
        <v>1</v>
      </c>
      <c r="G2492">
        <v>39482.677260513999</v>
      </c>
      <c r="H2492">
        <v>2.0560471E-2</v>
      </c>
      <c r="I2492">
        <v>10000</v>
      </c>
      <c r="J2492">
        <v>3500</v>
      </c>
      <c r="K2492">
        <v>6500</v>
      </c>
      <c r="L2492">
        <v>500</v>
      </c>
      <c r="M2492">
        <v>499</v>
      </c>
      <c r="N2492">
        <v>1</v>
      </c>
      <c r="O2492">
        <v>0</v>
      </c>
      <c r="P2492" s="3" t="s">
        <v>51</v>
      </c>
      <c r="Q2492">
        <v>50</v>
      </c>
      <c r="R2492">
        <v>0.999</v>
      </c>
      <c r="S2492">
        <v>0</v>
      </c>
    </row>
    <row r="2493" spans="1:19" x14ac:dyDescent="0.2">
      <c r="A2493" s="3" t="s">
        <v>54</v>
      </c>
      <c r="B2493" s="3" t="s">
        <v>55</v>
      </c>
      <c r="C2493">
        <v>10</v>
      </c>
      <c r="D2493">
        <v>10000</v>
      </c>
      <c r="E2493">
        <v>499</v>
      </c>
      <c r="F2493">
        <v>1</v>
      </c>
      <c r="G2493">
        <v>39482.677260513999</v>
      </c>
      <c r="H2493">
        <v>2.0555202000000002E-2</v>
      </c>
      <c r="I2493">
        <v>10000</v>
      </c>
      <c r="J2493">
        <v>3500</v>
      </c>
      <c r="K2493">
        <v>6500</v>
      </c>
      <c r="L2493">
        <v>500</v>
      </c>
      <c r="M2493">
        <v>499</v>
      </c>
      <c r="N2493">
        <v>1</v>
      </c>
      <c r="O2493">
        <v>0</v>
      </c>
      <c r="P2493" s="3" t="s">
        <v>51</v>
      </c>
      <c r="Q2493">
        <v>50</v>
      </c>
      <c r="R2493">
        <v>0.999</v>
      </c>
      <c r="S2493">
        <v>0</v>
      </c>
    </row>
    <row r="2494" spans="1:19" x14ac:dyDescent="0.2">
      <c r="A2494" s="3" t="s">
        <v>54</v>
      </c>
      <c r="B2494" s="3" t="s">
        <v>55</v>
      </c>
      <c r="C2494">
        <v>24</v>
      </c>
      <c r="D2494">
        <v>10000</v>
      </c>
      <c r="E2494">
        <v>499</v>
      </c>
      <c r="F2494">
        <v>1</v>
      </c>
      <c r="G2494">
        <v>39482.677260513999</v>
      </c>
      <c r="H2494">
        <v>2.0555164000000001E-2</v>
      </c>
      <c r="I2494">
        <v>10000</v>
      </c>
      <c r="J2494">
        <v>3500</v>
      </c>
      <c r="K2494">
        <v>6500</v>
      </c>
      <c r="L2494">
        <v>500</v>
      </c>
      <c r="M2494">
        <v>499</v>
      </c>
      <c r="N2494">
        <v>1</v>
      </c>
      <c r="O2494">
        <v>0</v>
      </c>
      <c r="P2494" s="3" t="s">
        <v>51</v>
      </c>
      <c r="Q2494">
        <v>50</v>
      </c>
      <c r="R2494">
        <v>0.999</v>
      </c>
      <c r="S2494">
        <v>0</v>
      </c>
    </row>
    <row r="2495" spans="1:19" x14ac:dyDescent="0.2">
      <c r="A2495" s="3" t="s">
        <v>54</v>
      </c>
      <c r="B2495" s="3" t="s">
        <v>55</v>
      </c>
      <c r="C2495">
        <v>33</v>
      </c>
      <c r="D2495">
        <v>10000</v>
      </c>
      <c r="E2495">
        <v>499</v>
      </c>
      <c r="F2495">
        <v>1</v>
      </c>
      <c r="G2495">
        <v>39482.677260513999</v>
      </c>
      <c r="H2495">
        <v>2.0545246E-2</v>
      </c>
      <c r="I2495">
        <v>10000</v>
      </c>
      <c r="J2495">
        <v>3500</v>
      </c>
      <c r="K2495">
        <v>6500</v>
      </c>
      <c r="L2495">
        <v>500</v>
      </c>
      <c r="M2495">
        <v>499</v>
      </c>
      <c r="N2495">
        <v>1</v>
      </c>
      <c r="O2495">
        <v>0</v>
      </c>
      <c r="P2495" s="3" t="s">
        <v>51</v>
      </c>
      <c r="Q2495">
        <v>50</v>
      </c>
      <c r="R2495">
        <v>0.999</v>
      </c>
      <c r="S2495">
        <v>0</v>
      </c>
    </row>
    <row r="2496" spans="1:19" x14ac:dyDescent="0.2">
      <c r="A2496" s="3" t="s">
        <v>54</v>
      </c>
      <c r="B2496" s="3" t="s">
        <v>55</v>
      </c>
      <c r="C2496">
        <v>16</v>
      </c>
      <c r="D2496">
        <v>10000</v>
      </c>
      <c r="E2496">
        <v>499</v>
      </c>
      <c r="F2496">
        <v>1</v>
      </c>
      <c r="G2496">
        <v>10000</v>
      </c>
      <c r="H2496">
        <v>2.0535548000000001E-2</v>
      </c>
      <c r="I2496">
        <v>10000</v>
      </c>
      <c r="J2496">
        <v>4183</v>
      </c>
      <c r="K2496">
        <v>5817</v>
      </c>
      <c r="L2496">
        <v>500</v>
      </c>
      <c r="M2496">
        <v>499</v>
      </c>
      <c r="N2496">
        <v>1</v>
      </c>
      <c r="O2496">
        <v>0</v>
      </c>
      <c r="P2496" s="3" t="s">
        <v>51</v>
      </c>
      <c r="Q2496">
        <v>50</v>
      </c>
      <c r="R2496">
        <v>0.999</v>
      </c>
      <c r="S2496">
        <v>1</v>
      </c>
    </row>
    <row r="2497" spans="1:19" x14ac:dyDescent="0.2">
      <c r="A2497" s="3" t="s">
        <v>54</v>
      </c>
      <c r="B2497" s="3" t="s">
        <v>55</v>
      </c>
      <c r="C2497">
        <v>36</v>
      </c>
      <c r="D2497">
        <v>10000</v>
      </c>
      <c r="E2497">
        <v>499</v>
      </c>
      <c r="F2497">
        <v>1</v>
      </c>
      <c r="G2497">
        <v>39482.677260513999</v>
      </c>
      <c r="H2497">
        <v>2.0519249E-2</v>
      </c>
      <c r="I2497">
        <v>10000</v>
      </c>
      <c r="J2497">
        <v>3500</v>
      </c>
      <c r="K2497">
        <v>6500</v>
      </c>
      <c r="L2497">
        <v>500</v>
      </c>
      <c r="M2497">
        <v>499</v>
      </c>
      <c r="N2497">
        <v>1</v>
      </c>
      <c r="O2497">
        <v>0</v>
      </c>
      <c r="P2497" s="3" t="s">
        <v>51</v>
      </c>
      <c r="Q2497">
        <v>50</v>
      </c>
      <c r="R2497">
        <v>0.999</v>
      </c>
      <c r="S2497">
        <v>0</v>
      </c>
    </row>
    <row r="2498" spans="1:19" x14ac:dyDescent="0.2">
      <c r="A2498" s="3" t="s">
        <v>54</v>
      </c>
      <c r="B2498" s="3" t="s">
        <v>55</v>
      </c>
      <c r="C2498">
        <v>28</v>
      </c>
      <c r="D2498">
        <v>10000</v>
      </c>
      <c r="E2498">
        <v>499</v>
      </c>
      <c r="F2498">
        <v>1</v>
      </c>
      <c r="G2498">
        <v>39482.677260513999</v>
      </c>
      <c r="H2498">
        <v>2.0475387000000001E-2</v>
      </c>
      <c r="I2498">
        <v>10000</v>
      </c>
      <c r="J2498">
        <v>3500</v>
      </c>
      <c r="K2498">
        <v>6500</v>
      </c>
      <c r="L2498">
        <v>500</v>
      </c>
      <c r="M2498">
        <v>499</v>
      </c>
      <c r="N2498">
        <v>1</v>
      </c>
      <c r="O2498">
        <v>0</v>
      </c>
      <c r="P2498" s="3" t="s">
        <v>51</v>
      </c>
      <c r="Q2498">
        <v>50</v>
      </c>
      <c r="R2498">
        <v>0.999</v>
      </c>
      <c r="S2498">
        <v>0</v>
      </c>
    </row>
    <row r="2499" spans="1:19" x14ac:dyDescent="0.2">
      <c r="A2499" s="3" t="s">
        <v>54</v>
      </c>
      <c r="B2499" s="3" t="s">
        <v>55</v>
      </c>
      <c r="C2499">
        <v>23</v>
      </c>
      <c r="D2499">
        <v>10000</v>
      </c>
      <c r="E2499">
        <v>499</v>
      </c>
      <c r="F2499">
        <v>1</v>
      </c>
      <c r="G2499">
        <v>39482.677260513999</v>
      </c>
      <c r="H2499">
        <v>2.0470895999999999E-2</v>
      </c>
      <c r="I2499">
        <v>10000</v>
      </c>
      <c r="J2499">
        <v>3500</v>
      </c>
      <c r="K2499">
        <v>6500</v>
      </c>
      <c r="L2499">
        <v>500</v>
      </c>
      <c r="M2499">
        <v>499</v>
      </c>
      <c r="N2499">
        <v>1</v>
      </c>
      <c r="O2499">
        <v>0</v>
      </c>
      <c r="P2499" s="3" t="s">
        <v>51</v>
      </c>
      <c r="Q2499">
        <v>50</v>
      </c>
      <c r="R2499">
        <v>0.999</v>
      </c>
      <c r="S2499">
        <v>0</v>
      </c>
    </row>
    <row r="2500" spans="1:19" x14ac:dyDescent="0.2">
      <c r="A2500" s="3" t="s">
        <v>54</v>
      </c>
      <c r="B2500" s="3" t="s">
        <v>55</v>
      </c>
      <c r="C2500">
        <v>16</v>
      </c>
      <c r="D2500">
        <v>14000</v>
      </c>
      <c r="E2500">
        <v>499</v>
      </c>
      <c r="F2500">
        <v>1</v>
      </c>
      <c r="G2500">
        <v>14000</v>
      </c>
      <c r="H2500">
        <v>2.0464203E-2</v>
      </c>
      <c r="I2500">
        <v>13283</v>
      </c>
      <c r="J2500">
        <v>4035</v>
      </c>
      <c r="K2500">
        <v>9248</v>
      </c>
      <c r="L2500">
        <v>500</v>
      </c>
      <c r="M2500">
        <v>499</v>
      </c>
      <c r="N2500">
        <v>1</v>
      </c>
      <c r="O2500">
        <v>717</v>
      </c>
      <c r="P2500" s="3" t="s">
        <v>50</v>
      </c>
      <c r="Q2500">
        <v>50</v>
      </c>
      <c r="R2500">
        <v>0.999</v>
      </c>
      <c r="S2500">
        <v>1</v>
      </c>
    </row>
    <row r="2501" spans="1:19" x14ac:dyDescent="0.2">
      <c r="A2501" s="3" t="s">
        <v>54</v>
      </c>
      <c r="B2501" s="3" t="s">
        <v>55</v>
      </c>
      <c r="C2501">
        <v>25</v>
      </c>
      <c r="D2501">
        <v>14000</v>
      </c>
      <c r="E2501">
        <v>499</v>
      </c>
      <c r="F2501">
        <v>1</v>
      </c>
      <c r="G2501">
        <v>14000</v>
      </c>
      <c r="H2501">
        <v>2.0455688999999999E-2</v>
      </c>
      <c r="I2501">
        <v>13296</v>
      </c>
      <c r="J2501">
        <v>4030</v>
      </c>
      <c r="K2501">
        <v>9266</v>
      </c>
      <c r="L2501">
        <v>500</v>
      </c>
      <c r="M2501">
        <v>499</v>
      </c>
      <c r="N2501">
        <v>1</v>
      </c>
      <c r="O2501">
        <v>704</v>
      </c>
      <c r="P2501" s="3" t="s">
        <v>50</v>
      </c>
      <c r="Q2501">
        <v>50</v>
      </c>
      <c r="R2501">
        <v>0.999</v>
      </c>
      <c r="S2501">
        <v>1</v>
      </c>
    </row>
    <row r="2502" spans="1:19" x14ac:dyDescent="0.2">
      <c r="A2502" s="3" t="s">
        <v>54</v>
      </c>
      <c r="B2502" s="3" t="s">
        <v>55</v>
      </c>
      <c r="C2502">
        <v>34</v>
      </c>
      <c r="D2502">
        <v>10000</v>
      </c>
      <c r="E2502">
        <v>499</v>
      </c>
      <c r="F2502">
        <v>1</v>
      </c>
      <c r="G2502">
        <v>39482.677260513999</v>
      </c>
      <c r="H2502">
        <v>2.0455403E-2</v>
      </c>
      <c r="I2502">
        <v>10000</v>
      </c>
      <c r="J2502">
        <v>3500</v>
      </c>
      <c r="K2502">
        <v>6500</v>
      </c>
      <c r="L2502">
        <v>500</v>
      </c>
      <c r="M2502">
        <v>499</v>
      </c>
      <c r="N2502">
        <v>1</v>
      </c>
      <c r="O2502">
        <v>0</v>
      </c>
      <c r="P2502" s="3" t="s">
        <v>51</v>
      </c>
      <c r="Q2502">
        <v>50</v>
      </c>
      <c r="R2502">
        <v>0.999</v>
      </c>
      <c r="S2502">
        <v>0</v>
      </c>
    </row>
    <row r="2503" spans="1:19" x14ac:dyDescent="0.2">
      <c r="A2503" s="3" t="s">
        <v>54</v>
      </c>
      <c r="B2503" s="3" t="s">
        <v>55</v>
      </c>
      <c r="C2503">
        <v>22</v>
      </c>
      <c r="D2503">
        <v>10000</v>
      </c>
      <c r="E2503">
        <v>499</v>
      </c>
      <c r="F2503">
        <v>1</v>
      </c>
      <c r="G2503">
        <v>39482.677260513999</v>
      </c>
      <c r="H2503">
        <v>2.0444357E-2</v>
      </c>
      <c r="I2503">
        <v>10000</v>
      </c>
      <c r="J2503">
        <v>3500</v>
      </c>
      <c r="K2503">
        <v>6500</v>
      </c>
      <c r="L2503">
        <v>500</v>
      </c>
      <c r="M2503">
        <v>499</v>
      </c>
      <c r="N2503">
        <v>1</v>
      </c>
      <c r="O2503">
        <v>0</v>
      </c>
      <c r="P2503" s="3" t="s">
        <v>51</v>
      </c>
      <c r="Q2503">
        <v>50</v>
      </c>
      <c r="R2503">
        <v>0.999</v>
      </c>
      <c r="S2503">
        <v>0</v>
      </c>
    </row>
    <row r="2504" spans="1:19" x14ac:dyDescent="0.2">
      <c r="A2504" s="3" t="s">
        <v>54</v>
      </c>
      <c r="B2504" s="3" t="s">
        <v>55</v>
      </c>
      <c r="C2504">
        <v>28</v>
      </c>
      <c r="D2504">
        <v>11000</v>
      </c>
      <c r="E2504">
        <v>499</v>
      </c>
      <c r="F2504">
        <v>1</v>
      </c>
      <c r="G2504">
        <v>44062.122210792702</v>
      </c>
      <c r="H2504">
        <v>2.0428409000000002E-2</v>
      </c>
      <c r="I2504">
        <v>11000</v>
      </c>
      <c r="J2504">
        <v>3547</v>
      </c>
      <c r="K2504">
        <v>7453</v>
      </c>
      <c r="L2504">
        <v>500</v>
      </c>
      <c r="M2504">
        <v>499</v>
      </c>
      <c r="N2504">
        <v>1</v>
      </c>
      <c r="O2504">
        <v>0</v>
      </c>
      <c r="P2504" s="3" t="s">
        <v>51</v>
      </c>
      <c r="Q2504">
        <v>50</v>
      </c>
      <c r="R2504">
        <v>0.999</v>
      </c>
      <c r="S2504">
        <v>0</v>
      </c>
    </row>
    <row r="2505" spans="1:19" x14ac:dyDescent="0.2">
      <c r="A2505" s="3" t="s">
        <v>54</v>
      </c>
      <c r="B2505" s="3" t="s">
        <v>55</v>
      </c>
      <c r="C2505">
        <v>14</v>
      </c>
      <c r="D2505">
        <v>10000</v>
      </c>
      <c r="E2505">
        <v>499</v>
      </c>
      <c r="F2505">
        <v>1</v>
      </c>
      <c r="G2505">
        <v>39482.677260513999</v>
      </c>
      <c r="H2505">
        <v>2.0424898E-2</v>
      </c>
      <c r="I2505">
        <v>10000</v>
      </c>
      <c r="J2505">
        <v>3500</v>
      </c>
      <c r="K2505">
        <v>6500</v>
      </c>
      <c r="L2505">
        <v>500</v>
      </c>
      <c r="M2505">
        <v>499</v>
      </c>
      <c r="N2505">
        <v>1</v>
      </c>
      <c r="O2505">
        <v>0</v>
      </c>
      <c r="P2505" s="3" t="s">
        <v>51</v>
      </c>
      <c r="Q2505">
        <v>50</v>
      </c>
      <c r="R2505">
        <v>0.999</v>
      </c>
      <c r="S2505">
        <v>0</v>
      </c>
    </row>
    <row r="2506" spans="1:19" x14ac:dyDescent="0.2">
      <c r="A2506" s="3" t="s">
        <v>54</v>
      </c>
      <c r="B2506" s="3" t="s">
        <v>55</v>
      </c>
      <c r="C2506">
        <v>42</v>
      </c>
      <c r="D2506">
        <v>10000</v>
      </c>
      <c r="E2506">
        <v>499</v>
      </c>
      <c r="F2506">
        <v>1</v>
      </c>
      <c r="G2506">
        <v>39482.677260513999</v>
      </c>
      <c r="H2506">
        <v>2.0416658000000001E-2</v>
      </c>
      <c r="I2506">
        <v>10000</v>
      </c>
      <c r="J2506">
        <v>3500</v>
      </c>
      <c r="K2506">
        <v>6500</v>
      </c>
      <c r="L2506">
        <v>500</v>
      </c>
      <c r="M2506">
        <v>499</v>
      </c>
      <c r="N2506">
        <v>1</v>
      </c>
      <c r="O2506">
        <v>0</v>
      </c>
      <c r="P2506" s="3" t="s">
        <v>51</v>
      </c>
      <c r="Q2506">
        <v>50</v>
      </c>
      <c r="R2506">
        <v>0.999</v>
      </c>
      <c r="S2506">
        <v>0</v>
      </c>
    </row>
    <row r="2507" spans="1:19" x14ac:dyDescent="0.2">
      <c r="A2507" s="3" t="s">
        <v>54</v>
      </c>
      <c r="B2507" s="3" t="s">
        <v>55</v>
      </c>
      <c r="C2507">
        <v>29</v>
      </c>
      <c r="D2507">
        <v>10000</v>
      </c>
      <c r="E2507">
        <v>499</v>
      </c>
      <c r="F2507">
        <v>1</v>
      </c>
      <c r="G2507">
        <v>10000</v>
      </c>
      <c r="H2507">
        <v>2.0414849999999998E-2</v>
      </c>
      <c r="I2507">
        <v>10000</v>
      </c>
      <c r="J2507">
        <v>4183</v>
      </c>
      <c r="K2507">
        <v>5817</v>
      </c>
      <c r="L2507">
        <v>500</v>
      </c>
      <c r="M2507">
        <v>499</v>
      </c>
      <c r="N2507">
        <v>1</v>
      </c>
      <c r="O2507">
        <v>0</v>
      </c>
      <c r="P2507" s="3" t="s">
        <v>51</v>
      </c>
      <c r="Q2507">
        <v>50</v>
      </c>
      <c r="R2507">
        <v>0.999</v>
      </c>
      <c r="S2507">
        <v>1</v>
      </c>
    </row>
    <row r="2508" spans="1:19" x14ac:dyDescent="0.2">
      <c r="A2508" s="3" t="s">
        <v>54</v>
      </c>
      <c r="B2508" s="3" t="s">
        <v>55</v>
      </c>
      <c r="C2508">
        <v>44</v>
      </c>
      <c r="D2508">
        <v>10000</v>
      </c>
      <c r="E2508">
        <v>499</v>
      </c>
      <c r="F2508">
        <v>1</v>
      </c>
      <c r="G2508">
        <v>39482.677260513999</v>
      </c>
      <c r="H2508">
        <v>2.041111E-2</v>
      </c>
      <c r="I2508">
        <v>10000</v>
      </c>
      <c r="J2508">
        <v>3500</v>
      </c>
      <c r="K2508">
        <v>6500</v>
      </c>
      <c r="L2508">
        <v>500</v>
      </c>
      <c r="M2508">
        <v>499</v>
      </c>
      <c r="N2508">
        <v>1</v>
      </c>
      <c r="O2508">
        <v>0</v>
      </c>
      <c r="P2508" s="3" t="s">
        <v>51</v>
      </c>
      <c r="Q2508">
        <v>50</v>
      </c>
      <c r="R2508">
        <v>0.999</v>
      </c>
      <c r="S2508">
        <v>0</v>
      </c>
    </row>
    <row r="2509" spans="1:19" x14ac:dyDescent="0.2">
      <c r="A2509" s="3" t="s">
        <v>54</v>
      </c>
      <c r="B2509" s="3" t="s">
        <v>55</v>
      </c>
      <c r="C2509">
        <v>8</v>
      </c>
      <c r="D2509">
        <v>10000</v>
      </c>
      <c r="E2509">
        <v>499</v>
      </c>
      <c r="F2509">
        <v>1</v>
      </c>
      <c r="G2509">
        <v>39482.677260513999</v>
      </c>
      <c r="H2509">
        <v>2.0400046000000002E-2</v>
      </c>
      <c r="I2509">
        <v>10000</v>
      </c>
      <c r="J2509">
        <v>3500</v>
      </c>
      <c r="K2509">
        <v>6500</v>
      </c>
      <c r="L2509">
        <v>500</v>
      </c>
      <c r="M2509">
        <v>499</v>
      </c>
      <c r="N2509">
        <v>1</v>
      </c>
      <c r="O2509">
        <v>0</v>
      </c>
      <c r="P2509" s="3" t="s">
        <v>51</v>
      </c>
      <c r="Q2509">
        <v>50</v>
      </c>
      <c r="R2509">
        <v>0.999</v>
      </c>
      <c r="S2509">
        <v>0</v>
      </c>
    </row>
    <row r="2510" spans="1:19" x14ac:dyDescent="0.2">
      <c r="A2510" s="3" t="s">
        <v>54</v>
      </c>
      <c r="B2510" s="3" t="s">
        <v>55</v>
      </c>
      <c r="C2510">
        <v>49</v>
      </c>
      <c r="D2510">
        <v>14000</v>
      </c>
      <c r="E2510">
        <v>499</v>
      </c>
      <c r="F2510">
        <v>1</v>
      </c>
      <c r="G2510">
        <v>14000</v>
      </c>
      <c r="H2510">
        <v>2.0381739999999999E-2</v>
      </c>
      <c r="I2510">
        <v>13289</v>
      </c>
      <c r="J2510">
        <v>4085</v>
      </c>
      <c r="K2510">
        <v>9204</v>
      </c>
      <c r="L2510">
        <v>500</v>
      </c>
      <c r="M2510">
        <v>499</v>
      </c>
      <c r="N2510">
        <v>1</v>
      </c>
      <c r="O2510">
        <v>711</v>
      </c>
      <c r="P2510" s="3" t="s">
        <v>50</v>
      </c>
      <c r="Q2510">
        <v>50</v>
      </c>
      <c r="R2510">
        <v>0.999</v>
      </c>
      <c r="S2510">
        <v>1</v>
      </c>
    </row>
    <row r="2511" spans="1:19" x14ac:dyDescent="0.2">
      <c r="A2511" s="3" t="s">
        <v>54</v>
      </c>
      <c r="B2511" s="3" t="s">
        <v>55</v>
      </c>
      <c r="C2511">
        <v>4</v>
      </c>
      <c r="D2511">
        <v>10000</v>
      </c>
      <c r="E2511">
        <v>499</v>
      </c>
      <c r="F2511">
        <v>1</v>
      </c>
      <c r="G2511">
        <v>39482.677260513999</v>
      </c>
      <c r="H2511">
        <v>2.0362920999999999E-2</v>
      </c>
      <c r="I2511">
        <v>10000</v>
      </c>
      <c r="J2511">
        <v>3500</v>
      </c>
      <c r="K2511">
        <v>6500</v>
      </c>
      <c r="L2511">
        <v>500</v>
      </c>
      <c r="M2511">
        <v>499</v>
      </c>
      <c r="N2511">
        <v>1</v>
      </c>
      <c r="O2511">
        <v>0</v>
      </c>
      <c r="P2511" s="3" t="s">
        <v>51</v>
      </c>
      <c r="Q2511">
        <v>50</v>
      </c>
      <c r="R2511">
        <v>0.999</v>
      </c>
      <c r="S2511">
        <v>0</v>
      </c>
    </row>
    <row r="2512" spans="1:19" x14ac:dyDescent="0.2">
      <c r="A2512" s="3" t="s">
        <v>54</v>
      </c>
      <c r="B2512" s="3" t="s">
        <v>55</v>
      </c>
      <c r="C2512">
        <v>15</v>
      </c>
      <c r="D2512">
        <v>10000</v>
      </c>
      <c r="E2512">
        <v>499</v>
      </c>
      <c r="F2512">
        <v>1</v>
      </c>
      <c r="G2512">
        <v>39482.677260513999</v>
      </c>
      <c r="H2512">
        <v>2.0347786999999999E-2</v>
      </c>
      <c r="I2512">
        <v>10000</v>
      </c>
      <c r="J2512">
        <v>3500</v>
      </c>
      <c r="K2512">
        <v>6500</v>
      </c>
      <c r="L2512">
        <v>500</v>
      </c>
      <c r="M2512">
        <v>499</v>
      </c>
      <c r="N2512">
        <v>1</v>
      </c>
      <c r="O2512">
        <v>0</v>
      </c>
      <c r="P2512" s="3" t="s">
        <v>51</v>
      </c>
      <c r="Q2512">
        <v>50</v>
      </c>
      <c r="R2512">
        <v>0.999</v>
      </c>
      <c r="S2512">
        <v>0</v>
      </c>
    </row>
    <row r="2513" spans="1:19" x14ac:dyDescent="0.2">
      <c r="A2513" s="3" t="s">
        <v>54</v>
      </c>
      <c r="B2513" s="3" t="s">
        <v>55</v>
      </c>
      <c r="C2513">
        <v>29</v>
      </c>
      <c r="D2513">
        <v>10000</v>
      </c>
      <c r="E2513">
        <v>499</v>
      </c>
      <c r="F2513">
        <v>1</v>
      </c>
      <c r="G2513">
        <v>39482.677260513999</v>
      </c>
      <c r="H2513">
        <v>2.0331149999999999E-2</v>
      </c>
      <c r="I2513">
        <v>10000</v>
      </c>
      <c r="J2513">
        <v>3500</v>
      </c>
      <c r="K2513">
        <v>6500</v>
      </c>
      <c r="L2513">
        <v>500</v>
      </c>
      <c r="M2513">
        <v>499</v>
      </c>
      <c r="N2513">
        <v>1</v>
      </c>
      <c r="O2513">
        <v>0</v>
      </c>
      <c r="P2513" s="3" t="s">
        <v>51</v>
      </c>
      <c r="Q2513">
        <v>50</v>
      </c>
      <c r="R2513">
        <v>0.999</v>
      </c>
      <c r="S2513">
        <v>0</v>
      </c>
    </row>
    <row r="2514" spans="1:19" x14ac:dyDescent="0.2">
      <c r="A2514" s="3" t="s">
        <v>54</v>
      </c>
      <c r="B2514" s="3" t="s">
        <v>55</v>
      </c>
      <c r="C2514">
        <v>37</v>
      </c>
      <c r="D2514">
        <v>10000</v>
      </c>
      <c r="E2514">
        <v>499</v>
      </c>
      <c r="F2514">
        <v>1</v>
      </c>
      <c r="G2514">
        <v>39482.677260513999</v>
      </c>
      <c r="H2514">
        <v>2.0303448000000002E-2</v>
      </c>
      <c r="I2514">
        <v>10000</v>
      </c>
      <c r="J2514">
        <v>3500</v>
      </c>
      <c r="K2514">
        <v>6500</v>
      </c>
      <c r="L2514">
        <v>500</v>
      </c>
      <c r="M2514">
        <v>499</v>
      </c>
      <c r="N2514">
        <v>1</v>
      </c>
      <c r="O2514">
        <v>0</v>
      </c>
      <c r="P2514" s="3" t="s">
        <v>51</v>
      </c>
      <c r="Q2514">
        <v>50</v>
      </c>
      <c r="R2514">
        <v>0.999</v>
      </c>
      <c r="S2514">
        <v>0</v>
      </c>
    </row>
    <row r="2515" spans="1:19" x14ac:dyDescent="0.2">
      <c r="A2515" s="3" t="s">
        <v>54</v>
      </c>
      <c r="B2515" s="3" t="s">
        <v>55</v>
      </c>
      <c r="C2515">
        <v>16</v>
      </c>
      <c r="D2515">
        <v>10000</v>
      </c>
      <c r="E2515">
        <v>499</v>
      </c>
      <c r="F2515">
        <v>1</v>
      </c>
      <c r="G2515">
        <v>39482.677260513999</v>
      </c>
      <c r="H2515">
        <v>2.0235322E-2</v>
      </c>
      <c r="I2515">
        <v>10000</v>
      </c>
      <c r="J2515">
        <v>3500</v>
      </c>
      <c r="K2515">
        <v>6500</v>
      </c>
      <c r="L2515">
        <v>500</v>
      </c>
      <c r="M2515">
        <v>499</v>
      </c>
      <c r="N2515">
        <v>1</v>
      </c>
      <c r="O2515">
        <v>0</v>
      </c>
      <c r="P2515" s="3" t="s">
        <v>51</v>
      </c>
      <c r="Q2515">
        <v>50</v>
      </c>
      <c r="R2515">
        <v>0.999</v>
      </c>
      <c r="S2515">
        <v>0</v>
      </c>
    </row>
    <row r="2516" spans="1:19" x14ac:dyDescent="0.2">
      <c r="A2516" s="3" t="s">
        <v>54</v>
      </c>
      <c r="B2516" s="3" t="s">
        <v>55</v>
      </c>
      <c r="C2516">
        <v>19</v>
      </c>
      <c r="D2516">
        <v>13000</v>
      </c>
      <c r="E2516">
        <v>499</v>
      </c>
      <c r="F2516">
        <v>1</v>
      </c>
      <c r="G2516">
        <v>13000</v>
      </c>
      <c r="H2516">
        <v>2.0233389000000001E-2</v>
      </c>
      <c r="I2516">
        <v>12696</v>
      </c>
      <c r="J2516">
        <v>3746</v>
      </c>
      <c r="K2516">
        <v>8950</v>
      </c>
      <c r="L2516">
        <v>500</v>
      </c>
      <c r="M2516">
        <v>499</v>
      </c>
      <c r="N2516">
        <v>1</v>
      </c>
      <c r="O2516">
        <v>304</v>
      </c>
      <c r="P2516" s="3" t="s">
        <v>52</v>
      </c>
      <c r="Q2516">
        <v>50</v>
      </c>
      <c r="R2516">
        <v>0.999</v>
      </c>
      <c r="S2516">
        <v>1</v>
      </c>
    </row>
    <row r="2517" spans="1:19" x14ac:dyDescent="0.2">
      <c r="A2517" s="3" t="s">
        <v>54</v>
      </c>
      <c r="B2517" s="3" t="s">
        <v>55</v>
      </c>
      <c r="C2517">
        <v>17</v>
      </c>
      <c r="D2517">
        <v>10000</v>
      </c>
      <c r="E2517">
        <v>499</v>
      </c>
      <c r="F2517">
        <v>1</v>
      </c>
      <c r="G2517">
        <v>39482.677260513999</v>
      </c>
      <c r="H2517">
        <v>2.0213770999999998E-2</v>
      </c>
      <c r="I2517">
        <v>10000</v>
      </c>
      <c r="J2517">
        <v>3500</v>
      </c>
      <c r="K2517">
        <v>6500</v>
      </c>
      <c r="L2517">
        <v>500</v>
      </c>
      <c r="M2517">
        <v>499</v>
      </c>
      <c r="N2517">
        <v>1</v>
      </c>
      <c r="O2517">
        <v>0</v>
      </c>
      <c r="P2517" s="3" t="s">
        <v>51</v>
      </c>
      <c r="Q2517">
        <v>50</v>
      </c>
      <c r="R2517">
        <v>0.999</v>
      </c>
      <c r="S2517">
        <v>0</v>
      </c>
    </row>
    <row r="2518" spans="1:19" x14ac:dyDescent="0.2">
      <c r="A2518" s="3" t="s">
        <v>54</v>
      </c>
      <c r="B2518" s="3" t="s">
        <v>55</v>
      </c>
      <c r="C2518">
        <v>18</v>
      </c>
      <c r="D2518">
        <v>10000</v>
      </c>
      <c r="E2518">
        <v>499</v>
      </c>
      <c r="F2518">
        <v>1</v>
      </c>
      <c r="G2518">
        <v>39482.677260513999</v>
      </c>
      <c r="H2518">
        <v>2.0205522E-2</v>
      </c>
      <c r="I2518">
        <v>10000</v>
      </c>
      <c r="J2518">
        <v>3500</v>
      </c>
      <c r="K2518">
        <v>6500</v>
      </c>
      <c r="L2518">
        <v>500</v>
      </c>
      <c r="M2518">
        <v>499</v>
      </c>
      <c r="N2518">
        <v>1</v>
      </c>
      <c r="O2518">
        <v>0</v>
      </c>
      <c r="P2518" s="3" t="s">
        <v>51</v>
      </c>
      <c r="Q2518">
        <v>50</v>
      </c>
      <c r="R2518">
        <v>0.999</v>
      </c>
      <c r="S2518">
        <v>0</v>
      </c>
    </row>
    <row r="2519" spans="1:19" x14ac:dyDescent="0.2">
      <c r="A2519" s="3" t="s">
        <v>54</v>
      </c>
      <c r="B2519" s="3" t="s">
        <v>55</v>
      </c>
      <c r="C2519">
        <v>31</v>
      </c>
      <c r="D2519">
        <v>10000</v>
      </c>
      <c r="E2519">
        <v>499</v>
      </c>
      <c r="F2519">
        <v>1</v>
      </c>
      <c r="G2519">
        <v>39482.677260513999</v>
      </c>
      <c r="H2519">
        <v>2.0177489E-2</v>
      </c>
      <c r="I2519">
        <v>10000</v>
      </c>
      <c r="J2519">
        <v>3500</v>
      </c>
      <c r="K2519">
        <v>6500</v>
      </c>
      <c r="L2519">
        <v>500</v>
      </c>
      <c r="M2519">
        <v>499</v>
      </c>
      <c r="N2519">
        <v>1</v>
      </c>
      <c r="O2519">
        <v>0</v>
      </c>
      <c r="P2519" s="3" t="s">
        <v>51</v>
      </c>
      <c r="Q2519">
        <v>50</v>
      </c>
      <c r="R2519">
        <v>0.999</v>
      </c>
      <c r="S2519">
        <v>0</v>
      </c>
    </row>
    <row r="2520" spans="1:19" x14ac:dyDescent="0.2">
      <c r="A2520" s="3" t="s">
        <v>54</v>
      </c>
      <c r="B2520" s="3" t="s">
        <v>55</v>
      </c>
      <c r="C2520">
        <v>26</v>
      </c>
      <c r="D2520">
        <v>14000</v>
      </c>
      <c r="E2520">
        <v>499</v>
      </c>
      <c r="F2520">
        <v>1</v>
      </c>
      <c r="G2520">
        <v>14000</v>
      </c>
      <c r="H2520">
        <v>2.0162209E-2</v>
      </c>
      <c r="I2520">
        <v>13275</v>
      </c>
      <c r="J2520">
        <v>4042</v>
      </c>
      <c r="K2520">
        <v>9233</v>
      </c>
      <c r="L2520">
        <v>500</v>
      </c>
      <c r="M2520">
        <v>499</v>
      </c>
      <c r="N2520">
        <v>1</v>
      </c>
      <c r="O2520">
        <v>725</v>
      </c>
      <c r="P2520" s="3" t="s">
        <v>50</v>
      </c>
      <c r="Q2520">
        <v>50</v>
      </c>
      <c r="R2520">
        <v>0.999</v>
      </c>
      <c r="S2520">
        <v>1</v>
      </c>
    </row>
    <row r="2521" spans="1:19" x14ac:dyDescent="0.2">
      <c r="A2521" s="3" t="s">
        <v>54</v>
      </c>
      <c r="B2521" s="3" t="s">
        <v>55</v>
      </c>
      <c r="C2521">
        <v>13</v>
      </c>
      <c r="D2521">
        <v>10000</v>
      </c>
      <c r="E2521">
        <v>499</v>
      </c>
      <c r="F2521">
        <v>1</v>
      </c>
      <c r="G2521">
        <v>39482.677260513999</v>
      </c>
      <c r="H2521">
        <v>2.0149092E-2</v>
      </c>
      <c r="I2521">
        <v>10000</v>
      </c>
      <c r="J2521">
        <v>3500</v>
      </c>
      <c r="K2521">
        <v>6500</v>
      </c>
      <c r="L2521">
        <v>500</v>
      </c>
      <c r="M2521">
        <v>499</v>
      </c>
      <c r="N2521">
        <v>1</v>
      </c>
      <c r="O2521">
        <v>0</v>
      </c>
      <c r="P2521" s="3" t="s">
        <v>51</v>
      </c>
      <c r="Q2521">
        <v>50</v>
      </c>
      <c r="R2521">
        <v>0.999</v>
      </c>
      <c r="S2521">
        <v>0</v>
      </c>
    </row>
    <row r="2522" spans="1:19" x14ac:dyDescent="0.2">
      <c r="A2522" s="3" t="s">
        <v>54</v>
      </c>
      <c r="B2522" s="3" t="s">
        <v>55</v>
      </c>
      <c r="C2522">
        <v>29</v>
      </c>
      <c r="D2522">
        <v>14000</v>
      </c>
      <c r="E2522">
        <v>499</v>
      </c>
      <c r="F2522">
        <v>1</v>
      </c>
      <c r="G2522">
        <v>14000</v>
      </c>
      <c r="H2522">
        <v>2.0135314000000001E-2</v>
      </c>
      <c r="I2522">
        <v>13295</v>
      </c>
      <c r="J2522">
        <v>4061</v>
      </c>
      <c r="K2522">
        <v>9234</v>
      </c>
      <c r="L2522">
        <v>500</v>
      </c>
      <c r="M2522">
        <v>499</v>
      </c>
      <c r="N2522">
        <v>1</v>
      </c>
      <c r="O2522">
        <v>705</v>
      </c>
      <c r="P2522" s="3" t="s">
        <v>50</v>
      </c>
      <c r="Q2522">
        <v>50</v>
      </c>
      <c r="R2522">
        <v>0.999</v>
      </c>
      <c r="S2522">
        <v>1</v>
      </c>
    </row>
    <row r="2523" spans="1:19" x14ac:dyDescent="0.2">
      <c r="A2523" s="3" t="s">
        <v>54</v>
      </c>
      <c r="B2523" s="3" t="s">
        <v>55</v>
      </c>
      <c r="C2523">
        <v>30</v>
      </c>
      <c r="D2523">
        <v>10000</v>
      </c>
      <c r="E2523">
        <v>499</v>
      </c>
      <c r="F2523">
        <v>1</v>
      </c>
      <c r="G2523">
        <v>39482.677260513999</v>
      </c>
      <c r="H2523">
        <v>2.0134077E-2</v>
      </c>
      <c r="I2523">
        <v>10000</v>
      </c>
      <c r="J2523">
        <v>3500</v>
      </c>
      <c r="K2523">
        <v>6500</v>
      </c>
      <c r="L2523">
        <v>500</v>
      </c>
      <c r="M2523">
        <v>499</v>
      </c>
      <c r="N2523">
        <v>1</v>
      </c>
      <c r="O2523">
        <v>0</v>
      </c>
      <c r="P2523" s="3" t="s">
        <v>51</v>
      </c>
      <c r="Q2523">
        <v>50</v>
      </c>
      <c r="R2523">
        <v>0.999</v>
      </c>
      <c r="S2523">
        <v>0</v>
      </c>
    </row>
    <row r="2524" spans="1:19" x14ac:dyDescent="0.2">
      <c r="A2524" s="3" t="s">
        <v>54</v>
      </c>
      <c r="B2524" s="3" t="s">
        <v>55</v>
      </c>
      <c r="C2524">
        <v>31</v>
      </c>
      <c r="D2524">
        <v>14000</v>
      </c>
      <c r="E2524">
        <v>499</v>
      </c>
      <c r="F2524">
        <v>1</v>
      </c>
      <c r="G2524">
        <v>14000</v>
      </c>
      <c r="H2524">
        <v>2.0072368E-2</v>
      </c>
      <c r="I2524">
        <v>13307</v>
      </c>
      <c r="J2524">
        <v>4011</v>
      </c>
      <c r="K2524">
        <v>9296</v>
      </c>
      <c r="L2524">
        <v>500</v>
      </c>
      <c r="M2524">
        <v>499</v>
      </c>
      <c r="N2524">
        <v>1</v>
      </c>
      <c r="O2524">
        <v>693</v>
      </c>
      <c r="P2524" s="3" t="s">
        <v>50</v>
      </c>
      <c r="Q2524">
        <v>50</v>
      </c>
      <c r="R2524">
        <v>0.999</v>
      </c>
      <c r="S2524">
        <v>1</v>
      </c>
    </row>
    <row r="2525" spans="1:19" x14ac:dyDescent="0.2">
      <c r="A2525" s="3" t="s">
        <v>54</v>
      </c>
      <c r="B2525" s="3" t="s">
        <v>55</v>
      </c>
      <c r="C2525">
        <v>30</v>
      </c>
      <c r="D2525">
        <v>14000</v>
      </c>
      <c r="E2525">
        <v>499</v>
      </c>
      <c r="F2525">
        <v>1</v>
      </c>
      <c r="G2525">
        <v>14000</v>
      </c>
      <c r="H2525">
        <v>2.0005293E-2</v>
      </c>
      <c r="I2525">
        <v>13290</v>
      </c>
      <c r="J2525">
        <v>4088</v>
      </c>
      <c r="K2525">
        <v>9202</v>
      </c>
      <c r="L2525">
        <v>500</v>
      </c>
      <c r="M2525">
        <v>499</v>
      </c>
      <c r="N2525">
        <v>1</v>
      </c>
      <c r="O2525">
        <v>710</v>
      </c>
      <c r="P2525" s="3" t="s">
        <v>50</v>
      </c>
      <c r="Q2525">
        <v>50</v>
      </c>
      <c r="R2525">
        <v>0.999</v>
      </c>
      <c r="S2525">
        <v>1</v>
      </c>
    </row>
    <row r="2526" spans="1:19" x14ac:dyDescent="0.2">
      <c r="A2526" s="3" t="s">
        <v>54</v>
      </c>
      <c r="B2526" s="3" t="s">
        <v>55</v>
      </c>
      <c r="C2526">
        <v>4</v>
      </c>
      <c r="D2526">
        <v>14000</v>
      </c>
      <c r="E2526">
        <v>499</v>
      </c>
      <c r="F2526">
        <v>1</v>
      </c>
      <c r="G2526">
        <v>14000</v>
      </c>
      <c r="H2526">
        <v>1.9995009000000001E-2</v>
      </c>
      <c r="I2526">
        <v>13281</v>
      </c>
      <c r="J2526">
        <v>4044</v>
      </c>
      <c r="K2526">
        <v>9237</v>
      </c>
      <c r="L2526">
        <v>500</v>
      </c>
      <c r="M2526">
        <v>499</v>
      </c>
      <c r="N2526">
        <v>1</v>
      </c>
      <c r="O2526">
        <v>719</v>
      </c>
      <c r="P2526" s="3" t="s">
        <v>50</v>
      </c>
      <c r="Q2526">
        <v>50</v>
      </c>
      <c r="R2526">
        <v>0.999</v>
      </c>
      <c r="S2526">
        <v>1</v>
      </c>
    </row>
    <row r="2527" spans="1:19" x14ac:dyDescent="0.2">
      <c r="A2527" s="3" t="s">
        <v>54</v>
      </c>
      <c r="B2527" s="3" t="s">
        <v>55</v>
      </c>
      <c r="C2527">
        <v>43</v>
      </c>
      <c r="D2527">
        <v>14000</v>
      </c>
      <c r="E2527">
        <v>499</v>
      </c>
      <c r="F2527">
        <v>1</v>
      </c>
      <c r="G2527">
        <v>14000</v>
      </c>
      <c r="H2527">
        <v>1.9970268999999999E-2</v>
      </c>
      <c r="I2527">
        <v>13272</v>
      </c>
      <c r="J2527">
        <v>4053</v>
      </c>
      <c r="K2527">
        <v>9219</v>
      </c>
      <c r="L2527">
        <v>500</v>
      </c>
      <c r="M2527">
        <v>499</v>
      </c>
      <c r="N2527">
        <v>1</v>
      </c>
      <c r="O2527">
        <v>728</v>
      </c>
      <c r="P2527" s="3" t="s">
        <v>50</v>
      </c>
      <c r="Q2527">
        <v>50</v>
      </c>
      <c r="R2527">
        <v>0.999</v>
      </c>
      <c r="S2527">
        <v>1</v>
      </c>
    </row>
    <row r="2528" spans="1:19" x14ac:dyDescent="0.2">
      <c r="A2528" s="3" t="s">
        <v>54</v>
      </c>
      <c r="B2528" s="3" t="s">
        <v>55</v>
      </c>
      <c r="C2528">
        <v>9</v>
      </c>
      <c r="D2528">
        <v>14000</v>
      </c>
      <c r="E2528">
        <v>499</v>
      </c>
      <c r="F2528">
        <v>1</v>
      </c>
      <c r="G2528">
        <v>14000</v>
      </c>
      <c r="H2528">
        <v>1.9907239E-2</v>
      </c>
      <c r="I2528">
        <v>13293</v>
      </c>
      <c r="J2528">
        <v>4052</v>
      </c>
      <c r="K2528">
        <v>9241</v>
      </c>
      <c r="L2528">
        <v>500</v>
      </c>
      <c r="M2528">
        <v>499</v>
      </c>
      <c r="N2528">
        <v>1</v>
      </c>
      <c r="O2528">
        <v>707</v>
      </c>
      <c r="P2528" s="3" t="s">
        <v>50</v>
      </c>
      <c r="Q2528">
        <v>50</v>
      </c>
      <c r="R2528">
        <v>0.999</v>
      </c>
      <c r="S2528">
        <v>1</v>
      </c>
    </row>
    <row r="2529" spans="1:19" x14ac:dyDescent="0.2">
      <c r="A2529" s="3" t="s">
        <v>54</v>
      </c>
      <c r="B2529" s="3" t="s">
        <v>55</v>
      </c>
      <c r="C2529">
        <v>42</v>
      </c>
      <c r="D2529">
        <v>14000</v>
      </c>
      <c r="E2529">
        <v>499</v>
      </c>
      <c r="F2529">
        <v>1</v>
      </c>
      <c r="G2529">
        <v>14000</v>
      </c>
      <c r="H2529">
        <v>1.9848195999999999E-2</v>
      </c>
      <c r="I2529">
        <v>13297</v>
      </c>
      <c r="J2529">
        <v>4103</v>
      </c>
      <c r="K2529">
        <v>9194</v>
      </c>
      <c r="L2529">
        <v>500</v>
      </c>
      <c r="M2529">
        <v>499</v>
      </c>
      <c r="N2529">
        <v>1</v>
      </c>
      <c r="O2529">
        <v>703</v>
      </c>
      <c r="P2529" s="3" t="s">
        <v>50</v>
      </c>
      <c r="Q2529">
        <v>50</v>
      </c>
      <c r="R2529">
        <v>0.999</v>
      </c>
      <c r="S2529">
        <v>1</v>
      </c>
    </row>
    <row r="2530" spans="1:19" x14ac:dyDescent="0.2">
      <c r="A2530" s="3" t="s">
        <v>54</v>
      </c>
      <c r="B2530" s="3" t="s">
        <v>55</v>
      </c>
      <c r="C2530">
        <v>24</v>
      </c>
      <c r="D2530">
        <v>14000</v>
      </c>
      <c r="E2530">
        <v>499</v>
      </c>
      <c r="F2530">
        <v>1</v>
      </c>
      <c r="G2530">
        <v>14000</v>
      </c>
      <c r="H2530">
        <v>1.9846987999999999E-2</v>
      </c>
      <c r="I2530">
        <v>13291</v>
      </c>
      <c r="J2530">
        <v>4059</v>
      </c>
      <c r="K2530">
        <v>9232</v>
      </c>
      <c r="L2530">
        <v>500</v>
      </c>
      <c r="M2530">
        <v>499</v>
      </c>
      <c r="N2530">
        <v>1</v>
      </c>
      <c r="O2530">
        <v>709</v>
      </c>
      <c r="P2530" s="3" t="s">
        <v>50</v>
      </c>
      <c r="Q2530">
        <v>50</v>
      </c>
      <c r="R2530">
        <v>0.999</v>
      </c>
      <c r="S2530">
        <v>1</v>
      </c>
    </row>
    <row r="2531" spans="1:19" x14ac:dyDescent="0.2">
      <c r="A2531" s="3" t="s">
        <v>54</v>
      </c>
      <c r="B2531" s="3" t="s">
        <v>55</v>
      </c>
      <c r="C2531">
        <v>8</v>
      </c>
      <c r="D2531">
        <v>14000</v>
      </c>
      <c r="E2531">
        <v>499</v>
      </c>
      <c r="F2531">
        <v>1</v>
      </c>
      <c r="G2531">
        <v>14000</v>
      </c>
      <c r="H2531">
        <v>1.9786047000000001E-2</v>
      </c>
      <c r="I2531">
        <v>13274</v>
      </c>
      <c r="J2531">
        <v>4039</v>
      </c>
      <c r="K2531">
        <v>9235</v>
      </c>
      <c r="L2531">
        <v>500</v>
      </c>
      <c r="M2531">
        <v>499</v>
      </c>
      <c r="N2531">
        <v>1</v>
      </c>
      <c r="O2531">
        <v>726</v>
      </c>
      <c r="P2531" s="3" t="s">
        <v>50</v>
      </c>
      <c r="Q2531">
        <v>50</v>
      </c>
      <c r="R2531">
        <v>0.999</v>
      </c>
      <c r="S2531">
        <v>1</v>
      </c>
    </row>
    <row r="2532" spans="1:19" x14ac:dyDescent="0.2">
      <c r="A2532" s="3" t="s">
        <v>54</v>
      </c>
      <c r="B2532" s="3" t="s">
        <v>55</v>
      </c>
      <c r="C2532">
        <v>10</v>
      </c>
      <c r="D2532">
        <v>14000</v>
      </c>
      <c r="E2532">
        <v>499</v>
      </c>
      <c r="F2532">
        <v>1</v>
      </c>
      <c r="G2532">
        <v>14000</v>
      </c>
      <c r="H2532">
        <v>1.9715700999999999E-2</v>
      </c>
      <c r="I2532">
        <v>13270</v>
      </c>
      <c r="J2532">
        <v>4079</v>
      </c>
      <c r="K2532">
        <v>9191</v>
      </c>
      <c r="L2532">
        <v>500</v>
      </c>
      <c r="M2532">
        <v>499</v>
      </c>
      <c r="N2532">
        <v>1</v>
      </c>
      <c r="O2532">
        <v>730</v>
      </c>
      <c r="P2532" s="3" t="s">
        <v>50</v>
      </c>
      <c r="Q2532">
        <v>50</v>
      </c>
      <c r="R2532">
        <v>0.999</v>
      </c>
      <c r="S2532">
        <v>1</v>
      </c>
    </row>
    <row r="2533" spans="1:19" x14ac:dyDescent="0.2">
      <c r="A2533" s="3" t="s">
        <v>54</v>
      </c>
      <c r="B2533" s="3" t="s">
        <v>55</v>
      </c>
      <c r="C2533">
        <v>1</v>
      </c>
      <c r="D2533">
        <v>14000</v>
      </c>
      <c r="E2533">
        <v>499</v>
      </c>
      <c r="F2533">
        <v>1</v>
      </c>
      <c r="G2533">
        <v>14000</v>
      </c>
      <c r="H2533">
        <v>1.9703307E-2</v>
      </c>
      <c r="I2533">
        <v>13269</v>
      </c>
      <c r="J2533">
        <v>4055</v>
      </c>
      <c r="K2533">
        <v>9214</v>
      </c>
      <c r="L2533">
        <v>500</v>
      </c>
      <c r="M2533">
        <v>499</v>
      </c>
      <c r="N2533">
        <v>1</v>
      </c>
      <c r="O2533">
        <v>731</v>
      </c>
      <c r="P2533" s="3" t="s">
        <v>50</v>
      </c>
      <c r="Q2533">
        <v>50</v>
      </c>
      <c r="R2533">
        <v>0.999</v>
      </c>
      <c r="S2533">
        <v>1</v>
      </c>
    </row>
    <row r="2534" spans="1:19" x14ac:dyDescent="0.2">
      <c r="A2534" s="3" t="s">
        <v>54</v>
      </c>
      <c r="B2534" s="3" t="s">
        <v>55</v>
      </c>
      <c r="C2534">
        <v>18</v>
      </c>
      <c r="D2534">
        <v>14000</v>
      </c>
      <c r="E2534">
        <v>499</v>
      </c>
      <c r="F2534">
        <v>1</v>
      </c>
      <c r="G2534">
        <v>14000</v>
      </c>
      <c r="H2534">
        <v>1.9639757000000001E-2</v>
      </c>
      <c r="I2534">
        <v>13270</v>
      </c>
      <c r="J2534">
        <v>4046</v>
      </c>
      <c r="K2534">
        <v>9224</v>
      </c>
      <c r="L2534">
        <v>500</v>
      </c>
      <c r="M2534">
        <v>499</v>
      </c>
      <c r="N2534">
        <v>1</v>
      </c>
      <c r="O2534">
        <v>730</v>
      </c>
      <c r="P2534" s="3" t="s">
        <v>50</v>
      </c>
      <c r="Q2534">
        <v>50</v>
      </c>
      <c r="R2534">
        <v>0.999</v>
      </c>
      <c r="S2534">
        <v>1</v>
      </c>
    </row>
    <row r="2535" spans="1:19" x14ac:dyDescent="0.2">
      <c r="A2535" s="3" t="s">
        <v>54</v>
      </c>
      <c r="B2535" s="3" t="s">
        <v>55</v>
      </c>
      <c r="C2535">
        <v>47</v>
      </c>
      <c r="D2535">
        <v>14000</v>
      </c>
      <c r="E2535">
        <v>499</v>
      </c>
      <c r="F2535">
        <v>1</v>
      </c>
      <c r="G2535">
        <v>14000</v>
      </c>
      <c r="H2535">
        <v>1.9636786999999999E-2</v>
      </c>
      <c r="I2535">
        <v>13263</v>
      </c>
      <c r="J2535">
        <v>4066</v>
      </c>
      <c r="K2535">
        <v>9197</v>
      </c>
      <c r="L2535">
        <v>500</v>
      </c>
      <c r="M2535">
        <v>499</v>
      </c>
      <c r="N2535">
        <v>1</v>
      </c>
      <c r="O2535">
        <v>737</v>
      </c>
      <c r="P2535" s="3" t="s">
        <v>50</v>
      </c>
      <c r="Q2535">
        <v>50</v>
      </c>
      <c r="R2535">
        <v>0.999</v>
      </c>
      <c r="S2535">
        <v>1</v>
      </c>
    </row>
    <row r="2536" spans="1:19" x14ac:dyDescent="0.2">
      <c r="A2536" s="3" t="s">
        <v>54</v>
      </c>
      <c r="B2536" s="3" t="s">
        <v>55</v>
      </c>
      <c r="C2536">
        <v>13</v>
      </c>
      <c r="D2536">
        <v>14000</v>
      </c>
      <c r="E2536">
        <v>499</v>
      </c>
      <c r="F2536">
        <v>1</v>
      </c>
      <c r="G2536">
        <v>14000</v>
      </c>
      <c r="H2536">
        <v>1.9627766000000001E-2</v>
      </c>
      <c r="I2536">
        <v>13292</v>
      </c>
      <c r="J2536">
        <v>4116</v>
      </c>
      <c r="K2536">
        <v>9176</v>
      </c>
      <c r="L2536">
        <v>500</v>
      </c>
      <c r="M2536">
        <v>499</v>
      </c>
      <c r="N2536">
        <v>1</v>
      </c>
      <c r="O2536">
        <v>708</v>
      </c>
      <c r="P2536" s="3" t="s">
        <v>50</v>
      </c>
      <c r="Q2536">
        <v>50</v>
      </c>
      <c r="R2536">
        <v>0.999</v>
      </c>
      <c r="S2536">
        <v>1</v>
      </c>
    </row>
    <row r="2537" spans="1:19" x14ac:dyDescent="0.2">
      <c r="A2537" s="3" t="s">
        <v>54</v>
      </c>
      <c r="B2537" s="3" t="s">
        <v>55</v>
      </c>
      <c r="C2537">
        <v>20</v>
      </c>
      <c r="D2537">
        <v>14000</v>
      </c>
      <c r="E2537">
        <v>499</v>
      </c>
      <c r="F2537">
        <v>1</v>
      </c>
      <c r="G2537">
        <v>14000</v>
      </c>
      <c r="H2537">
        <v>1.9626391999999999E-2</v>
      </c>
      <c r="I2537">
        <v>13280</v>
      </c>
      <c r="J2537">
        <v>4021</v>
      </c>
      <c r="K2537">
        <v>9259</v>
      </c>
      <c r="L2537">
        <v>500</v>
      </c>
      <c r="M2537">
        <v>499</v>
      </c>
      <c r="N2537">
        <v>1</v>
      </c>
      <c r="O2537">
        <v>720</v>
      </c>
      <c r="P2537" s="3" t="s">
        <v>50</v>
      </c>
      <c r="Q2537">
        <v>50</v>
      </c>
      <c r="R2537">
        <v>0.999</v>
      </c>
      <c r="S2537">
        <v>1</v>
      </c>
    </row>
    <row r="2538" spans="1:19" x14ac:dyDescent="0.2">
      <c r="A2538" s="3" t="s">
        <v>54</v>
      </c>
      <c r="B2538" s="3" t="s">
        <v>55</v>
      </c>
      <c r="C2538">
        <v>46</v>
      </c>
      <c r="D2538">
        <v>14000</v>
      </c>
      <c r="E2538">
        <v>499</v>
      </c>
      <c r="F2538">
        <v>1</v>
      </c>
      <c r="G2538">
        <v>14000</v>
      </c>
      <c r="H2538">
        <v>1.9611578000000001E-2</v>
      </c>
      <c r="I2538">
        <v>13284</v>
      </c>
      <c r="J2538">
        <v>4059</v>
      </c>
      <c r="K2538">
        <v>9225</v>
      </c>
      <c r="L2538">
        <v>500</v>
      </c>
      <c r="M2538">
        <v>499</v>
      </c>
      <c r="N2538">
        <v>1</v>
      </c>
      <c r="O2538">
        <v>716</v>
      </c>
      <c r="P2538" s="3" t="s">
        <v>50</v>
      </c>
      <c r="Q2538">
        <v>50</v>
      </c>
      <c r="R2538">
        <v>0.999</v>
      </c>
      <c r="S2538">
        <v>1</v>
      </c>
    </row>
    <row r="2539" spans="1:19" x14ac:dyDescent="0.2">
      <c r="A2539" s="3" t="s">
        <v>54</v>
      </c>
      <c r="B2539" s="3" t="s">
        <v>55</v>
      </c>
      <c r="C2539">
        <v>22</v>
      </c>
      <c r="D2539">
        <v>13000</v>
      </c>
      <c r="E2539">
        <v>499</v>
      </c>
      <c r="F2539">
        <v>1</v>
      </c>
      <c r="G2539">
        <v>13000</v>
      </c>
      <c r="H2539">
        <v>1.9580357E-2</v>
      </c>
      <c r="I2539">
        <v>12704</v>
      </c>
      <c r="J2539">
        <v>3751</v>
      </c>
      <c r="K2539">
        <v>8953</v>
      </c>
      <c r="L2539">
        <v>500</v>
      </c>
      <c r="M2539">
        <v>499</v>
      </c>
      <c r="N2539">
        <v>1</v>
      </c>
      <c r="O2539">
        <v>296</v>
      </c>
      <c r="P2539" s="3" t="s">
        <v>52</v>
      </c>
      <c r="Q2539">
        <v>50</v>
      </c>
      <c r="R2539">
        <v>0.999</v>
      </c>
      <c r="S2539">
        <v>1</v>
      </c>
    </row>
    <row r="2540" spans="1:19" x14ac:dyDescent="0.2">
      <c r="A2540" s="3" t="s">
        <v>54</v>
      </c>
      <c r="B2540" s="3" t="s">
        <v>55</v>
      </c>
      <c r="C2540">
        <v>37</v>
      </c>
      <c r="D2540">
        <v>14000</v>
      </c>
      <c r="E2540">
        <v>499</v>
      </c>
      <c r="F2540">
        <v>1</v>
      </c>
      <c r="G2540">
        <v>14000</v>
      </c>
      <c r="H2540">
        <v>1.9577899999999999E-2</v>
      </c>
      <c r="I2540">
        <v>13299</v>
      </c>
      <c r="J2540">
        <v>4083</v>
      </c>
      <c r="K2540">
        <v>9216</v>
      </c>
      <c r="L2540">
        <v>500</v>
      </c>
      <c r="M2540">
        <v>499</v>
      </c>
      <c r="N2540">
        <v>1</v>
      </c>
      <c r="O2540">
        <v>701</v>
      </c>
      <c r="P2540" s="3" t="s">
        <v>50</v>
      </c>
      <c r="Q2540">
        <v>50</v>
      </c>
      <c r="R2540">
        <v>0.999</v>
      </c>
      <c r="S2540">
        <v>1</v>
      </c>
    </row>
    <row r="2541" spans="1:19" x14ac:dyDescent="0.2">
      <c r="A2541" s="3" t="s">
        <v>54</v>
      </c>
      <c r="B2541" s="3" t="s">
        <v>55</v>
      </c>
      <c r="C2541">
        <v>50</v>
      </c>
      <c r="D2541">
        <v>14000</v>
      </c>
      <c r="E2541">
        <v>499</v>
      </c>
      <c r="F2541">
        <v>1</v>
      </c>
      <c r="G2541">
        <v>14000</v>
      </c>
      <c r="H2541">
        <v>1.9552305999999998E-2</v>
      </c>
      <c r="I2541">
        <v>13301</v>
      </c>
      <c r="J2541">
        <v>4054</v>
      </c>
      <c r="K2541">
        <v>9247</v>
      </c>
      <c r="L2541">
        <v>500</v>
      </c>
      <c r="M2541">
        <v>499</v>
      </c>
      <c r="N2541">
        <v>1</v>
      </c>
      <c r="O2541">
        <v>699</v>
      </c>
      <c r="P2541" s="3" t="s">
        <v>50</v>
      </c>
      <c r="Q2541">
        <v>50</v>
      </c>
      <c r="R2541">
        <v>0.999</v>
      </c>
      <c r="S2541">
        <v>1</v>
      </c>
    </row>
    <row r="2542" spans="1:19" x14ac:dyDescent="0.2">
      <c r="A2542" s="3" t="s">
        <v>54</v>
      </c>
      <c r="B2542" s="3" t="s">
        <v>55</v>
      </c>
      <c r="C2542">
        <v>21</v>
      </c>
      <c r="D2542">
        <v>14000</v>
      </c>
      <c r="E2542">
        <v>499</v>
      </c>
      <c r="F2542">
        <v>1</v>
      </c>
      <c r="G2542">
        <v>14000</v>
      </c>
      <c r="H2542">
        <v>1.9548200000000002E-2</v>
      </c>
      <c r="I2542">
        <v>13262</v>
      </c>
      <c r="J2542">
        <v>4062</v>
      </c>
      <c r="K2542">
        <v>9200</v>
      </c>
      <c r="L2542">
        <v>500</v>
      </c>
      <c r="M2542">
        <v>499</v>
      </c>
      <c r="N2542">
        <v>1</v>
      </c>
      <c r="O2542">
        <v>738</v>
      </c>
      <c r="P2542" s="3" t="s">
        <v>50</v>
      </c>
      <c r="Q2542">
        <v>50</v>
      </c>
      <c r="R2542">
        <v>0.999</v>
      </c>
      <c r="S2542">
        <v>1</v>
      </c>
    </row>
    <row r="2543" spans="1:19" x14ac:dyDescent="0.2">
      <c r="A2543" s="3" t="s">
        <v>54</v>
      </c>
      <c r="B2543" s="3" t="s">
        <v>55</v>
      </c>
      <c r="C2543">
        <v>39</v>
      </c>
      <c r="D2543">
        <v>14000</v>
      </c>
      <c r="E2543">
        <v>499</v>
      </c>
      <c r="F2543">
        <v>1</v>
      </c>
      <c r="G2543">
        <v>14000</v>
      </c>
      <c r="H2543">
        <v>1.9507335000000001E-2</v>
      </c>
      <c r="I2543">
        <v>13273</v>
      </c>
      <c r="J2543">
        <v>4082</v>
      </c>
      <c r="K2543">
        <v>9191</v>
      </c>
      <c r="L2543">
        <v>500</v>
      </c>
      <c r="M2543">
        <v>499</v>
      </c>
      <c r="N2543">
        <v>1</v>
      </c>
      <c r="O2543">
        <v>727</v>
      </c>
      <c r="P2543" s="3" t="s">
        <v>50</v>
      </c>
      <c r="Q2543">
        <v>50</v>
      </c>
      <c r="R2543">
        <v>0.999</v>
      </c>
      <c r="S2543">
        <v>1</v>
      </c>
    </row>
    <row r="2544" spans="1:19" x14ac:dyDescent="0.2">
      <c r="A2544" s="3" t="s">
        <v>54</v>
      </c>
      <c r="B2544" s="3" t="s">
        <v>55</v>
      </c>
      <c r="C2544">
        <v>23</v>
      </c>
      <c r="D2544">
        <v>14000</v>
      </c>
      <c r="E2544">
        <v>499</v>
      </c>
      <c r="F2544">
        <v>1</v>
      </c>
      <c r="G2544">
        <v>14000</v>
      </c>
      <c r="H2544">
        <v>1.9506013999999999E-2</v>
      </c>
      <c r="I2544">
        <v>13286</v>
      </c>
      <c r="J2544">
        <v>4069</v>
      </c>
      <c r="K2544">
        <v>9217</v>
      </c>
      <c r="L2544">
        <v>500</v>
      </c>
      <c r="M2544">
        <v>499</v>
      </c>
      <c r="N2544">
        <v>1</v>
      </c>
      <c r="O2544">
        <v>714</v>
      </c>
      <c r="P2544" s="3" t="s">
        <v>50</v>
      </c>
      <c r="Q2544">
        <v>50</v>
      </c>
      <c r="R2544">
        <v>0.999</v>
      </c>
      <c r="S2544">
        <v>1</v>
      </c>
    </row>
    <row r="2545" spans="1:19" x14ac:dyDescent="0.2">
      <c r="A2545" s="3" t="s">
        <v>54</v>
      </c>
      <c r="B2545" s="3" t="s">
        <v>55</v>
      </c>
      <c r="C2545">
        <v>17</v>
      </c>
      <c r="D2545">
        <v>14000</v>
      </c>
      <c r="E2545">
        <v>499</v>
      </c>
      <c r="F2545">
        <v>1</v>
      </c>
      <c r="G2545">
        <v>14000</v>
      </c>
      <c r="H2545">
        <v>1.9477287999999999E-2</v>
      </c>
      <c r="I2545">
        <v>13282</v>
      </c>
      <c r="J2545">
        <v>4016</v>
      </c>
      <c r="K2545">
        <v>9266</v>
      </c>
      <c r="L2545">
        <v>500</v>
      </c>
      <c r="M2545">
        <v>499</v>
      </c>
      <c r="N2545">
        <v>1</v>
      </c>
      <c r="O2545">
        <v>718</v>
      </c>
      <c r="P2545" s="3" t="s">
        <v>50</v>
      </c>
      <c r="Q2545">
        <v>50</v>
      </c>
      <c r="R2545">
        <v>0.999</v>
      </c>
      <c r="S2545">
        <v>1</v>
      </c>
    </row>
    <row r="2546" spans="1:19" x14ac:dyDescent="0.2">
      <c r="A2546" s="3" t="s">
        <v>54</v>
      </c>
      <c r="B2546" s="3" t="s">
        <v>55</v>
      </c>
      <c r="C2546">
        <v>2</v>
      </c>
      <c r="D2546">
        <v>14000</v>
      </c>
      <c r="E2546">
        <v>499</v>
      </c>
      <c r="F2546">
        <v>1</v>
      </c>
      <c r="G2546">
        <v>14000</v>
      </c>
      <c r="H2546">
        <v>1.9471281999999999E-2</v>
      </c>
      <c r="I2546">
        <v>13292</v>
      </c>
      <c r="J2546">
        <v>4055</v>
      </c>
      <c r="K2546">
        <v>9237</v>
      </c>
      <c r="L2546">
        <v>500</v>
      </c>
      <c r="M2546">
        <v>499</v>
      </c>
      <c r="N2546">
        <v>1</v>
      </c>
      <c r="O2546">
        <v>708</v>
      </c>
      <c r="P2546" s="3" t="s">
        <v>50</v>
      </c>
      <c r="Q2546">
        <v>50</v>
      </c>
      <c r="R2546">
        <v>0.999</v>
      </c>
      <c r="S2546">
        <v>1</v>
      </c>
    </row>
    <row r="2547" spans="1:19" x14ac:dyDescent="0.2">
      <c r="A2547" s="3" t="s">
        <v>54</v>
      </c>
      <c r="B2547" s="3" t="s">
        <v>55</v>
      </c>
      <c r="C2547">
        <v>15</v>
      </c>
      <c r="D2547">
        <v>14000</v>
      </c>
      <c r="E2547">
        <v>499</v>
      </c>
      <c r="F2547">
        <v>1</v>
      </c>
      <c r="G2547">
        <v>14000</v>
      </c>
      <c r="H2547">
        <v>1.9456882000000002E-2</v>
      </c>
      <c r="I2547">
        <v>13307</v>
      </c>
      <c r="J2547">
        <v>4052</v>
      </c>
      <c r="K2547">
        <v>9255</v>
      </c>
      <c r="L2547">
        <v>500</v>
      </c>
      <c r="M2547">
        <v>499</v>
      </c>
      <c r="N2547">
        <v>1</v>
      </c>
      <c r="O2547">
        <v>693</v>
      </c>
      <c r="P2547" s="3" t="s">
        <v>50</v>
      </c>
      <c r="Q2547">
        <v>50</v>
      </c>
      <c r="R2547">
        <v>0.999</v>
      </c>
      <c r="S2547">
        <v>1</v>
      </c>
    </row>
    <row r="2548" spans="1:19" x14ac:dyDescent="0.2">
      <c r="A2548" s="3" t="s">
        <v>54</v>
      </c>
      <c r="B2548" s="3" t="s">
        <v>55</v>
      </c>
      <c r="C2548">
        <v>27</v>
      </c>
      <c r="D2548">
        <v>14000</v>
      </c>
      <c r="E2548">
        <v>499</v>
      </c>
      <c r="F2548">
        <v>1</v>
      </c>
      <c r="G2548">
        <v>14000</v>
      </c>
      <c r="H2548">
        <v>1.9419941E-2</v>
      </c>
      <c r="I2548">
        <v>13324</v>
      </c>
      <c r="J2548">
        <v>4067</v>
      </c>
      <c r="K2548">
        <v>9257</v>
      </c>
      <c r="L2548">
        <v>500</v>
      </c>
      <c r="M2548">
        <v>499</v>
      </c>
      <c r="N2548">
        <v>1</v>
      </c>
      <c r="O2548">
        <v>676</v>
      </c>
      <c r="P2548" s="3" t="s">
        <v>50</v>
      </c>
      <c r="Q2548">
        <v>50</v>
      </c>
      <c r="R2548">
        <v>0.999</v>
      </c>
      <c r="S2548">
        <v>1</v>
      </c>
    </row>
    <row r="2549" spans="1:19" x14ac:dyDescent="0.2">
      <c r="A2549" s="3" t="s">
        <v>54</v>
      </c>
      <c r="B2549" s="3" t="s">
        <v>55</v>
      </c>
      <c r="C2549">
        <v>22</v>
      </c>
      <c r="D2549">
        <v>14000</v>
      </c>
      <c r="E2549">
        <v>499</v>
      </c>
      <c r="F2549">
        <v>1</v>
      </c>
      <c r="G2549">
        <v>14000</v>
      </c>
      <c r="H2549">
        <v>1.9414128999999999E-2</v>
      </c>
      <c r="I2549">
        <v>13289</v>
      </c>
      <c r="J2549">
        <v>4056</v>
      </c>
      <c r="K2549">
        <v>9233</v>
      </c>
      <c r="L2549">
        <v>500</v>
      </c>
      <c r="M2549">
        <v>499</v>
      </c>
      <c r="N2549">
        <v>1</v>
      </c>
      <c r="O2549">
        <v>711</v>
      </c>
      <c r="P2549" s="3" t="s">
        <v>50</v>
      </c>
      <c r="Q2549">
        <v>50</v>
      </c>
      <c r="R2549">
        <v>0.999</v>
      </c>
      <c r="S2549">
        <v>1</v>
      </c>
    </row>
    <row r="2550" spans="1:19" x14ac:dyDescent="0.2">
      <c r="A2550" s="3" t="s">
        <v>54</v>
      </c>
      <c r="B2550" s="3" t="s">
        <v>55</v>
      </c>
      <c r="C2550">
        <v>12</v>
      </c>
      <c r="D2550">
        <v>14000</v>
      </c>
      <c r="E2550">
        <v>499</v>
      </c>
      <c r="F2550">
        <v>1</v>
      </c>
      <c r="G2550">
        <v>14000</v>
      </c>
      <c r="H2550">
        <v>1.9407996E-2</v>
      </c>
      <c r="I2550">
        <v>13286</v>
      </c>
      <c r="J2550">
        <v>4064</v>
      </c>
      <c r="K2550">
        <v>9222</v>
      </c>
      <c r="L2550">
        <v>500</v>
      </c>
      <c r="M2550">
        <v>499</v>
      </c>
      <c r="N2550">
        <v>1</v>
      </c>
      <c r="O2550">
        <v>714</v>
      </c>
      <c r="P2550" s="3" t="s">
        <v>50</v>
      </c>
      <c r="Q2550">
        <v>50</v>
      </c>
      <c r="R2550">
        <v>0.999</v>
      </c>
      <c r="S2550">
        <v>1</v>
      </c>
    </row>
    <row r="2551" spans="1:19" x14ac:dyDescent="0.2">
      <c r="A2551" s="3" t="s">
        <v>54</v>
      </c>
      <c r="B2551" s="3" t="s">
        <v>55</v>
      </c>
      <c r="C2551">
        <v>40</v>
      </c>
      <c r="D2551">
        <v>14000</v>
      </c>
      <c r="E2551">
        <v>499</v>
      </c>
      <c r="F2551">
        <v>1</v>
      </c>
      <c r="G2551">
        <v>14000</v>
      </c>
      <c r="H2551">
        <v>1.9391259000000001E-2</v>
      </c>
      <c r="I2551">
        <v>13279</v>
      </c>
      <c r="J2551">
        <v>4000</v>
      </c>
      <c r="K2551">
        <v>9279</v>
      </c>
      <c r="L2551">
        <v>500</v>
      </c>
      <c r="M2551">
        <v>499</v>
      </c>
      <c r="N2551">
        <v>1</v>
      </c>
      <c r="O2551">
        <v>721</v>
      </c>
      <c r="P2551" s="3" t="s">
        <v>50</v>
      </c>
      <c r="Q2551">
        <v>50</v>
      </c>
      <c r="R2551">
        <v>0.999</v>
      </c>
      <c r="S2551">
        <v>1</v>
      </c>
    </row>
    <row r="2552" spans="1:19" x14ac:dyDescent="0.2">
      <c r="A2552" s="3" t="s">
        <v>54</v>
      </c>
      <c r="B2552" s="3" t="s">
        <v>55</v>
      </c>
      <c r="C2552">
        <v>34</v>
      </c>
      <c r="D2552">
        <v>14000</v>
      </c>
      <c r="E2552">
        <v>499</v>
      </c>
      <c r="F2552">
        <v>1</v>
      </c>
      <c r="G2552">
        <v>14000</v>
      </c>
      <c r="H2552">
        <v>1.9388131999999999E-2</v>
      </c>
      <c r="I2552">
        <v>13289</v>
      </c>
      <c r="J2552">
        <v>4058</v>
      </c>
      <c r="K2552">
        <v>9231</v>
      </c>
      <c r="L2552">
        <v>500</v>
      </c>
      <c r="M2552">
        <v>499</v>
      </c>
      <c r="N2552">
        <v>1</v>
      </c>
      <c r="O2552">
        <v>711</v>
      </c>
      <c r="P2552" s="3" t="s">
        <v>50</v>
      </c>
      <c r="Q2552">
        <v>50</v>
      </c>
      <c r="R2552">
        <v>0.999</v>
      </c>
      <c r="S2552">
        <v>1</v>
      </c>
    </row>
    <row r="2553" spans="1:19" x14ac:dyDescent="0.2">
      <c r="A2553" s="3" t="s">
        <v>54</v>
      </c>
      <c r="B2553" s="3" t="s">
        <v>55</v>
      </c>
      <c r="C2553">
        <v>17</v>
      </c>
      <c r="D2553">
        <v>11000</v>
      </c>
      <c r="E2553">
        <v>499</v>
      </c>
      <c r="F2553">
        <v>1</v>
      </c>
      <c r="G2553">
        <v>11000</v>
      </c>
      <c r="H2553">
        <v>1.9379829000000001E-2</v>
      </c>
      <c r="I2553">
        <v>11000</v>
      </c>
      <c r="J2553">
        <v>2750</v>
      </c>
      <c r="K2553">
        <v>8250</v>
      </c>
      <c r="L2553">
        <v>500</v>
      </c>
      <c r="M2553">
        <v>499</v>
      </c>
      <c r="N2553">
        <v>1</v>
      </c>
      <c r="O2553">
        <v>0</v>
      </c>
      <c r="P2553" s="3" t="s">
        <v>52</v>
      </c>
      <c r="Q2553">
        <v>50</v>
      </c>
      <c r="R2553">
        <v>0.999</v>
      </c>
      <c r="S2553">
        <v>1</v>
      </c>
    </row>
    <row r="2554" spans="1:19" x14ac:dyDescent="0.2">
      <c r="A2554" s="3" t="s">
        <v>54</v>
      </c>
      <c r="B2554" s="3" t="s">
        <v>55</v>
      </c>
      <c r="C2554">
        <v>24</v>
      </c>
      <c r="D2554">
        <v>11000</v>
      </c>
      <c r="E2554">
        <v>499</v>
      </c>
      <c r="F2554">
        <v>1</v>
      </c>
      <c r="G2554">
        <v>11000</v>
      </c>
      <c r="H2554">
        <v>1.9367372000000001E-2</v>
      </c>
      <c r="I2554">
        <v>11000</v>
      </c>
      <c r="J2554">
        <v>3653</v>
      </c>
      <c r="K2554">
        <v>7347</v>
      </c>
      <c r="L2554">
        <v>500</v>
      </c>
      <c r="M2554">
        <v>499</v>
      </c>
      <c r="N2554">
        <v>1</v>
      </c>
      <c r="O2554">
        <v>0</v>
      </c>
      <c r="P2554" s="3" t="s">
        <v>50</v>
      </c>
      <c r="Q2554">
        <v>50</v>
      </c>
      <c r="R2554">
        <v>0.999</v>
      </c>
      <c r="S2554">
        <v>1</v>
      </c>
    </row>
    <row r="2555" spans="1:19" x14ac:dyDescent="0.2">
      <c r="A2555" s="3" t="s">
        <v>54</v>
      </c>
      <c r="B2555" s="3" t="s">
        <v>55</v>
      </c>
      <c r="C2555">
        <v>19</v>
      </c>
      <c r="D2555">
        <v>14000</v>
      </c>
      <c r="E2555">
        <v>499</v>
      </c>
      <c r="F2555">
        <v>1</v>
      </c>
      <c r="G2555">
        <v>14000</v>
      </c>
      <c r="H2555">
        <v>1.9365874000000002E-2</v>
      </c>
      <c r="I2555">
        <v>13292</v>
      </c>
      <c r="J2555">
        <v>4069</v>
      </c>
      <c r="K2555">
        <v>9223</v>
      </c>
      <c r="L2555">
        <v>500</v>
      </c>
      <c r="M2555">
        <v>499</v>
      </c>
      <c r="N2555">
        <v>1</v>
      </c>
      <c r="O2555">
        <v>708</v>
      </c>
      <c r="P2555" s="3" t="s">
        <v>50</v>
      </c>
      <c r="Q2555">
        <v>50</v>
      </c>
      <c r="R2555">
        <v>0.999</v>
      </c>
      <c r="S2555">
        <v>1</v>
      </c>
    </row>
    <row r="2556" spans="1:19" x14ac:dyDescent="0.2">
      <c r="A2556" s="3" t="s">
        <v>54</v>
      </c>
      <c r="B2556" s="3" t="s">
        <v>55</v>
      </c>
      <c r="C2556">
        <v>5</v>
      </c>
      <c r="D2556">
        <v>14000</v>
      </c>
      <c r="E2556">
        <v>499</v>
      </c>
      <c r="F2556">
        <v>1</v>
      </c>
      <c r="G2556">
        <v>14000</v>
      </c>
      <c r="H2556">
        <v>1.9347836E-2</v>
      </c>
      <c r="I2556">
        <v>13286</v>
      </c>
      <c r="J2556">
        <v>4053</v>
      </c>
      <c r="K2556">
        <v>9233</v>
      </c>
      <c r="L2556">
        <v>500</v>
      </c>
      <c r="M2556">
        <v>499</v>
      </c>
      <c r="N2556">
        <v>1</v>
      </c>
      <c r="O2556">
        <v>714</v>
      </c>
      <c r="P2556" s="3" t="s">
        <v>50</v>
      </c>
      <c r="Q2556">
        <v>50</v>
      </c>
      <c r="R2556">
        <v>0.999</v>
      </c>
      <c r="S2556">
        <v>1</v>
      </c>
    </row>
    <row r="2557" spans="1:19" x14ac:dyDescent="0.2">
      <c r="A2557" s="3" t="s">
        <v>54</v>
      </c>
      <c r="B2557" s="3" t="s">
        <v>55</v>
      </c>
      <c r="C2557">
        <v>6</v>
      </c>
      <c r="D2557">
        <v>14000</v>
      </c>
      <c r="E2557">
        <v>499</v>
      </c>
      <c r="F2557">
        <v>1</v>
      </c>
      <c r="G2557">
        <v>14000</v>
      </c>
      <c r="H2557">
        <v>1.9336011E-2</v>
      </c>
      <c r="I2557">
        <v>13302</v>
      </c>
      <c r="J2557">
        <v>4112</v>
      </c>
      <c r="K2557">
        <v>9190</v>
      </c>
      <c r="L2557">
        <v>500</v>
      </c>
      <c r="M2557">
        <v>499</v>
      </c>
      <c r="N2557">
        <v>1</v>
      </c>
      <c r="O2557">
        <v>698</v>
      </c>
      <c r="P2557" s="3" t="s">
        <v>50</v>
      </c>
      <c r="Q2557">
        <v>50</v>
      </c>
      <c r="R2557">
        <v>0.999</v>
      </c>
      <c r="S2557">
        <v>1</v>
      </c>
    </row>
    <row r="2558" spans="1:19" x14ac:dyDescent="0.2">
      <c r="A2558" s="3" t="s">
        <v>54</v>
      </c>
      <c r="B2558" s="3" t="s">
        <v>55</v>
      </c>
      <c r="C2558">
        <v>27</v>
      </c>
      <c r="D2558">
        <v>11000</v>
      </c>
      <c r="E2558">
        <v>499</v>
      </c>
      <c r="F2558">
        <v>1</v>
      </c>
      <c r="G2558">
        <v>11000</v>
      </c>
      <c r="H2558">
        <v>1.9332856999999998E-2</v>
      </c>
      <c r="I2558">
        <v>11000</v>
      </c>
      <c r="J2558">
        <v>3645</v>
      </c>
      <c r="K2558">
        <v>7355</v>
      </c>
      <c r="L2558">
        <v>500</v>
      </c>
      <c r="M2558">
        <v>499</v>
      </c>
      <c r="N2558">
        <v>1</v>
      </c>
      <c r="O2558">
        <v>0</v>
      </c>
      <c r="P2558" s="3" t="s">
        <v>50</v>
      </c>
      <c r="Q2558">
        <v>50</v>
      </c>
      <c r="R2558">
        <v>0.999</v>
      </c>
      <c r="S2558">
        <v>1</v>
      </c>
    </row>
    <row r="2559" spans="1:19" x14ac:dyDescent="0.2">
      <c r="A2559" s="3" t="s">
        <v>54</v>
      </c>
      <c r="B2559" s="3" t="s">
        <v>55</v>
      </c>
      <c r="C2559">
        <v>36</v>
      </c>
      <c r="D2559">
        <v>14000</v>
      </c>
      <c r="E2559">
        <v>499</v>
      </c>
      <c r="F2559">
        <v>1</v>
      </c>
      <c r="G2559">
        <v>14000</v>
      </c>
      <c r="H2559">
        <v>1.9290168999999999E-2</v>
      </c>
      <c r="I2559">
        <v>13304</v>
      </c>
      <c r="J2559">
        <v>4097</v>
      </c>
      <c r="K2559">
        <v>9207</v>
      </c>
      <c r="L2559">
        <v>500</v>
      </c>
      <c r="M2559">
        <v>499</v>
      </c>
      <c r="N2559">
        <v>1</v>
      </c>
      <c r="O2559">
        <v>696</v>
      </c>
      <c r="P2559" s="3" t="s">
        <v>50</v>
      </c>
      <c r="Q2559">
        <v>50</v>
      </c>
      <c r="R2559">
        <v>0.999</v>
      </c>
      <c r="S2559">
        <v>1</v>
      </c>
    </row>
    <row r="2560" spans="1:19" x14ac:dyDescent="0.2">
      <c r="A2560" s="3" t="s">
        <v>54</v>
      </c>
      <c r="B2560" s="3" t="s">
        <v>55</v>
      </c>
      <c r="C2560">
        <v>35</v>
      </c>
      <c r="D2560">
        <v>14000</v>
      </c>
      <c r="E2560">
        <v>499</v>
      </c>
      <c r="F2560">
        <v>1</v>
      </c>
      <c r="G2560">
        <v>14000</v>
      </c>
      <c r="H2560">
        <v>1.9207961999999999E-2</v>
      </c>
      <c r="I2560">
        <v>13288</v>
      </c>
      <c r="J2560">
        <v>4024</v>
      </c>
      <c r="K2560">
        <v>9264</v>
      </c>
      <c r="L2560">
        <v>500</v>
      </c>
      <c r="M2560">
        <v>499</v>
      </c>
      <c r="N2560">
        <v>1</v>
      </c>
      <c r="O2560">
        <v>712</v>
      </c>
      <c r="P2560" s="3" t="s">
        <v>50</v>
      </c>
      <c r="Q2560">
        <v>50</v>
      </c>
      <c r="R2560">
        <v>0.999</v>
      </c>
      <c r="S2560">
        <v>1</v>
      </c>
    </row>
    <row r="2561" spans="1:19" x14ac:dyDescent="0.2">
      <c r="A2561" s="3" t="s">
        <v>54</v>
      </c>
      <c r="B2561" s="3" t="s">
        <v>55</v>
      </c>
      <c r="C2561">
        <v>32</v>
      </c>
      <c r="D2561">
        <v>14000</v>
      </c>
      <c r="E2561">
        <v>499</v>
      </c>
      <c r="F2561">
        <v>1</v>
      </c>
      <c r="G2561">
        <v>14000</v>
      </c>
      <c r="H2561">
        <v>1.9185623999999998E-2</v>
      </c>
      <c r="I2561">
        <v>13291</v>
      </c>
      <c r="J2561">
        <v>4054</v>
      </c>
      <c r="K2561">
        <v>9237</v>
      </c>
      <c r="L2561">
        <v>500</v>
      </c>
      <c r="M2561">
        <v>499</v>
      </c>
      <c r="N2561">
        <v>1</v>
      </c>
      <c r="O2561">
        <v>709</v>
      </c>
      <c r="P2561" s="3" t="s">
        <v>50</v>
      </c>
      <c r="Q2561">
        <v>50</v>
      </c>
      <c r="R2561">
        <v>0.999</v>
      </c>
      <c r="S2561">
        <v>1</v>
      </c>
    </row>
    <row r="2562" spans="1:19" x14ac:dyDescent="0.2">
      <c r="A2562" s="3" t="s">
        <v>54</v>
      </c>
      <c r="B2562" s="3" t="s">
        <v>55</v>
      </c>
      <c r="C2562">
        <v>3</v>
      </c>
      <c r="D2562">
        <v>14000</v>
      </c>
      <c r="E2562">
        <v>499</v>
      </c>
      <c r="F2562">
        <v>1</v>
      </c>
      <c r="G2562">
        <v>14000</v>
      </c>
      <c r="H2562">
        <v>1.917311E-2</v>
      </c>
      <c r="I2562">
        <v>13313</v>
      </c>
      <c r="J2562">
        <v>4083</v>
      </c>
      <c r="K2562">
        <v>9230</v>
      </c>
      <c r="L2562">
        <v>500</v>
      </c>
      <c r="M2562">
        <v>499</v>
      </c>
      <c r="N2562">
        <v>1</v>
      </c>
      <c r="O2562">
        <v>687</v>
      </c>
      <c r="P2562" s="3" t="s">
        <v>50</v>
      </c>
      <c r="Q2562">
        <v>50</v>
      </c>
      <c r="R2562">
        <v>0.999</v>
      </c>
      <c r="S2562">
        <v>1</v>
      </c>
    </row>
    <row r="2563" spans="1:19" x14ac:dyDescent="0.2">
      <c r="A2563" s="3" t="s">
        <v>54</v>
      </c>
      <c r="B2563" s="3" t="s">
        <v>55</v>
      </c>
      <c r="C2563">
        <v>41</v>
      </c>
      <c r="D2563">
        <v>14000</v>
      </c>
      <c r="E2563">
        <v>499</v>
      </c>
      <c r="F2563">
        <v>1</v>
      </c>
      <c r="G2563">
        <v>14000</v>
      </c>
      <c r="H2563">
        <v>1.9165951000000001E-2</v>
      </c>
      <c r="I2563">
        <v>13298</v>
      </c>
      <c r="J2563">
        <v>4028</v>
      </c>
      <c r="K2563">
        <v>9270</v>
      </c>
      <c r="L2563">
        <v>500</v>
      </c>
      <c r="M2563">
        <v>499</v>
      </c>
      <c r="N2563">
        <v>1</v>
      </c>
      <c r="O2563">
        <v>702</v>
      </c>
      <c r="P2563" s="3" t="s">
        <v>50</v>
      </c>
      <c r="Q2563">
        <v>50</v>
      </c>
      <c r="R2563">
        <v>0.999</v>
      </c>
      <c r="S2563">
        <v>1</v>
      </c>
    </row>
    <row r="2564" spans="1:19" x14ac:dyDescent="0.2">
      <c r="A2564" s="3" t="s">
        <v>54</v>
      </c>
      <c r="B2564" s="3" t="s">
        <v>55</v>
      </c>
      <c r="C2564">
        <v>15</v>
      </c>
      <c r="D2564">
        <v>13000</v>
      </c>
      <c r="E2564">
        <v>499</v>
      </c>
      <c r="F2564">
        <v>1</v>
      </c>
      <c r="G2564">
        <v>13000</v>
      </c>
      <c r="H2564">
        <v>1.9156474E-2</v>
      </c>
      <c r="I2564">
        <v>12705</v>
      </c>
      <c r="J2564">
        <v>3803</v>
      </c>
      <c r="K2564">
        <v>8902</v>
      </c>
      <c r="L2564">
        <v>500</v>
      </c>
      <c r="M2564">
        <v>499</v>
      </c>
      <c r="N2564">
        <v>1</v>
      </c>
      <c r="O2564">
        <v>295</v>
      </c>
      <c r="P2564" s="3" t="s">
        <v>50</v>
      </c>
      <c r="Q2564">
        <v>50</v>
      </c>
      <c r="R2564">
        <v>0.999</v>
      </c>
      <c r="S2564">
        <v>1</v>
      </c>
    </row>
    <row r="2565" spans="1:19" x14ac:dyDescent="0.2">
      <c r="A2565" s="3" t="s">
        <v>54</v>
      </c>
      <c r="B2565" s="3" t="s">
        <v>55</v>
      </c>
      <c r="C2565">
        <v>14</v>
      </c>
      <c r="D2565">
        <v>13000</v>
      </c>
      <c r="E2565">
        <v>499</v>
      </c>
      <c r="F2565">
        <v>1</v>
      </c>
      <c r="G2565">
        <v>13000</v>
      </c>
      <c r="H2565">
        <v>1.9076998000000001E-2</v>
      </c>
      <c r="I2565">
        <v>12723</v>
      </c>
      <c r="J2565">
        <v>3821</v>
      </c>
      <c r="K2565">
        <v>8902</v>
      </c>
      <c r="L2565">
        <v>500</v>
      </c>
      <c r="M2565">
        <v>499</v>
      </c>
      <c r="N2565">
        <v>1</v>
      </c>
      <c r="O2565">
        <v>277</v>
      </c>
      <c r="P2565" s="3" t="s">
        <v>50</v>
      </c>
      <c r="Q2565">
        <v>50</v>
      </c>
      <c r="R2565">
        <v>0.999</v>
      </c>
      <c r="S2565">
        <v>1</v>
      </c>
    </row>
    <row r="2566" spans="1:19" x14ac:dyDescent="0.2">
      <c r="A2566" s="3" t="s">
        <v>54</v>
      </c>
      <c r="B2566" s="3" t="s">
        <v>55</v>
      </c>
      <c r="C2566">
        <v>38</v>
      </c>
      <c r="D2566">
        <v>14000</v>
      </c>
      <c r="E2566">
        <v>499</v>
      </c>
      <c r="F2566">
        <v>1</v>
      </c>
      <c r="G2566">
        <v>14000</v>
      </c>
      <c r="H2566">
        <v>1.8964881999999999E-2</v>
      </c>
      <c r="I2566">
        <v>13299</v>
      </c>
      <c r="J2566">
        <v>4067</v>
      </c>
      <c r="K2566">
        <v>9232</v>
      </c>
      <c r="L2566">
        <v>500</v>
      </c>
      <c r="M2566">
        <v>499</v>
      </c>
      <c r="N2566">
        <v>1</v>
      </c>
      <c r="O2566">
        <v>701</v>
      </c>
      <c r="P2566" s="3" t="s">
        <v>52</v>
      </c>
      <c r="Q2566">
        <v>50</v>
      </c>
      <c r="R2566">
        <v>0.999</v>
      </c>
      <c r="S2566">
        <v>1</v>
      </c>
    </row>
    <row r="2567" spans="1:19" x14ac:dyDescent="0.2">
      <c r="A2567" s="3" t="s">
        <v>54</v>
      </c>
      <c r="B2567" s="3" t="s">
        <v>55</v>
      </c>
      <c r="C2567">
        <v>32</v>
      </c>
      <c r="D2567">
        <v>12000</v>
      </c>
      <c r="E2567">
        <v>499</v>
      </c>
      <c r="F2567">
        <v>1</v>
      </c>
      <c r="G2567">
        <v>12000</v>
      </c>
      <c r="H2567">
        <v>1.8918497999999999E-2</v>
      </c>
      <c r="I2567">
        <v>11999</v>
      </c>
      <c r="J2567">
        <v>3676</v>
      </c>
      <c r="K2567">
        <v>8323</v>
      </c>
      <c r="L2567">
        <v>500</v>
      </c>
      <c r="M2567">
        <v>499</v>
      </c>
      <c r="N2567">
        <v>1</v>
      </c>
      <c r="O2567">
        <v>1</v>
      </c>
      <c r="P2567" s="3" t="s">
        <v>50</v>
      </c>
      <c r="Q2567">
        <v>50</v>
      </c>
      <c r="R2567">
        <v>0.999</v>
      </c>
      <c r="S2567">
        <v>1</v>
      </c>
    </row>
    <row r="2568" spans="1:19" x14ac:dyDescent="0.2">
      <c r="A2568" s="3" t="s">
        <v>54</v>
      </c>
      <c r="B2568" s="3" t="s">
        <v>55</v>
      </c>
      <c r="C2568">
        <v>49</v>
      </c>
      <c r="D2568">
        <v>13000</v>
      </c>
      <c r="E2568">
        <v>499</v>
      </c>
      <c r="F2568">
        <v>1</v>
      </c>
      <c r="G2568">
        <v>13000</v>
      </c>
      <c r="H2568">
        <v>1.8858144E-2</v>
      </c>
      <c r="I2568">
        <v>12709</v>
      </c>
      <c r="J2568">
        <v>3810</v>
      </c>
      <c r="K2568">
        <v>8899</v>
      </c>
      <c r="L2568">
        <v>500</v>
      </c>
      <c r="M2568">
        <v>499</v>
      </c>
      <c r="N2568">
        <v>1</v>
      </c>
      <c r="O2568">
        <v>291</v>
      </c>
      <c r="P2568" s="3" t="s">
        <v>52</v>
      </c>
      <c r="Q2568">
        <v>50</v>
      </c>
      <c r="R2568">
        <v>0.999</v>
      </c>
      <c r="S2568">
        <v>1</v>
      </c>
    </row>
    <row r="2569" spans="1:19" x14ac:dyDescent="0.2">
      <c r="A2569" s="3" t="s">
        <v>54</v>
      </c>
      <c r="B2569" s="3" t="s">
        <v>55</v>
      </c>
      <c r="C2569">
        <v>33</v>
      </c>
      <c r="D2569">
        <v>10000</v>
      </c>
      <c r="E2569">
        <v>499</v>
      </c>
      <c r="F2569">
        <v>1</v>
      </c>
      <c r="G2569">
        <v>39482.677260513999</v>
      </c>
      <c r="H2569">
        <v>1.8776395000000001E-2</v>
      </c>
      <c r="I2569">
        <v>10000</v>
      </c>
      <c r="J2569">
        <v>3565</v>
      </c>
      <c r="K2569">
        <v>6435</v>
      </c>
      <c r="L2569">
        <v>500</v>
      </c>
      <c r="M2569">
        <v>499</v>
      </c>
      <c r="N2569">
        <v>1</v>
      </c>
      <c r="O2569">
        <v>0</v>
      </c>
      <c r="P2569" s="3" t="s">
        <v>50</v>
      </c>
      <c r="Q2569">
        <v>50</v>
      </c>
      <c r="R2569">
        <v>0.999</v>
      </c>
      <c r="S2569">
        <v>0</v>
      </c>
    </row>
    <row r="2570" spans="1:19" x14ac:dyDescent="0.2">
      <c r="A2570" s="3" t="s">
        <v>54</v>
      </c>
      <c r="B2570" s="3" t="s">
        <v>55</v>
      </c>
      <c r="C2570">
        <v>48</v>
      </c>
      <c r="D2570">
        <v>13000</v>
      </c>
      <c r="E2570">
        <v>499</v>
      </c>
      <c r="F2570">
        <v>1</v>
      </c>
      <c r="G2570">
        <v>13000</v>
      </c>
      <c r="H2570">
        <v>1.8761179999999999E-2</v>
      </c>
      <c r="I2570">
        <v>12688</v>
      </c>
      <c r="J2570">
        <v>3804</v>
      </c>
      <c r="K2570">
        <v>8884</v>
      </c>
      <c r="L2570">
        <v>500</v>
      </c>
      <c r="M2570">
        <v>499</v>
      </c>
      <c r="N2570">
        <v>1</v>
      </c>
      <c r="O2570">
        <v>312</v>
      </c>
      <c r="P2570" s="3" t="s">
        <v>50</v>
      </c>
      <c r="Q2570">
        <v>50</v>
      </c>
      <c r="R2570">
        <v>0.999</v>
      </c>
      <c r="S2570">
        <v>1</v>
      </c>
    </row>
    <row r="2571" spans="1:19" x14ac:dyDescent="0.2">
      <c r="A2571" s="3" t="s">
        <v>54</v>
      </c>
      <c r="B2571" s="3" t="s">
        <v>55</v>
      </c>
      <c r="C2571">
        <v>4</v>
      </c>
      <c r="D2571">
        <v>10000</v>
      </c>
      <c r="E2571">
        <v>499</v>
      </c>
      <c r="F2571">
        <v>1</v>
      </c>
      <c r="G2571">
        <v>39482.677260513999</v>
      </c>
      <c r="H2571">
        <v>1.8746780000000001E-2</v>
      </c>
      <c r="I2571">
        <v>10000</v>
      </c>
      <c r="J2571">
        <v>2696</v>
      </c>
      <c r="K2571">
        <v>7304</v>
      </c>
      <c r="L2571">
        <v>500</v>
      </c>
      <c r="M2571">
        <v>499</v>
      </c>
      <c r="N2571">
        <v>1</v>
      </c>
      <c r="O2571">
        <v>0</v>
      </c>
      <c r="P2571" s="3" t="s">
        <v>52</v>
      </c>
      <c r="Q2571">
        <v>50</v>
      </c>
      <c r="R2571">
        <v>0.999</v>
      </c>
      <c r="S2571">
        <v>0</v>
      </c>
    </row>
    <row r="2572" spans="1:19" x14ac:dyDescent="0.2">
      <c r="A2572" s="3" t="s">
        <v>54</v>
      </c>
      <c r="B2572" s="3" t="s">
        <v>55</v>
      </c>
      <c r="C2572">
        <v>16</v>
      </c>
      <c r="D2572">
        <v>14000</v>
      </c>
      <c r="E2572">
        <v>499</v>
      </c>
      <c r="F2572">
        <v>1</v>
      </c>
      <c r="G2572">
        <v>14000</v>
      </c>
      <c r="H2572">
        <v>1.864273E-2</v>
      </c>
      <c r="I2572">
        <v>13296</v>
      </c>
      <c r="J2572">
        <v>4089</v>
      </c>
      <c r="K2572">
        <v>9207</v>
      </c>
      <c r="L2572">
        <v>500</v>
      </c>
      <c r="M2572">
        <v>499</v>
      </c>
      <c r="N2572">
        <v>1</v>
      </c>
      <c r="O2572">
        <v>704</v>
      </c>
      <c r="P2572" s="3" t="s">
        <v>52</v>
      </c>
      <c r="Q2572">
        <v>50</v>
      </c>
      <c r="R2572">
        <v>0.999</v>
      </c>
      <c r="S2572">
        <v>1</v>
      </c>
    </row>
    <row r="2573" spans="1:19" x14ac:dyDescent="0.2">
      <c r="A2573" s="3" t="s">
        <v>54</v>
      </c>
      <c r="B2573" s="3" t="s">
        <v>55</v>
      </c>
      <c r="C2573">
        <v>33</v>
      </c>
      <c r="D2573">
        <v>14000</v>
      </c>
      <c r="E2573">
        <v>499</v>
      </c>
      <c r="F2573">
        <v>1</v>
      </c>
      <c r="G2573">
        <v>14000</v>
      </c>
      <c r="H2573">
        <v>1.8613899999999999E-2</v>
      </c>
      <c r="I2573">
        <v>13291</v>
      </c>
      <c r="J2573">
        <v>4076</v>
      </c>
      <c r="K2573">
        <v>9215</v>
      </c>
      <c r="L2573">
        <v>500</v>
      </c>
      <c r="M2573">
        <v>499</v>
      </c>
      <c r="N2573">
        <v>1</v>
      </c>
      <c r="O2573">
        <v>709</v>
      </c>
      <c r="P2573" s="3" t="s">
        <v>52</v>
      </c>
      <c r="Q2573">
        <v>50</v>
      </c>
      <c r="R2573">
        <v>0.999</v>
      </c>
      <c r="S2573">
        <v>1</v>
      </c>
    </row>
    <row r="2574" spans="1:19" x14ac:dyDescent="0.2">
      <c r="A2574" s="3" t="s">
        <v>54</v>
      </c>
      <c r="B2574" s="3" t="s">
        <v>55</v>
      </c>
      <c r="C2574">
        <v>48</v>
      </c>
      <c r="D2574">
        <v>14000</v>
      </c>
      <c r="E2574">
        <v>499</v>
      </c>
      <c r="F2574">
        <v>1</v>
      </c>
      <c r="G2574">
        <v>14000</v>
      </c>
      <c r="H2574">
        <v>1.8591956E-2</v>
      </c>
      <c r="I2574">
        <v>13286</v>
      </c>
      <c r="J2574">
        <v>4039</v>
      </c>
      <c r="K2574">
        <v>9247</v>
      </c>
      <c r="L2574">
        <v>500</v>
      </c>
      <c r="M2574">
        <v>499</v>
      </c>
      <c r="N2574">
        <v>1</v>
      </c>
      <c r="O2574">
        <v>714</v>
      </c>
      <c r="P2574" s="3" t="s">
        <v>52</v>
      </c>
      <c r="Q2574">
        <v>50</v>
      </c>
      <c r="R2574">
        <v>0.999</v>
      </c>
      <c r="S2574">
        <v>1</v>
      </c>
    </row>
    <row r="2575" spans="1:19" x14ac:dyDescent="0.2">
      <c r="A2575" s="3" t="s">
        <v>54</v>
      </c>
      <c r="B2575" s="3" t="s">
        <v>55</v>
      </c>
      <c r="C2575">
        <v>40</v>
      </c>
      <c r="D2575">
        <v>12000</v>
      </c>
      <c r="E2575">
        <v>499</v>
      </c>
      <c r="F2575">
        <v>1</v>
      </c>
      <c r="G2575">
        <v>12000</v>
      </c>
      <c r="H2575">
        <v>1.8434883999999999E-2</v>
      </c>
      <c r="I2575">
        <v>12000</v>
      </c>
      <c r="J2575">
        <v>3598</v>
      </c>
      <c r="K2575">
        <v>8402</v>
      </c>
      <c r="L2575">
        <v>500</v>
      </c>
      <c r="M2575">
        <v>499</v>
      </c>
      <c r="N2575">
        <v>1</v>
      </c>
      <c r="O2575">
        <v>0</v>
      </c>
      <c r="P2575" s="3" t="s">
        <v>52</v>
      </c>
      <c r="Q2575">
        <v>50</v>
      </c>
      <c r="R2575">
        <v>0.999</v>
      </c>
      <c r="S2575">
        <v>1</v>
      </c>
    </row>
    <row r="2576" spans="1:19" x14ac:dyDescent="0.2">
      <c r="A2576" s="3" t="s">
        <v>54</v>
      </c>
      <c r="B2576" s="3" t="s">
        <v>55</v>
      </c>
      <c r="C2576">
        <v>34</v>
      </c>
      <c r="D2576">
        <v>14000</v>
      </c>
      <c r="E2576">
        <v>499</v>
      </c>
      <c r="F2576">
        <v>1</v>
      </c>
      <c r="G2576">
        <v>14000</v>
      </c>
      <c r="H2576">
        <v>1.8380967000000002E-2</v>
      </c>
      <c r="I2576">
        <v>13291</v>
      </c>
      <c r="J2576">
        <v>4035</v>
      </c>
      <c r="K2576">
        <v>9256</v>
      </c>
      <c r="L2576">
        <v>500</v>
      </c>
      <c r="M2576">
        <v>499</v>
      </c>
      <c r="N2576">
        <v>1</v>
      </c>
      <c r="O2576">
        <v>709</v>
      </c>
      <c r="P2576" s="3" t="s">
        <v>52</v>
      </c>
      <c r="Q2576">
        <v>50</v>
      </c>
      <c r="R2576">
        <v>0.999</v>
      </c>
      <c r="S2576">
        <v>1</v>
      </c>
    </row>
    <row r="2577" spans="1:19" x14ac:dyDescent="0.2">
      <c r="A2577" s="3" t="s">
        <v>54</v>
      </c>
      <c r="B2577" s="3" t="s">
        <v>55</v>
      </c>
      <c r="C2577">
        <v>1</v>
      </c>
      <c r="D2577">
        <v>14000</v>
      </c>
      <c r="E2577">
        <v>499</v>
      </c>
      <c r="F2577">
        <v>1</v>
      </c>
      <c r="G2577">
        <v>14000</v>
      </c>
      <c r="H2577">
        <v>1.8311273999999999E-2</v>
      </c>
      <c r="I2577">
        <v>13288</v>
      </c>
      <c r="J2577">
        <v>4069</v>
      </c>
      <c r="K2577">
        <v>9219</v>
      </c>
      <c r="L2577">
        <v>500</v>
      </c>
      <c r="M2577">
        <v>499</v>
      </c>
      <c r="N2577">
        <v>1</v>
      </c>
      <c r="O2577">
        <v>712</v>
      </c>
      <c r="P2577" s="3" t="s">
        <v>52</v>
      </c>
      <c r="Q2577">
        <v>50</v>
      </c>
      <c r="R2577">
        <v>0.999</v>
      </c>
      <c r="S2577">
        <v>1</v>
      </c>
    </row>
    <row r="2578" spans="1:19" x14ac:dyDescent="0.2">
      <c r="A2578" s="3" t="s">
        <v>54</v>
      </c>
      <c r="B2578" s="3" t="s">
        <v>55</v>
      </c>
      <c r="C2578">
        <v>45</v>
      </c>
      <c r="D2578">
        <v>14000</v>
      </c>
      <c r="E2578">
        <v>499</v>
      </c>
      <c r="F2578">
        <v>1</v>
      </c>
      <c r="G2578">
        <v>14000</v>
      </c>
      <c r="H2578">
        <v>1.8263854999999999E-2</v>
      </c>
      <c r="I2578">
        <v>13272</v>
      </c>
      <c r="J2578">
        <v>4020</v>
      </c>
      <c r="K2578">
        <v>9252</v>
      </c>
      <c r="L2578">
        <v>500</v>
      </c>
      <c r="M2578">
        <v>499</v>
      </c>
      <c r="N2578">
        <v>1</v>
      </c>
      <c r="O2578">
        <v>728</v>
      </c>
      <c r="P2578" s="3" t="s">
        <v>52</v>
      </c>
      <c r="Q2578">
        <v>50</v>
      </c>
      <c r="R2578">
        <v>0.999</v>
      </c>
      <c r="S2578">
        <v>1</v>
      </c>
    </row>
    <row r="2579" spans="1:19" x14ac:dyDescent="0.2">
      <c r="A2579" s="3" t="s">
        <v>54</v>
      </c>
      <c r="B2579" s="3" t="s">
        <v>55</v>
      </c>
      <c r="C2579">
        <v>6</v>
      </c>
      <c r="D2579">
        <v>14000</v>
      </c>
      <c r="E2579">
        <v>499</v>
      </c>
      <c r="F2579">
        <v>1</v>
      </c>
      <c r="G2579">
        <v>14000</v>
      </c>
      <c r="H2579">
        <v>1.8121275999999999E-2</v>
      </c>
      <c r="I2579">
        <v>13276</v>
      </c>
      <c r="J2579">
        <v>4043</v>
      </c>
      <c r="K2579">
        <v>9233</v>
      </c>
      <c r="L2579">
        <v>500</v>
      </c>
      <c r="M2579">
        <v>499</v>
      </c>
      <c r="N2579">
        <v>1</v>
      </c>
      <c r="O2579">
        <v>724</v>
      </c>
      <c r="P2579" s="3" t="s">
        <v>52</v>
      </c>
      <c r="Q2579">
        <v>50</v>
      </c>
      <c r="R2579">
        <v>0.999</v>
      </c>
      <c r="S2579">
        <v>1</v>
      </c>
    </row>
    <row r="2580" spans="1:19" x14ac:dyDescent="0.2">
      <c r="A2580" s="3" t="s">
        <v>54</v>
      </c>
      <c r="B2580" s="3" t="s">
        <v>55</v>
      </c>
      <c r="C2580">
        <v>13</v>
      </c>
      <c r="D2580">
        <v>14000</v>
      </c>
      <c r="E2580">
        <v>499</v>
      </c>
      <c r="F2580">
        <v>1</v>
      </c>
      <c r="G2580">
        <v>14000</v>
      </c>
      <c r="H2580">
        <v>1.8111515000000002E-2</v>
      </c>
      <c r="I2580">
        <v>13288</v>
      </c>
      <c r="J2580">
        <v>4005</v>
      </c>
      <c r="K2580">
        <v>9283</v>
      </c>
      <c r="L2580">
        <v>500</v>
      </c>
      <c r="M2580">
        <v>499</v>
      </c>
      <c r="N2580">
        <v>1</v>
      </c>
      <c r="O2580">
        <v>712</v>
      </c>
      <c r="P2580" s="3" t="s">
        <v>52</v>
      </c>
      <c r="Q2580">
        <v>50</v>
      </c>
      <c r="R2580">
        <v>0.999</v>
      </c>
      <c r="S2580">
        <v>1</v>
      </c>
    </row>
    <row r="2581" spans="1:19" x14ac:dyDescent="0.2">
      <c r="A2581" s="3" t="s">
        <v>54</v>
      </c>
      <c r="B2581" s="3" t="s">
        <v>55</v>
      </c>
      <c r="C2581">
        <v>22</v>
      </c>
      <c r="D2581">
        <v>14000</v>
      </c>
      <c r="E2581">
        <v>499</v>
      </c>
      <c r="F2581">
        <v>1</v>
      </c>
      <c r="G2581">
        <v>14000</v>
      </c>
      <c r="H2581">
        <v>1.8061106E-2</v>
      </c>
      <c r="I2581">
        <v>13296</v>
      </c>
      <c r="J2581">
        <v>4076</v>
      </c>
      <c r="K2581">
        <v>9220</v>
      </c>
      <c r="L2581">
        <v>500</v>
      </c>
      <c r="M2581">
        <v>499</v>
      </c>
      <c r="N2581">
        <v>1</v>
      </c>
      <c r="O2581">
        <v>704</v>
      </c>
      <c r="P2581" s="3" t="s">
        <v>52</v>
      </c>
      <c r="Q2581">
        <v>50</v>
      </c>
      <c r="R2581">
        <v>0.999</v>
      </c>
      <c r="S2581">
        <v>1</v>
      </c>
    </row>
    <row r="2582" spans="1:19" x14ac:dyDescent="0.2">
      <c r="A2582" s="3" t="s">
        <v>54</v>
      </c>
      <c r="B2582" s="3" t="s">
        <v>55</v>
      </c>
      <c r="C2582">
        <v>18</v>
      </c>
      <c r="D2582">
        <v>14000</v>
      </c>
      <c r="E2582">
        <v>499</v>
      </c>
      <c r="F2582">
        <v>1</v>
      </c>
      <c r="G2582">
        <v>14000</v>
      </c>
      <c r="H2582">
        <v>1.7986370000000002E-2</v>
      </c>
      <c r="I2582">
        <v>13314</v>
      </c>
      <c r="J2582">
        <v>4032</v>
      </c>
      <c r="K2582">
        <v>9282</v>
      </c>
      <c r="L2582">
        <v>500</v>
      </c>
      <c r="M2582">
        <v>499</v>
      </c>
      <c r="N2582">
        <v>1</v>
      </c>
      <c r="O2582">
        <v>686</v>
      </c>
      <c r="P2582" s="3" t="s">
        <v>52</v>
      </c>
      <c r="Q2582">
        <v>50</v>
      </c>
      <c r="R2582">
        <v>0.999</v>
      </c>
      <c r="S2582">
        <v>1</v>
      </c>
    </row>
    <row r="2583" spans="1:19" x14ac:dyDescent="0.2">
      <c r="A2583" s="3" t="s">
        <v>54</v>
      </c>
      <c r="B2583" s="3" t="s">
        <v>55</v>
      </c>
      <c r="C2583">
        <v>34</v>
      </c>
      <c r="D2583">
        <v>10000</v>
      </c>
      <c r="E2583">
        <v>499</v>
      </c>
      <c r="F2583">
        <v>1</v>
      </c>
      <c r="G2583">
        <v>10000</v>
      </c>
      <c r="H2583">
        <v>1.7968193E-2</v>
      </c>
      <c r="I2583">
        <v>10000</v>
      </c>
      <c r="J2583">
        <v>3564</v>
      </c>
      <c r="K2583">
        <v>6436</v>
      </c>
      <c r="L2583">
        <v>500</v>
      </c>
      <c r="M2583">
        <v>499</v>
      </c>
      <c r="N2583">
        <v>1</v>
      </c>
      <c r="O2583">
        <v>0</v>
      </c>
      <c r="P2583" s="3" t="s">
        <v>50</v>
      </c>
      <c r="Q2583">
        <v>50</v>
      </c>
      <c r="R2583">
        <v>0.999</v>
      </c>
      <c r="S2583">
        <v>1</v>
      </c>
    </row>
    <row r="2584" spans="1:19" x14ac:dyDescent="0.2">
      <c r="A2584" s="3" t="s">
        <v>54</v>
      </c>
      <c r="B2584" s="3" t="s">
        <v>55</v>
      </c>
      <c r="C2584">
        <v>4</v>
      </c>
      <c r="D2584">
        <v>10000</v>
      </c>
      <c r="E2584">
        <v>499</v>
      </c>
      <c r="F2584">
        <v>1</v>
      </c>
      <c r="G2584">
        <v>39482.677260513999</v>
      </c>
      <c r="H2584">
        <v>1.7884163000000002E-2</v>
      </c>
      <c r="I2584">
        <v>10000</v>
      </c>
      <c r="J2584">
        <v>3523</v>
      </c>
      <c r="K2584">
        <v>6477</v>
      </c>
      <c r="L2584">
        <v>500</v>
      </c>
      <c r="M2584">
        <v>499</v>
      </c>
      <c r="N2584">
        <v>1</v>
      </c>
      <c r="O2584">
        <v>0</v>
      </c>
      <c r="P2584" s="3" t="s">
        <v>50</v>
      </c>
      <c r="Q2584">
        <v>50</v>
      </c>
      <c r="R2584">
        <v>0.999</v>
      </c>
      <c r="S2584">
        <v>0</v>
      </c>
    </row>
    <row r="2585" spans="1:19" x14ac:dyDescent="0.2">
      <c r="A2585" s="3" t="s">
        <v>54</v>
      </c>
      <c r="B2585" s="3" t="s">
        <v>55</v>
      </c>
      <c r="C2585">
        <v>27</v>
      </c>
      <c r="D2585">
        <v>13000</v>
      </c>
      <c r="E2585">
        <v>499</v>
      </c>
      <c r="F2585">
        <v>1</v>
      </c>
      <c r="G2585">
        <v>13000</v>
      </c>
      <c r="H2585">
        <v>1.7883632E-2</v>
      </c>
      <c r="I2585">
        <v>12714</v>
      </c>
      <c r="J2585">
        <v>3846</v>
      </c>
      <c r="K2585">
        <v>8868</v>
      </c>
      <c r="L2585">
        <v>500</v>
      </c>
      <c r="M2585">
        <v>499</v>
      </c>
      <c r="N2585">
        <v>1</v>
      </c>
      <c r="O2585">
        <v>286</v>
      </c>
      <c r="P2585" s="3" t="s">
        <v>50</v>
      </c>
      <c r="Q2585">
        <v>50</v>
      </c>
      <c r="R2585">
        <v>0.999</v>
      </c>
      <c r="S2585">
        <v>1</v>
      </c>
    </row>
    <row r="2586" spans="1:19" x14ac:dyDescent="0.2">
      <c r="A2586" s="3" t="s">
        <v>54</v>
      </c>
      <c r="B2586" s="3" t="s">
        <v>55</v>
      </c>
      <c r="C2586">
        <v>26</v>
      </c>
      <c r="D2586">
        <v>13000</v>
      </c>
      <c r="E2586">
        <v>499</v>
      </c>
      <c r="F2586">
        <v>1</v>
      </c>
      <c r="G2586">
        <v>13000</v>
      </c>
      <c r="H2586">
        <v>1.7876876E-2</v>
      </c>
      <c r="I2586">
        <v>12712</v>
      </c>
      <c r="J2586">
        <v>3825</v>
      </c>
      <c r="K2586">
        <v>8887</v>
      </c>
      <c r="L2586">
        <v>500</v>
      </c>
      <c r="M2586">
        <v>499</v>
      </c>
      <c r="N2586">
        <v>1</v>
      </c>
      <c r="O2586">
        <v>288</v>
      </c>
      <c r="P2586" s="3" t="s">
        <v>50</v>
      </c>
      <c r="Q2586">
        <v>50</v>
      </c>
      <c r="R2586">
        <v>0.999</v>
      </c>
      <c r="S2586">
        <v>1</v>
      </c>
    </row>
    <row r="2587" spans="1:19" x14ac:dyDescent="0.2">
      <c r="A2587" s="3" t="s">
        <v>54</v>
      </c>
      <c r="B2587" s="3" t="s">
        <v>55</v>
      </c>
      <c r="C2587">
        <v>44</v>
      </c>
      <c r="D2587">
        <v>13000</v>
      </c>
      <c r="E2587">
        <v>499</v>
      </c>
      <c r="F2587">
        <v>1</v>
      </c>
      <c r="G2587">
        <v>13000</v>
      </c>
      <c r="H2587">
        <v>1.7867085000000001E-2</v>
      </c>
      <c r="I2587">
        <v>12698</v>
      </c>
      <c r="J2587">
        <v>3789</v>
      </c>
      <c r="K2587">
        <v>8909</v>
      </c>
      <c r="L2587">
        <v>500</v>
      </c>
      <c r="M2587">
        <v>499</v>
      </c>
      <c r="N2587">
        <v>1</v>
      </c>
      <c r="O2587">
        <v>302</v>
      </c>
      <c r="P2587" s="3" t="s">
        <v>50</v>
      </c>
      <c r="Q2587">
        <v>50</v>
      </c>
      <c r="R2587">
        <v>0.999</v>
      </c>
      <c r="S2587">
        <v>1</v>
      </c>
    </row>
    <row r="2588" spans="1:19" x14ac:dyDescent="0.2">
      <c r="A2588" s="3" t="s">
        <v>54</v>
      </c>
      <c r="B2588" s="3" t="s">
        <v>55</v>
      </c>
      <c r="C2588">
        <v>42</v>
      </c>
      <c r="D2588">
        <v>14000</v>
      </c>
      <c r="E2588">
        <v>499</v>
      </c>
      <c r="F2588">
        <v>1</v>
      </c>
      <c r="G2588">
        <v>14000</v>
      </c>
      <c r="H2588">
        <v>1.7824003000000001E-2</v>
      </c>
      <c r="I2588">
        <v>13295</v>
      </c>
      <c r="J2588">
        <v>4031</v>
      </c>
      <c r="K2588">
        <v>9264</v>
      </c>
      <c r="L2588">
        <v>500</v>
      </c>
      <c r="M2588">
        <v>499</v>
      </c>
      <c r="N2588">
        <v>1</v>
      </c>
      <c r="O2588">
        <v>705</v>
      </c>
      <c r="P2588" s="3" t="s">
        <v>52</v>
      </c>
      <c r="Q2588">
        <v>50</v>
      </c>
      <c r="R2588">
        <v>0.999</v>
      </c>
      <c r="S2588">
        <v>1</v>
      </c>
    </row>
    <row r="2589" spans="1:19" x14ac:dyDescent="0.2">
      <c r="A2589" s="3" t="s">
        <v>54</v>
      </c>
      <c r="B2589" s="3" t="s">
        <v>55</v>
      </c>
      <c r="C2589">
        <v>26</v>
      </c>
      <c r="D2589">
        <v>14000</v>
      </c>
      <c r="E2589">
        <v>499</v>
      </c>
      <c r="F2589">
        <v>1</v>
      </c>
      <c r="G2589">
        <v>14000</v>
      </c>
      <c r="H2589">
        <v>1.7817869E-2</v>
      </c>
      <c r="I2589">
        <v>13295</v>
      </c>
      <c r="J2589">
        <v>4051</v>
      </c>
      <c r="K2589">
        <v>9244</v>
      </c>
      <c r="L2589">
        <v>500</v>
      </c>
      <c r="M2589">
        <v>499</v>
      </c>
      <c r="N2589">
        <v>1</v>
      </c>
      <c r="O2589">
        <v>705</v>
      </c>
      <c r="P2589" s="3" t="s">
        <v>52</v>
      </c>
      <c r="Q2589">
        <v>50</v>
      </c>
      <c r="R2589">
        <v>0.999</v>
      </c>
      <c r="S2589">
        <v>1</v>
      </c>
    </row>
    <row r="2590" spans="1:19" x14ac:dyDescent="0.2">
      <c r="A2590" s="3" t="s">
        <v>54</v>
      </c>
      <c r="B2590" s="3" t="s">
        <v>55</v>
      </c>
      <c r="C2590">
        <v>49</v>
      </c>
      <c r="D2590">
        <v>14000</v>
      </c>
      <c r="E2590">
        <v>499</v>
      </c>
      <c r="F2590">
        <v>1</v>
      </c>
      <c r="G2590">
        <v>14000</v>
      </c>
      <c r="H2590">
        <v>1.7797236000000001E-2</v>
      </c>
      <c r="I2590">
        <v>13281</v>
      </c>
      <c r="J2590">
        <v>4015</v>
      </c>
      <c r="K2590">
        <v>9266</v>
      </c>
      <c r="L2590">
        <v>500</v>
      </c>
      <c r="M2590">
        <v>499</v>
      </c>
      <c r="N2590">
        <v>1</v>
      </c>
      <c r="O2590">
        <v>719</v>
      </c>
      <c r="P2590" s="3" t="s">
        <v>52</v>
      </c>
      <c r="Q2590">
        <v>50</v>
      </c>
      <c r="R2590">
        <v>0.999</v>
      </c>
      <c r="S2590">
        <v>1</v>
      </c>
    </row>
    <row r="2591" spans="1:19" x14ac:dyDescent="0.2">
      <c r="A2591" s="3" t="s">
        <v>54</v>
      </c>
      <c r="B2591" s="3" t="s">
        <v>55</v>
      </c>
      <c r="C2591">
        <v>32</v>
      </c>
      <c r="D2591">
        <v>11000</v>
      </c>
      <c r="E2591">
        <v>499</v>
      </c>
      <c r="F2591">
        <v>1</v>
      </c>
      <c r="G2591">
        <v>11000</v>
      </c>
      <c r="H2591">
        <v>1.7794631000000002E-2</v>
      </c>
      <c r="I2591">
        <v>11000</v>
      </c>
      <c r="J2591">
        <v>3704</v>
      </c>
      <c r="K2591">
        <v>7296</v>
      </c>
      <c r="L2591">
        <v>500</v>
      </c>
      <c r="M2591">
        <v>499</v>
      </c>
      <c r="N2591">
        <v>1</v>
      </c>
      <c r="O2591">
        <v>0</v>
      </c>
      <c r="P2591" s="3" t="s">
        <v>50</v>
      </c>
      <c r="Q2591">
        <v>50</v>
      </c>
      <c r="R2591">
        <v>0.999</v>
      </c>
      <c r="S2591">
        <v>1</v>
      </c>
    </row>
    <row r="2592" spans="1:19" x14ac:dyDescent="0.2">
      <c r="A2592" s="3" t="s">
        <v>54</v>
      </c>
      <c r="B2592" s="3" t="s">
        <v>55</v>
      </c>
      <c r="C2592">
        <v>32</v>
      </c>
      <c r="D2592">
        <v>13000</v>
      </c>
      <c r="E2592">
        <v>499</v>
      </c>
      <c r="F2592">
        <v>1</v>
      </c>
      <c r="G2592">
        <v>13000</v>
      </c>
      <c r="H2592">
        <v>1.7782466E-2</v>
      </c>
      <c r="I2592">
        <v>12686</v>
      </c>
      <c r="J2592">
        <v>3810</v>
      </c>
      <c r="K2592">
        <v>8876</v>
      </c>
      <c r="L2592">
        <v>500</v>
      </c>
      <c r="M2592">
        <v>499</v>
      </c>
      <c r="N2592">
        <v>1</v>
      </c>
      <c r="O2592">
        <v>314</v>
      </c>
      <c r="P2592" s="3" t="s">
        <v>50</v>
      </c>
      <c r="Q2592">
        <v>50</v>
      </c>
      <c r="R2592">
        <v>0.999</v>
      </c>
      <c r="S2592">
        <v>1</v>
      </c>
    </row>
    <row r="2593" spans="1:19" x14ac:dyDescent="0.2">
      <c r="A2593" s="3" t="s">
        <v>54</v>
      </c>
      <c r="B2593" s="3" t="s">
        <v>55</v>
      </c>
      <c r="C2593">
        <v>28</v>
      </c>
      <c r="D2593">
        <v>10000</v>
      </c>
      <c r="E2593">
        <v>499</v>
      </c>
      <c r="F2593">
        <v>1</v>
      </c>
      <c r="G2593">
        <v>10000</v>
      </c>
      <c r="H2593">
        <v>1.7778720000000001E-2</v>
      </c>
      <c r="I2593">
        <v>10000</v>
      </c>
      <c r="J2593">
        <v>3580</v>
      </c>
      <c r="K2593">
        <v>6420</v>
      </c>
      <c r="L2593">
        <v>500</v>
      </c>
      <c r="M2593">
        <v>499</v>
      </c>
      <c r="N2593">
        <v>1</v>
      </c>
      <c r="O2593">
        <v>0</v>
      </c>
      <c r="P2593" s="3" t="s">
        <v>50</v>
      </c>
      <c r="Q2593">
        <v>50</v>
      </c>
      <c r="R2593">
        <v>0.999</v>
      </c>
      <c r="S2593">
        <v>1</v>
      </c>
    </row>
    <row r="2594" spans="1:19" x14ac:dyDescent="0.2">
      <c r="A2594" s="3" t="s">
        <v>54</v>
      </c>
      <c r="B2594" s="3" t="s">
        <v>55</v>
      </c>
      <c r="C2594">
        <v>18</v>
      </c>
      <c r="D2594">
        <v>13000</v>
      </c>
      <c r="E2594">
        <v>499</v>
      </c>
      <c r="F2594">
        <v>1</v>
      </c>
      <c r="G2594">
        <v>13000</v>
      </c>
      <c r="H2594">
        <v>1.7776693E-2</v>
      </c>
      <c r="I2594">
        <v>12705</v>
      </c>
      <c r="J2594">
        <v>3794</v>
      </c>
      <c r="K2594">
        <v>8911</v>
      </c>
      <c r="L2594">
        <v>500</v>
      </c>
      <c r="M2594">
        <v>499</v>
      </c>
      <c r="N2594">
        <v>1</v>
      </c>
      <c r="O2594">
        <v>295</v>
      </c>
      <c r="P2594" s="3" t="s">
        <v>50</v>
      </c>
      <c r="Q2594">
        <v>50</v>
      </c>
      <c r="R2594">
        <v>0.999</v>
      </c>
      <c r="S2594">
        <v>1</v>
      </c>
    </row>
    <row r="2595" spans="1:19" x14ac:dyDescent="0.2">
      <c r="A2595" s="3" t="s">
        <v>54</v>
      </c>
      <c r="B2595" s="3" t="s">
        <v>55</v>
      </c>
      <c r="C2595">
        <v>19</v>
      </c>
      <c r="D2595">
        <v>14000</v>
      </c>
      <c r="E2595">
        <v>499</v>
      </c>
      <c r="F2595">
        <v>1</v>
      </c>
      <c r="G2595">
        <v>14000</v>
      </c>
      <c r="H2595">
        <v>1.7764822E-2</v>
      </c>
      <c r="I2595">
        <v>13264</v>
      </c>
      <c r="J2595">
        <v>4008</v>
      </c>
      <c r="K2595">
        <v>9256</v>
      </c>
      <c r="L2595">
        <v>500</v>
      </c>
      <c r="M2595">
        <v>499</v>
      </c>
      <c r="N2595">
        <v>1</v>
      </c>
      <c r="O2595">
        <v>736</v>
      </c>
      <c r="P2595" s="3" t="s">
        <v>52</v>
      </c>
      <c r="Q2595">
        <v>50</v>
      </c>
      <c r="R2595">
        <v>0.999</v>
      </c>
      <c r="S2595">
        <v>1</v>
      </c>
    </row>
    <row r="2596" spans="1:19" x14ac:dyDescent="0.2">
      <c r="A2596" s="3" t="s">
        <v>54</v>
      </c>
      <c r="B2596" s="3" t="s">
        <v>55</v>
      </c>
      <c r="C2596">
        <v>7</v>
      </c>
      <c r="D2596">
        <v>14000</v>
      </c>
      <c r="E2596">
        <v>499</v>
      </c>
      <c r="F2596">
        <v>1</v>
      </c>
      <c r="G2596">
        <v>14000</v>
      </c>
      <c r="H2596">
        <v>1.7737222E-2</v>
      </c>
      <c r="I2596">
        <v>13309</v>
      </c>
      <c r="J2596">
        <v>4033</v>
      </c>
      <c r="K2596">
        <v>9276</v>
      </c>
      <c r="L2596">
        <v>500</v>
      </c>
      <c r="M2596">
        <v>499</v>
      </c>
      <c r="N2596">
        <v>1</v>
      </c>
      <c r="O2596">
        <v>691</v>
      </c>
      <c r="P2596" s="3" t="s">
        <v>52</v>
      </c>
      <c r="Q2596">
        <v>50</v>
      </c>
      <c r="R2596">
        <v>0.999</v>
      </c>
      <c r="S2596">
        <v>1</v>
      </c>
    </row>
    <row r="2597" spans="1:19" x14ac:dyDescent="0.2">
      <c r="A2597" s="3" t="s">
        <v>54</v>
      </c>
      <c r="B2597" s="3" t="s">
        <v>55</v>
      </c>
      <c r="C2597">
        <v>25</v>
      </c>
      <c r="D2597">
        <v>14000</v>
      </c>
      <c r="E2597">
        <v>499</v>
      </c>
      <c r="F2597">
        <v>1</v>
      </c>
      <c r="G2597">
        <v>14000</v>
      </c>
      <c r="H2597">
        <v>1.7728521000000001E-2</v>
      </c>
      <c r="I2597">
        <v>13311</v>
      </c>
      <c r="J2597">
        <v>4046</v>
      </c>
      <c r="K2597">
        <v>9265</v>
      </c>
      <c r="L2597">
        <v>500</v>
      </c>
      <c r="M2597">
        <v>499</v>
      </c>
      <c r="N2597">
        <v>1</v>
      </c>
      <c r="O2597">
        <v>689</v>
      </c>
      <c r="P2597" s="3" t="s">
        <v>52</v>
      </c>
      <c r="Q2597">
        <v>50</v>
      </c>
      <c r="R2597">
        <v>0.999</v>
      </c>
      <c r="S2597">
        <v>1</v>
      </c>
    </row>
    <row r="2598" spans="1:19" x14ac:dyDescent="0.2">
      <c r="A2598" s="3" t="s">
        <v>54</v>
      </c>
      <c r="B2598" s="3" t="s">
        <v>55</v>
      </c>
      <c r="C2598">
        <v>12</v>
      </c>
      <c r="D2598">
        <v>14000</v>
      </c>
      <c r="E2598">
        <v>499</v>
      </c>
      <c r="F2598">
        <v>1</v>
      </c>
      <c r="G2598">
        <v>14000</v>
      </c>
      <c r="H2598">
        <v>1.7709684E-2</v>
      </c>
      <c r="I2598">
        <v>13291</v>
      </c>
      <c r="J2598">
        <v>4031</v>
      </c>
      <c r="K2598">
        <v>9260</v>
      </c>
      <c r="L2598">
        <v>500</v>
      </c>
      <c r="M2598">
        <v>499</v>
      </c>
      <c r="N2598">
        <v>1</v>
      </c>
      <c r="O2598">
        <v>709</v>
      </c>
      <c r="P2598" s="3" t="s">
        <v>52</v>
      </c>
      <c r="Q2598">
        <v>50</v>
      </c>
      <c r="R2598">
        <v>0.999</v>
      </c>
      <c r="S2598">
        <v>1</v>
      </c>
    </row>
    <row r="2599" spans="1:19" x14ac:dyDescent="0.2">
      <c r="A2599" s="3" t="s">
        <v>54</v>
      </c>
      <c r="B2599" s="3" t="s">
        <v>55</v>
      </c>
      <c r="C2599">
        <v>27</v>
      </c>
      <c r="D2599">
        <v>14000</v>
      </c>
      <c r="E2599">
        <v>499</v>
      </c>
      <c r="F2599">
        <v>1</v>
      </c>
      <c r="G2599">
        <v>14000</v>
      </c>
      <c r="H2599">
        <v>1.7695339000000001E-2</v>
      </c>
      <c r="I2599">
        <v>13287</v>
      </c>
      <c r="J2599">
        <v>4035</v>
      </c>
      <c r="K2599">
        <v>9252</v>
      </c>
      <c r="L2599">
        <v>500</v>
      </c>
      <c r="M2599">
        <v>499</v>
      </c>
      <c r="N2599">
        <v>1</v>
      </c>
      <c r="O2599">
        <v>713</v>
      </c>
      <c r="P2599" s="3" t="s">
        <v>52</v>
      </c>
      <c r="Q2599">
        <v>50</v>
      </c>
      <c r="R2599">
        <v>0.999</v>
      </c>
      <c r="S2599">
        <v>1</v>
      </c>
    </row>
    <row r="2600" spans="1:19" x14ac:dyDescent="0.2">
      <c r="A2600" s="3" t="s">
        <v>54</v>
      </c>
      <c r="B2600" s="3" t="s">
        <v>55</v>
      </c>
      <c r="C2600">
        <v>15</v>
      </c>
      <c r="D2600">
        <v>14000</v>
      </c>
      <c r="E2600">
        <v>499</v>
      </c>
      <c r="F2600">
        <v>1</v>
      </c>
      <c r="G2600">
        <v>14000</v>
      </c>
      <c r="H2600">
        <v>1.7673557999999999E-2</v>
      </c>
      <c r="I2600">
        <v>13284</v>
      </c>
      <c r="J2600">
        <v>4042</v>
      </c>
      <c r="K2600">
        <v>9242</v>
      </c>
      <c r="L2600">
        <v>500</v>
      </c>
      <c r="M2600">
        <v>499</v>
      </c>
      <c r="N2600">
        <v>1</v>
      </c>
      <c r="O2600">
        <v>716</v>
      </c>
      <c r="P2600" s="3" t="s">
        <v>52</v>
      </c>
      <c r="Q2600">
        <v>50</v>
      </c>
      <c r="R2600">
        <v>0.999</v>
      </c>
      <c r="S2600">
        <v>1</v>
      </c>
    </row>
    <row r="2601" spans="1:19" x14ac:dyDescent="0.2">
      <c r="A2601" s="3" t="s">
        <v>54</v>
      </c>
      <c r="B2601" s="3" t="s">
        <v>55</v>
      </c>
      <c r="C2601">
        <v>41</v>
      </c>
      <c r="D2601">
        <v>14000</v>
      </c>
      <c r="E2601">
        <v>499</v>
      </c>
      <c r="F2601">
        <v>1</v>
      </c>
      <c r="G2601">
        <v>14000</v>
      </c>
      <c r="H2601">
        <v>1.7668995E-2</v>
      </c>
      <c r="I2601">
        <v>13290</v>
      </c>
      <c r="J2601">
        <v>4071</v>
      </c>
      <c r="K2601">
        <v>9219</v>
      </c>
      <c r="L2601">
        <v>500</v>
      </c>
      <c r="M2601">
        <v>499</v>
      </c>
      <c r="N2601">
        <v>1</v>
      </c>
      <c r="O2601">
        <v>710</v>
      </c>
      <c r="P2601" s="3" t="s">
        <v>52</v>
      </c>
      <c r="Q2601">
        <v>50</v>
      </c>
      <c r="R2601">
        <v>0.999</v>
      </c>
      <c r="S2601">
        <v>1</v>
      </c>
    </row>
    <row r="2602" spans="1:19" x14ac:dyDescent="0.2">
      <c r="A2602" s="3" t="s">
        <v>54</v>
      </c>
      <c r="B2602" s="3" t="s">
        <v>55</v>
      </c>
      <c r="C2602">
        <v>26</v>
      </c>
      <c r="D2602">
        <v>12000</v>
      </c>
      <c r="E2602">
        <v>499</v>
      </c>
      <c r="F2602">
        <v>1</v>
      </c>
      <c r="G2602">
        <v>12000</v>
      </c>
      <c r="H2602">
        <v>1.7655555E-2</v>
      </c>
      <c r="I2602">
        <v>12000</v>
      </c>
      <c r="J2602">
        <v>3657</v>
      </c>
      <c r="K2602">
        <v>8343</v>
      </c>
      <c r="L2602">
        <v>500</v>
      </c>
      <c r="M2602">
        <v>499</v>
      </c>
      <c r="N2602">
        <v>1</v>
      </c>
      <c r="O2602">
        <v>0</v>
      </c>
      <c r="P2602" s="3" t="s">
        <v>50</v>
      </c>
      <c r="Q2602">
        <v>50</v>
      </c>
      <c r="R2602">
        <v>0.999</v>
      </c>
      <c r="S2602">
        <v>1</v>
      </c>
    </row>
    <row r="2603" spans="1:19" x14ac:dyDescent="0.2">
      <c r="A2603" s="3" t="s">
        <v>54</v>
      </c>
      <c r="B2603" s="3" t="s">
        <v>55</v>
      </c>
      <c r="C2603">
        <v>9</v>
      </c>
      <c r="D2603">
        <v>14000</v>
      </c>
      <c r="E2603">
        <v>499</v>
      </c>
      <c r="F2603">
        <v>1</v>
      </c>
      <c r="G2603">
        <v>14000</v>
      </c>
      <c r="H2603">
        <v>1.7651375E-2</v>
      </c>
      <c r="I2603">
        <v>13286</v>
      </c>
      <c r="J2603">
        <v>4011</v>
      </c>
      <c r="K2603">
        <v>9275</v>
      </c>
      <c r="L2603">
        <v>500</v>
      </c>
      <c r="M2603">
        <v>499</v>
      </c>
      <c r="N2603">
        <v>1</v>
      </c>
      <c r="O2603">
        <v>714</v>
      </c>
      <c r="P2603" s="3" t="s">
        <v>52</v>
      </c>
      <c r="Q2603">
        <v>50</v>
      </c>
      <c r="R2603">
        <v>0.999</v>
      </c>
      <c r="S2603">
        <v>1</v>
      </c>
    </row>
    <row r="2604" spans="1:19" x14ac:dyDescent="0.2">
      <c r="A2604" s="3" t="s">
        <v>54</v>
      </c>
      <c r="B2604" s="3" t="s">
        <v>55</v>
      </c>
      <c r="C2604">
        <v>40</v>
      </c>
      <c r="D2604">
        <v>14000</v>
      </c>
      <c r="E2604">
        <v>499</v>
      </c>
      <c r="F2604">
        <v>1</v>
      </c>
      <c r="G2604">
        <v>14000</v>
      </c>
      <c r="H2604">
        <v>1.7650989999999998E-2</v>
      </c>
      <c r="I2604">
        <v>13288</v>
      </c>
      <c r="J2604">
        <v>4041</v>
      </c>
      <c r="K2604">
        <v>9247</v>
      </c>
      <c r="L2604">
        <v>500</v>
      </c>
      <c r="M2604">
        <v>499</v>
      </c>
      <c r="N2604">
        <v>1</v>
      </c>
      <c r="O2604">
        <v>712</v>
      </c>
      <c r="P2604" s="3" t="s">
        <v>52</v>
      </c>
      <c r="Q2604">
        <v>50</v>
      </c>
      <c r="R2604">
        <v>0.999</v>
      </c>
      <c r="S2604">
        <v>1</v>
      </c>
    </row>
    <row r="2605" spans="1:19" x14ac:dyDescent="0.2">
      <c r="A2605" s="3" t="s">
        <v>54</v>
      </c>
      <c r="B2605" s="3" t="s">
        <v>55</v>
      </c>
      <c r="C2605">
        <v>46</v>
      </c>
      <c r="D2605">
        <v>14000</v>
      </c>
      <c r="E2605">
        <v>499</v>
      </c>
      <c r="F2605">
        <v>1</v>
      </c>
      <c r="G2605">
        <v>14000</v>
      </c>
      <c r="H2605">
        <v>1.7640880000000001E-2</v>
      </c>
      <c r="I2605">
        <v>13307</v>
      </c>
      <c r="J2605">
        <v>4067</v>
      </c>
      <c r="K2605">
        <v>9240</v>
      </c>
      <c r="L2605">
        <v>500</v>
      </c>
      <c r="M2605">
        <v>499</v>
      </c>
      <c r="N2605">
        <v>1</v>
      </c>
      <c r="O2605">
        <v>693</v>
      </c>
      <c r="P2605" s="3" t="s">
        <v>52</v>
      </c>
      <c r="Q2605">
        <v>50</v>
      </c>
      <c r="R2605">
        <v>0.999</v>
      </c>
      <c r="S2605">
        <v>1</v>
      </c>
    </row>
    <row r="2606" spans="1:19" x14ac:dyDescent="0.2">
      <c r="A2606" s="3" t="s">
        <v>54</v>
      </c>
      <c r="B2606" s="3" t="s">
        <v>55</v>
      </c>
      <c r="C2606">
        <v>4</v>
      </c>
      <c r="D2606">
        <v>14000</v>
      </c>
      <c r="E2606">
        <v>499</v>
      </c>
      <c r="F2606">
        <v>1</v>
      </c>
      <c r="G2606">
        <v>14000</v>
      </c>
      <c r="H2606">
        <v>1.7627461000000001E-2</v>
      </c>
      <c r="I2606">
        <v>13287</v>
      </c>
      <c r="J2606">
        <v>4039</v>
      </c>
      <c r="K2606">
        <v>9248</v>
      </c>
      <c r="L2606">
        <v>500</v>
      </c>
      <c r="M2606">
        <v>499</v>
      </c>
      <c r="N2606">
        <v>1</v>
      </c>
      <c r="O2606">
        <v>713</v>
      </c>
      <c r="P2606" s="3" t="s">
        <v>52</v>
      </c>
      <c r="Q2606">
        <v>50</v>
      </c>
      <c r="R2606">
        <v>0.999</v>
      </c>
      <c r="S2606">
        <v>1</v>
      </c>
    </row>
    <row r="2607" spans="1:19" x14ac:dyDescent="0.2">
      <c r="A2607" s="3" t="s">
        <v>54</v>
      </c>
      <c r="B2607" s="3" t="s">
        <v>55</v>
      </c>
      <c r="C2607">
        <v>47</v>
      </c>
      <c r="D2607">
        <v>14000</v>
      </c>
      <c r="E2607">
        <v>499</v>
      </c>
      <c r="F2607">
        <v>1</v>
      </c>
      <c r="G2607">
        <v>14000</v>
      </c>
      <c r="H2607">
        <v>1.7596494000000001E-2</v>
      </c>
      <c r="I2607">
        <v>13304</v>
      </c>
      <c r="J2607">
        <v>4051</v>
      </c>
      <c r="K2607">
        <v>9253</v>
      </c>
      <c r="L2607">
        <v>500</v>
      </c>
      <c r="M2607">
        <v>499</v>
      </c>
      <c r="N2607">
        <v>1</v>
      </c>
      <c r="O2607">
        <v>696</v>
      </c>
      <c r="P2607" s="3" t="s">
        <v>52</v>
      </c>
      <c r="Q2607">
        <v>50</v>
      </c>
      <c r="R2607">
        <v>0.999</v>
      </c>
      <c r="S2607">
        <v>1</v>
      </c>
    </row>
    <row r="2608" spans="1:19" x14ac:dyDescent="0.2">
      <c r="A2608" s="3" t="s">
        <v>54</v>
      </c>
      <c r="B2608" s="3" t="s">
        <v>55</v>
      </c>
      <c r="C2608">
        <v>48</v>
      </c>
      <c r="D2608">
        <v>13000</v>
      </c>
      <c r="E2608">
        <v>499</v>
      </c>
      <c r="F2608">
        <v>1</v>
      </c>
      <c r="G2608">
        <v>13000</v>
      </c>
      <c r="H2608">
        <v>1.7588181000000001E-2</v>
      </c>
      <c r="I2608">
        <v>12694</v>
      </c>
      <c r="J2608">
        <v>3751</v>
      </c>
      <c r="K2608">
        <v>8943</v>
      </c>
      <c r="L2608">
        <v>500</v>
      </c>
      <c r="M2608">
        <v>499</v>
      </c>
      <c r="N2608">
        <v>1</v>
      </c>
      <c r="O2608">
        <v>306</v>
      </c>
      <c r="P2608" s="3" t="s">
        <v>52</v>
      </c>
      <c r="Q2608">
        <v>50</v>
      </c>
      <c r="R2608">
        <v>0.999</v>
      </c>
      <c r="S2608">
        <v>1</v>
      </c>
    </row>
    <row r="2609" spans="1:19" x14ac:dyDescent="0.2">
      <c r="A2609" s="3" t="s">
        <v>54</v>
      </c>
      <c r="B2609" s="3" t="s">
        <v>55</v>
      </c>
      <c r="C2609">
        <v>43</v>
      </c>
      <c r="D2609">
        <v>14000</v>
      </c>
      <c r="E2609">
        <v>499</v>
      </c>
      <c r="F2609">
        <v>1</v>
      </c>
      <c r="G2609">
        <v>14000</v>
      </c>
      <c r="H2609">
        <v>1.7585623000000002E-2</v>
      </c>
      <c r="I2609">
        <v>13300</v>
      </c>
      <c r="J2609">
        <v>4016</v>
      </c>
      <c r="K2609">
        <v>9284</v>
      </c>
      <c r="L2609">
        <v>500</v>
      </c>
      <c r="M2609">
        <v>499</v>
      </c>
      <c r="N2609">
        <v>1</v>
      </c>
      <c r="O2609">
        <v>700</v>
      </c>
      <c r="P2609" s="3" t="s">
        <v>52</v>
      </c>
      <c r="Q2609">
        <v>50</v>
      </c>
      <c r="R2609">
        <v>0.999</v>
      </c>
      <c r="S2609">
        <v>1</v>
      </c>
    </row>
    <row r="2610" spans="1:19" x14ac:dyDescent="0.2">
      <c r="A2610" s="3" t="s">
        <v>54</v>
      </c>
      <c r="B2610" s="3" t="s">
        <v>55</v>
      </c>
      <c r="C2610">
        <v>13</v>
      </c>
      <c r="D2610">
        <v>13000</v>
      </c>
      <c r="E2610">
        <v>499</v>
      </c>
      <c r="F2610">
        <v>1</v>
      </c>
      <c r="G2610">
        <v>13000</v>
      </c>
      <c r="H2610">
        <v>1.7576511999999999E-2</v>
      </c>
      <c r="I2610">
        <v>12718</v>
      </c>
      <c r="J2610">
        <v>3829</v>
      </c>
      <c r="K2610">
        <v>8889</v>
      </c>
      <c r="L2610">
        <v>500</v>
      </c>
      <c r="M2610">
        <v>499</v>
      </c>
      <c r="N2610">
        <v>1</v>
      </c>
      <c r="O2610">
        <v>282</v>
      </c>
      <c r="P2610" s="3" t="s">
        <v>50</v>
      </c>
      <c r="Q2610">
        <v>50</v>
      </c>
      <c r="R2610">
        <v>0.999</v>
      </c>
      <c r="S2610">
        <v>1</v>
      </c>
    </row>
    <row r="2611" spans="1:19" x14ac:dyDescent="0.2">
      <c r="A2611" s="3" t="s">
        <v>54</v>
      </c>
      <c r="B2611" s="3" t="s">
        <v>55</v>
      </c>
      <c r="C2611">
        <v>17</v>
      </c>
      <c r="D2611">
        <v>14000</v>
      </c>
      <c r="E2611">
        <v>499</v>
      </c>
      <c r="F2611">
        <v>1</v>
      </c>
      <c r="G2611">
        <v>14000</v>
      </c>
      <c r="H2611">
        <v>1.7575503999999999E-2</v>
      </c>
      <c r="I2611">
        <v>13283</v>
      </c>
      <c r="J2611">
        <v>4028</v>
      </c>
      <c r="K2611">
        <v>9255</v>
      </c>
      <c r="L2611">
        <v>500</v>
      </c>
      <c r="M2611">
        <v>499</v>
      </c>
      <c r="N2611">
        <v>1</v>
      </c>
      <c r="O2611">
        <v>717</v>
      </c>
      <c r="P2611" s="3" t="s">
        <v>52</v>
      </c>
      <c r="Q2611">
        <v>50</v>
      </c>
      <c r="R2611">
        <v>0.999</v>
      </c>
      <c r="S2611">
        <v>1</v>
      </c>
    </row>
    <row r="2612" spans="1:19" x14ac:dyDescent="0.2">
      <c r="A2612" s="3" t="s">
        <v>54</v>
      </c>
      <c r="B2612" s="3" t="s">
        <v>55</v>
      </c>
      <c r="C2612">
        <v>5</v>
      </c>
      <c r="D2612">
        <v>14000</v>
      </c>
      <c r="E2612">
        <v>499</v>
      </c>
      <c r="F2612">
        <v>1</v>
      </c>
      <c r="G2612">
        <v>14000</v>
      </c>
      <c r="H2612">
        <v>1.7543045E-2</v>
      </c>
      <c r="I2612">
        <v>13283</v>
      </c>
      <c r="J2612">
        <v>4042</v>
      </c>
      <c r="K2612">
        <v>9241</v>
      </c>
      <c r="L2612">
        <v>500</v>
      </c>
      <c r="M2612">
        <v>499</v>
      </c>
      <c r="N2612">
        <v>1</v>
      </c>
      <c r="O2612">
        <v>717</v>
      </c>
      <c r="P2612" s="3" t="s">
        <v>52</v>
      </c>
      <c r="Q2612">
        <v>50</v>
      </c>
      <c r="R2612">
        <v>0.999</v>
      </c>
      <c r="S2612">
        <v>1</v>
      </c>
    </row>
    <row r="2613" spans="1:19" x14ac:dyDescent="0.2">
      <c r="A2613" s="3" t="s">
        <v>54</v>
      </c>
      <c r="B2613" s="3" t="s">
        <v>55</v>
      </c>
      <c r="C2613">
        <v>12</v>
      </c>
      <c r="D2613">
        <v>13000</v>
      </c>
      <c r="E2613">
        <v>499</v>
      </c>
      <c r="F2613">
        <v>1</v>
      </c>
      <c r="G2613">
        <v>13000</v>
      </c>
      <c r="H2613">
        <v>1.7539835E-2</v>
      </c>
      <c r="I2613">
        <v>12716</v>
      </c>
      <c r="J2613">
        <v>3832</v>
      </c>
      <c r="K2613">
        <v>8884</v>
      </c>
      <c r="L2613">
        <v>500</v>
      </c>
      <c r="M2613">
        <v>499</v>
      </c>
      <c r="N2613">
        <v>1</v>
      </c>
      <c r="O2613">
        <v>284</v>
      </c>
      <c r="P2613" s="3" t="s">
        <v>50</v>
      </c>
      <c r="Q2613">
        <v>50</v>
      </c>
      <c r="R2613">
        <v>0.999</v>
      </c>
      <c r="S2613">
        <v>1</v>
      </c>
    </row>
    <row r="2614" spans="1:19" x14ac:dyDescent="0.2">
      <c r="A2614" s="3" t="s">
        <v>54</v>
      </c>
      <c r="B2614" s="3" t="s">
        <v>55</v>
      </c>
      <c r="C2614">
        <v>34</v>
      </c>
      <c r="D2614">
        <v>10000</v>
      </c>
      <c r="E2614">
        <v>499</v>
      </c>
      <c r="F2614">
        <v>1</v>
      </c>
      <c r="G2614">
        <v>10000</v>
      </c>
      <c r="H2614">
        <v>1.7534582999999999E-2</v>
      </c>
      <c r="I2614">
        <v>10000</v>
      </c>
      <c r="J2614">
        <v>2700</v>
      </c>
      <c r="K2614">
        <v>7300</v>
      </c>
      <c r="L2614">
        <v>500</v>
      </c>
      <c r="M2614">
        <v>499</v>
      </c>
      <c r="N2614">
        <v>1</v>
      </c>
      <c r="O2614">
        <v>0</v>
      </c>
      <c r="P2614" s="3" t="s">
        <v>52</v>
      </c>
      <c r="Q2614">
        <v>50</v>
      </c>
      <c r="R2614">
        <v>0.999</v>
      </c>
      <c r="S2614">
        <v>1</v>
      </c>
    </row>
    <row r="2615" spans="1:19" x14ac:dyDescent="0.2">
      <c r="A2615" s="3" t="s">
        <v>54</v>
      </c>
      <c r="B2615" s="3" t="s">
        <v>55</v>
      </c>
      <c r="C2615">
        <v>20</v>
      </c>
      <c r="D2615">
        <v>14000</v>
      </c>
      <c r="E2615">
        <v>499</v>
      </c>
      <c r="F2615">
        <v>1</v>
      </c>
      <c r="G2615">
        <v>14000</v>
      </c>
      <c r="H2615">
        <v>1.7534180999999999E-2</v>
      </c>
      <c r="I2615">
        <v>13323</v>
      </c>
      <c r="J2615">
        <v>4062</v>
      </c>
      <c r="K2615">
        <v>9261</v>
      </c>
      <c r="L2615">
        <v>500</v>
      </c>
      <c r="M2615">
        <v>499</v>
      </c>
      <c r="N2615">
        <v>1</v>
      </c>
      <c r="O2615">
        <v>677</v>
      </c>
      <c r="P2615" s="3" t="s">
        <v>52</v>
      </c>
      <c r="Q2615">
        <v>50</v>
      </c>
      <c r="R2615">
        <v>0.999</v>
      </c>
      <c r="S2615">
        <v>1</v>
      </c>
    </row>
    <row r="2616" spans="1:19" x14ac:dyDescent="0.2">
      <c r="A2616" s="3" t="s">
        <v>54</v>
      </c>
      <c r="B2616" s="3" t="s">
        <v>55</v>
      </c>
      <c r="C2616">
        <v>24</v>
      </c>
      <c r="D2616">
        <v>14000</v>
      </c>
      <c r="E2616">
        <v>499</v>
      </c>
      <c r="F2616">
        <v>1</v>
      </c>
      <c r="G2616">
        <v>14000</v>
      </c>
      <c r="H2616">
        <v>1.7533420000000001E-2</v>
      </c>
      <c r="I2616">
        <v>13304</v>
      </c>
      <c r="J2616">
        <v>4042</v>
      </c>
      <c r="K2616">
        <v>9262</v>
      </c>
      <c r="L2616">
        <v>500</v>
      </c>
      <c r="M2616">
        <v>499</v>
      </c>
      <c r="N2616">
        <v>1</v>
      </c>
      <c r="O2616">
        <v>696</v>
      </c>
      <c r="P2616" s="3" t="s">
        <v>52</v>
      </c>
      <c r="Q2616">
        <v>50</v>
      </c>
      <c r="R2616">
        <v>0.999</v>
      </c>
      <c r="S2616">
        <v>1</v>
      </c>
    </row>
    <row r="2617" spans="1:19" x14ac:dyDescent="0.2">
      <c r="A2617" s="3" t="s">
        <v>54</v>
      </c>
      <c r="B2617" s="3" t="s">
        <v>55</v>
      </c>
      <c r="C2617">
        <v>29</v>
      </c>
      <c r="D2617">
        <v>14000</v>
      </c>
      <c r="E2617">
        <v>499</v>
      </c>
      <c r="F2617">
        <v>1</v>
      </c>
      <c r="G2617">
        <v>14000</v>
      </c>
      <c r="H2617">
        <v>1.7508156E-2</v>
      </c>
      <c r="I2617">
        <v>13310</v>
      </c>
      <c r="J2617">
        <v>4068</v>
      </c>
      <c r="K2617">
        <v>9242</v>
      </c>
      <c r="L2617">
        <v>500</v>
      </c>
      <c r="M2617">
        <v>499</v>
      </c>
      <c r="N2617">
        <v>1</v>
      </c>
      <c r="O2617">
        <v>690</v>
      </c>
      <c r="P2617" s="3" t="s">
        <v>52</v>
      </c>
      <c r="Q2617">
        <v>50</v>
      </c>
      <c r="R2617">
        <v>0.999</v>
      </c>
      <c r="S2617">
        <v>1</v>
      </c>
    </row>
    <row r="2618" spans="1:19" x14ac:dyDescent="0.2">
      <c r="A2618" s="3" t="s">
        <v>54</v>
      </c>
      <c r="B2618" s="3" t="s">
        <v>55</v>
      </c>
      <c r="C2618">
        <v>21</v>
      </c>
      <c r="D2618">
        <v>14000</v>
      </c>
      <c r="E2618">
        <v>499</v>
      </c>
      <c r="F2618">
        <v>1</v>
      </c>
      <c r="G2618">
        <v>14000</v>
      </c>
      <c r="H2618">
        <v>1.7490235E-2</v>
      </c>
      <c r="I2618">
        <v>13284</v>
      </c>
      <c r="J2618">
        <v>4047</v>
      </c>
      <c r="K2618">
        <v>9237</v>
      </c>
      <c r="L2618">
        <v>500</v>
      </c>
      <c r="M2618">
        <v>499</v>
      </c>
      <c r="N2618">
        <v>1</v>
      </c>
      <c r="O2618">
        <v>716</v>
      </c>
      <c r="P2618" s="3" t="s">
        <v>52</v>
      </c>
      <c r="Q2618">
        <v>50</v>
      </c>
      <c r="R2618">
        <v>0.999</v>
      </c>
      <c r="S2618">
        <v>1</v>
      </c>
    </row>
    <row r="2619" spans="1:19" x14ac:dyDescent="0.2">
      <c r="A2619" s="3" t="s">
        <v>54</v>
      </c>
      <c r="B2619" s="3" t="s">
        <v>55</v>
      </c>
      <c r="C2619">
        <v>32</v>
      </c>
      <c r="D2619">
        <v>14000</v>
      </c>
      <c r="E2619">
        <v>499</v>
      </c>
      <c r="F2619">
        <v>1</v>
      </c>
      <c r="G2619">
        <v>14000</v>
      </c>
      <c r="H2619">
        <v>1.7486396000000001E-2</v>
      </c>
      <c r="I2619">
        <v>13270</v>
      </c>
      <c r="J2619">
        <v>4038</v>
      </c>
      <c r="K2619">
        <v>9232</v>
      </c>
      <c r="L2619">
        <v>500</v>
      </c>
      <c r="M2619">
        <v>499</v>
      </c>
      <c r="N2619">
        <v>1</v>
      </c>
      <c r="O2619">
        <v>730</v>
      </c>
      <c r="P2619" s="3" t="s">
        <v>52</v>
      </c>
      <c r="Q2619">
        <v>50</v>
      </c>
      <c r="R2619">
        <v>0.999</v>
      </c>
      <c r="S2619">
        <v>1</v>
      </c>
    </row>
    <row r="2620" spans="1:19" x14ac:dyDescent="0.2">
      <c r="A2620" s="3" t="s">
        <v>54</v>
      </c>
      <c r="B2620" s="3" t="s">
        <v>55</v>
      </c>
      <c r="C2620">
        <v>39</v>
      </c>
      <c r="D2620">
        <v>14000</v>
      </c>
      <c r="E2620">
        <v>499</v>
      </c>
      <c r="F2620">
        <v>1</v>
      </c>
      <c r="G2620">
        <v>14000</v>
      </c>
      <c r="H2620">
        <v>1.7485825999999999E-2</v>
      </c>
      <c r="I2620">
        <v>13285</v>
      </c>
      <c r="J2620">
        <v>4070</v>
      </c>
      <c r="K2620">
        <v>9215</v>
      </c>
      <c r="L2620">
        <v>500</v>
      </c>
      <c r="M2620">
        <v>499</v>
      </c>
      <c r="N2620">
        <v>1</v>
      </c>
      <c r="O2620">
        <v>715</v>
      </c>
      <c r="P2620" s="3" t="s">
        <v>52</v>
      </c>
      <c r="Q2620">
        <v>50</v>
      </c>
      <c r="R2620">
        <v>0.999</v>
      </c>
      <c r="S2620">
        <v>1</v>
      </c>
    </row>
    <row r="2621" spans="1:19" x14ac:dyDescent="0.2">
      <c r="A2621" s="3" t="s">
        <v>54</v>
      </c>
      <c r="B2621" s="3" t="s">
        <v>55</v>
      </c>
      <c r="C2621">
        <v>30</v>
      </c>
      <c r="D2621">
        <v>14000</v>
      </c>
      <c r="E2621">
        <v>499</v>
      </c>
      <c r="F2621">
        <v>1</v>
      </c>
      <c r="G2621">
        <v>14000</v>
      </c>
      <c r="H2621">
        <v>1.7475999999999998E-2</v>
      </c>
      <c r="I2621">
        <v>13273</v>
      </c>
      <c r="J2621">
        <v>4016</v>
      </c>
      <c r="K2621">
        <v>9257</v>
      </c>
      <c r="L2621">
        <v>500</v>
      </c>
      <c r="M2621">
        <v>499</v>
      </c>
      <c r="N2621">
        <v>1</v>
      </c>
      <c r="O2621">
        <v>727</v>
      </c>
      <c r="P2621" s="3" t="s">
        <v>52</v>
      </c>
      <c r="Q2621">
        <v>50</v>
      </c>
      <c r="R2621">
        <v>0.999</v>
      </c>
      <c r="S2621">
        <v>1</v>
      </c>
    </row>
    <row r="2622" spans="1:19" x14ac:dyDescent="0.2">
      <c r="A2622" s="3" t="s">
        <v>54</v>
      </c>
      <c r="B2622" s="3" t="s">
        <v>55</v>
      </c>
      <c r="C2622">
        <v>23</v>
      </c>
      <c r="D2622">
        <v>11000</v>
      </c>
      <c r="E2622">
        <v>499</v>
      </c>
      <c r="F2622">
        <v>1</v>
      </c>
      <c r="G2622">
        <v>11000</v>
      </c>
      <c r="H2622">
        <v>1.7464467000000001E-2</v>
      </c>
      <c r="I2622">
        <v>11000</v>
      </c>
      <c r="J2622">
        <v>3612</v>
      </c>
      <c r="K2622">
        <v>7388</v>
      </c>
      <c r="L2622">
        <v>500</v>
      </c>
      <c r="M2622">
        <v>499</v>
      </c>
      <c r="N2622">
        <v>1</v>
      </c>
      <c r="O2622">
        <v>0</v>
      </c>
      <c r="P2622" s="3" t="s">
        <v>50</v>
      </c>
      <c r="Q2622">
        <v>50</v>
      </c>
      <c r="R2622">
        <v>0.999</v>
      </c>
      <c r="S2622">
        <v>1</v>
      </c>
    </row>
    <row r="2623" spans="1:19" x14ac:dyDescent="0.2">
      <c r="A2623" s="3" t="s">
        <v>54</v>
      </c>
      <c r="B2623" s="3" t="s">
        <v>55</v>
      </c>
      <c r="C2623">
        <v>1</v>
      </c>
      <c r="D2623">
        <v>13000</v>
      </c>
      <c r="E2623">
        <v>499</v>
      </c>
      <c r="F2623">
        <v>1</v>
      </c>
      <c r="G2623">
        <v>13000</v>
      </c>
      <c r="H2623">
        <v>1.7395642999999999E-2</v>
      </c>
      <c r="I2623">
        <v>12709</v>
      </c>
      <c r="J2623">
        <v>3826</v>
      </c>
      <c r="K2623">
        <v>8883</v>
      </c>
      <c r="L2623">
        <v>500</v>
      </c>
      <c r="M2623">
        <v>499</v>
      </c>
      <c r="N2623">
        <v>1</v>
      </c>
      <c r="O2623">
        <v>291</v>
      </c>
      <c r="P2623" s="3" t="s">
        <v>50</v>
      </c>
      <c r="Q2623">
        <v>50</v>
      </c>
      <c r="R2623">
        <v>0.999</v>
      </c>
      <c r="S2623">
        <v>1</v>
      </c>
    </row>
    <row r="2624" spans="1:19" x14ac:dyDescent="0.2">
      <c r="A2624" s="3" t="s">
        <v>54</v>
      </c>
      <c r="B2624" s="3" t="s">
        <v>55</v>
      </c>
      <c r="C2624">
        <v>2</v>
      </c>
      <c r="D2624">
        <v>14000</v>
      </c>
      <c r="E2624">
        <v>499</v>
      </c>
      <c r="F2624">
        <v>1</v>
      </c>
      <c r="G2624">
        <v>14000</v>
      </c>
      <c r="H2624">
        <v>1.7376165999999998E-2</v>
      </c>
      <c r="I2624">
        <v>13309</v>
      </c>
      <c r="J2624">
        <v>4097</v>
      </c>
      <c r="K2624">
        <v>9212</v>
      </c>
      <c r="L2624">
        <v>500</v>
      </c>
      <c r="M2624">
        <v>499</v>
      </c>
      <c r="N2624">
        <v>1</v>
      </c>
      <c r="O2624">
        <v>691</v>
      </c>
      <c r="P2624" s="3" t="s">
        <v>52</v>
      </c>
      <c r="Q2624">
        <v>50</v>
      </c>
      <c r="R2624">
        <v>0.999</v>
      </c>
      <c r="S2624">
        <v>1</v>
      </c>
    </row>
    <row r="2625" spans="1:19" x14ac:dyDescent="0.2">
      <c r="A2625" s="3" t="s">
        <v>54</v>
      </c>
      <c r="B2625" s="3" t="s">
        <v>55</v>
      </c>
      <c r="C2625">
        <v>50</v>
      </c>
      <c r="D2625">
        <v>14000</v>
      </c>
      <c r="E2625">
        <v>499</v>
      </c>
      <c r="F2625">
        <v>1</v>
      </c>
      <c r="G2625">
        <v>14000</v>
      </c>
      <c r="H2625">
        <v>1.7357602999999999E-2</v>
      </c>
      <c r="I2625">
        <v>13309</v>
      </c>
      <c r="J2625">
        <v>4044</v>
      </c>
      <c r="K2625">
        <v>9265</v>
      </c>
      <c r="L2625">
        <v>500</v>
      </c>
      <c r="M2625">
        <v>499</v>
      </c>
      <c r="N2625">
        <v>1</v>
      </c>
      <c r="O2625">
        <v>691</v>
      </c>
      <c r="P2625" s="3" t="s">
        <v>52</v>
      </c>
      <c r="Q2625">
        <v>50</v>
      </c>
      <c r="R2625">
        <v>0.999</v>
      </c>
      <c r="S2625">
        <v>1</v>
      </c>
    </row>
    <row r="2626" spans="1:19" x14ac:dyDescent="0.2">
      <c r="A2626" s="3" t="s">
        <v>54</v>
      </c>
      <c r="B2626" s="3" t="s">
        <v>55</v>
      </c>
      <c r="C2626">
        <v>23</v>
      </c>
      <c r="D2626">
        <v>14000</v>
      </c>
      <c r="E2626">
        <v>499</v>
      </c>
      <c r="F2626">
        <v>1</v>
      </c>
      <c r="G2626">
        <v>14000</v>
      </c>
      <c r="H2626">
        <v>1.7347475000000001E-2</v>
      </c>
      <c r="I2626">
        <v>13294</v>
      </c>
      <c r="J2626">
        <v>4058</v>
      </c>
      <c r="K2626">
        <v>9236</v>
      </c>
      <c r="L2626">
        <v>500</v>
      </c>
      <c r="M2626">
        <v>499</v>
      </c>
      <c r="N2626">
        <v>1</v>
      </c>
      <c r="O2626">
        <v>706</v>
      </c>
      <c r="P2626" s="3" t="s">
        <v>52</v>
      </c>
      <c r="Q2626">
        <v>50</v>
      </c>
      <c r="R2626">
        <v>0.999</v>
      </c>
      <c r="S2626">
        <v>1</v>
      </c>
    </row>
    <row r="2627" spans="1:19" x14ac:dyDescent="0.2">
      <c r="A2627" s="3" t="s">
        <v>54</v>
      </c>
      <c r="B2627" s="3" t="s">
        <v>55</v>
      </c>
      <c r="C2627">
        <v>37</v>
      </c>
      <c r="D2627">
        <v>14000</v>
      </c>
      <c r="E2627">
        <v>499</v>
      </c>
      <c r="F2627">
        <v>1</v>
      </c>
      <c r="G2627">
        <v>14000</v>
      </c>
      <c r="H2627">
        <v>1.7334466E-2</v>
      </c>
      <c r="I2627">
        <v>13282</v>
      </c>
      <c r="J2627">
        <v>4048</v>
      </c>
      <c r="K2627">
        <v>9234</v>
      </c>
      <c r="L2627">
        <v>500</v>
      </c>
      <c r="M2627">
        <v>499</v>
      </c>
      <c r="N2627">
        <v>1</v>
      </c>
      <c r="O2627">
        <v>718</v>
      </c>
      <c r="P2627" s="3" t="s">
        <v>52</v>
      </c>
      <c r="Q2627">
        <v>50</v>
      </c>
      <c r="R2627">
        <v>0.999</v>
      </c>
      <c r="S2627">
        <v>1</v>
      </c>
    </row>
    <row r="2628" spans="1:19" x14ac:dyDescent="0.2">
      <c r="A2628" s="3" t="s">
        <v>54</v>
      </c>
      <c r="B2628" s="3" t="s">
        <v>55</v>
      </c>
      <c r="C2628">
        <v>28</v>
      </c>
      <c r="D2628">
        <v>14000</v>
      </c>
      <c r="E2628">
        <v>499</v>
      </c>
      <c r="F2628">
        <v>1</v>
      </c>
      <c r="G2628">
        <v>14000</v>
      </c>
      <c r="H2628">
        <v>1.7331102000000001E-2</v>
      </c>
      <c r="I2628">
        <v>13302</v>
      </c>
      <c r="J2628">
        <v>4021</v>
      </c>
      <c r="K2628">
        <v>9281</v>
      </c>
      <c r="L2628">
        <v>500</v>
      </c>
      <c r="M2628">
        <v>499</v>
      </c>
      <c r="N2628">
        <v>1</v>
      </c>
      <c r="O2628">
        <v>698</v>
      </c>
      <c r="P2628" s="3" t="s">
        <v>52</v>
      </c>
      <c r="Q2628">
        <v>50</v>
      </c>
      <c r="R2628">
        <v>0.999</v>
      </c>
      <c r="S2628">
        <v>1</v>
      </c>
    </row>
    <row r="2629" spans="1:19" x14ac:dyDescent="0.2">
      <c r="A2629" s="3" t="s">
        <v>54</v>
      </c>
      <c r="B2629" s="3" t="s">
        <v>55</v>
      </c>
      <c r="C2629">
        <v>36</v>
      </c>
      <c r="D2629">
        <v>14000</v>
      </c>
      <c r="E2629">
        <v>499</v>
      </c>
      <c r="F2629">
        <v>1</v>
      </c>
      <c r="G2629">
        <v>14000</v>
      </c>
      <c r="H2629">
        <v>1.7329901000000002E-2</v>
      </c>
      <c r="I2629">
        <v>13291</v>
      </c>
      <c r="J2629">
        <v>4053</v>
      </c>
      <c r="K2629">
        <v>9238</v>
      </c>
      <c r="L2629">
        <v>500</v>
      </c>
      <c r="M2629">
        <v>499</v>
      </c>
      <c r="N2629">
        <v>1</v>
      </c>
      <c r="O2629">
        <v>709</v>
      </c>
      <c r="P2629" s="3" t="s">
        <v>52</v>
      </c>
      <c r="Q2629">
        <v>50</v>
      </c>
      <c r="R2629">
        <v>0.999</v>
      </c>
      <c r="S2629">
        <v>1</v>
      </c>
    </row>
    <row r="2630" spans="1:19" x14ac:dyDescent="0.2">
      <c r="A2630" s="3" t="s">
        <v>54</v>
      </c>
      <c r="B2630" s="3" t="s">
        <v>55</v>
      </c>
      <c r="C2630">
        <v>10</v>
      </c>
      <c r="D2630">
        <v>14000</v>
      </c>
      <c r="E2630">
        <v>499</v>
      </c>
      <c r="F2630">
        <v>1</v>
      </c>
      <c r="G2630">
        <v>14000</v>
      </c>
      <c r="H2630">
        <v>1.7321084E-2</v>
      </c>
      <c r="I2630">
        <v>13304</v>
      </c>
      <c r="J2630">
        <v>4027</v>
      </c>
      <c r="K2630">
        <v>9277</v>
      </c>
      <c r="L2630">
        <v>500</v>
      </c>
      <c r="M2630">
        <v>499</v>
      </c>
      <c r="N2630">
        <v>1</v>
      </c>
      <c r="O2630">
        <v>696</v>
      </c>
      <c r="P2630" s="3" t="s">
        <v>52</v>
      </c>
      <c r="Q2630">
        <v>50</v>
      </c>
      <c r="R2630">
        <v>0.999</v>
      </c>
      <c r="S2630">
        <v>1</v>
      </c>
    </row>
    <row r="2631" spans="1:19" x14ac:dyDescent="0.2">
      <c r="A2631" s="3" t="s">
        <v>54</v>
      </c>
      <c r="B2631" s="3" t="s">
        <v>55</v>
      </c>
      <c r="C2631">
        <v>8</v>
      </c>
      <c r="D2631">
        <v>14000</v>
      </c>
      <c r="E2631">
        <v>499</v>
      </c>
      <c r="F2631">
        <v>1</v>
      </c>
      <c r="G2631">
        <v>14000</v>
      </c>
      <c r="H2631">
        <v>1.7317315E-2</v>
      </c>
      <c r="I2631">
        <v>13307</v>
      </c>
      <c r="J2631">
        <v>4031</v>
      </c>
      <c r="K2631">
        <v>9276</v>
      </c>
      <c r="L2631">
        <v>500</v>
      </c>
      <c r="M2631">
        <v>499</v>
      </c>
      <c r="N2631">
        <v>1</v>
      </c>
      <c r="O2631">
        <v>693</v>
      </c>
      <c r="P2631" s="3" t="s">
        <v>52</v>
      </c>
      <c r="Q2631">
        <v>50</v>
      </c>
      <c r="R2631">
        <v>0.999</v>
      </c>
      <c r="S2631">
        <v>1</v>
      </c>
    </row>
    <row r="2632" spans="1:19" x14ac:dyDescent="0.2">
      <c r="A2632" s="3" t="s">
        <v>54</v>
      </c>
      <c r="B2632" s="3" t="s">
        <v>55</v>
      </c>
      <c r="C2632">
        <v>44</v>
      </c>
      <c r="D2632">
        <v>14000</v>
      </c>
      <c r="E2632">
        <v>499</v>
      </c>
      <c r="F2632">
        <v>1</v>
      </c>
      <c r="G2632">
        <v>14000</v>
      </c>
      <c r="H2632">
        <v>1.7304931999999999E-2</v>
      </c>
      <c r="I2632">
        <v>13310</v>
      </c>
      <c r="J2632">
        <v>4054</v>
      </c>
      <c r="K2632">
        <v>9256</v>
      </c>
      <c r="L2632">
        <v>500</v>
      </c>
      <c r="M2632">
        <v>499</v>
      </c>
      <c r="N2632">
        <v>1</v>
      </c>
      <c r="O2632">
        <v>690</v>
      </c>
      <c r="P2632" s="3" t="s">
        <v>52</v>
      </c>
      <c r="Q2632">
        <v>50</v>
      </c>
      <c r="R2632">
        <v>0.999</v>
      </c>
      <c r="S2632">
        <v>1</v>
      </c>
    </row>
    <row r="2633" spans="1:19" x14ac:dyDescent="0.2">
      <c r="A2633" s="3" t="s">
        <v>54</v>
      </c>
      <c r="B2633" s="3" t="s">
        <v>55</v>
      </c>
      <c r="C2633">
        <v>14</v>
      </c>
      <c r="D2633">
        <v>14000</v>
      </c>
      <c r="E2633">
        <v>499</v>
      </c>
      <c r="F2633">
        <v>1</v>
      </c>
      <c r="G2633">
        <v>14000</v>
      </c>
      <c r="H2633">
        <v>1.7249401000000001E-2</v>
      </c>
      <c r="I2633">
        <v>13296</v>
      </c>
      <c r="J2633">
        <v>4033</v>
      </c>
      <c r="K2633">
        <v>9263</v>
      </c>
      <c r="L2633">
        <v>500</v>
      </c>
      <c r="M2633">
        <v>499</v>
      </c>
      <c r="N2633">
        <v>1</v>
      </c>
      <c r="O2633">
        <v>704</v>
      </c>
      <c r="P2633" s="3" t="s">
        <v>52</v>
      </c>
      <c r="Q2633">
        <v>50</v>
      </c>
      <c r="R2633">
        <v>0.999</v>
      </c>
      <c r="S2633">
        <v>1</v>
      </c>
    </row>
    <row r="2634" spans="1:19" x14ac:dyDescent="0.2">
      <c r="A2634" s="3" t="s">
        <v>54</v>
      </c>
      <c r="B2634" s="3" t="s">
        <v>55</v>
      </c>
      <c r="C2634">
        <v>3</v>
      </c>
      <c r="D2634">
        <v>14000</v>
      </c>
      <c r="E2634">
        <v>499</v>
      </c>
      <c r="F2634">
        <v>1</v>
      </c>
      <c r="G2634">
        <v>14000</v>
      </c>
      <c r="H2634">
        <v>1.7232094E-2</v>
      </c>
      <c r="I2634">
        <v>13290</v>
      </c>
      <c r="J2634">
        <v>3985</v>
      </c>
      <c r="K2634">
        <v>9305</v>
      </c>
      <c r="L2634">
        <v>500</v>
      </c>
      <c r="M2634">
        <v>499</v>
      </c>
      <c r="N2634">
        <v>1</v>
      </c>
      <c r="O2634">
        <v>710</v>
      </c>
      <c r="P2634" s="3" t="s">
        <v>52</v>
      </c>
      <c r="Q2634">
        <v>50</v>
      </c>
      <c r="R2634">
        <v>0.999</v>
      </c>
      <c r="S2634">
        <v>1</v>
      </c>
    </row>
    <row r="2635" spans="1:19" x14ac:dyDescent="0.2">
      <c r="A2635" s="3" t="s">
        <v>54</v>
      </c>
      <c r="B2635" s="3" t="s">
        <v>55</v>
      </c>
      <c r="C2635">
        <v>35</v>
      </c>
      <c r="D2635">
        <v>14000</v>
      </c>
      <c r="E2635">
        <v>499</v>
      </c>
      <c r="F2635">
        <v>1</v>
      </c>
      <c r="G2635">
        <v>14000</v>
      </c>
      <c r="H2635">
        <v>1.7149356000000001E-2</v>
      </c>
      <c r="I2635">
        <v>13278</v>
      </c>
      <c r="J2635">
        <v>4042</v>
      </c>
      <c r="K2635">
        <v>9236</v>
      </c>
      <c r="L2635">
        <v>500</v>
      </c>
      <c r="M2635">
        <v>499</v>
      </c>
      <c r="N2635">
        <v>1</v>
      </c>
      <c r="O2635">
        <v>722</v>
      </c>
      <c r="P2635" s="3" t="s">
        <v>52</v>
      </c>
      <c r="Q2635">
        <v>50</v>
      </c>
      <c r="R2635">
        <v>0.999</v>
      </c>
      <c r="S2635">
        <v>1</v>
      </c>
    </row>
    <row r="2636" spans="1:19" x14ac:dyDescent="0.2">
      <c r="A2636" s="3" t="s">
        <v>54</v>
      </c>
      <c r="B2636" s="3" t="s">
        <v>55</v>
      </c>
      <c r="C2636">
        <v>25</v>
      </c>
      <c r="D2636">
        <v>13000</v>
      </c>
      <c r="E2636">
        <v>499</v>
      </c>
      <c r="F2636">
        <v>1</v>
      </c>
      <c r="G2636">
        <v>13000</v>
      </c>
      <c r="H2636">
        <v>1.7146679000000001E-2</v>
      </c>
      <c r="I2636">
        <v>12721</v>
      </c>
      <c r="J2636">
        <v>3786</v>
      </c>
      <c r="K2636">
        <v>8935</v>
      </c>
      <c r="L2636">
        <v>500</v>
      </c>
      <c r="M2636">
        <v>499</v>
      </c>
      <c r="N2636">
        <v>1</v>
      </c>
      <c r="O2636">
        <v>279</v>
      </c>
      <c r="P2636" s="3" t="s">
        <v>52</v>
      </c>
      <c r="Q2636">
        <v>50</v>
      </c>
      <c r="R2636">
        <v>0.999</v>
      </c>
      <c r="S2636">
        <v>1</v>
      </c>
    </row>
    <row r="2637" spans="1:19" x14ac:dyDescent="0.2">
      <c r="A2637" s="3" t="s">
        <v>54</v>
      </c>
      <c r="B2637" s="3" t="s">
        <v>55</v>
      </c>
      <c r="C2637">
        <v>15</v>
      </c>
      <c r="D2637">
        <v>11000</v>
      </c>
      <c r="E2637">
        <v>499</v>
      </c>
      <c r="F2637">
        <v>1</v>
      </c>
      <c r="G2637">
        <v>11000</v>
      </c>
      <c r="H2637">
        <v>1.7115119000000002E-2</v>
      </c>
      <c r="I2637">
        <v>11000</v>
      </c>
      <c r="J2637">
        <v>3592</v>
      </c>
      <c r="K2637">
        <v>7408</v>
      </c>
      <c r="L2637">
        <v>500</v>
      </c>
      <c r="M2637">
        <v>499</v>
      </c>
      <c r="N2637">
        <v>1</v>
      </c>
      <c r="O2637">
        <v>0</v>
      </c>
      <c r="P2637" s="3" t="s">
        <v>50</v>
      </c>
      <c r="Q2637">
        <v>50</v>
      </c>
      <c r="R2637">
        <v>0.999</v>
      </c>
      <c r="S2637">
        <v>1</v>
      </c>
    </row>
    <row r="2638" spans="1:19" x14ac:dyDescent="0.2">
      <c r="A2638" s="3" t="s">
        <v>54</v>
      </c>
      <c r="B2638" s="3" t="s">
        <v>55</v>
      </c>
      <c r="C2638">
        <v>7</v>
      </c>
      <c r="D2638">
        <v>13000</v>
      </c>
      <c r="E2638">
        <v>499</v>
      </c>
      <c r="F2638">
        <v>1</v>
      </c>
      <c r="G2638">
        <v>13000</v>
      </c>
      <c r="H2638">
        <v>1.7047257E-2</v>
      </c>
      <c r="I2638">
        <v>12720</v>
      </c>
      <c r="J2638">
        <v>3790</v>
      </c>
      <c r="K2638">
        <v>8930</v>
      </c>
      <c r="L2638">
        <v>500</v>
      </c>
      <c r="M2638">
        <v>499</v>
      </c>
      <c r="N2638">
        <v>1</v>
      </c>
      <c r="O2638">
        <v>280</v>
      </c>
      <c r="P2638" s="3" t="s">
        <v>50</v>
      </c>
      <c r="Q2638">
        <v>50</v>
      </c>
      <c r="R2638">
        <v>0.999</v>
      </c>
      <c r="S2638">
        <v>1</v>
      </c>
    </row>
    <row r="2639" spans="1:19" x14ac:dyDescent="0.2">
      <c r="A2639" s="3" t="s">
        <v>54</v>
      </c>
      <c r="B2639" s="3" t="s">
        <v>55</v>
      </c>
      <c r="C2639">
        <v>3</v>
      </c>
      <c r="D2639">
        <v>13000</v>
      </c>
      <c r="E2639">
        <v>499</v>
      </c>
      <c r="F2639">
        <v>1</v>
      </c>
      <c r="G2639">
        <v>13000</v>
      </c>
      <c r="H2639">
        <v>1.6903451E-2</v>
      </c>
      <c r="I2639">
        <v>12720</v>
      </c>
      <c r="J2639">
        <v>3834</v>
      </c>
      <c r="K2639">
        <v>8886</v>
      </c>
      <c r="L2639">
        <v>500</v>
      </c>
      <c r="M2639">
        <v>499</v>
      </c>
      <c r="N2639">
        <v>1</v>
      </c>
      <c r="O2639">
        <v>280</v>
      </c>
      <c r="P2639" s="3" t="s">
        <v>50</v>
      </c>
      <c r="Q2639">
        <v>50</v>
      </c>
      <c r="R2639">
        <v>0.999</v>
      </c>
      <c r="S2639">
        <v>1</v>
      </c>
    </row>
    <row r="2640" spans="1:19" x14ac:dyDescent="0.2">
      <c r="A2640" s="3" t="s">
        <v>54</v>
      </c>
      <c r="B2640" s="3" t="s">
        <v>55</v>
      </c>
      <c r="C2640">
        <v>5</v>
      </c>
      <c r="D2640">
        <v>13000</v>
      </c>
      <c r="E2640">
        <v>499</v>
      </c>
      <c r="F2640">
        <v>1</v>
      </c>
      <c r="G2640">
        <v>13000</v>
      </c>
      <c r="H2640">
        <v>1.6779252000000001E-2</v>
      </c>
      <c r="I2640">
        <v>12708</v>
      </c>
      <c r="J2640">
        <v>3782</v>
      </c>
      <c r="K2640">
        <v>8926</v>
      </c>
      <c r="L2640">
        <v>500</v>
      </c>
      <c r="M2640">
        <v>499</v>
      </c>
      <c r="N2640">
        <v>1</v>
      </c>
      <c r="O2640">
        <v>292</v>
      </c>
      <c r="P2640" s="3" t="s">
        <v>52</v>
      </c>
      <c r="Q2640">
        <v>50</v>
      </c>
      <c r="R2640">
        <v>0.999</v>
      </c>
      <c r="S2640">
        <v>1</v>
      </c>
    </row>
    <row r="2641" spans="1:19" x14ac:dyDescent="0.2">
      <c r="A2641" s="3" t="s">
        <v>54</v>
      </c>
      <c r="B2641" s="3" t="s">
        <v>55</v>
      </c>
      <c r="C2641">
        <v>50</v>
      </c>
      <c r="D2641">
        <v>12000</v>
      </c>
      <c r="E2641">
        <v>499</v>
      </c>
      <c r="F2641">
        <v>1</v>
      </c>
      <c r="G2641">
        <v>12000</v>
      </c>
      <c r="H2641">
        <v>1.6723162E-2</v>
      </c>
      <c r="I2641">
        <v>12000</v>
      </c>
      <c r="J2641">
        <v>3669</v>
      </c>
      <c r="K2641">
        <v>8331</v>
      </c>
      <c r="L2641">
        <v>500</v>
      </c>
      <c r="M2641">
        <v>499</v>
      </c>
      <c r="N2641">
        <v>1</v>
      </c>
      <c r="O2641">
        <v>0</v>
      </c>
      <c r="P2641" s="3" t="s">
        <v>50</v>
      </c>
      <c r="Q2641">
        <v>50</v>
      </c>
      <c r="R2641">
        <v>0.999</v>
      </c>
      <c r="S2641">
        <v>1</v>
      </c>
    </row>
    <row r="2642" spans="1:19" x14ac:dyDescent="0.2">
      <c r="A2642" s="3" t="s">
        <v>54</v>
      </c>
      <c r="B2642" s="3" t="s">
        <v>55</v>
      </c>
      <c r="C2642">
        <v>26</v>
      </c>
      <c r="D2642">
        <v>10000</v>
      </c>
      <c r="E2642">
        <v>499</v>
      </c>
      <c r="F2642">
        <v>1</v>
      </c>
      <c r="G2642">
        <v>10000</v>
      </c>
      <c r="H2642">
        <v>1.6708733E-2</v>
      </c>
      <c r="I2642">
        <v>10000</v>
      </c>
      <c r="J2642">
        <v>3572</v>
      </c>
      <c r="K2642">
        <v>6428</v>
      </c>
      <c r="L2642">
        <v>500</v>
      </c>
      <c r="M2642">
        <v>499</v>
      </c>
      <c r="N2642">
        <v>1</v>
      </c>
      <c r="O2642">
        <v>0</v>
      </c>
      <c r="P2642" s="3" t="s">
        <v>50</v>
      </c>
      <c r="Q2642">
        <v>50</v>
      </c>
      <c r="R2642">
        <v>0.999</v>
      </c>
      <c r="S2642">
        <v>1</v>
      </c>
    </row>
    <row r="2643" spans="1:19" x14ac:dyDescent="0.2">
      <c r="A2643" s="3" t="s">
        <v>54</v>
      </c>
      <c r="B2643" s="3" t="s">
        <v>55</v>
      </c>
      <c r="C2643">
        <v>10</v>
      </c>
      <c r="D2643">
        <v>13000</v>
      </c>
      <c r="E2643">
        <v>499</v>
      </c>
      <c r="F2643">
        <v>1</v>
      </c>
      <c r="G2643">
        <v>13000</v>
      </c>
      <c r="H2643">
        <v>1.6653880999999999E-2</v>
      </c>
      <c r="I2643">
        <v>12693</v>
      </c>
      <c r="J2643">
        <v>3803</v>
      </c>
      <c r="K2643">
        <v>8890</v>
      </c>
      <c r="L2643">
        <v>500</v>
      </c>
      <c r="M2643">
        <v>499</v>
      </c>
      <c r="N2643">
        <v>1</v>
      </c>
      <c r="O2643">
        <v>307</v>
      </c>
      <c r="P2643" s="3" t="s">
        <v>50</v>
      </c>
      <c r="Q2643">
        <v>50</v>
      </c>
      <c r="R2643">
        <v>0.999</v>
      </c>
      <c r="S2643">
        <v>1</v>
      </c>
    </row>
    <row r="2644" spans="1:19" x14ac:dyDescent="0.2">
      <c r="A2644" s="3" t="s">
        <v>54</v>
      </c>
      <c r="B2644" s="3" t="s">
        <v>55</v>
      </c>
      <c r="C2644">
        <v>50</v>
      </c>
      <c r="D2644">
        <v>12000</v>
      </c>
      <c r="E2644">
        <v>499</v>
      </c>
      <c r="F2644">
        <v>1</v>
      </c>
      <c r="G2644">
        <v>12000</v>
      </c>
      <c r="H2644">
        <v>1.6579144000000001E-2</v>
      </c>
      <c r="I2644">
        <v>12000</v>
      </c>
      <c r="J2644">
        <v>3593</v>
      </c>
      <c r="K2644">
        <v>8407</v>
      </c>
      <c r="L2644">
        <v>500</v>
      </c>
      <c r="M2644">
        <v>499</v>
      </c>
      <c r="N2644">
        <v>1</v>
      </c>
      <c r="O2644">
        <v>0</v>
      </c>
      <c r="P2644" s="3" t="s">
        <v>52</v>
      </c>
      <c r="Q2644">
        <v>50</v>
      </c>
      <c r="R2644">
        <v>0.999</v>
      </c>
      <c r="S2644">
        <v>1</v>
      </c>
    </row>
    <row r="2645" spans="1:19" x14ac:dyDescent="0.2">
      <c r="A2645" s="3" t="s">
        <v>54</v>
      </c>
      <c r="B2645" s="3" t="s">
        <v>55</v>
      </c>
      <c r="C2645">
        <v>20</v>
      </c>
      <c r="D2645">
        <v>13000</v>
      </c>
      <c r="E2645">
        <v>499</v>
      </c>
      <c r="F2645">
        <v>1</v>
      </c>
      <c r="G2645">
        <v>13000</v>
      </c>
      <c r="H2645">
        <v>1.6569474000000001E-2</v>
      </c>
      <c r="I2645">
        <v>12708</v>
      </c>
      <c r="J2645">
        <v>3806</v>
      </c>
      <c r="K2645">
        <v>8902</v>
      </c>
      <c r="L2645">
        <v>500</v>
      </c>
      <c r="M2645">
        <v>499</v>
      </c>
      <c r="N2645">
        <v>1</v>
      </c>
      <c r="O2645">
        <v>292</v>
      </c>
      <c r="P2645" s="3" t="s">
        <v>50</v>
      </c>
      <c r="Q2645">
        <v>50</v>
      </c>
      <c r="R2645">
        <v>0.999</v>
      </c>
      <c r="S2645">
        <v>1</v>
      </c>
    </row>
    <row r="2646" spans="1:19" x14ac:dyDescent="0.2">
      <c r="A2646" s="3" t="s">
        <v>54</v>
      </c>
      <c r="B2646" s="3" t="s">
        <v>55</v>
      </c>
      <c r="C2646">
        <v>5</v>
      </c>
      <c r="D2646">
        <v>13000</v>
      </c>
      <c r="E2646">
        <v>499</v>
      </c>
      <c r="F2646">
        <v>1</v>
      </c>
      <c r="G2646">
        <v>13000</v>
      </c>
      <c r="H2646">
        <v>1.6551388E-2</v>
      </c>
      <c r="I2646">
        <v>12707</v>
      </c>
      <c r="J2646">
        <v>3779</v>
      </c>
      <c r="K2646">
        <v>8928</v>
      </c>
      <c r="L2646">
        <v>500</v>
      </c>
      <c r="M2646">
        <v>499</v>
      </c>
      <c r="N2646">
        <v>1</v>
      </c>
      <c r="O2646">
        <v>293</v>
      </c>
      <c r="P2646" s="3" t="s">
        <v>50</v>
      </c>
      <c r="Q2646">
        <v>50</v>
      </c>
      <c r="R2646">
        <v>0.999</v>
      </c>
      <c r="S2646">
        <v>1</v>
      </c>
    </row>
    <row r="2647" spans="1:19" x14ac:dyDescent="0.2">
      <c r="A2647" s="3" t="s">
        <v>54</v>
      </c>
      <c r="B2647" s="3" t="s">
        <v>55</v>
      </c>
      <c r="C2647">
        <v>8</v>
      </c>
      <c r="D2647">
        <v>13000</v>
      </c>
      <c r="E2647">
        <v>499</v>
      </c>
      <c r="F2647">
        <v>1</v>
      </c>
      <c r="G2647">
        <v>13000</v>
      </c>
      <c r="H2647">
        <v>1.6509543000000002E-2</v>
      </c>
      <c r="I2647">
        <v>12695</v>
      </c>
      <c r="J2647">
        <v>3785</v>
      </c>
      <c r="K2647">
        <v>8910</v>
      </c>
      <c r="L2647">
        <v>500</v>
      </c>
      <c r="M2647">
        <v>499</v>
      </c>
      <c r="N2647">
        <v>1</v>
      </c>
      <c r="O2647">
        <v>305</v>
      </c>
      <c r="P2647" s="3" t="s">
        <v>50</v>
      </c>
      <c r="Q2647">
        <v>50</v>
      </c>
      <c r="R2647">
        <v>0.999</v>
      </c>
      <c r="S2647">
        <v>1</v>
      </c>
    </row>
    <row r="2648" spans="1:19" x14ac:dyDescent="0.2">
      <c r="A2648" s="3" t="s">
        <v>54</v>
      </c>
      <c r="B2648" s="3" t="s">
        <v>55</v>
      </c>
      <c r="C2648">
        <v>34</v>
      </c>
      <c r="D2648">
        <v>13000</v>
      </c>
      <c r="E2648">
        <v>499</v>
      </c>
      <c r="F2648">
        <v>1</v>
      </c>
      <c r="G2648">
        <v>13000</v>
      </c>
      <c r="H2648">
        <v>1.6505729E-2</v>
      </c>
      <c r="I2648">
        <v>12706</v>
      </c>
      <c r="J2648">
        <v>3799</v>
      </c>
      <c r="K2648">
        <v>8907</v>
      </c>
      <c r="L2648">
        <v>500</v>
      </c>
      <c r="M2648">
        <v>499</v>
      </c>
      <c r="N2648">
        <v>1</v>
      </c>
      <c r="O2648">
        <v>294</v>
      </c>
      <c r="P2648" s="3" t="s">
        <v>50</v>
      </c>
      <c r="Q2648">
        <v>50</v>
      </c>
      <c r="R2648">
        <v>0.999</v>
      </c>
      <c r="S2648">
        <v>1</v>
      </c>
    </row>
    <row r="2649" spans="1:19" x14ac:dyDescent="0.2">
      <c r="A2649" s="3" t="s">
        <v>54</v>
      </c>
      <c r="B2649" s="3" t="s">
        <v>55</v>
      </c>
      <c r="C2649">
        <v>17</v>
      </c>
      <c r="D2649">
        <v>13000</v>
      </c>
      <c r="E2649">
        <v>499</v>
      </c>
      <c r="F2649">
        <v>1</v>
      </c>
      <c r="G2649">
        <v>13000</v>
      </c>
      <c r="H2649">
        <v>1.6442976000000002E-2</v>
      </c>
      <c r="I2649">
        <v>12691</v>
      </c>
      <c r="J2649">
        <v>3816</v>
      </c>
      <c r="K2649">
        <v>8875</v>
      </c>
      <c r="L2649">
        <v>500</v>
      </c>
      <c r="M2649">
        <v>499</v>
      </c>
      <c r="N2649">
        <v>1</v>
      </c>
      <c r="O2649">
        <v>309</v>
      </c>
      <c r="P2649" s="3" t="s">
        <v>50</v>
      </c>
      <c r="Q2649">
        <v>50</v>
      </c>
      <c r="R2649">
        <v>0.999</v>
      </c>
      <c r="S2649">
        <v>1</v>
      </c>
    </row>
    <row r="2650" spans="1:19" x14ac:dyDescent="0.2">
      <c r="A2650" s="3" t="s">
        <v>54</v>
      </c>
      <c r="B2650" s="3" t="s">
        <v>55</v>
      </c>
      <c r="C2650">
        <v>30</v>
      </c>
      <c r="D2650">
        <v>13000</v>
      </c>
      <c r="E2650">
        <v>499</v>
      </c>
      <c r="F2650">
        <v>1</v>
      </c>
      <c r="G2650">
        <v>13000</v>
      </c>
      <c r="H2650">
        <v>1.6410404999999999E-2</v>
      </c>
      <c r="I2650">
        <v>12679</v>
      </c>
      <c r="J2650">
        <v>3803</v>
      </c>
      <c r="K2650">
        <v>8876</v>
      </c>
      <c r="L2650">
        <v>500</v>
      </c>
      <c r="M2650">
        <v>499</v>
      </c>
      <c r="N2650">
        <v>1</v>
      </c>
      <c r="O2650">
        <v>321</v>
      </c>
      <c r="P2650" s="3" t="s">
        <v>50</v>
      </c>
      <c r="Q2650">
        <v>50</v>
      </c>
      <c r="R2650">
        <v>0.999</v>
      </c>
      <c r="S2650">
        <v>1</v>
      </c>
    </row>
    <row r="2651" spans="1:19" x14ac:dyDescent="0.2">
      <c r="A2651" s="3" t="s">
        <v>54</v>
      </c>
      <c r="B2651" s="3" t="s">
        <v>55</v>
      </c>
      <c r="C2651">
        <v>16</v>
      </c>
      <c r="D2651">
        <v>13000</v>
      </c>
      <c r="E2651">
        <v>499</v>
      </c>
      <c r="F2651">
        <v>1</v>
      </c>
      <c r="G2651">
        <v>13000</v>
      </c>
      <c r="H2651">
        <v>1.6388028999999998E-2</v>
      </c>
      <c r="I2651">
        <v>12721</v>
      </c>
      <c r="J2651">
        <v>3855</v>
      </c>
      <c r="K2651">
        <v>8866</v>
      </c>
      <c r="L2651">
        <v>500</v>
      </c>
      <c r="M2651">
        <v>499</v>
      </c>
      <c r="N2651">
        <v>1</v>
      </c>
      <c r="O2651">
        <v>279</v>
      </c>
      <c r="P2651" s="3" t="s">
        <v>50</v>
      </c>
      <c r="Q2651">
        <v>50</v>
      </c>
      <c r="R2651">
        <v>0.999</v>
      </c>
      <c r="S2651">
        <v>1</v>
      </c>
    </row>
    <row r="2652" spans="1:19" x14ac:dyDescent="0.2">
      <c r="A2652" s="3" t="s">
        <v>54</v>
      </c>
      <c r="B2652" s="3" t="s">
        <v>55</v>
      </c>
      <c r="C2652">
        <v>11</v>
      </c>
      <c r="D2652">
        <v>11000</v>
      </c>
      <c r="E2652">
        <v>499</v>
      </c>
      <c r="F2652">
        <v>1</v>
      </c>
      <c r="G2652">
        <v>11000</v>
      </c>
      <c r="H2652">
        <v>1.6378011000000001E-2</v>
      </c>
      <c r="I2652">
        <v>11000</v>
      </c>
      <c r="J2652">
        <v>3632</v>
      </c>
      <c r="K2652">
        <v>7368</v>
      </c>
      <c r="L2652">
        <v>500</v>
      </c>
      <c r="M2652">
        <v>499</v>
      </c>
      <c r="N2652">
        <v>1</v>
      </c>
      <c r="O2652">
        <v>0</v>
      </c>
      <c r="P2652" s="3" t="s">
        <v>50</v>
      </c>
      <c r="Q2652">
        <v>50</v>
      </c>
      <c r="R2652">
        <v>0.999</v>
      </c>
      <c r="S2652">
        <v>1</v>
      </c>
    </row>
    <row r="2653" spans="1:19" x14ac:dyDescent="0.2">
      <c r="A2653" s="3" t="s">
        <v>54</v>
      </c>
      <c r="B2653" s="3" t="s">
        <v>55</v>
      </c>
      <c r="C2653">
        <v>40</v>
      </c>
      <c r="D2653">
        <v>13000</v>
      </c>
      <c r="E2653">
        <v>499</v>
      </c>
      <c r="F2653">
        <v>1</v>
      </c>
      <c r="G2653">
        <v>13000</v>
      </c>
      <c r="H2653">
        <v>1.6338465E-2</v>
      </c>
      <c r="I2653">
        <v>12694</v>
      </c>
      <c r="J2653">
        <v>3782</v>
      </c>
      <c r="K2653">
        <v>8912</v>
      </c>
      <c r="L2653">
        <v>500</v>
      </c>
      <c r="M2653">
        <v>499</v>
      </c>
      <c r="N2653">
        <v>1</v>
      </c>
      <c r="O2653">
        <v>306</v>
      </c>
      <c r="P2653" s="3" t="s">
        <v>50</v>
      </c>
      <c r="Q2653">
        <v>50</v>
      </c>
      <c r="R2653">
        <v>0.999</v>
      </c>
      <c r="S2653">
        <v>1</v>
      </c>
    </row>
    <row r="2654" spans="1:19" x14ac:dyDescent="0.2">
      <c r="A2654" s="3" t="s">
        <v>54</v>
      </c>
      <c r="B2654" s="3" t="s">
        <v>55</v>
      </c>
      <c r="C2654">
        <v>11</v>
      </c>
      <c r="D2654">
        <v>13000</v>
      </c>
      <c r="E2654">
        <v>499</v>
      </c>
      <c r="F2654">
        <v>1</v>
      </c>
      <c r="G2654">
        <v>13000</v>
      </c>
      <c r="H2654">
        <v>1.6329865999999998E-2</v>
      </c>
      <c r="I2654">
        <v>12714</v>
      </c>
      <c r="J2654">
        <v>3774</v>
      </c>
      <c r="K2654">
        <v>8940</v>
      </c>
      <c r="L2654">
        <v>500</v>
      </c>
      <c r="M2654">
        <v>499</v>
      </c>
      <c r="N2654">
        <v>1</v>
      </c>
      <c r="O2654">
        <v>286</v>
      </c>
      <c r="P2654" s="3" t="s">
        <v>50</v>
      </c>
      <c r="Q2654">
        <v>50</v>
      </c>
      <c r="R2654">
        <v>0.999</v>
      </c>
      <c r="S2654">
        <v>1</v>
      </c>
    </row>
    <row r="2655" spans="1:19" x14ac:dyDescent="0.2">
      <c r="A2655" s="3" t="s">
        <v>54</v>
      </c>
      <c r="B2655" s="3" t="s">
        <v>55</v>
      </c>
      <c r="C2655">
        <v>33</v>
      </c>
      <c r="D2655">
        <v>13000</v>
      </c>
      <c r="E2655">
        <v>499</v>
      </c>
      <c r="F2655">
        <v>1</v>
      </c>
      <c r="G2655">
        <v>13000</v>
      </c>
      <c r="H2655">
        <v>1.6327687E-2</v>
      </c>
      <c r="I2655">
        <v>12708</v>
      </c>
      <c r="J2655">
        <v>3806</v>
      </c>
      <c r="K2655">
        <v>8902</v>
      </c>
      <c r="L2655">
        <v>500</v>
      </c>
      <c r="M2655">
        <v>499</v>
      </c>
      <c r="N2655">
        <v>1</v>
      </c>
      <c r="O2655">
        <v>292</v>
      </c>
      <c r="P2655" s="3" t="s">
        <v>50</v>
      </c>
      <c r="Q2655">
        <v>50</v>
      </c>
      <c r="R2655">
        <v>0.999</v>
      </c>
      <c r="S2655">
        <v>1</v>
      </c>
    </row>
    <row r="2656" spans="1:19" x14ac:dyDescent="0.2">
      <c r="A2656" s="3" t="s">
        <v>54</v>
      </c>
      <c r="B2656" s="3" t="s">
        <v>55</v>
      </c>
      <c r="C2656">
        <v>25</v>
      </c>
      <c r="D2656">
        <v>13000</v>
      </c>
      <c r="E2656">
        <v>499</v>
      </c>
      <c r="F2656">
        <v>1</v>
      </c>
      <c r="G2656">
        <v>13000</v>
      </c>
      <c r="H2656">
        <v>1.6307116999999999E-2</v>
      </c>
      <c r="I2656">
        <v>12711</v>
      </c>
      <c r="J2656">
        <v>3847</v>
      </c>
      <c r="K2656">
        <v>8864</v>
      </c>
      <c r="L2656">
        <v>500</v>
      </c>
      <c r="M2656">
        <v>499</v>
      </c>
      <c r="N2656">
        <v>1</v>
      </c>
      <c r="O2656">
        <v>289</v>
      </c>
      <c r="P2656" s="3" t="s">
        <v>50</v>
      </c>
      <c r="Q2656">
        <v>50</v>
      </c>
      <c r="R2656">
        <v>0.999</v>
      </c>
      <c r="S2656">
        <v>1</v>
      </c>
    </row>
    <row r="2657" spans="1:19" x14ac:dyDescent="0.2">
      <c r="A2657" s="3" t="s">
        <v>54</v>
      </c>
      <c r="B2657" s="3" t="s">
        <v>55</v>
      </c>
      <c r="C2657">
        <v>16</v>
      </c>
      <c r="D2657">
        <v>11000</v>
      </c>
      <c r="E2657">
        <v>499</v>
      </c>
      <c r="F2657">
        <v>1</v>
      </c>
      <c r="G2657">
        <v>11000</v>
      </c>
      <c r="H2657">
        <v>1.6284756000000001E-2</v>
      </c>
      <c r="I2657">
        <v>11000</v>
      </c>
      <c r="J2657">
        <v>3692</v>
      </c>
      <c r="K2657">
        <v>7308</v>
      </c>
      <c r="L2657">
        <v>500</v>
      </c>
      <c r="M2657">
        <v>499</v>
      </c>
      <c r="N2657">
        <v>1</v>
      </c>
      <c r="O2657">
        <v>0</v>
      </c>
      <c r="P2657" s="3" t="s">
        <v>50</v>
      </c>
      <c r="Q2657">
        <v>50</v>
      </c>
      <c r="R2657">
        <v>0.999</v>
      </c>
      <c r="S2657">
        <v>1</v>
      </c>
    </row>
    <row r="2658" spans="1:19" x14ac:dyDescent="0.2">
      <c r="A2658" s="3" t="s">
        <v>54</v>
      </c>
      <c r="B2658" s="3" t="s">
        <v>55</v>
      </c>
      <c r="C2658">
        <v>17</v>
      </c>
      <c r="D2658">
        <v>12000</v>
      </c>
      <c r="E2658">
        <v>499</v>
      </c>
      <c r="F2658">
        <v>1</v>
      </c>
      <c r="G2658">
        <v>50533.323552418398</v>
      </c>
      <c r="H2658">
        <v>1.6281713999999999E-2</v>
      </c>
      <c r="I2658">
        <v>12000</v>
      </c>
      <c r="J2658">
        <v>3676</v>
      </c>
      <c r="K2658">
        <v>8324</v>
      </c>
      <c r="L2658">
        <v>500</v>
      </c>
      <c r="M2658">
        <v>499</v>
      </c>
      <c r="N2658">
        <v>1</v>
      </c>
      <c r="O2658">
        <v>0</v>
      </c>
      <c r="P2658" s="3" t="s">
        <v>50</v>
      </c>
      <c r="Q2658">
        <v>50</v>
      </c>
      <c r="R2658">
        <v>0.999</v>
      </c>
      <c r="S2658">
        <v>0</v>
      </c>
    </row>
    <row r="2659" spans="1:19" x14ac:dyDescent="0.2">
      <c r="A2659" s="3" t="s">
        <v>54</v>
      </c>
      <c r="B2659" s="3" t="s">
        <v>55</v>
      </c>
      <c r="C2659">
        <v>6</v>
      </c>
      <c r="D2659">
        <v>13000</v>
      </c>
      <c r="E2659">
        <v>499</v>
      </c>
      <c r="F2659">
        <v>1</v>
      </c>
      <c r="G2659">
        <v>13000</v>
      </c>
      <c r="H2659">
        <v>1.6276133000000002E-2</v>
      </c>
      <c r="I2659">
        <v>12703</v>
      </c>
      <c r="J2659">
        <v>3805</v>
      </c>
      <c r="K2659">
        <v>8898</v>
      </c>
      <c r="L2659">
        <v>500</v>
      </c>
      <c r="M2659">
        <v>499</v>
      </c>
      <c r="N2659">
        <v>1</v>
      </c>
      <c r="O2659">
        <v>297</v>
      </c>
      <c r="P2659" s="3" t="s">
        <v>50</v>
      </c>
      <c r="Q2659">
        <v>50</v>
      </c>
      <c r="R2659">
        <v>0.999</v>
      </c>
      <c r="S2659">
        <v>1</v>
      </c>
    </row>
    <row r="2660" spans="1:19" x14ac:dyDescent="0.2">
      <c r="A2660" s="3" t="s">
        <v>54</v>
      </c>
      <c r="B2660" s="3" t="s">
        <v>55</v>
      </c>
      <c r="C2660">
        <v>43</v>
      </c>
      <c r="D2660">
        <v>12000</v>
      </c>
      <c r="E2660">
        <v>499</v>
      </c>
      <c r="F2660">
        <v>1</v>
      </c>
      <c r="G2660">
        <v>12000</v>
      </c>
      <c r="H2660">
        <v>1.6200295E-2</v>
      </c>
      <c r="I2660">
        <v>12000</v>
      </c>
      <c r="J2660">
        <v>3651</v>
      </c>
      <c r="K2660">
        <v>8349</v>
      </c>
      <c r="L2660">
        <v>500</v>
      </c>
      <c r="M2660">
        <v>499</v>
      </c>
      <c r="N2660">
        <v>1</v>
      </c>
      <c r="O2660">
        <v>0</v>
      </c>
      <c r="P2660" s="3" t="s">
        <v>50</v>
      </c>
      <c r="Q2660">
        <v>50</v>
      </c>
      <c r="R2660">
        <v>0.999</v>
      </c>
      <c r="S2660">
        <v>1</v>
      </c>
    </row>
    <row r="2661" spans="1:19" x14ac:dyDescent="0.2">
      <c r="A2661" s="3" t="s">
        <v>54</v>
      </c>
      <c r="B2661" s="3" t="s">
        <v>55</v>
      </c>
      <c r="C2661">
        <v>41</v>
      </c>
      <c r="D2661">
        <v>13000</v>
      </c>
      <c r="E2661">
        <v>499</v>
      </c>
      <c r="F2661">
        <v>1</v>
      </c>
      <c r="G2661">
        <v>13000</v>
      </c>
      <c r="H2661">
        <v>1.6192449000000001E-2</v>
      </c>
      <c r="I2661">
        <v>12683</v>
      </c>
      <c r="J2661">
        <v>3832</v>
      </c>
      <c r="K2661">
        <v>8851</v>
      </c>
      <c r="L2661">
        <v>500</v>
      </c>
      <c r="M2661">
        <v>499</v>
      </c>
      <c r="N2661">
        <v>1</v>
      </c>
      <c r="O2661">
        <v>317</v>
      </c>
      <c r="P2661" s="3" t="s">
        <v>50</v>
      </c>
      <c r="Q2661">
        <v>50</v>
      </c>
      <c r="R2661">
        <v>0.999</v>
      </c>
      <c r="S2661">
        <v>1</v>
      </c>
    </row>
    <row r="2662" spans="1:19" x14ac:dyDescent="0.2">
      <c r="A2662" s="3" t="s">
        <v>54</v>
      </c>
      <c r="B2662" s="3" t="s">
        <v>55</v>
      </c>
      <c r="C2662">
        <v>43</v>
      </c>
      <c r="D2662">
        <v>13000</v>
      </c>
      <c r="E2662">
        <v>499</v>
      </c>
      <c r="F2662">
        <v>1</v>
      </c>
      <c r="G2662">
        <v>13000</v>
      </c>
      <c r="H2662">
        <v>1.6183248000000001E-2</v>
      </c>
      <c r="I2662">
        <v>12703</v>
      </c>
      <c r="J2662">
        <v>3771</v>
      </c>
      <c r="K2662">
        <v>8932</v>
      </c>
      <c r="L2662">
        <v>500</v>
      </c>
      <c r="M2662">
        <v>499</v>
      </c>
      <c r="N2662">
        <v>1</v>
      </c>
      <c r="O2662">
        <v>297</v>
      </c>
      <c r="P2662" s="3" t="s">
        <v>50</v>
      </c>
      <c r="Q2662">
        <v>50</v>
      </c>
      <c r="R2662">
        <v>0.999</v>
      </c>
      <c r="S2662">
        <v>1</v>
      </c>
    </row>
    <row r="2663" spans="1:19" x14ac:dyDescent="0.2">
      <c r="A2663" s="3" t="s">
        <v>54</v>
      </c>
      <c r="B2663" s="3" t="s">
        <v>55</v>
      </c>
      <c r="C2663">
        <v>47</v>
      </c>
      <c r="D2663">
        <v>12000</v>
      </c>
      <c r="E2663">
        <v>499</v>
      </c>
      <c r="F2663">
        <v>1</v>
      </c>
      <c r="G2663">
        <v>12000</v>
      </c>
      <c r="H2663">
        <v>1.6183211999999999E-2</v>
      </c>
      <c r="I2663">
        <v>12000</v>
      </c>
      <c r="J2663">
        <v>3693</v>
      </c>
      <c r="K2663">
        <v>8307</v>
      </c>
      <c r="L2663">
        <v>500</v>
      </c>
      <c r="M2663">
        <v>499</v>
      </c>
      <c r="N2663">
        <v>1</v>
      </c>
      <c r="O2663">
        <v>0</v>
      </c>
      <c r="P2663" s="3" t="s">
        <v>50</v>
      </c>
      <c r="Q2663">
        <v>50</v>
      </c>
      <c r="R2663">
        <v>0.999</v>
      </c>
      <c r="S2663">
        <v>1</v>
      </c>
    </row>
    <row r="2664" spans="1:19" x14ac:dyDescent="0.2">
      <c r="A2664" s="3" t="s">
        <v>54</v>
      </c>
      <c r="B2664" s="3" t="s">
        <v>55</v>
      </c>
      <c r="C2664">
        <v>47</v>
      </c>
      <c r="D2664">
        <v>13000</v>
      </c>
      <c r="E2664">
        <v>499</v>
      </c>
      <c r="F2664">
        <v>1</v>
      </c>
      <c r="G2664">
        <v>13000</v>
      </c>
      <c r="H2664">
        <v>1.6168004E-2</v>
      </c>
      <c r="I2664">
        <v>12700</v>
      </c>
      <c r="J2664">
        <v>3827</v>
      </c>
      <c r="K2664">
        <v>8873</v>
      </c>
      <c r="L2664">
        <v>500</v>
      </c>
      <c r="M2664">
        <v>499</v>
      </c>
      <c r="N2664">
        <v>1</v>
      </c>
      <c r="O2664">
        <v>300</v>
      </c>
      <c r="P2664" s="3" t="s">
        <v>50</v>
      </c>
      <c r="Q2664">
        <v>50</v>
      </c>
      <c r="R2664">
        <v>0.999</v>
      </c>
      <c r="S2664">
        <v>1</v>
      </c>
    </row>
    <row r="2665" spans="1:19" x14ac:dyDescent="0.2">
      <c r="A2665" s="3" t="s">
        <v>54</v>
      </c>
      <c r="B2665" s="3" t="s">
        <v>55</v>
      </c>
      <c r="C2665">
        <v>45</v>
      </c>
      <c r="D2665">
        <v>13000</v>
      </c>
      <c r="E2665">
        <v>499</v>
      </c>
      <c r="F2665">
        <v>1</v>
      </c>
      <c r="G2665">
        <v>13000</v>
      </c>
      <c r="H2665">
        <v>1.6155857999999999E-2</v>
      </c>
      <c r="I2665">
        <v>12713</v>
      </c>
      <c r="J2665">
        <v>3825</v>
      </c>
      <c r="K2665">
        <v>8888</v>
      </c>
      <c r="L2665">
        <v>500</v>
      </c>
      <c r="M2665">
        <v>499</v>
      </c>
      <c r="N2665">
        <v>1</v>
      </c>
      <c r="O2665">
        <v>287</v>
      </c>
      <c r="P2665" s="3" t="s">
        <v>50</v>
      </c>
      <c r="Q2665">
        <v>50</v>
      </c>
      <c r="R2665">
        <v>0.999</v>
      </c>
      <c r="S2665">
        <v>1</v>
      </c>
    </row>
    <row r="2666" spans="1:19" x14ac:dyDescent="0.2">
      <c r="A2666" s="3" t="s">
        <v>54</v>
      </c>
      <c r="B2666" s="3" t="s">
        <v>55</v>
      </c>
      <c r="C2666">
        <v>50</v>
      </c>
      <c r="D2666">
        <v>13000</v>
      </c>
      <c r="E2666">
        <v>499</v>
      </c>
      <c r="F2666">
        <v>1</v>
      </c>
      <c r="G2666">
        <v>13000</v>
      </c>
      <c r="H2666">
        <v>1.6149231E-2</v>
      </c>
      <c r="I2666">
        <v>12698</v>
      </c>
      <c r="J2666">
        <v>3769</v>
      </c>
      <c r="K2666">
        <v>8929</v>
      </c>
      <c r="L2666">
        <v>500</v>
      </c>
      <c r="M2666">
        <v>499</v>
      </c>
      <c r="N2666">
        <v>1</v>
      </c>
      <c r="O2666">
        <v>302</v>
      </c>
      <c r="P2666" s="3" t="s">
        <v>50</v>
      </c>
      <c r="Q2666">
        <v>50</v>
      </c>
      <c r="R2666">
        <v>0.999</v>
      </c>
      <c r="S2666">
        <v>1</v>
      </c>
    </row>
    <row r="2667" spans="1:19" x14ac:dyDescent="0.2">
      <c r="A2667" s="3" t="s">
        <v>54</v>
      </c>
      <c r="B2667" s="3" t="s">
        <v>55</v>
      </c>
      <c r="C2667">
        <v>37</v>
      </c>
      <c r="D2667">
        <v>13000</v>
      </c>
      <c r="E2667">
        <v>499</v>
      </c>
      <c r="F2667">
        <v>1</v>
      </c>
      <c r="G2667">
        <v>13000</v>
      </c>
      <c r="H2667">
        <v>1.6147881999999999E-2</v>
      </c>
      <c r="I2667">
        <v>12719</v>
      </c>
      <c r="J2667">
        <v>3830</v>
      </c>
      <c r="K2667">
        <v>8889</v>
      </c>
      <c r="L2667">
        <v>500</v>
      </c>
      <c r="M2667">
        <v>499</v>
      </c>
      <c r="N2667">
        <v>1</v>
      </c>
      <c r="O2667">
        <v>281</v>
      </c>
      <c r="P2667" s="3" t="s">
        <v>50</v>
      </c>
      <c r="Q2667">
        <v>50</v>
      </c>
      <c r="R2667">
        <v>0.999</v>
      </c>
      <c r="S2667">
        <v>1</v>
      </c>
    </row>
    <row r="2668" spans="1:19" x14ac:dyDescent="0.2">
      <c r="A2668" s="3" t="s">
        <v>54</v>
      </c>
      <c r="B2668" s="3" t="s">
        <v>55</v>
      </c>
      <c r="C2668">
        <v>29</v>
      </c>
      <c r="D2668">
        <v>13000</v>
      </c>
      <c r="E2668">
        <v>499</v>
      </c>
      <c r="F2668">
        <v>1</v>
      </c>
      <c r="G2668">
        <v>13000</v>
      </c>
      <c r="H2668">
        <v>1.6143877000000001E-2</v>
      </c>
      <c r="I2668">
        <v>12712</v>
      </c>
      <c r="J2668">
        <v>3827</v>
      </c>
      <c r="K2668">
        <v>8885</v>
      </c>
      <c r="L2668">
        <v>500</v>
      </c>
      <c r="M2668">
        <v>499</v>
      </c>
      <c r="N2668">
        <v>1</v>
      </c>
      <c r="O2668">
        <v>288</v>
      </c>
      <c r="P2668" s="3" t="s">
        <v>50</v>
      </c>
      <c r="Q2668">
        <v>50</v>
      </c>
      <c r="R2668">
        <v>0.999</v>
      </c>
      <c r="S2668">
        <v>1</v>
      </c>
    </row>
    <row r="2669" spans="1:19" x14ac:dyDescent="0.2">
      <c r="A2669" s="3" t="s">
        <v>54</v>
      </c>
      <c r="B2669" s="3" t="s">
        <v>55</v>
      </c>
      <c r="C2669">
        <v>31</v>
      </c>
      <c r="D2669">
        <v>13000</v>
      </c>
      <c r="E2669">
        <v>499</v>
      </c>
      <c r="F2669">
        <v>1</v>
      </c>
      <c r="G2669">
        <v>13000</v>
      </c>
      <c r="H2669">
        <v>1.6128238999999999E-2</v>
      </c>
      <c r="I2669">
        <v>12701</v>
      </c>
      <c r="J2669">
        <v>3855</v>
      </c>
      <c r="K2669">
        <v>8846</v>
      </c>
      <c r="L2669">
        <v>500</v>
      </c>
      <c r="M2669">
        <v>499</v>
      </c>
      <c r="N2669">
        <v>1</v>
      </c>
      <c r="O2669">
        <v>299</v>
      </c>
      <c r="P2669" s="3" t="s">
        <v>50</v>
      </c>
      <c r="Q2669">
        <v>50</v>
      </c>
      <c r="R2669">
        <v>0.999</v>
      </c>
      <c r="S2669">
        <v>1</v>
      </c>
    </row>
    <row r="2670" spans="1:19" x14ac:dyDescent="0.2">
      <c r="A2670" s="3" t="s">
        <v>54</v>
      </c>
      <c r="B2670" s="3" t="s">
        <v>55</v>
      </c>
      <c r="C2670">
        <v>2</v>
      </c>
      <c r="D2670">
        <v>11000</v>
      </c>
      <c r="E2670">
        <v>499</v>
      </c>
      <c r="F2670">
        <v>1</v>
      </c>
      <c r="G2670">
        <v>11000</v>
      </c>
      <c r="H2670">
        <v>1.6119266E-2</v>
      </c>
      <c r="I2670">
        <v>11000</v>
      </c>
      <c r="J2670">
        <v>3650</v>
      </c>
      <c r="K2670">
        <v>7350</v>
      </c>
      <c r="L2670">
        <v>500</v>
      </c>
      <c r="M2670">
        <v>499</v>
      </c>
      <c r="N2670">
        <v>1</v>
      </c>
      <c r="O2670">
        <v>0</v>
      </c>
      <c r="P2670" s="3" t="s">
        <v>50</v>
      </c>
      <c r="Q2670">
        <v>50</v>
      </c>
      <c r="R2670">
        <v>0.999</v>
      </c>
      <c r="S2670">
        <v>1</v>
      </c>
    </row>
    <row r="2671" spans="1:19" x14ac:dyDescent="0.2">
      <c r="A2671" s="3" t="s">
        <v>54</v>
      </c>
      <c r="B2671" s="3" t="s">
        <v>55</v>
      </c>
      <c r="C2671">
        <v>38</v>
      </c>
      <c r="D2671">
        <v>13000</v>
      </c>
      <c r="E2671">
        <v>499</v>
      </c>
      <c r="F2671">
        <v>1</v>
      </c>
      <c r="G2671">
        <v>13000</v>
      </c>
      <c r="H2671">
        <v>1.6103269E-2</v>
      </c>
      <c r="I2671">
        <v>12700</v>
      </c>
      <c r="J2671">
        <v>3769</v>
      </c>
      <c r="K2671">
        <v>8931</v>
      </c>
      <c r="L2671">
        <v>500</v>
      </c>
      <c r="M2671">
        <v>499</v>
      </c>
      <c r="N2671">
        <v>1</v>
      </c>
      <c r="O2671">
        <v>300</v>
      </c>
      <c r="P2671" s="3" t="s">
        <v>50</v>
      </c>
      <c r="Q2671">
        <v>50</v>
      </c>
      <c r="R2671">
        <v>0.999</v>
      </c>
      <c r="S2671">
        <v>1</v>
      </c>
    </row>
    <row r="2672" spans="1:19" x14ac:dyDescent="0.2">
      <c r="A2672" s="3" t="s">
        <v>54</v>
      </c>
      <c r="B2672" s="3" t="s">
        <v>55</v>
      </c>
      <c r="C2672">
        <v>36</v>
      </c>
      <c r="D2672">
        <v>13000</v>
      </c>
      <c r="E2672">
        <v>499</v>
      </c>
      <c r="F2672">
        <v>1</v>
      </c>
      <c r="G2672">
        <v>13000</v>
      </c>
      <c r="H2672">
        <v>1.6100600999999999E-2</v>
      </c>
      <c r="I2672">
        <v>12694</v>
      </c>
      <c r="J2672">
        <v>3803</v>
      </c>
      <c r="K2672">
        <v>8891</v>
      </c>
      <c r="L2672">
        <v>500</v>
      </c>
      <c r="M2672">
        <v>499</v>
      </c>
      <c r="N2672">
        <v>1</v>
      </c>
      <c r="O2672">
        <v>306</v>
      </c>
      <c r="P2672" s="3" t="s">
        <v>50</v>
      </c>
      <c r="Q2672">
        <v>50</v>
      </c>
      <c r="R2672">
        <v>0.999</v>
      </c>
      <c r="S2672">
        <v>1</v>
      </c>
    </row>
    <row r="2673" spans="1:19" x14ac:dyDescent="0.2">
      <c r="A2673" s="3" t="s">
        <v>54</v>
      </c>
      <c r="B2673" s="3" t="s">
        <v>55</v>
      </c>
      <c r="C2673">
        <v>39</v>
      </c>
      <c r="D2673">
        <v>13000</v>
      </c>
      <c r="E2673">
        <v>499</v>
      </c>
      <c r="F2673">
        <v>1</v>
      </c>
      <c r="G2673">
        <v>13000</v>
      </c>
      <c r="H2673">
        <v>1.6099756999999999E-2</v>
      </c>
      <c r="I2673">
        <v>12697</v>
      </c>
      <c r="J2673">
        <v>3806</v>
      </c>
      <c r="K2673">
        <v>8891</v>
      </c>
      <c r="L2673">
        <v>500</v>
      </c>
      <c r="M2673">
        <v>499</v>
      </c>
      <c r="N2673">
        <v>1</v>
      </c>
      <c r="O2673">
        <v>303</v>
      </c>
      <c r="P2673" s="3" t="s">
        <v>50</v>
      </c>
      <c r="Q2673">
        <v>50</v>
      </c>
      <c r="R2673">
        <v>0.999</v>
      </c>
      <c r="S2673">
        <v>1</v>
      </c>
    </row>
    <row r="2674" spans="1:19" x14ac:dyDescent="0.2">
      <c r="A2674" s="3" t="s">
        <v>54</v>
      </c>
      <c r="B2674" s="3" t="s">
        <v>55</v>
      </c>
      <c r="C2674">
        <v>9</v>
      </c>
      <c r="D2674">
        <v>13000</v>
      </c>
      <c r="E2674">
        <v>499</v>
      </c>
      <c r="F2674">
        <v>1</v>
      </c>
      <c r="G2674">
        <v>13000</v>
      </c>
      <c r="H2674">
        <v>1.6088216999999998E-2</v>
      </c>
      <c r="I2674">
        <v>12705</v>
      </c>
      <c r="J2674">
        <v>3791</v>
      </c>
      <c r="K2674">
        <v>8914</v>
      </c>
      <c r="L2674">
        <v>500</v>
      </c>
      <c r="M2674">
        <v>499</v>
      </c>
      <c r="N2674">
        <v>1</v>
      </c>
      <c r="O2674">
        <v>295</v>
      </c>
      <c r="P2674" s="3" t="s">
        <v>50</v>
      </c>
      <c r="Q2674">
        <v>50</v>
      </c>
      <c r="R2674">
        <v>0.999</v>
      </c>
      <c r="S2674">
        <v>1</v>
      </c>
    </row>
    <row r="2675" spans="1:19" x14ac:dyDescent="0.2">
      <c r="A2675" s="3" t="s">
        <v>54</v>
      </c>
      <c r="B2675" s="3" t="s">
        <v>55</v>
      </c>
      <c r="C2675">
        <v>46</v>
      </c>
      <c r="D2675">
        <v>13000</v>
      </c>
      <c r="E2675">
        <v>499</v>
      </c>
      <c r="F2675">
        <v>1</v>
      </c>
      <c r="G2675">
        <v>13000</v>
      </c>
      <c r="H2675">
        <v>1.6086474999999999E-2</v>
      </c>
      <c r="I2675">
        <v>12711</v>
      </c>
      <c r="J2675">
        <v>3878</v>
      </c>
      <c r="K2675">
        <v>8833</v>
      </c>
      <c r="L2675">
        <v>500</v>
      </c>
      <c r="M2675">
        <v>499</v>
      </c>
      <c r="N2675">
        <v>1</v>
      </c>
      <c r="O2675">
        <v>289</v>
      </c>
      <c r="P2675" s="3" t="s">
        <v>50</v>
      </c>
      <c r="Q2675">
        <v>50</v>
      </c>
      <c r="R2675">
        <v>0.999</v>
      </c>
      <c r="S2675">
        <v>1</v>
      </c>
    </row>
    <row r="2676" spans="1:19" x14ac:dyDescent="0.2">
      <c r="A2676" s="3" t="s">
        <v>54</v>
      </c>
      <c r="B2676" s="3" t="s">
        <v>55</v>
      </c>
      <c r="C2676">
        <v>28</v>
      </c>
      <c r="D2676">
        <v>13000</v>
      </c>
      <c r="E2676">
        <v>499</v>
      </c>
      <c r="F2676">
        <v>1</v>
      </c>
      <c r="G2676">
        <v>13000</v>
      </c>
      <c r="H2676">
        <v>1.6065995999999999E-2</v>
      </c>
      <c r="I2676">
        <v>12726</v>
      </c>
      <c r="J2676">
        <v>3843</v>
      </c>
      <c r="K2676">
        <v>8883</v>
      </c>
      <c r="L2676">
        <v>500</v>
      </c>
      <c r="M2676">
        <v>499</v>
      </c>
      <c r="N2676">
        <v>1</v>
      </c>
      <c r="O2676">
        <v>274</v>
      </c>
      <c r="P2676" s="3" t="s">
        <v>50</v>
      </c>
      <c r="Q2676">
        <v>50</v>
      </c>
      <c r="R2676">
        <v>0.999</v>
      </c>
      <c r="S2676">
        <v>1</v>
      </c>
    </row>
    <row r="2677" spans="1:19" x14ac:dyDescent="0.2">
      <c r="A2677" s="3" t="s">
        <v>54</v>
      </c>
      <c r="B2677" s="3" t="s">
        <v>55</v>
      </c>
      <c r="C2677">
        <v>48</v>
      </c>
      <c r="D2677">
        <v>10000</v>
      </c>
      <c r="E2677">
        <v>499</v>
      </c>
      <c r="F2677">
        <v>1</v>
      </c>
      <c r="G2677">
        <v>39482.677260513999</v>
      </c>
      <c r="H2677">
        <v>1.6043933999999999E-2</v>
      </c>
      <c r="I2677">
        <v>10000</v>
      </c>
      <c r="J2677">
        <v>2693</v>
      </c>
      <c r="K2677">
        <v>7307</v>
      </c>
      <c r="L2677">
        <v>500</v>
      </c>
      <c r="M2677">
        <v>499</v>
      </c>
      <c r="N2677">
        <v>1</v>
      </c>
      <c r="O2677">
        <v>0</v>
      </c>
      <c r="P2677" s="3" t="s">
        <v>52</v>
      </c>
      <c r="Q2677">
        <v>50</v>
      </c>
      <c r="R2677">
        <v>0.999</v>
      </c>
      <c r="S2677">
        <v>0</v>
      </c>
    </row>
    <row r="2678" spans="1:19" x14ac:dyDescent="0.2">
      <c r="A2678" s="3" t="s">
        <v>54</v>
      </c>
      <c r="B2678" s="3" t="s">
        <v>55</v>
      </c>
      <c r="C2678">
        <v>1</v>
      </c>
      <c r="D2678">
        <v>13000</v>
      </c>
      <c r="E2678">
        <v>499</v>
      </c>
      <c r="F2678">
        <v>1</v>
      </c>
      <c r="G2678">
        <v>13000</v>
      </c>
      <c r="H2678">
        <v>1.6041942999999999E-2</v>
      </c>
      <c r="I2678">
        <v>12688</v>
      </c>
      <c r="J2678">
        <v>3716</v>
      </c>
      <c r="K2678">
        <v>8972</v>
      </c>
      <c r="L2678">
        <v>500</v>
      </c>
      <c r="M2678">
        <v>499</v>
      </c>
      <c r="N2678">
        <v>1</v>
      </c>
      <c r="O2678">
        <v>312</v>
      </c>
      <c r="P2678" s="3" t="s">
        <v>52</v>
      </c>
      <c r="Q2678">
        <v>50</v>
      </c>
      <c r="R2678">
        <v>0.999</v>
      </c>
      <c r="S2678">
        <v>1</v>
      </c>
    </row>
    <row r="2679" spans="1:19" x14ac:dyDescent="0.2">
      <c r="A2679" s="3" t="s">
        <v>54</v>
      </c>
      <c r="B2679" s="3" t="s">
        <v>55</v>
      </c>
      <c r="C2679">
        <v>24</v>
      </c>
      <c r="D2679">
        <v>13000</v>
      </c>
      <c r="E2679">
        <v>499</v>
      </c>
      <c r="F2679">
        <v>1</v>
      </c>
      <c r="G2679">
        <v>13000</v>
      </c>
      <c r="H2679">
        <v>1.6034078E-2</v>
      </c>
      <c r="I2679">
        <v>12718</v>
      </c>
      <c r="J2679">
        <v>3865</v>
      </c>
      <c r="K2679">
        <v>8853</v>
      </c>
      <c r="L2679">
        <v>500</v>
      </c>
      <c r="M2679">
        <v>499</v>
      </c>
      <c r="N2679">
        <v>1</v>
      </c>
      <c r="O2679">
        <v>282</v>
      </c>
      <c r="P2679" s="3" t="s">
        <v>50</v>
      </c>
      <c r="Q2679">
        <v>50</v>
      </c>
      <c r="R2679">
        <v>0.999</v>
      </c>
      <c r="S2679">
        <v>1</v>
      </c>
    </row>
    <row r="2680" spans="1:19" x14ac:dyDescent="0.2">
      <c r="A2680" s="3" t="s">
        <v>54</v>
      </c>
      <c r="B2680" s="3" t="s">
        <v>55</v>
      </c>
      <c r="C2680">
        <v>21</v>
      </c>
      <c r="D2680">
        <v>13000</v>
      </c>
      <c r="E2680">
        <v>499</v>
      </c>
      <c r="F2680">
        <v>1</v>
      </c>
      <c r="G2680">
        <v>13000</v>
      </c>
      <c r="H2680">
        <v>1.6030394E-2</v>
      </c>
      <c r="I2680">
        <v>12710</v>
      </c>
      <c r="J2680">
        <v>3822</v>
      </c>
      <c r="K2680">
        <v>8888</v>
      </c>
      <c r="L2680">
        <v>500</v>
      </c>
      <c r="M2680">
        <v>499</v>
      </c>
      <c r="N2680">
        <v>1</v>
      </c>
      <c r="O2680">
        <v>290</v>
      </c>
      <c r="P2680" s="3" t="s">
        <v>50</v>
      </c>
      <c r="Q2680">
        <v>50</v>
      </c>
      <c r="R2680">
        <v>0.999</v>
      </c>
      <c r="S2680">
        <v>1</v>
      </c>
    </row>
    <row r="2681" spans="1:19" x14ac:dyDescent="0.2">
      <c r="A2681" s="3" t="s">
        <v>54</v>
      </c>
      <c r="B2681" s="3" t="s">
        <v>55</v>
      </c>
      <c r="C2681">
        <v>35</v>
      </c>
      <c r="D2681">
        <v>13000</v>
      </c>
      <c r="E2681">
        <v>499</v>
      </c>
      <c r="F2681">
        <v>1</v>
      </c>
      <c r="G2681">
        <v>13000</v>
      </c>
      <c r="H2681">
        <v>1.6018055E-2</v>
      </c>
      <c r="I2681">
        <v>12715</v>
      </c>
      <c r="J2681">
        <v>3800</v>
      </c>
      <c r="K2681">
        <v>8915</v>
      </c>
      <c r="L2681">
        <v>500</v>
      </c>
      <c r="M2681">
        <v>499</v>
      </c>
      <c r="N2681">
        <v>1</v>
      </c>
      <c r="O2681">
        <v>285</v>
      </c>
      <c r="P2681" s="3" t="s">
        <v>50</v>
      </c>
      <c r="Q2681">
        <v>50</v>
      </c>
      <c r="R2681">
        <v>0.999</v>
      </c>
      <c r="S2681">
        <v>1</v>
      </c>
    </row>
    <row r="2682" spans="1:19" x14ac:dyDescent="0.2">
      <c r="A2682" s="3" t="s">
        <v>54</v>
      </c>
      <c r="B2682" s="3" t="s">
        <v>55</v>
      </c>
      <c r="C2682">
        <v>2</v>
      </c>
      <c r="D2682">
        <v>13000</v>
      </c>
      <c r="E2682">
        <v>499</v>
      </c>
      <c r="F2682">
        <v>1</v>
      </c>
      <c r="G2682">
        <v>13000</v>
      </c>
      <c r="H2682">
        <v>1.5969334000000002E-2</v>
      </c>
      <c r="I2682">
        <v>12689</v>
      </c>
      <c r="J2682">
        <v>3774</v>
      </c>
      <c r="K2682">
        <v>8915</v>
      </c>
      <c r="L2682">
        <v>500</v>
      </c>
      <c r="M2682">
        <v>499</v>
      </c>
      <c r="N2682">
        <v>1</v>
      </c>
      <c r="O2682">
        <v>311</v>
      </c>
      <c r="P2682" s="3" t="s">
        <v>50</v>
      </c>
      <c r="Q2682">
        <v>50</v>
      </c>
      <c r="R2682">
        <v>0.999</v>
      </c>
      <c r="S2682">
        <v>1</v>
      </c>
    </row>
    <row r="2683" spans="1:19" x14ac:dyDescent="0.2">
      <c r="A2683" s="3" t="s">
        <v>54</v>
      </c>
      <c r="B2683" s="3" t="s">
        <v>55</v>
      </c>
      <c r="C2683">
        <v>42</v>
      </c>
      <c r="D2683">
        <v>13000</v>
      </c>
      <c r="E2683">
        <v>499</v>
      </c>
      <c r="F2683">
        <v>1</v>
      </c>
      <c r="G2683">
        <v>13000</v>
      </c>
      <c r="H2683">
        <v>1.5966622E-2</v>
      </c>
      <c r="I2683">
        <v>12717</v>
      </c>
      <c r="J2683">
        <v>3782</v>
      </c>
      <c r="K2683">
        <v>8935</v>
      </c>
      <c r="L2683">
        <v>500</v>
      </c>
      <c r="M2683">
        <v>499</v>
      </c>
      <c r="N2683">
        <v>1</v>
      </c>
      <c r="O2683">
        <v>283</v>
      </c>
      <c r="P2683" s="3" t="s">
        <v>50</v>
      </c>
      <c r="Q2683">
        <v>50</v>
      </c>
      <c r="R2683">
        <v>0.999</v>
      </c>
      <c r="S2683">
        <v>1</v>
      </c>
    </row>
    <row r="2684" spans="1:19" x14ac:dyDescent="0.2">
      <c r="A2684" s="3" t="s">
        <v>54</v>
      </c>
      <c r="B2684" s="3" t="s">
        <v>55</v>
      </c>
      <c r="C2684">
        <v>22</v>
      </c>
      <c r="D2684">
        <v>13000</v>
      </c>
      <c r="E2684">
        <v>499</v>
      </c>
      <c r="F2684">
        <v>1</v>
      </c>
      <c r="G2684">
        <v>13000</v>
      </c>
      <c r="H2684">
        <v>1.5950781000000001E-2</v>
      </c>
      <c r="I2684">
        <v>12704</v>
      </c>
      <c r="J2684">
        <v>3835</v>
      </c>
      <c r="K2684">
        <v>8869</v>
      </c>
      <c r="L2684">
        <v>500</v>
      </c>
      <c r="M2684">
        <v>499</v>
      </c>
      <c r="N2684">
        <v>1</v>
      </c>
      <c r="O2684">
        <v>296</v>
      </c>
      <c r="P2684" s="3" t="s">
        <v>50</v>
      </c>
      <c r="Q2684">
        <v>50</v>
      </c>
      <c r="R2684">
        <v>0.999</v>
      </c>
      <c r="S2684">
        <v>1</v>
      </c>
    </row>
    <row r="2685" spans="1:19" x14ac:dyDescent="0.2">
      <c r="A2685" s="3" t="s">
        <v>54</v>
      </c>
      <c r="B2685" s="3" t="s">
        <v>55</v>
      </c>
      <c r="C2685">
        <v>4</v>
      </c>
      <c r="D2685">
        <v>13000</v>
      </c>
      <c r="E2685">
        <v>499</v>
      </c>
      <c r="F2685">
        <v>1</v>
      </c>
      <c r="G2685">
        <v>13000</v>
      </c>
      <c r="H2685">
        <v>1.5906001999999999E-2</v>
      </c>
      <c r="I2685">
        <v>12711</v>
      </c>
      <c r="J2685">
        <v>3810</v>
      </c>
      <c r="K2685">
        <v>8901</v>
      </c>
      <c r="L2685">
        <v>500</v>
      </c>
      <c r="M2685">
        <v>499</v>
      </c>
      <c r="N2685">
        <v>1</v>
      </c>
      <c r="O2685">
        <v>289</v>
      </c>
      <c r="P2685" s="3" t="s">
        <v>50</v>
      </c>
      <c r="Q2685">
        <v>50</v>
      </c>
      <c r="R2685">
        <v>0.999</v>
      </c>
      <c r="S2685">
        <v>1</v>
      </c>
    </row>
    <row r="2686" spans="1:19" x14ac:dyDescent="0.2">
      <c r="A2686" s="3" t="s">
        <v>54</v>
      </c>
      <c r="B2686" s="3" t="s">
        <v>55</v>
      </c>
      <c r="C2686">
        <v>14</v>
      </c>
      <c r="D2686">
        <v>12000</v>
      </c>
      <c r="E2686">
        <v>499</v>
      </c>
      <c r="F2686">
        <v>1</v>
      </c>
      <c r="G2686">
        <v>12000</v>
      </c>
      <c r="H2686">
        <v>1.5889613E-2</v>
      </c>
      <c r="I2686">
        <v>12000</v>
      </c>
      <c r="J2686">
        <v>3679</v>
      </c>
      <c r="K2686">
        <v>8321</v>
      </c>
      <c r="L2686">
        <v>500</v>
      </c>
      <c r="M2686">
        <v>499</v>
      </c>
      <c r="N2686">
        <v>1</v>
      </c>
      <c r="O2686">
        <v>0</v>
      </c>
      <c r="P2686" s="3" t="s">
        <v>50</v>
      </c>
      <c r="Q2686">
        <v>50</v>
      </c>
      <c r="R2686">
        <v>0.999</v>
      </c>
      <c r="S2686">
        <v>1</v>
      </c>
    </row>
    <row r="2687" spans="1:19" x14ac:dyDescent="0.2">
      <c r="A2687" s="3" t="s">
        <v>54</v>
      </c>
      <c r="B2687" s="3" t="s">
        <v>55</v>
      </c>
      <c r="C2687">
        <v>23</v>
      </c>
      <c r="D2687">
        <v>13000</v>
      </c>
      <c r="E2687">
        <v>499</v>
      </c>
      <c r="F2687">
        <v>1</v>
      </c>
      <c r="G2687">
        <v>13000</v>
      </c>
      <c r="H2687">
        <v>1.5876465999999999E-2</v>
      </c>
      <c r="I2687">
        <v>12717</v>
      </c>
      <c r="J2687">
        <v>3825</v>
      </c>
      <c r="K2687">
        <v>8892</v>
      </c>
      <c r="L2687">
        <v>500</v>
      </c>
      <c r="M2687">
        <v>499</v>
      </c>
      <c r="N2687">
        <v>1</v>
      </c>
      <c r="O2687">
        <v>283</v>
      </c>
      <c r="P2687" s="3" t="s">
        <v>50</v>
      </c>
      <c r="Q2687">
        <v>50</v>
      </c>
      <c r="R2687">
        <v>0.999</v>
      </c>
      <c r="S2687">
        <v>1</v>
      </c>
    </row>
    <row r="2688" spans="1:19" x14ac:dyDescent="0.2">
      <c r="A2688" s="3" t="s">
        <v>54</v>
      </c>
      <c r="B2688" s="3" t="s">
        <v>55</v>
      </c>
      <c r="C2688">
        <v>3</v>
      </c>
      <c r="D2688">
        <v>10000</v>
      </c>
      <c r="E2688">
        <v>499</v>
      </c>
      <c r="F2688">
        <v>1</v>
      </c>
      <c r="G2688">
        <v>10000</v>
      </c>
      <c r="H2688">
        <v>1.5713667000000001E-2</v>
      </c>
      <c r="I2688">
        <v>10000</v>
      </c>
      <c r="J2688">
        <v>3562</v>
      </c>
      <c r="K2688">
        <v>6438</v>
      </c>
      <c r="L2688">
        <v>500</v>
      </c>
      <c r="M2688">
        <v>499</v>
      </c>
      <c r="N2688">
        <v>1</v>
      </c>
      <c r="O2688">
        <v>0</v>
      </c>
      <c r="P2688" s="3" t="s">
        <v>50</v>
      </c>
      <c r="Q2688">
        <v>50</v>
      </c>
      <c r="R2688">
        <v>0.999</v>
      </c>
      <c r="S2688">
        <v>1</v>
      </c>
    </row>
    <row r="2689" spans="1:19" x14ac:dyDescent="0.2">
      <c r="A2689" s="3" t="s">
        <v>54</v>
      </c>
      <c r="B2689" s="3" t="s">
        <v>55</v>
      </c>
      <c r="C2689">
        <v>31</v>
      </c>
      <c r="D2689">
        <v>11000</v>
      </c>
      <c r="E2689">
        <v>499</v>
      </c>
      <c r="F2689">
        <v>1</v>
      </c>
      <c r="G2689">
        <v>44062.122210792702</v>
      </c>
      <c r="H2689">
        <v>1.5588965E-2</v>
      </c>
      <c r="I2689">
        <v>11000</v>
      </c>
      <c r="J2689">
        <v>3681</v>
      </c>
      <c r="K2689">
        <v>7319</v>
      </c>
      <c r="L2689">
        <v>500</v>
      </c>
      <c r="M2689">
        <v>499</v>
      </c>
      <c r="N2689">
        <v>1</v>
      </c>
      <c r="O2689">
        <v>0</v>
      </c>
      <c r="P2689" s="3" t="s">
        <v>50</v>
      </c>
      <c r="Q2689">
        <v>50</v>
      </c>
      <c r="R2689">
        <v>0.999</v>
      </c>
      <c r="S2689">
        <v>0</v>
      </c>
    </row>
    <row r="2690" spans="1:19" x14ac:dyDescent="0.2">
      <c r="A2690" s="3" t="s">
        <v>54</v>
      </c>
      <c r="B2690" s="3" t="s">
        <v>55</v>
      </c>
      <c r="C2690">
        <v>18</v>
      </c>
      <c r="D2690">
        <v>12000</v>
      </c>
      <c r="E2690">
        <v>499</v>
      </c>
      <c r="F2690">
        <v>1</v>
      </c>
      <c r="G2690">
        <v>12000</v>
      </c>
      <c r="H2690">
        <v>1.5498849E-2</v>
      </c>
      <c r="I2690">
        <v>12000</v>
      </c>
      <c r="J2690">
        <v>3662</v>
      </c>
      <c r="K2690">
        <v>8338</v>
      </c>
      <c r="L2690">
        <v>500</v>
      </c>
      <c r="M2690">
        <v>499</v>
      </c>
      <c r="N2690">
        <v>1</v>
      </c>
      <c r="O2690">
        <v>0</v>
      </c>
      <c r="P2690" s="3" t="s">
        <v>50</v>
      </c>
      <c r="Q2690">
        <v>50</v>
      </c>
      <c r="R2690">
        <v>0.999</v>
      </c>
      <c r="S2690">
        <v>1</v>
      </c>
    </row>
    <row r="2691" spans="1:19" x14ac:dyDescent="0.2">
      <c r="A2691" s="3" t="s">
        <v>54</v>
      </c>
      <c r="B2691" s="3" t="s">
        <v>55</v>
      </c>
      <c r="C2691">
        <v>46</v>
      </c>
      <c r="D2691">
        <v>12000</v>
      </c>
      <c r="E2691">
        <v>499</v>
      </c>
      <c r="F2691">
        <v>1</v>
      </c>
      <c r="G2691">
        <v>50533.323552418398</v>
      </c>
      <c r="H2691">
        <v>1.5425596999999999E-2</v>
      </c>
      <c r="I2691">
        <v>12000</v>
      </c>
      <c r="J2691">
        <v>3712</v>
      </c>
      <c r="K2691">
        <v>8288</v>
      </c>
      <c r="L2691">
        <v>500</v>
      </c>
      <c r="M2691">
        <v>499</v>
      </c>
      <c r="N2691">
        <v>1</v>
      </c>
      <c r="O2691">
        <v>0</v>
      </c>
      <c r="P2691" s="3" t="s">
        <v>50</v>
      </c>
      <c r="Q2691">
        <v>50</v>
      </c>
      <c r="R2691">
        <v>0.999</v>
      </c>
      <c r="S2691">
        <v>0</v>
      </c>
    </row>
    <row r="2692" spans="1:19" x14ac:dyDescent="0.2">
      <c r="A2692" s="3" t="s">
        <v>54</v>
      </c>
      <c r="B2692" s="3" t="s">
        <v>55</v>
      </c>
      <c r="C2692">
        <v>39</v>
      </c>
      <c r="D2692">
        <v>10000</v>
      </c>
      <c r="E2692">
        <v>499</v>
      </c>
      <c r="F2692">
        <v>1</v>
      </c>
      <c r="G2692">
        <v>10000</v>
      </c>
      <c r="H2692">
        <v>1.5424589000000001E-2</v>
      </c>
      <c r="I2692">
        <v>10000</v>
      </c>
      <c r="J2692">
        <v>2687</v>
      </c>
      <c r="K2692">
        <v>7313</v>
      </c>
      <c r="L2692">
        <v>500</v>
      </c>
      <c r="M2692">
        <v>499</v>
      </c>
      <c r="N2692">
        <v>1</v>
      </c>
      <c r="O2692">
        <v>0</v>
      </c>
      <c r="P2692" s="3" t="s">
        <v>52</v>
      </c>
      <c r="Q2692">
        <v>50</v>
      </c>
      <c r="R2692">
        <v>0.999</v>
      </c>
      <c r="S2692">
        <v>1</v>
      </c>
    </row>
    <row r="2693" spans="1:19" x14ac:dyDescent="0.2">
      <c r="A2693" s="3" t="s">
        <v>54</v>
      </c>
      <c r="B2693" s="3" t="s">
        <v>55</v>
      </c>
      <c r="C2693">
        <v>8</v>
      </c>
      <c r="D2693">
        <v>11000</v>
      </c>
      <c r="E2693">
        <v>499</v>
      </c>
      <c r="F2693">
        <v>1</v>
      </c>
      <c r="G2693">
        <v>11000</v>
      </c>
      <c r="H2693">
        <v>1.5417228E-2</v>
      </c>
      <c r="I2693">
        <v>11000</v>
      </c>
      <c r="J2693">
        <v>3597</v>
      </c>
      <c r="K2693">
        <v>7403</v>
      </c>
      <c r="L2693">
        <v>500</v>
      </c>
      <c r="M2693">
        <v>499</v>
      </c>
      <c r="N2693">
        <v>1</v>
      </c>
      <c r="O2693">
        <v>0</v>
      </c>
      <c r="P2693" s="3" t="s">
        <v>50</v>
      </c>
      <c r="Q2693">
        <v>50</v>
      </c>
      <c r="R2693">
        <v>0.999</v>
      </c>
      <c r="S2693">
        <v>1</v>
      </c>
    </row>
    <row r="2694" spans="1:19" x14ac:dyDescent="0.2">
      <c r="A2694" s="3" t="s">
        <v>54</v>
      </c>
      <c r="B2694" s="3" t="s">
        <v>55</v>
      </c>
      <c r="C2694">
        <v>13</v>
      </c>
      <c r="D2694">
        <v>11000</v>
      </c>
      <c r="E2694">
        <v>499</v>
      </c>
      <c r="F2694">
        <v>1</v>
      </c>
      <c r="G2694">
        <v>11000</v>
      </c>
      <c r="H2694">
        <v>1.5415824999999999E-2</v>
      </c>
      <c r="I2694">
        <v>11000</v>
      </c>
      <c r="J2694">
        <v>3665</v>
      </c>
      <c r="K2694">
        <v>7335</v>
      </c>
      <c r="L2694">
        <v>500</v>
      </c>
      <c r="M2694">
        <v>499</v>
      </c>
      <c r="N2694">
        <v>1</v>
      </c>
      <c r="O2694">
        <v>0</v>
      </c>
      <c r="P2694" s="3" t="s">
        <v>50</v>
      </c>
      <c r="Q2694">
        <v>50</v>
      </c>
      <c r="R2694">
        <v>0.999</v>
      </c>
      <c r="S2694">
        <v>1</v>
      </c>
    </row>
    <row r="2695" spans="1:19" x14ac:dyDescent="0.2">
      <c r="A2695" s="3" t="s">
        <v>54</v>
      </c>
      <c r="B2695" s="3" t="s">
        <v>55</v>
      </c>
      <c r="C2695">
        <v>26</v>
      </c>
      <c r="D2695">
        <v>13000</v>
      </c>
      <c r="E2695">
        <v>499</v>
      </c>
      <c r="F2695">
        <v>1</v>
      </c>
      <c r="G2695">
        <v>13000</v>
      </c>
      <c r="H2695">
        <v>1.5378663000000001E-2</v>
      </c>
      <c r="I2695">
        <v>12711</v>
      </c>
      <c r="J2695">
        <v>3820</v>
      </c>
      <c r="K2695">
        <v>8891</v>
      </c>
      <c r="L2695">
        <v>500</v>
      </c>
      <c r="M2695">
        <v>499</v>
      </c>
      <c r="N2695">
        <v>1</v>
      </c>
      <c r="O2695">
        <v>289</v>
      </c>
      <c r="P2695" s="3" t="s">
        <v>52</v>
      </c>
      <c r="Q2695">
        <v>50</v>
      </c>
      <c r="R2695">
        <v>0.999</v>
      </c>
      <c r="S2695">
        <v>1</v>
      </c>
    </row>
    <row r="2696" spans="1:19" x14ac:dyDescent="0.2">
      <c r="A2696" s="3" t="s">
        <v>54</v>
      </c>
      <c r="B2696" s="3" t="s">
        <v>55</v>
      </c>
      <c r="C2696">
        <v>6</v>
      </c>
      <c r="D2696">
        <v>10000</v>
      </c>
      <c r="E2696">
        <v>499</v>
      </c>
      <c r="F2696">
        <v>1</v>
      </c>
      <c r="G2696">
        <v>39482.677260513999</v>
      </c>
      <c r="H2696">
        <v>1.5377126E-2</v>
      </c>
      <c r="I2696">
        <v>10000</v>
      </c>
      <c r="J2696">
        <v>3588</v>
      </c>
      <c r="K2696">
        <v>6412</v>
      </c>
      <c r="L2696">
        <v>500</v>
      </c>
      <c r="M2696">
        <v>499</v>
      </c>
      <c r="N2696">
        <v>1</v>
      </c>
      <c r="O2696">
        <v>0</v>
      </c>
      <c r="P2696" s="3" t="s">
        <v>50</v>
      </c>
      <c r="Q2696">
        <v>50</v>
      </c>
      <c r="R2696">
        <v>0.999</v>
      </c>
      <c r="S2696">
        <v>0</v>
      </c>
    </row>
    <row r="2697" spans="1:19" x14ac:dyDescent="0.2">
      <c r="A2697" s="3" t="s">
        <v>54</v>
      </c>
      <c r="B2697" s="3" t="s">
        <v>55</v>
      </c>
      <c r="C2697">
        <v>3</v>
      </c>
      <c r="D2697">
        <v>13000</v>
      </c>
      <c r="E2697">
        <v>499</v>
      </c>
      <c r="F2697">
        <v>1</v>
      </c>
      <c r="G2697">
        <v>13000</v>
      </c>
      <c r="H2697">
        <v>1.5345599999999999E-2</v>
      </c>
      <c r="I2697">
        <v>12721</v>
      </c>
      <c r="J2697">
        <v>3808</v>
      </c>
      <c r="K2697">
        <v>8913</v>
      </c>
      <c r="L2697">
        <v>500</v>
      </c>
      <c r="M2697">
        <v>499</v>
      </c>
      <c r="N2697">
        <v>1</v>
      </c>
      <c r="O2697">
        <v>279</v>
      </c>
      <c r="P2697" s="3" t="s">
        <v>52</v>
      </c>
      <c r="Q2697">
        <v>50</v>
      </c>
      <c r="R2697">
        <v>0.999</v>
      </c>
      <c r="S2697">
        <v>1</v>
      </c>
    </row>
    <row r="2698" spans="1:19" x14ac:dyDescent="0.2">
      <c r="A2698" s="3" t="s">
        <v>54</v>
      </c>
      <c r="B2698" s="3" t="s">
        <v>55</v>
      </c>
      <c r="C2698">
        <v>2</v>
      </c>
      <c r="D2698">
        <v>10000</v>
      </c>
      <c r="E2698">
        <v>499</v>
      </c>
      <c r="F2698">
        <v>1</v>
      </c>
      <c r="G2698">
        <v>39482.677260513999</v>
      </c>
      <c r="H2698">
        <v>1.5327505999999999E-2</v>
      </c>
      <c r="I2698">
        <v>10000</v>
      </c>
      <c r="J2698">
        <v>3577</v>
      </c>
      <c r="K2698">
        <v>6423</v>
      </c>
      <c r="L2698">
        <v>500</v>
      </c>
      <c r="M2698">
        <v>499</v>
      </c>
      <c r="N2698">
        <v>1</v>
      </c>
      <c r="O2698">
        <v>0</v>
      </c>
      <c r="P2698" s="3" t="s">
        <v>50</v>
      </c>
      <c r="Q2698">
        <v>50</v>
      </c>
      <c r="R2698">
        <v>0.999</v>
      </c>
      <c r="S2698">
        <v>0</v>
      </c>
    </row>
    <row r="2699" spans="1:19" x14ac:dyDescent="0.2">
      <c r="A2699" s="3" t="s">
        <v>54</v>
      </c>
      <c r="B2699" s="3" t="s">
        <v>55</v>
      </c>
      <c r="C2699">
        <v>42</v>
      </c>
      <c r="D2699">
        <v>12000</v>
      </c>
      <c r="E2699">
        <v>499</v>
      </c>
      <c r="F2699">
        <v>1</v>
      </c>
      <c r="G2699">
        <v>50533.323552418398</v>
      </c>
      <c r="H2699">
        <v>1.530536E-2</v>
      </c>
      <c r="I2699">
        <v>12000</v>
      </c>
      <c r="J2699">
        <v>3717</v>
      </c>
      <c r="K2699">
        <v>8283</v>
      </c>
      <c r="L2699">
        <v>500</v>
      </c>
      <c r="M2699">
        <v>499</v>
      </c>
      <c r="N2699">
        <v>1</v>
      </c>
      <c r="O2699">
        <v>0</v>
      </c>
      <c r="P2699" s="3" t="s">
        <v>50</v>
      </c>
      <c r="Q2699">
        <v>50</v>
      </c>
      <c r="R2699">
        <v>0.999</v>
      </c>
      <c r="S2699">
        <v>0</v>
      </c>
    </row>
    <row r="2700" spans="1:19" x14ac:dyDescent="0.2">
      <c r="A2700" s="3" t="s">
        <v>54</v>
      </c>
      <c r="B2700" s="3" t="s">
        <v>55</v>
      </c>
      <c r="C2700">
        <v>43</v>
      </c>
      <c r="D2700">
        <v>12000</v>
      </c>
      <c r="E2700">
        <v>499</v>
      </c>
      <c r="F2700">
        <v>1</v>
      </c>
      <c r="G2700">
        <v>12000</v>
      </c>
      <c r="H2700">
        <v>1.5280434000000001E-2</v>
      </c>
      <c r="I2700">
        <v>12000</v>
      </c>
      <c r="J2700">
        <v>3610</v>
      </c>
      <c r="K2700">
        <v>8390</v>
      </c>
      <c r="L2700">
        <v>500</v>
      </c>
      <c r="M2700">
        <v>499</v>
      </c>
      <c r="N2700">
        <v>1</v>
      </c>
      <c r="O2700">
        <v>0</v>
      </c>
      <c r="P2700" s="3" t="s">
        <v>52</v>
      </c>
      <c r="Q2700">
        <v>50</v>
      </c>
      <c r="R2700">
        <v>0.999</v>
      </c>
      <c r="S2700">
        <v>1</v>
      </c>
    </row>
    <row r="2701" spans="1:19" x14ac:dyDescent="0.2">
      <c r="A2701" s="3" t="s">
        <v>54</v>
      </c>
      <c r="B2701" s="3" t="s">
        <v>55</v>
      </c>
      <c r="C2701">
        <v>13</v>
      </c>
      <c r="D2701">
        <v>13000</v>
      </c>
      <c r="E2701">
        <v>499</v>
      </c>
      <c r="F2701">
        <v>1</v>
      </c>
      <c r="G2701">
        <v>13000</v>
      </c>
      <c r="H2701">
        <v>1.5267427E-2</v>
      </c>
      <c r="I2701">
        <v>12710</v>
      </c>
      <c r="J2701">
        <v>3803</v>
      </c>
      <c r="K2701">
        <v>8907</v>
      </c>
      <c r="L2701">
        <v>500</v>
      </c>
      <c r="M2701">
        <v>499</v>
      </c>
      <c r="N2701">
        <v>1</v>
      </c>
      <c r="O2701">
        <v>290</v>
      </c>
      <c r="P2701" s="3" t="s">
        <v>52</v>
      </c>
      <c r="Q2701">
        <v>50</v>
      </c>
      <c r="R2701">
        <v>0.999</v>
      </c>
      <c r="S2701">
        <v>1</v>
      </c>
    </row>
    <row r="2702" spans="1:19" x14ac:dyDescent="0.2">
      <c r="A2702" s="3" t="s">
        <v>54</v>
      </c>
      <c r="B2702" s="3" t="s">
        <v>55</v>
      </c>
      <c r="C2702">
        <v>25</v>
      </c>
      <c r="D2702">
        <v>11000</v>
      </c>
      <c r="E2702">
        <v>499</v>
      </c>
      <c r="F2702">
        <v>1</v>
      </c>
      <c r="G2702">
        <v>11000</v>
      </c>
      <c r="H2702">
        <v>1.5191214999999999E-2</v>
      </c>
      <c r="I2702">
        <v>11000</v>
      </c>
      <c r="J2702">
        <v>3661</v>
      </c>
      <c r="K2702">
        <v>7339</v>
      </c>
      <c r="L2702">
        <v>500</v>
      </c>
      <c r="M2702">
        <v>499</v>
      </c>
      <c r="N2702">
        <v>1</v>
      </c>
      <c r="O2702">
        <v>0</v>
      </c>
      <c r="P2702" s="3" t="s">
        <v>50</v>
      </c>
      <c r="Q2702">
        <v>50</v>
      </c>
      <c r="R2702">
        <v>0.999</v>
      </c>
      <c r="S2702">
        <v>1</v>
      </c>
    </row>
    <row r="2703" spans="1:19" x14ac:dyDescent="0.2">
      <c r="A2703" s="3" t="s">
        <v>54</v>
      </c>
      <c r="B2703" s="3" t="s">
        <v>55</v>
      </c>
      <c r="C2703">
        <v>19</v>
      </c>
      <c r="D2703">
        <v>12000</v>
      </c>
      <c r="E2703">
        <v>499</v>
      </c>
      <c r="F2703">
        <v>1</v>
      </c>
      <c r="G2703">
        <v>12000</v>
      </c>
      <c r="H2703">
        <v>1.5159234000000001E-2</v>
      </c>
      <c r="I2703">
        <v>12000</v>
      </c>
      <c r="J2703">
        <v>3659</v>
      </c>
      <c r="K2703">
        <v>8341</v>
      </c>
      <c r="L2703">
        <v>500</v>
      </c>
      <c r="M2703">
        <v>499</v>
      </c>
      <c r="N2703">
        <v>1</v>
      </c>
      <c r="O2703">
        <v>0</v>
      </c>
      <c r="P2703" s="3" t="s">
        <v>50</v>
      </c>
      <c r="Q2703">
        <v>50</v>
      </c>
      <c r="R2703">
        <v>0.999</v>
      </c>
      <c r="S2703">
        <v>1</v>
      </c>
    </row>
    <row r="2704" spans="1:19" x14ac:dyDescent="0.2">
      <c r="A2704" s="3" t="s">
        <v>54</v>
      </c>
      <c r="B2704" s="3" t="s">
        <v>55</v>
      </c>
      <c r="C2704">
        <v>18</v>
      </c>
      <c r="D2704">
        <v>11000</v>
      </c>
      <c r="E2704">
        <v>499</v>
      </c>
      <c r="F2704">
        <v>1</v>
      </c>
      <c r="G2704">
        <v>11000</v>
      </c>
      <c r="H2704">
        <v>1.5125878000000001E-2</v>
      </c>
      <c r="I2704">
        <v>11000</v>
      </c>
      <c r="J2704">
        <v>3667</v>
      </c>
      <c r="K2704">
        <v>7333</v>
      </c>
      <c r="L2704">
        <v>500</v>
      </c>
      <c r="M2704">
        <v>499</v>
      </c>
      <c r="N2704">
        <v>1</v>
      </c>
      <c r="O2704">
        <v>0</v>
      </c>
      <c r="P2704" s="3" t="s">
        <v>50</v>
      </c>
      <c r="Q2704">
        <v>50</v>
      </c>
      <c r="R2704">
        <v>0.999</v>
      </c>
      <c r="S2704">
        <v>1</v>
      </c>
    </row>
    <row r="2705" spans="1:19" x14ac:dyDescent="0.2">
      <c r="A2705" s="3" t="s">
        <v>54</v>
      </c>
      <c r="B2705" s="3" t="s">
        <v>55</v>
      </c>
      <c r="C2705">
        <v>1</v>
      </c>
      <c r="D2705">
        <v>11000</v>
      </c>
      <c r="E2705">
        <v>499</v>
      </c>
      <c r="F2705">
        <v>1</v>
      </c>
      <c r="G2705">
        <v>11000</v>
      </c>
      <c r="H2705">
        <v>1.5089234999999999E-2</v>
      </c>
      <c r="I2705">
        <v>11000</v>
      </c>
      <c r="J2705">
        <v>3638</v>
      </c>
      <c r="K2705">
        <v>7362</v>
      </c>
      <c r="L2705">
        <v>500</v>
      </c>
      <c r="M2705">
        <v>499</v>
      </c>
      <c r="N2705">
        <v>1</v>
      </c>
      <c r="O2705">
        <v>0</v>
      </c>
      <c r="P2705" s="3" t="s">
        <v>50</v>
      </c>
      <c r="Q2705">
        <v>50</v>
      </c>
      <c r="R2705">
        <v>0.999</v>
      </c>
      <c r="S2705">
        <v>1</v>
      </c>
    </row>
    <row r="2706" spans="1:19" x14ac:dyDescent="0.2">
      <c r="A2706" s="3" t="s">
        <v>54</v>
      </c>
      <c r="B2706" s="3" t="s">
        <v>55</v>
      </c>
      <c r="C2706">
        <v>47</v>
      </c>
      <c r="D2706">
        <v>12000</v>
      </c>
      <c r="E2706">
        <v>499</v>
      </c>
      <c r="F2706">
        <v>1</v>
      </c>
      <c r="G2706">
        <v>12000</v>
      </c>
      <c r="H2706">
        <v>1.5068903E-2</v>
      </c>
      <c r="I2706">
        <v>12000</v>
      </c>
      <c r="J2706">
        <v>3614</v>
      </c>
      <c r="K2706">
        <v>8386</v>
      </c>
      <c r="L2706">
        <v>500</v>
      </c>
      <c r="M2706">
        <v>499</v>
      </c>
      <c r="N2706">
        <v>1</v>
      </c>
      <c r="O2706">
        <v>0</v>
      </c>
      <c r="P2706" s="3" t="s">
        <v>52</v>
      </c>
      <c r="Q2706">
        <v>50</v>
      </c>
      <c r="R2706">
        <v>0.999</v>
      </c>
      <c r="S2706">
        <v>1</v>
      </c>
    </row>
    <row r="2707" spans="1:19" x14ac:dyDescent="0.2">
      <c r="A2707" s="3" t="s">
        <v>54</v>
      </c>
      <c r="B2707" s="3" t="s">
        <v>55</v>
      </c>
      <c r="C2707">
        <v>18</v>
      </c>
      <c r="D2707">
        <v>10000</v>
      </c>
      <c r="E2707">
        <v>499</v>
      </c>
      <c r="F2707">
        <v>1</v>
      </c>
      <c r="G2707">
        <v>39482.677260513999</v>
      </c>
      <c r="H2707">
        <v>1.5041561E-2</v>
      </c>
      <c r="I2707">
        <v>10000</v>
      </c>
      <c r="J2707">
        <v>3608</v>
      </c>
      <c r="K2707">
        <v>6392</v>
      </c>
      <c r="L2707">
        <v>500</v>
      </c>
      <c r="M2707">
        <v>499</v>
      </c>
      <c r="N2707">
        <v>1</v>
      </c>
      <c r="O2707">
        <v>0</v>
      </c>
      <c r="P2707" s="3" t="s">
        <v>50</v>
      </c>
      <c r="Q2707">
        <v>50</v>
      </c>
      <c r="R2707">
        <v>0.999</v>
      </c>
      <c r="S2707">
        <v>0</v>
      </c>
    </row>
    <row r="2708" spans="1:19" x14ac:dyDescent="0.2">
      <c r="A2708" s="3" t="s">
        <v>54</v>
      </c>
      <c r="B2708" s="3" t="s">
        <v>55</v>
      </c>
      <c r="C2708">
        <v>3</v>
      </c>
      <c r="D2708">
        <v>12000</v>
      </c>
      <c r="E2708">
        <v>499</v>
      </c>
      <c r="F2708">
        <v>1</v>
      </c>
      <c r="G2708">
        <v>50533.323552418398</v>
      </c>
      <c r="H2708">
        <v>1.5037234999999999E-2</v>
      </c>
      <c r="I2708">
        <v>12000</v>
      </c>
      <c r="J2708">
        <v>3723</v>
      </c>
      <c r="K2708">
        <v>8277</v>
      </c>
      <c r="L2708">
        <v>500</v>
      </c>
      <c r="M2708">
        <v>499</v>
      </c>
      <c r="N2708">
        <v>1</v>
      </c>
      <c r="O2708">
        <v>0</v>
      </c>
      <c r="P2708" s="3" t="s">
        <v>50</v>
      </c>
      <c r="Q2708">
        <v>50</v>
      </c>
      <c r="R2708">
        <v>0.999</v>
      </c>
      <c r="S2708">
        <v>0</v>
      </c>
    </row>
    <row r="2709" spans="1:19" x14ac:dyDescent="0.2">
      <c r="A2709" s="3" t="s">
        <v>54</v>
      </c>
      <c r="B2709" s="3" t="s">
        <v>55</v>
      </c>
      <c r="C2709">
        <v>23</v>
      </c>
      <c r="D2709">
        <v>10000</v>
      </c>
      <c r="E2709">
        <v>499</v>
      </c>
      <c r="F2709">
        <v>1</v>
      </c>
      <c r="G2709">
        <v>10000</v>
      </c>
      <c r="H2709">
        <v>1.5033759000000001E-2</v>
      </c>
      <c r="I2709">
        <v>10000</v>
      </c>
      <c r="J2709">
        <v>3546</v>
      </c>
      <c r="K2709">
        <v>6454</v>
      </c>
      <c r="L2709">
        <v>500</v>
      </c>
      <c r="M2709">
        <v>499</v>
      </c>
      <c r="N2709">
        <v>1</v>
      </c>
      <c r="O2709">
        <v>0</v>
      </c>
      <c r="P2709" s="3" t="s">
        <v>50</v>
      </c>
      <c r="Q2709">
        <v>50</v>
      </c>
      <c r="R2709">
        <v>0.999</v>
      </c>
      <c r="S2709">
        <v>1</v>
      </c>
    </row>
    <row r="2710" spans="1:19" x14ac:dyDescent="0.2">
      <c r="A2710" s="3" t="s">
        <v>54</v>
      </c>
      <c r="B2710" s="3" t="s">
        <v>55</v>
      </c>
      <c r="C2710">
        <v>27</v>
      </c>
      <c r="D2710">
        <v>13000</v>
      </c>
      <c r="E2710">
        <v>499</v>
      </c>
      <c r="F2710">
        <v>1</v>
      </c>
      <c r="G2710">
        <v>13000</v>
      </c>
      <c r="H2710">
        <v>1.5008277E-2</v>
      </c>
      <c r="I2710">
        <v>12691</v>
      </c>
      <c r="J2710">
        <v>3754</v>
      </c>
      <c r="K2710">
        <v>8937</v>
      </c>
      <c r="L2710">
        <v>500</v>
      </c>
      <c r="M2710">
        <v>499</v>
      </c>
      <c r="N2710">
        <v>1</v>
      </c>
      <c r="O2710">
        <v>309</v>
      </c>
      <c r="P2710" s="3" t="s">
        <v>52</v>
      </c>
      <c r="Q2710">
        <v>50</v>
      </c>
      <c r="R2710">
        <v>0.999</v>
      </c>
      <c r="S2710">
        <v>1</v>
      </c>
    </row>
    <row r="2711" spans="1:19" x14ac:dyDescent="0.2">
      <c r="A2711" s="3" t="s">
        <v>54</v>
      </c>
      <c r="B2711" s="3" t="s">
        <v>55</v>
      </c>
      <c r="C2711">
        <v>9</v>
      </c>
      <c r="D2711">
        <v>10000</v>
      </c>
      <c r="E2711">
        <v>499</v>
      </c>
      <c r="F2711">
        <v>1</v>
      </c>
      <c r="G2711">
        <v>39482.677260513999</v>
      </c>
      <c r="H2711">
        <v>1.5001439E-2</v>
      </c>
      <c r="I2711">
        <v>10000</v>
      </c>
      <c r="J2711">
        <v>3602</v>
      </c>
      <c r="K2711">
        <v>6398</v>
      </c>
      <c r="L2711">
        <v>500</v>
      </c>
      <c r="M2711">
        <v>499</v>
      </c>
      <c r="N2711">
        <v>1</v>
      </c>
      <c r="O2711">
        <v>0</v>
      </c>
      <c r="P2711" s="3" t="s">
        <v>50</v>
      </c>
      <c r="Q2711">
        <v>50</v>
      </c>
      <c r="R2711">
        <v>0.999</v>
      </c>
      <c r="S2711">
        <v>0</v>
      </c>
    </row>
    <row r="2712" spans="1:19" x14ac:dyDescent="0.2">
      <c r="A2712" s="3" t="s">
        <v>54</v>
      </c>
      <c r="B2712" s="3" t="s">
        <v>55</v>
      </c>
      <c r="C2712">
        <v>6</v>
      </c>
      <c r="D2712">
        <v>12000</v>
      </c>
      <c r="E2712">
        <v>499</v>
      </c>
      <c r="F2712">
        <v>1</v>
      </c>
      <c r="G2712">
        <v>50533.323552418398</v>
      </c>
      <c r="H2712">
        <v>1.4997752E-2</v>
      </c>
      <c r="I2712">
        <v>12000</v>
      </c>
      <c r="J2712">
        <v>3691</v>
      </c>
      <c r="K2712">
        <v>8309</v>
      </c>
      <c r="L2712">
        <v>500</v>
      </c>
      <c r="M2712">
        <v>499</v>
      </c>
      <c r="N2712">
        <v>1</v>
      </c>
      <c r="O2712">
        <v>0</v>
      </c>
      <c r="P2712" s="3" t="s">
        <v>50</v>
      </c>
      <c r="Q2712">
        <v>50</v>
      </c>
      <c r="R2712">
        <v>0.999</v>
      </c>
      <c r="S2712">
        <v>0</v>
      </c>
    </row>
    <row r="2713" spans="1:19" x14ac:dyDescent="0.2">
      <c r="A2713" s="3" t="s">
        <v>54</v>
      </c>
      <c r="B2713" s="3" t="s">
        <v>55</v>
      </c>
      <c r="C2713">
        <v>38</v>
      </c>
      <c r="D2713">
        <v>10000</v>
      </c>
      <c r="E2713">
        <v>499</v>
      </c>
      <c r="F2713">
        <v>1</v>
      </c>
      <c r="G2713">
        <v>39482.677260513999</v>
      </c>
      <c r="H2713">
        <v>1.4994784000000001E-2</v>
      </c>
      <c r="I2713">
        <v>10000</v>
      </c>
      <c r="J2713">
        <v>3569</v>
      </c>
      <c r="K2713">
        <v>6431</v>
      </c>
      <c r="L2713">
        <v>500</v>
      </c>
      <c r="M2713">
        <v>499</v>
      </c>
      <c r="N2713">
        <v>1</v>
      </c>
      <c r="O2713">
        <v>0</v>
      </c>
      <c r="P2713" s="3" t="s">
        <v>50</v>
      </c>
      <c r="Q2713">
        <v>50</v>
      </c>
      <c r="R2713">
        <v>0.999</v>
      </c>
      <c r="S2713">
        <v>0</v>
      </c>
    </row>
    <row r="2714" spans="1:19" x14ac:dyDescent="0.2">
      <c r="A2714" s="3" t="s">
        <v>54</v>
      </c>
      <c r="B2714" s="3" t="s">
        <v>55</v>
      </c>
      <c r="C2714">
        <v>38</v>
      </c>
      <c r="D2714">
        <v>12000</v>
      </c>
      <c r="E2714">
        <v>499</v>
      </c>
      <c r="F2714">
        <v>1</v>
      </c>
      <c r="G2714">
        <v>50533.323552418398</v>
      </c>
      <c r="H2714">
        <v>1.4979997E-2</v>
      </c>
      <c r="I2714">
        <v>12000</v>
      </c>
      <c r="J2714">
        <v>3706</v>
      </c>
      <c r="K2714">
        <v>8294</v>
      </c>
      <c r="L2714">
        <v>500</v>
      </c>
      <c r="M2714">
        <v>499</v>
      </c>
      <c r="N2714">
        <v>1</v>
      </c>
      <c r="O2714">
        <v>0</v>
      </c>
      <c r="P2714" s="3" t="s">
        <v>50</v>
      </c>
      <c r="Q2714">
        <v>50</v>
      </c>
      <c r="R2714">
        <v>0.999</v>
      </c>
      <c r="S2714">
        <v>0</v>
      </c>
    </row>
    <row r="2715" spans="1:19" x14ac:dyDescent="0.2">
      <c r="A2715" s="3" t="s">
        <v>54</v>
      </c>
      <c r="B2715" s="3" t="s">
        <v>55</v>
      </c>
      <c r="C2715">
        <v>4</v>
      </c>
      <c r="D2715">
        <v>10000</v>
      </c>
      <c r="E2715">
        <v>499</v>
      </c>
      <c r="F2715">
        <v>1</v>
      </c>
      <c r="G2715">
        <v>10000</v>
      </c>
      <c r="H2715">
        <v>1.4947465E-2</v>
      </c>
      <c r="I2715">
        <v>10000</v>
      </c>
      <c r="J2715">
        <v>3578</v>
      </c>
      <c r="K2715">
        <v>6422</v>
      </c>
      <c r="L2715">
        <v>500</v>
      </c>
      <c r="M2715">
        <v>499</v>
      </c>
      <c r="N2715">
        <v>1</v>
      </c>
      <c r="O2715">
        <v>0</v>
      </c>
      <c r="P2715" s="3" t="s">
        <v>50</v>
      </c>
      <c r="Q2715">
        <v>50</v>
      </c>
      <c r="R2715">
        <v>0.999</v>
      </c>
      <c r="S2715">
        <v>1</v>
      </c>
    </row>
    <row r="2716" spans="1:19" x14ac:dyDescent="0.2">
      <c r="A2716" s="3" t="s">
        <v>54</v>
      </c>
      <c r="B2716" s="3" t="s">
        <v>55</v>
      </c>
      <c r="C2716">
        <v>18</v>
      </c>
      <c r="D2716">
        <v>13000</v>
      </c>
      <c r="E2716">
        <v>499</v>
      </c>
      <c r="F2716">
        <v>1</v>
      </c>
      <c r="G2716">
        <v>13000</v>
      </c>
      <c r="H2716">
        <v>1.4935476E-2</v>
      </c>
      <c r="I2716">
        <v>12677</v>
      </c>
      <c r="J2716">
        <v>3747</v>
      </c>
      <c r="K2716">
        <v>8930</v>
      </c>
      <c r="L2716">
        <v>500</v>
      </c>
      <c r="M2716">
        <v>499</v>
      </c>
      <c r="N2716">
        <v>1</v>
      </c>
      <c r="O2716">
        <v>323</v>
      </c>
      <c r="P2716" s="3" t="s">
        <v>52</v>
      </c>
      <c r="Q2716">
        <v>50</v>
      </c>
      <c r="R2716">
        <v>0.999</v>
      </c>
      <c r="S2716">
        <v>1</v>
      </c>
    </row>
    <row r="2717" spans="1:19" x14ac:dyDescent="0.2">
      <c r="A2717" s="3" t="s">
        <v>54</v>
      </c>
      <c r="B2717" s="3" t="s">
        <v>55</v>
      </c>
      <c r="C2717">
        <v>5</v>
      </c>
      <c r="D2717">
        <v>12000</v>
      </c>
      <c r="E2717">
        <v>499</v>
      </c>
      <c r="F2717">
        <v>1</v>
      </c>
      <c r="G2717">
        <v>50533.323552418398</v>
      </c>
      <c r="H2717">
        <v>1.4886912E-2</v>
      </c>
      <c r="I2717">
        <v>12000</v>
      </c>
      <c r="J2717">
        <v>3653</v>
      </c>
      <c r="K2717">
        <v>8347</v>
      </c>
      <c r="L2717">
        <v>500</v>
      </c>
      <c r="M2717">
        <v>499</v>
      </c>
      <c r="N2717">
        <v>1</v>
      </c>
      <c r="O2717">
        <v>0</v>
      </c>
      <c r="P2717" s="3" t="s">
        <v>50</v>
      </c>
      <c r="Q2717">
        <v>50</v>
      </c>
      <c r="R2717">
        <v>0.999</v>
      </c>
      <c r="S2717">
        <v>0</v>
      </c>
    </row>
    <row r="2718" spans="1:19" x14ac:dyDescent="0.2">
      <c r="A2718" s="3" t="s">
        <v>54</v>
      </c>
      <c r="B2718" s="3" t="s">
        <v>55</v>
      </c>
      <c r="C2718">
        <v>38</v>
      </c>
      <c r="D2718">
        <v>10000</v>
      </c>
      <c r="E2718">
        <v>499</v>
      </c>
      <c r="F2718">
        <v>1</v>
      </c>
      <c r="G2718">
        <v>10000</v>
      </c>
      <c r="H2718">
        <v>1.4885554E-2</v>
      </c>
      <c r="I2718">
        <v>10000</v>
      </c>
      <c r="J2718">
        <v>3577</v>
      </c>
      <c r="K2718">
        <v>6423</v>
      </c>
      <c r="L2718">
        <v>500</v>
      </c>
      <c r="M2718">
        <v>499</v>
      </c>
      <c r="N2718">
        <v>1</v>
      </c>
      <c r="O2718">
        <v>0</v>
      </c>
      <c r="P2718" s="3" t="s">
        <v>50</v>
      </c>
      <c r="Q2718">
        <v>50</v>
      </c>
      <c r="R2718">
        <v>0.999</v>
      </c>
      <c r="S2718">
        <v>1</v>
      </c>
    </row>
    <row r="2719" spans="1:19" x14ac:dyDescent="0.2">
      <c r="A2719" s="3" t="s">
        <v>54</v>
      </c>
      <c r="B2719" s="3" t="s">
        <v>55</v>
      </c>
      <c r="C2719">
        <v>40</v>
      </c>
      <c r="D2719">
        <v>13000</v>
      </c>
      <c r="E2719">
        <v>499</v>
      </c>
      <c r="F2719">
        <v>1</v>
      </c>
      <c r="G2719">
        <v>13000</v>
      </c>
      <c r="H2719">
        <v>1.4859503E-2</v>
      </c>
      <c r="I2719">
        <v>12709</v>
      </c>
      <c r="J2719">
        <v>3710</v>
      </c>
      <c r="K2719">
        <v>8999</v>
      </c>
      <c r="L2719">
        <v>500</v>
      </c>
      <c r="M2719">
        <v>499</v>
      </c>
      <c r="N2719">
        <v>1</v>
      </c>
      <c r="O2719">
        <v>291</v>
      </c>
      <c r="P2719" s="3" t="s">
        <v>52</v>
      </c>
      <c r="Q2719">
        <v>50</v>
      </c>
      <c r="R2719">
        <v>0.999</v>
      </c>
      <c r="S2719">
        <v>1</v>
      </c>
    </row>
    <row r="2720" spans="1:19" x14ac:dyDescent="0.2">
      <c r="A2720" s="3" t="s">
        <v>54</v>
      </c>
      <c r="B2720" s="3" t="s">
        <v>55</v>
      </c>
      <c r="C2720">
        <v>39</v>
      </c>
      <c r="D2720">
        <v>12000</v>
      </c>
      <c r="E2720">
        <v>499</v>
      </c>
      <c r="F2720">
        <v>1</v>
      </c>
      <c r="G2720">
        <v>50533.323552418398</v>
      </c>
      <c r="H2720">
        <v>1.4843387E-2</v>
      </c>
      <c r="I2720">
        <v>12000</v>
      </c>
      <c r="J2720">
        <v>3666</v>
      </c>
      <c r="K2720">
        <v>8334</v>
      </c>
      <c r="L2720">
        <v>500</v>
      </c>
      <c r="M2720">
        <v>499</v>
      </c>
      <c r="N2720">
        <v>1</v>
      </c>
      <c r="O2720">
        <v>0</v>
      </c>
      <c r="P2720" s="3" t="s">
        <v>50</v>
      </c>
      <c r="Q2720">
        <v>50</v>
      </c>
      <c r="R2720">
        <v>0.999</v>
      </c>
      <c r="S2720">
        <v>0</v>
      </c>
    </row>
    <row r="2721" spans="1:19" x14ac:dyDescent="0.2">
      <c r="A2721" s="3" t="s">
        <v>54</v>
      </c>
      <c r="B2721" s="3" t="s">
        <v>55</v>
      </c>
      <c r="C2721">
        <v>48</v>
      </c>
      <c r="D2721">
        <v>12000</v>
      </c>
      <c r="E2721">
        <v>499</v>
      </c>
      <c r="F2721">
        <v>1</v>
      </c>
      <c r="G2721">
        <v>12000</v>
      </c>
      <c r="H2721">
        <v>1.4836393E-2</v>
      </c>
      <c r="I2721">
        <v>11999</v>
      </c>
      <c r="J2721">
        <v>3691</v>
      </c>
      <c r="K2721">
        <v>8308</v>
      </c>
      <c r="L2721">
        <v>500</v>
      </c>
      <c r="M2721">
        <v>499</v>
      </c>
      <c r="N2721">
        <v>1</v>
      </c>
      <c r="O2721">
        <v>1</v>
      </c>
      <c r="P2721" s="3" t="s">
        <v>50</v>
      </c>
      <c r="Q2721">
        <v>50</v>
      </c>
      <c r="R2721">
        <v>0.999</v>
      </c>
      <c r="S2721">
        <v>1</v>
      </c>
    </row>
    <row r="2722" spans="1:19" x14ac:dyDescent="0.2">
      <c r="A2722" s="3" t="s">
        <v>54</v>
      </c>
      <c r="B2722" s="3" t="s">
        <v>55</v>
      </c>
      <c r="C2722">
        <v>36</v>
      </c>
      <c r="D2722">
        <v>12000</v>
      </c>
      <c r="E2722">
        <v>499</v>
      </c>
      <c r="F2722">
        <v>1</v>
      </c>
      <c r="G2722">
        <v>50533.323552418398</v>
      </c>
      <c r="H2722">
        <v>1.4829528E-2</v>
      </c>
      <c r="I2722">
        <v>12000</v>
      </c>
      <c r="J2722">
        <v>3639</v>
      </c>
      <c r="K2722">
        <v>8361</v>
      </c>
      <c r="L2722">
        <v>500</v>
      </c>
      <c r="M2722">
        <v>499</v>
      </c>
      <c r="N2722">
        <v>1</v>
      </c>
      <c r="O2722">
        <v>0</v>
      </c>
      <c r="P2722" s="3" t="s">
        <v>52</v>
      </c>
      <c r="Q2722">
        <v>50</v>
      </c>
      <c r="R2722">
        <v>0.999</v>
      </c>
      <c r="S2722">
        <v>0</v>
      </c>
    </row>
    <row r="2723" spans="1:19" x14ac:dyDescent="0.2">
      <c r="A2723" s="3" t="s">
        <v>54</v>
      </c>
      <c r="B2723" s="3" t="s">
        <v>55</v>
      </c>
      <c r="C2723">
        <v>27</v>
      </c>
      <c r="D2723">
        <v>12000</v>
      </c>
      <c r="E2723">
        <v>499</v>
      </c>
      <c r="F2723">
        <v>1</v>
      </c>
      <c r="G2723">
        <v>50533.323552418398</v>
      </c>
      <c r="H2723">
        <v>1.4825101E-2</v>
      </c>
      <c r="I2723">
        <v>12000</v>
      </c>
      <c r="J2723">
        <v>3683</v>
      </c>
      <c r="K2723">
        <v>8317</v>
      </c>
      <c r="L2723">
        <v>500</v>
      </c>
      <c r="M2723">
        <v>499</v>
      </c>
      <c r="N2723">
        <v>1</v>
      </c>
      <c r="O2723">
        <v>0</v>
      </c>
      <c r="P2723" s="3" t="s">
        <v>50</v>
      </c>
      <c r="Q2723">
        <v>50</v>
      </c>
      <c r="R2723">
        <v>0.999</v>
      </c>
      <c r="S2723">
        <v>0</v>
      </c>
    </row>
    <row r="2724" spans="1:19" x14ac:dyDescent="0.2">
      <c r="A2724" s="3" t="s">
        <v>54</v>
      </c>
      <c r="B2724" s="3" t="s">
        <v>55</v>
      </c>
      <c r="C2724">
        <v>4</v>
      </c>
      <c r="D2724">
        <v>11000</v>
      </c>
      <c r="E2724">
        <v>499</v>
      </c>
      <c r="F2724">
        <v>1</v>
      </c>
      <c r="G2724">
        <v>44062.122210792702</v>
      </c>
      <c r="H2724">
        <v>1.4804812000000001E-2</v>
      </c>
      <c r="I2724">
        <v>11000</v>
      </c>
      <c r="J2724">
        <v>3660</v>
      </c>
      <c r="K2724">
        <v>7340</v>
      </c>
      <c r="L2724">
        <v>500</v>
      </c>
      <c r="M2724">
        <v>499</v>
      </c>
      <c r="N2724">
        <v>1</v>
      </c>
      <c r="O2724">
        <v>0</v>
      </c>
      <c r="P2724" s="3" t="s">
        <v>50</v>
      </c>
      <c r="Q2724">
        <v>50</v>
      </c>
      <c r="R2724">
        <v>0.999</v>
      </c>
      <c r="S2724">
        <v>0</v>
      </c>
    </row>
    <row r="2725" spans="1:19" x14ac:dyDescent="0.2">
      <c r="A2725" s="3" t="s">
        <v>54</v>
      </c>
      <c r="B2725" s="3" t="s">
        <v>55</v>
      </c>
      <c r="C2725">
        <v>22</v>
      </c>
      <c r="D2725">
        <v>10000</v>
      </c>
      <c r="E2725">
        <v>499</v>
      </c>
      <c r="F2725">
        <v>1</v>
      </c>
      <c r="G2725">
        <v>39482.677260513999</v>
      </c>
      <c r="H2725">
        <v>1.4797526E-2</v>
      </c>
      <c r="I2725">
        <v>10000</v>
      </c>
      <c r="J2725">
        <v>3550</v>
      </c>
      <c r="K2725">
        <v>6450</v>
      </c>
      <c r="L2725">
        <v>500</v>
      </c>
      <c r="M2725">
        <v>499</v>
      </c>
      <c r="N2725">
        <v>1</v>
      </c>
      <c r="O2725">
        <v>0</v>
      </c>
      <c r="P2725" s="3" t="s">
        <v>50</v>
      </c>
      <c r="Q2725">
        <v>50</v>
      </c>
      <c r="R2725">
        <v>0.999</v>
      </c>
      <c r="S2725">
        <v>0</v>
      </c>
    </row>
    <row r="2726" spans="1:19" x14ac:dyDescent="0.2">
      <c r="A2726" s="3" t="s">
        <v>54</v>
      </c>
      <c r="B2726" s="3" t="s">
        <v>55</v>
      </c>
      <c r="C2726">
        <v>15</v>
      </c>
      <c r="D2726">
        <v>11000</v>
      </c>
      <c r="E2726">
        <v>499</v>
      </c>
      <c r="F2726">
        <v>1</v>
      </c>
      <c r="G2726">
        <v>11000</v>
      </c>
      <c r="H2726">
        <v>1.478758E-2</v>
      </c>
      <c r="I2726">
        <v>11000</v>
      </c>
      <c r="J2726">
        <v>2774</v>
      </c>
      <c r="K2726">
        <v>8226</v>
      </c>
      <c r="L2726">
        <v>500</v>
      </c>
      <c r="M2726">
        <v>499</v>
      </c>
      <c r="N2726">
        <v>1</v>
      </c>
      <c r="O2726">
        <v>0</v>
      </c>
      <c r="P2726" s="3" t="s">
        <v>52</v>
      </c>
      <c r="Q2726">
        <v>50</v>
      </c>
      <c r="R2726">
        <v>0.999</v>
      </c>
      <c r="S2726">
        <v>1</v>
      </c>
    </row>
    <row r="2727" spans="1:19" x14ac:dyDescent="0.2">
      <c r="A2727" s="3" t="s">
        <v>54</v>
      </c>
      <c r="B2727" s="3" t="s">
        <v>55</v>
      </c>
      <c r="C2727">
        <v>38</v>
      </c>
      <c r="D2727">
        <v>10000</v>
      </c>
      <c r="E2727">
        <v>499</v>
      </c>
      <c r="F2727">
        <v>1</v>
      </c>
      <c r="G2727">
        <v>10000</v>
      </c>
      <c r="H2727">
        <v>1.4786563000000001E-2</v>
      </c>
      <c r="I2727">
        <v>10000</v>
      </c>
      <c r="J2727">
        <v>2686</v>
      </c>
      <c r="K2727">
        <v>7314</v>
      </c>
      <c r="L2727">
        <v>500</v>
      </c>
      <c r="M2727">
        <v>499</v>
      </c>
      <c r="N2727">
        <v>1</v>
      </c>
      <c r="O2727">
        <v>0</v>
      </c>
      <c r="P2727" s="3" t="s">
        <v>52</v>
      </c>
      <c r="Q2727">
        <v>50</v>
      </c>
      <c r="R2727">
        <v>0.999</v>
      </c>
      <c r="S2727">
        <v>1</v>
      </c>
    </row>
    <row r="2728" spans="1:19" x14ac:dyDescent="0.2">
      <c r="A2728" s="3" t="s">
        <v>54</v>
      </c>
      <c r="B2728" s="3" t="s">
        <v>55</v>
      </c>
      <c r="C2728">
        <v>3</v>
      </c>
      <c r="D2728">
        <v>10000</v>
      </c>
      <c r="E2728">
        <v>499</v>
      </c>
      <c r="F2728">
        <v>1</v>
      </c>
      <c r="G2728">
        <v>10000</v>
      </c>
      <c r="H2728">
        <v>1.4783393000000001E-2</v>
      </c>
      <c r="I2728">
        <v>10000</v>
      </c>
      <c r="J2728">
        <v>2664</v>
      </c>
      <c r="K2728">
        <v>7336</v>
      </c>
      <c r="L2728">
        <v>500</v>
      </c>
      <c r="M2728">
        <v>499</v>
      </c>
      <c r="N2728">
        <v>1</v>
      </c>
      <c r="O2728">
        <v>0</v>
      </c>
      <c r="P2728" s="3" t="s">
        <v>52</v>
      </c>
      <c r="Q2728">
        <v>50</v>
      </c>
      <c r="R2728">
        <v>0.999</v>
      </c>
      <c r="S2728">
        <v>1</v>
      </c>
    </row>
    <row r="2729" spans="1:19" x14ac:dyDescent="0.2">
      <c r="A2729" s="3" t="s">
        <v>54</v>
      </c>
      <c r="B2729" s="3" t="s">
        <v>55</v>
      </c>
      <c r="C2729">
        <v>15</v>
      </c>
      <c r="D2729">
        <v>13000</v>
      </c>
      <c r="E2729">
        <v>499</v>
      </c>
      <c r="F2729">
        <v>1</v>
      </c>
      <c r="G2729">
        <v>13000</v>
      </c>
      <c r="H2729">
        <v>1.4779606000000001E-2</v>
      </c>
      <c r="I2729">
        <v>12715</v>
      </c>
      <c r="J2729">
        <v>3791</v>
      </c>
      <c r="K2729">
        <v>8924</v>
      </c>
      <c r="L2729">
        <v>500</v>
      </c>
      <c r="M2729">
        <v>499</v>
      </c>
      <c r="N2729">
        <v>1</v>
      </c>
      <c r="O2729">
        <v>285</v>
      </c>
      <c r="P2729" s="3" t="s">
        <v>52</v>
      </c>
      <c r="Q2729">
        <v>50</v>
      </c>
      <c r="R2729">
        <v>0.999</v>
      </c>
      <c r="S2729">
        <v>1</v>
      </c>
    </row>
    <row r="2730" spans="1:19" x14ac:dyDescent="0.2">
      <c r="A2730" s="3" t="s">
        <v>54</v>
      </c>
      <c r="B2730" s="3" t="s">
        <v>55</v>
      </c>
      <c r="C2730">
        <v>9</v>
      </c>
      <c r="D2730">
        <v>11000</v>
      </c>
      <c r="E2730">
        <v>499</v>
      </c>
      <c r="F2730">
        <v>1</v>
      </c>
      <c r="G2730">
        <v>11000</v>
      </c>
      <c r="H2730">
        <v>1.477361E-2</v>
      </c>
      <c r="I2730">
        <v>11000</v>
      </c>
      <c r="J2730">
        <v>3655</v>
      </c>
      <c r="K2730">
        <v>7345</v>
      </c>
      <c r="L2730">
        <v>500</v>
      </c>
      <c r="M2730">
        <v>499</v>
      </c>
      <c r="N2730">
        <v>1</v>
      </c>
      <c r="O2730">
        <v>0</v>
      </c>
      <c r="P2730" s="3" t="s">
        <v>50</v>
      </c>
      <c r="Q2730">
        <v>50</v>
      </c>
      <c r="R2730">
        <v>0.999</v>
      </c>
      <c r="S2730">
        <v>1</v>
      </c>
    </row>
    <row r="2731" spans="1:19" x14ac:dyDescent="0.2">
      <c r="A2731" s="3" t="s">
        <v>54</v>
      </c>
      <c r="B2731" s="3" t="s">
        <v>55</v>
      </c>
      <c r="C2731">
        <v>42</v>
      </c>
      <c r="D2731">
        <v>10000</v>
      </c>
      <c r="E2731">
        <v>499</v>
      </c>
      <c r="F2731">
        <v>1</v>
      </c>
      <c r="G2731">
        <v>10000</v>
      </c>
      <c r="H2731">
        <v>1.4741446E-2</v>
      </c>
      <c r="I2731">
        <v>10000</v>
      </c>
      <c r="J2731">
        <v>3554</v>
      </c>
      <c r="K2731">
        <v>6446</v>
      </c>
      <c r="L2731">
        <v>500</v>
      </c>
      <c r="M2731">
        <v>499</v>
      </c>
      <c r="N2731">
        <v>1</v>
      </c>
      <c r="O2731">
        <v>0</v>
      </c>
      <c r="P2731" s="3" t="s">
        <v>50</v>
      </c>
      <c r="Q2731">
        <v>50</v>
      </c>
      <c r="R2731">
        <v>0.999</v>
      </c>
      <c r="S2731">
        <v>1</v>
      </c>
    </row>
    <row r="2732" spans="1:19" x14ac:dyDescent="0.2">
      <c r="A2732" s="3" t="s">
        <v>54</v>
      </c>
      <c r="B2732" s="3" t="s">
        <v>55</v>
      </c>
      <c r="C2732">
        <v>11</v>
      </c>
      <c r="D2732">
        <v>13000</v>
      </c>
      <c r="E2732">
        <v>499</v>
      </c>
      <c r="F2732">
        <v>1</v>
      </c>
      <c r="G2732">
        <v>13000</v>
      </c>
      <c r="H2732">
        <v>1.4731609999999999E-2</v>
      </c>
      <c r="I2732">
        <v>12696</v>
      </c>
      <c r="J2732">
        <v>3760</v>
      </c>
      <c r="K2732">
        <v>8936</v>
      </c>
      <c r="L2732">
        <v>500</v>
      </c>
      <c r="M2732">
        <v>499</v>
      </c>
      <c r="N2732">
        <v>1</v>
      </c>
      <c r="O2732">
        <v>304</v>
      </c>
      <c r="P2732" s="3" t="s">
        <v>52</v>
      </c>
      <c r="Q2732">
        <v>50</v>
      </c>
      <c r="R2732">
        <v>0.999</v>
      </c>
      <c r="S2732">
        <v>1</v>
      </c>
    </row>
    <row r="2733" spans="1:19" x14ac:dyDescent="0.2">
      <c r="A2733" s="3" t="s">
        <v>54</v>
      </c>
      <c r="B2733" s="3" t="s">
        <v>55</v>
      </c>
      <c r="C2733">
        <v>10</v>
      </c>
      <c r="D2733">
        <v>12000</v>
      </c>
      <c r="E2733">
        <v>499</v>
      </c>
      <c r="F2733">
        <v>1</v>
      </c>
      <c r="G2733">
        <v>50533.323552418398</v>
      </c>
      <c r="H2733">
        <v>1.4713131000000001E-2</v>
      </c>
      <c r="I2733">
        <v>12000</v>
      </c>
      <c r="J2733">
        <v>3666</v>
      </c>
      <c r="K2733">
        <v>8334</v>
      </c>
      <c r="L2733">
        <v>500</v>
      </c>
      <c r="M2733">
        <v>499</v>
      </c>
      <c r="N2733">
        <v>1</v>
      </c>
      <c r="O2733">
        <v>0</v>
      </c>
      <c r="P2733" s="3" t="s">
        <v>50</v>
      </c>
      <c r="Q2733">
        <v>50</v>
      </c>
      <c r="R2733">
        <v>0.999</v>
      </c>
      <c r="S2733">
        <v>0</v>
      </c>
    </row>
    <row r="2734" spans="1:19" x14ac:dyDescent="0.2">
      <c r="A2734" s="3" t="s">
        <v>54</v>
      </c>
      <c r="B2734" s="3" t="s">
        <v>55</v>
      </c>
      <c r="C2734">
        <v>26</v>
      </c>
      <c r="D2734">
        <v>11000</v>
      </c>
      <c r="E2734">
        <v>499</v>
      </c>
      <c r="F2734">
        <v>1</v>
      </c>
      <c r="G2734">
        <v>11000</v>
      </c>
      <c r="H2734">
        <v>1.4704266000000001E-2</v>
      </c>
      <c r="I2734">
        <v>11000</v>
      </c>
      <c r="J2734">
        <v>3655</v>
      </c>
      <c r="K2734">
        <v>7345</v>
      </c>
      <c r="L2734">
        <v>500</v>
      </c>
      <c r="M2734">
        <v>499</v>
      </c>
      <c r="N2734">
        <v>1</v>
      </c>
      <c r="O2734">
        <v>0</v>
      </c>
      <c r="P2734" s="3" t="s">
        <v>50</v>
      </c>
      <c r="Q2734">
        <v>50</v>
      </c>
      <c r="R2734">
        <v>0.999</v>
      </c>
      <c r="S2734">
        <v>1</v>
      </c>
    </row>
    <row r="2735" spans="1:19" x14ac:dyDescent="0.2">
      <c r="A2735" s="3" t="s">
        <v>54</v>
      </c>
      <c r="B2735" s="3" t="s">
        <v>55</v>
      </c>
      <c r="C2735">
        <v>6</v>
      </c>
      <c r="D2735">
        <v>13000</v>
      </c>
      <c r="E2735">
        <v>499</v>
      </c>
      <c r="F2735">
        <v>1</v>
      </c>
      <c r="G2735">
        <v>13000</v>
      </c>
      <c r="H2735">
        <v>1.4702754E-2</v>
      </c>
      <c r="I2735">
        <v>12713</v>
      </c>
      <c r="J2735">
        <v>3768</v>
      </c>
      <c r="K2735">
        <v>8945</v>
      </c>
      <c r="L2735">
        <v>500</v>
      </c>
      <c r="M2735">
        <v>499</v>
      </c>
      <c r="N2735">
        <v>1</v>
      </c>
      <c r="O2735">
        <v>287</v>
      </c>
      <c r="P2735" s="3" t="s">
        <v>52</v>
      </c>
      <c r="Q2735">
        <v>50</v>
      </c>
      <c r="R2735">
        <v>0.999</v>
      </c>
      <c r="S2735">
        <v>1</v>
      </c>
    </row>
    <row r="2736" spans="1:19" x14ac:dyDescent="0.2">
      <c r="A2736" s="3" t="s">
        <v>54</v>
      </c>
      <c r="B2736" s="3" t="s">
        <v>55</v>
      </c>
      <c r="C2736">
        <v>24</v>
      </c>
      <c r="D2736">
        <v>12000</v>
      </c>
      <c r="E2736">
        <v>499</v>
      </c>
      <c r="F2736">
        <v>1</v>
      </c>
      <c r="G2736">
        <v>50533.323552418398</v>
      </c>
      <c r="H2736">
        <v>1.4702313E-2</v>
      </c>
      <c r="I2736">
        <v>12000</v>
      </c>
      <c r="J2736">
        <v>3740</v>
      </c>
      <c r="K2736">
        <v>8260</v>
      </c>
      <c r="L2736">
        <v>500</v>
      </c>
      <c r="M2736">
        <v>499</v>
      </c>
      <c r="N2736">
        <v>1</v>
      </c>
      <c r="O2736">
        <v>0</v>
      </c>
      <c r="P2736" s="3" t="s">
        <v>50</v>
      </c>
      <c r="Q2736">
        <v>50</v>
      </c>
      <c r="R2736">
        <v>0.999</v>
      </c>
      <c r="S2736">
        <v>0</v>
      </c>
    </row>
    <row r="2737" spans="1:19" x14ac:dyDescent="0.2">
      <c r="A2737" s="3" t="s">
        <v>54</v>
      </c>
      <c r="B2737" s="3" t="s">
        <v>55</v>
      </c>
      <c r="C2737">
        <v>5</v>
      </c>
      <c r="D2737">
        <v>10000</v>
      </c>
      <c r="E2737">
        <v>499</v>
      </c>
      <c r="F2737">
        <v>1</v>
      </c>
      <c r="G2737">
        <v>10000</v>
      </c>
      <c r="H2737">
        <v>1.4685171E-2</v>
      </c>
      <c r="I2737">
        <v>10000</v>
      </c>
      <c r="J2737">
        <v>3571</v>
      </c>
      <c r="K2737">
        <v>6429</v>
      </c>
      <c r="L2737">
        <v>500</v>
      </c>
      <c r="M2737">
        <v>499</v>
      </c>
      <c r="N2737">
        <v>1</v>
      </c>
      <c r="O2737">
        <v>0</v>
      </c>
      <c r="P2737" s="3" t="s">
        <v>50</v>
      </c>
      <c r="Q2737">
        <v>50</v>
      </c>
      <c r="R2737">
        <v>0.999</v>
      </c>
      <c r="S2737">
        <v>1</v>
      </c>
    </row>
    <row r="2738" spans="1:19" x14ac:dyDescent="0.2">
      <c r="A2738" s="3" t="s">
        <v>54</v>
      </c>
      <c r="B2738" s="3" t="s">
        <v>55</v>
      </c>
      <c r="C2738">
        <v>20</v>
      </c>
      <c r="D2738">
        <v>11000</v>
      </c>
      <c r="E2738">
        <v>499</v>
      </c>
      <c r="F2738">
        <v>1</v>
      </c>
      <c r="G2738">
        <v>44062.122210792702</v>
      </c>
      <c r="H2738">
        <v>1.4670064999999999E-2</v>
      </c>
      <c r="I2738">
        <v>11000</v>
      </c>
      <c r="J2738">
        <v>3613</v>
      </c>
      <c r="K2738">
        <v>7387</v>
      </c>
      <c r="L2738">
        <v>500</v>
      </c>
      <c r="M2738">
        <v>499</v>
      </c>
      <c r="N2738">
        <v>1</v>
      </c>
      <c r="O2738">
        <v>0</v>
      </c>
      <c r="P2738" s="3" t="s">
        <v>50</v>
      </c>
      <c r="Q2738">
        <v>50</v>
      </c>
      <c r="R2738">
        <v>0.999</v>
      </c>
      <c r="S2738">
        <v>0</v>
      </c>
    </row>
    <row r="2739" spans="1:19" x14ac:dyDescent="0.2">
      <c r="A2739" s="3" t="s">
        <v>54</v>
      </c>
      <c r="B2739" s="3" t="s">
        <v>55</v>
      </c>
      <c r="C2739">
        <v>37</v>
      </c>
      <c r="D2739">
        <v>12000</v>
      </c>
      <c r="E2739">
        <v>499</v>
      </c>
      <c r="F2739">
        <v>1</v>
      </c>
      <c r="G2739">
        <v>50533.323552418398</v>
      </c>
      <c r="H2739">
        <v>1.4659045000000001E-2</v>
      </c>
      <c r="I2739">
        <v>12000</v>
      </c>
      <c r="J2739">
        <v>3690</v>
      </c>
      <c r="K2739">
        <v>8310</v>
      </c>
      <c r="L2739">
        <v>500</v>
      </c>
      <c r="M2739">
        <v>499</v>
      </c>
      <c r="N2739">
        <v>1</v>
      </c>
      <c r="O2739">
        <v>0</v>
      </c>
      <c r="P2739" s="3" t="s">
        <v>50</v>
      </c>
      <c r="Q2739">
        <v>50</v>
      </c>
      <c r="R2739">
        <v>0.999</v>
      </c>
      <c r="S2739">
        <v>0</v>
      </c>
    </row>
    <row r="2740" spans="1:19" x14ac:dyDescent="0.2">
      <c r="A2740" s="3" t="s">
        <v>54</v>
      </c>
      <c r="B2740" s="3" t="s">
        <v>55</v>
      </c>
      <c r="C2740">
        <v>47</v>
      </c>
      <c r="D2740">
        <v>13000</v>
      </c>
      <c r="E2740">
        <v>499</v>
      </c>
      <c r="F2740">
        <v>1</v>
      </c>
      <c r="G2740">
        <v>13000</v>
      </c>
      <c r="H2740">
        <v>1.4647027999999999E-2</v>
      </c>
      <c r="I2740">
        <v>12702</v>
      </c>
      <c r="J2740">
        <v>3788</v>
      </c>
      <c r="K2740">
        <v>8914</v>
      </c>
      <c r="L2740">
        <v>500</v>
      </c>
      <c r="M2740">
        <v>499</v>
      </c>
      <c r="N2740">
        <v>1</v>
      </c>
      <c r="O2740">
        <v>298</v>
      </c>
      <c r="P2740" s="3" t="s">
        <v>52</v>
      </c>
      <c r="Q2740">
        <v>50</v>
      </c>
      <c r="R2740">
        <v>0.999</v>
      </c>
      <c r="S2740">
        <v>1</v>
      </c>
    </row>
    <row r="2741" spans="1:19" x14ac:dyDescent="0.2">
      <c r="A2741" s="3" t="s">
        <v>54</v>
      </c>
      <c r="B2741" s="3" t="s">
        <v>55</v>
      </c>
      <c r="C2741">
        <v>16</v>
      </c>
      <c r="D2741">
        <v>12000</v>
      </c>
      <c r="E2741">
        <v>499</v>
      </c>
      <c r="F2741">
        <v>1</v>
      </c>
      <c r="G2741">
        <v>50533.323552418398</v>
      </c>
      <c r="H2741">
        <v>1.4633289000000001E-2</v>
      </c>
      <c r="I2741">
        <v>12000</v>
      </c>
      <c r="J2741">
        <v>3708</v>
      </c>
      <c r="K2741">
        <v>8292</v>
      </c>
      <c r="L2741">
        <v>500</v>
      </c>
      <c r="M2741">
        <v>499</v>
      </c>
      <c r="N2741">
        <v>1</v>
      </c>
      <c r="O2741">
        <v>0</v>
      </c>
      <c r="P2741" s="3" t="s">
        <v>50</v>
      </c>
      <c r="Q2741">
        <v>50</v>
      </c>
      <c r="R2741">
        <v>0.999</v>
      </c>
      <c r="S2741">
        <v>0</v>
      </c>
    </row>
    <row r="2742" spans="1:19" x14ac:dyDescent="0.2">
      <c r="A2742" s="3" t="s">
        <v>54</v>
      </c>
      <c r="B2742" s="3" t="s">
        <v>55</v>
      </c>
      <c r="C2742">
        <v>41</v>
      </c>
      <c r="D2742">
        <v>11000</v>
      </c>
      <c r="E2742">
        <v>499</v>
      </c>
      <c r="F2742">
        <v>1</v>
      </c>
      <c r="G2742">
        <v>44062.122210792702</v>
      </c>
      <c r="H2742">
        <v>1.4613919E-2</v>
      </c>
      <c r="I2742">
        <v>11000</v>
      </c>
      <c r="J2742">
        <v>3664</v>
      </c>
      <c r="K2742">
        <v>7336</v>
      </c>
      <c r="L2742">
        <v>500</v>
      </c>
      <c r="M2742">
        <v>499</v>
      </c>
      <c r="N2742">
        <v>1</v>
      </c>
      <c r="O2742">
        <v>0</v>
      </c>
      <c r="P2742" s="3" t="s">
        <v>50</v>
      </c>
      <c r="Q2742">
        <v>50</v>
      </c>
      <c r="R2742">
        <v>0.999</v>
      </c>
      <c r="S2742">
        <v>0</v>
      </c>
    </row>
    <row r="2743" spans="1:19" x14ac:dyDescent="0.2">
      <c r="A2743" s="3" t="s">
        <v>54</v>
      </c>
      <c r="B2743" s="3" t="s">
        <v>55</v>
      </c>
      <c r="C2743">
        <v>40</v>
      </c>
      <c r="D2743">
        <v>11000</v>
      </c>
      <c r="E2743">
        <v>499</v>
      </c>
      <c r="F2743">
        <v>1</v>
      </c>
      <c r="G2743">
        <v>44062.122210792702</v>
      </c>
      <c r="H2743">
        <v>1.4591000999999999E-2</v>
      </c>
      <c r="I2743">
        <v>11000</v>
      </c>
      <c r="J2743">
        <v>3653</v>
      </c>
      <c r="K2743">
        <v>7347</v>
      </c>
      <c r="L2743">
        <v>500</v>
      </c>
      <c r="M2743">
        <v>499</v>
      </c>
      <c r="N2743">
        <v>1</v>
      </c>
      <c r="O2743">
        <v>0</v>
      </c>
      <c r="P2743" s="3" t="s">
        <v>50</v>
      </c>
      <c r="Q2743">
        <v>50</v>
      </c>
      <c r="R2743">
        <v>0.999</v>
      </c>
      <c r="S2743">
        <v>0</v>
      </c>
    </row>
    <row r="2744" spans="1:19" x14ac:dyDescent="0.2">
      <c r="A2744" s="3" t="s">
        <v>54</v>
      </c>
      <c r="B2744" s="3" t="s">
        <v>55</v>
      </c>
      <c r="C2744">
        <v>1</v>
      </c>
      <c r="D2744">
        <v>10000</v>
      </c>
      <c r="E2744">
        <v>499</v>
      </c>
      <c r="F2744">
        <v>1</v>
      </c>
      <c r="G2744">
        <v>10000</v>
      </c>
      <c r="H2744">
        <v>1.4583485E-2</v>
      </c>
      <c r="I2744">
        <v>10000</v>
      </c>
      <c r="J2744">
        <v>3575</v>
      </c>
      <c r="K2744">
        <v>6425</v>
      </c>
      <c r="L2744">
        <v>500</v>
      </c>
      <c r="M2744">
        <v>499</v>
      </c>
      <c r="N2744">
        <v>1</v>
      </c>
      <c r="O2744">
        <v>0</v>
      </c>
      <c r="P2744" s="3" t="s">
        <v>50</v>
      </c>
      <c r="Q2744">
        <v>50</v>
      </c>
      <c r="R2744">
        <v>0.999</v>
      </c>
      <c r="S2744">
        <v>1</v>
      </c>
    </row>
    <row r="2745" spans="1:19" x14ac:dyDescent="0.2">
      <c r="A2745" s="3" t="s">
        <v>54</v>
      </c>
      <c r="B2745" s="3" t="s">
        <v>55</v>
      </c>
      <c r="C2745">
        <v>5</v>
      </c>
      <c r="D2745">
        <v>11000</v>
      </c>
      <c r="E2745">
        <v>499</v>
      </c>
      <c r="F2745">
        <v>1</v>
      </c>
      <c r="G2745">
        <v>11000</v>
      </c>
      <c r="H2745">
        <v>1.4548524E-2</v>
      </c>
      <c r="I2745">
        <v>11000</v>
      </c>
      <c r="J2745">
        <v>3637</v>
      </c>
      <c r="K2745">
        <v>7363</v>
      </c>
      <c r="L2745">
        <v>500</v>
      </c>
      <c r="M2745">
        <v>499</v>
      </c>
      <c r="N2745">
        <v>1</v>
      </c>
      <c r="O2745">
        <v>0</v>
      </c>
      <c r="P2745" s="3" t="s">
        <v>50</v>
      </c>
      <c r="Q2745">
        <v>50</v>
      </c>
      <c r="R2745">
        <v>0.999</v>
      </c>
      <c r="S2745">
        <v>1</v>
      </c>
    </row>
    <row r="2746" spans="1:19" x14ac:dyDescent="0.2">
      <c r="A2746" s="3" t="s">
        <v>54</v>
      </c>
      <c r="B2746" s="3" t="s">
        <v>55</v>
      </c>
      <c r="C2746">
        <v>8</v>
      </c>
      <c r="D2746">
        <v>12000</v>
      </c>
      <c r="E2746">
        <v>499</v>
      </c>
      <c r="F2746">
        <v>1</v>
      </c>
      <c r="G2746">
        <v>50533.323552418398</v>
      </c>
      <c r="H2746">
        <v>1.454395E-2</v>
      </c>
      <c r="I2746">
        <v>12000</v>
      </c>
      <c r="J2746">
        <v>3648</v>
      </c>
      <c r="K2746">
        <v>8352</v>
      </c>
      <c r="L2746">
        <v>500</v>
      </c>
      <c r="M2746">
        <v>499</v>
      </c>
      <c r="N2746">
        <v>1</v>
      </c>
      <c r="O2746">
        <v>0</v>
      </c>
      <c r="P2746" s="3" t="s">
        <v>50</v>
      </c>
      <c r="Q2746">
        <v>50</v>
      </c>
      <c r="R2746">
        <v>0.999</v>
      </c>
      <c r="S2746">
        <v>0</v>
      </c>
    </row>
    <row r="2747" spans="1:19" x14ac:dyDescent="0.2">
      <c r="A2747" s="3" t="s">
        <v>54</v>
      </c>
      <c r="B2747" s="3" t="s">
        <v>55</v>
      </c>
      <c r="C2747">
        <v>47</v>
      </c>
      <c r="D2747">
        <v>12000</v>
      </c>
      <c r="E2747">
        <v>499</v>
      </c>
      <c r="F2747">
        <v>1</v>
      </c>
      <c r="G2747">
        <v>50533.323552418398</v>
      </c>
      <c r="H2747">
        <v>1.454131E-2</v>
      </c>
      <c r="I2747">
        <v>12000</v>
      </c>
      <c r="J2747">
        <v>3708</v>
      </c>
      <c r="K2747">
        <v>8292</v>
      </c>
      <c r="L2747">
        <v>500</v>
      </c>
      <c r="M2747">
        <v>499</v>
      </c>
      <c r="N2747">
        <v>1</v>
      </c>
      <c r="O2747">
        <v>0</v>
      </c>
      <c r="P2747" s="3" t="s">
        <v>50</v>
      </c>
      <c r="Q2747">
        <v>50</v>
      </c>
      <c r="R2747">
        <v>0.999</v>
      </c>
      <c r="S2747">
        <v>0</v>
      </c>
    </row>
    <row r="2748" spans="1:19" x14ac:dyDescent="0.2">
      <c r="A2748" s="3" t="s">
        <v>54</v>
      </c>
      <c r="B2748" s="3" t="s">
        <v>55</v>
      </c>
      <c r="C2748">
        <v>22</v>
      </c>
      <c r="D2748">
        <v>11000</v>
      </c>
      <c r="E2748">
        <v>499</v>
      </c>
      <c r="F2748">
        <v>1</v>
      </c>
      <c r="G2748">
        <v>44062.122210792702</v>
      </c>
      <c r="H2748">
        <v>1.454075E-2</v>
      </c>
      <c r="I2748">
        <v>11000</v>
      </c>
      <c r="J2748">
        <v>3670</v>
      </c>
      <c r="K2748">
        <v>7330</v>
      </c>
      <c r="L2748">
        <v>500</v>
      </c>
      <c r="M2748">
        <v>499</v>
      </c>
      <c r="N2748">
        <v>1</v>
      </c>
      <c r="O2748">
        <v>0</v>
      </c>
      <c r="P2748" s="3" t="s">
        <v>50</v>
      </c>
      <c r="Q2748">
        <v>50</v>
      </c>
      <c r="R2748">
        <v>0.999</v>
      </c>
      <c r="S2748">
        <v>0</v>
      </c>
    </row>
    <row r="2749" spans="1:19" x14ac:dyDescent="0.2">
      <c r="A2749" s="3" t="s">
        <v>54</v>
      </c>
      <c r="B2749" s="3" t="s">
        <v>55</v>
      </c>
      <c r="C2749">
        <v>16</v>
      </c>
      <c r="D2749">
        <v>13000</v>
      </c>
      <c r="E2749">
        <v>499</v>
      </c>
      <c r="F2749">
        <v>1</v>
      </c>
      <c r="G2749">
        <v>13000</v>
      </c>
      <c r="H2749">
        <v>1.4537974E-2</v>
      </c>
      <c r="I2749">
        <v>12708</v>
      </c>
      <c r="J2749">
        <v>3785</v>
      </c>
      <c r="K2749">
        <v>8923</v>
      </c>
      <c r="L2749">
        <v>500</v>
      </c>
      <c r="M2749">
        <v>499</v>
      </c>
      <c r="N2749">
        <v>1</v>
      </c>
      <c r="O2749">
        <v>292</v>
      </c>
      <c r="P2749" s="3" t="s">
        <v>52</v>
      </c>
      <c r="Q2749">
        <v>50</v>
      </c>
      <c r="R2749">
        <v>0.999</v>
      </c>
      <c r="S2749">
        <v>1</v>
      </c>
    </row>
    <row r="2750" spans="1:19" x14ac:dyDescent="0.2">
      <c r="A2750" s="3" t="s">
        <v>54</v>
      </c>
      <c r="B2750" s="3" t="s">
        <v>55</v>
      </c>
      <c r="C2750">
        <v>29</v>
      </c>
      <c r="D2750">
        <v>11000</v>
      </c>
      <c r="E2750">
        <v>499</v>
      </c>
      <c r="F2750">
        <v>1</v>
      </c>
      <c r="G2750">
        <v>44062.122210792702</v>
      </c>
      <c r="H2750">
        <v>1.4516586999999999E-2</v>
      </c>
      <c r="I2750">
        <v>11000</v>
      </c>
      <c r="J2750">
        <v>3655</v>
      </c>
      <c r="K2750">
        <v>7345</v>
      </c>
      <c r="L2750">
        <v>500</v>
      </c>
      <c r="M2750">
        <v>499</v>
      </c>
      <c r="N2750">
        <v>1</v>
      </c>
      <c r="O2750">
        <v>0</v>
      </c>
      <c r="P2750" s="3" t="s">
        <v>50</v>
      </c>
      <c r="Q2750">
        <v>50</v>
      </c>
      <c r="R2750">
        <v>0.999</v>
      </c>
      <c r="S2750">
        <v>0</v>
      </c>
    </row>
    <row r="2751" spans="1:19" x14ac:dyDescent="0.2">
      <c r="A2751" s="3" t="s">
        <v>54</v>
      </c>
      <c r="B2751" s="3" t="s">
        <v>55</v>
      </c>
      <c r="C2751">
        <v>4</v>
      </c>
      <c r="D2751">
        <v>13000</v>
      </c>
      <c r="E2751">
        <v>499</v>
      </c>
      <c r="F2751">
        <v>1</v>
      </c>
      <c r="G2751">
        <v>13000</v>
      </c>
      <c r="H2751">
        <v>1.4506577999999999E-2</v>
      </c>
      <c r="I2751">
        <v>12719</v>
      </c>
      <c r="J2751">
        <v>3789</v>
      </c>
      <c r="K2751">
        <v>8930</v>
      </c>
      <c r="L2751">
        <v>500</v>
      </c>
      <c r="M2751">
        <v>499</v>
      </c>
      <c r="N2751">
        <v>1</v>
      </c>
      <c r="O2751">
        <v>281</v>
      </c>
      <c r="P2751" s="3" t="s">
        <v>52</v>
      </c>
      <c r="Q2751">
        <v>50</v>
      </c>
      <c r="R2751">
        <v>0.999</v>
      </c>
      <c r="S2751">
        <v>1</v>
      </c>
    </row>
    <row r="2752" spans="1:19" x14ac:dyDescent="0.2">
      <c r="A2752" s="3" t="s">
        <v>54</v>
      </c>
      <c r="B2752" s="3" t="s">
        <v>55</v>
      </c>
      <c r="C2752">
        <v>33</v>
      </c>
      <c r="D2752">
        <v>13000</v>
      </c>
      <c r="E2752">
        <v>499</v>
      </c>
      <c r="F2752">
        <v>1</v>
      </c>
      <c r="G2752">
        <v>13000</v>
      </c>
      <c r="H2752">
        <v>1.4506E-2</v>
      </c>
      <c r="I2752">
        <v>12711</v>
      </c>
      <c r="J2752">
        <v>3772</v>
      </c>
      <c r="K2752">
        <v>8939</v>
      </c>
      <c r="L2752">
        <v>500</v>
      </c>
      <c r="M2752">
        <v>499</v>
      </c>
      <c r="N2752">
        <v>1</v>
      </c>
      <c r="O2752">
        <v>289</v>
      </c>
      <c r="P2752" s="3" t="s">
        <v>52</v>
      </c>
      <c r="Q2752">
        <v>50</v>
      </c>
      <c r="R2752">
        <v>0.999</v>
      </c>
      <c r="S2752">
        <v>1</v>
      </c>
    </row>
    <row r="2753" spans="1:19" x14ac:dyDescent="0.2">
      <c r="A2753" s="3" t="s">
        <v>54</v>
      </c>
      <c r="B2753" s="3" t="s">
        <v>55</v>
      </c>
      <c r="C2753">
        <v>12</v>
      </c>
      <c r="D2753">
        <v>12000</v>
      </c>
      <c r="E2753">
        <v>499</v>
      </c>
      <c r="F2753">
        <v>1</v>
      </c>
      <c r="G2753">
        <v>50533.323552418398</v>
      </c>
      <c r="H2753">
        <v>1.4501966E-2</v>
      </c>
      <c r="I2753">
        <v>11999</v>
      </c>
      <c r="J2753">
        <v>3704</v>
      </c>
      <c r="K2753">
        <v>8295</v>
      </c>
      <c r="L2753">
        <v>500</v>
      </c>
      <c r="M2753">
        <v>499</v>
      </c>
      <c r="N2753">
        <v>1</v>
      </c>
      <c r="O2753">
        <v>3.7528452495</v>
      </c>
      <c r="P2753" s="3" t="s">
        <v>50</v>
      </c>
      <c r="Q2753">
        <v>50</v>
      </c>
      <c r="R2753">
        <v>0.999</v>
      </c>
      <c r="S2753">
        <v>0</v>
      </c>
    </row>
    <row r="2754" spans="1:19" x14ac:dyDescent="0.2">
      <c r="A2754" s="3" t="s">
        <v>54</v>
      </c>
      <c r="B2754" s="3" t="s">
        <v>55</v>
      </c>
      <c r="C2754">
        <v>2</v>
      </c>
      <c r="D2754">
        <v>10000</v>
      </c>
      <c r="E2754">
        <v>499</v>
      </c>
      <c r="F2754">
        <v>1</v>
      </c>
      <c r="G2754">
        <v>10000</v>
      </c>
      <c r="H2754">
        <v>1.4500647E-2</v>
      </c>
      <c r="I2754">
        <v>10000</v>
      </c>
      <c r="J2754">
        <v>2742</v>
      </c>
      <c r="K2754">
        <v>7258</v>
      </c>
      <c r="L2754">
        <v>500</v>
      </c>
      <c r="M2754">
        <v>499</v>
      </c>
      <c r="N2754">
        <v>1</v>
      </c>
      <c r="O2754">
        <v>0</v>
      </c>
      <c r="P2754" s="3" t="s">
        <v>52</v>
      </c>
      <c r="Q2754">
        <v>50</v>
      </c>
      <c r="R2754">
        <v>0.999</v>
      </c>
      <c r="S2754">
        <v>1</v>
      </c>
    </row>
    <row r="2755" spans="1:19" x14ac:dyDescent="0.2">
      <c r="A2755" s="3" t="s">
        <v>54</v>
      </c>
      <c r="B2755" s="3" t="s">
        <v>55</v>
      </c>
      <c r="C2755">
        <v>26</v>
      </c>
      <c r="D2755">
        <v>12000</v>
      </c>
      <c r="E2755">
        <v>499</v>
      </c>
      <c r="F2755">
        <v>1</v>
      </c>
      <c r="G2755">
        <v>50533.323552418398</v>
      </c>
      <c r="H2755">
        <v>1.4476996000000001E-2</v>
      </c>
      <c r="I2755">
        <v>12000</v>
      </c>
      <c r="J2755">
        <v>3700</v>
      </c>
      <c r="K2755">
        <v>8300</v>
      </c>
      <c r="L2755">
        <v>500</v>
      </c>
      <c r="M2755">
        <v>499</v>
      </c>
      <c r="N2755">
        <v>1</v>
      </c>
      <c r="O2755">
        <v>0</v>
      </c>
      <c r="P2755" s="3" t="s">
        <v>50</v>
      </c>
      <c r="Q2755">
        <v>50</v>
      </c>
      <c r="R2755">
        <v>0.999</v>
      </c>
      <c r="S2755">
        <v>0</v>
      </c>
    </row>
    <row r="2756" spans="1:19" x14ac:dyDescent="0.2">
      <c r="A2756" s="3" t="s">
        <v>54</v>
      </c>
      <c r="B2756" s="3" t="s">
        <v>55</v>
      </c>
      <c r="C2756">
        <v>9</v>
      </c>
      <c r="D2756">
        <v>12000</v>
      </c>
      <c r="E2756">
        <v>499</v>
      </c>
      <c r="F2756">
        <v>1</v>
      </c>
      <c r="G2756">
        <v>12000</v>
      </c>
      <c r="H2756">
        <v>1.4472616000000001E-2</v>
      </c>
      <c r="I2756">
        <v>12000</v>
      </c>
      <c r="J2756">
        <v>3684</v>
      </c>
      <c r="K2756">
        <v>8316</v>
      </c>
      <c r="L2756">
        <v>500</v>
      </c>
      <c r="M2756">
        <v>499</v>
      </c>
      <c r="N2756">
        <v>1</v>
      </c>
      <c r="O2756">
        <v>0</v>
      </c>
      <c r="P2756" s="3" t="s">
        <v>50</v>
      </c>
      <c r="Q2756">
        <v>50</v>
      </c>
      <c r="R2756">
        <v>0.999</v>
      </c>
      <c r="S2756">
        <v>1</v>
      </c>
    </row>
    <row r="2757" spans="1:19" x14ac:dyDescent="0.2">
      <c r="A2757" s="3" t="s">
        <v>54</v>
      </c>
      <c r="B2757" s="3" t="s">
        <v>55</v>
      </c>
      <c r="C2757">
        <v>12</v>
      </c>
      <c r="D2757">
        <v>13000</v>
      </c>
      <c r="E2757">
        <v>499</v>
      </c>
      <c r="F2757">
        <v>1</v>
      </c>
      <c r="G2757">
        <v>13000</v>
      </c>
      <c r="H2757">
        <v>1.4470515999999999E-2</v>
      </c>
      <c r="I2757">
        <v>12686</v>
      </c>
      <c r="J2757">
        <v>3799</v>
      </c>
      <c r="K2757">
        <v>8887</v>
      </c>
      <c r="L2757">
        <v>500</v>
      </c>
      <c r="M2757">
        <v>499</v>
      </c>
      <c r="N2757">
        <v>1</v>
      </c>
      <c r="O2757">
        <v>314</v>
      </c>
      <c r="P2757" s="3" t="s">
        <v>52</v>
      </c>
      <c r="Q2757">
        <v>50</v>
      </c>
      <c r="R2757">
        <v>0.999</v>
      </c>
      <c r="S2757">
        <v>1</v>
      </c>
    </row>
    <row r="2758" spans="1:19" x14ac:dyDescent="0.2">
      <c r="A2758" s="3" t="s">
        <v>54</v>
      </c>
      <c r="B2758" s="3" t="s">
        <v>55</v>
      </c>
      <c r="C2758">
        <v>16</v>
      </c>
      <c r="D2758">
        <v>12000</v>
      </c>
      <c r="E2758">
        <v>499</v>
      </c>
      <c r="F2758">
        <v>1</v>
      </c>
      <c r="G2758">
        <v>12000</v>
      </c>
      <c r="H2758">
        <v>1.4453209999999999E-2</v>
      </c>
      <c r="I2758">
        <v>11999</v>
      </c>
      <c r="J2758">
        <v>3713</v>
      </c>
      <c r="K2758">
        <v>8286</v>
      </c>
      <c r="L2758">
        <v>500</v>
      </c>
      <c r="M2758">
        <v>499</v>
      </c>
      <c r="N2758">
        <v>1</v>
      </c>
      <c r="O2758">
        <v>1</v>
      </c>
      <c r="P2758" s="3" t="s">
        <v>50</v>
      </c>
      <c r="Q2758">
        <v>50</v>
      </c>
      <c r="R2758">
        <v>0.999</v>
      </c>
      <c r="S2758">
        <v>1</v>
      </c>
    </row>
    <row r="2759" spans="1:19" x14ac:dyDescent="0.2">
      <c r="A2759" s="3" t="s">
        <v>54</v>
      </c>
      <c r="B2759" s="3" t="s">
        <v>55</v>
      </c>
      <c r="C2759">
        <v>45</v>
      </c>
      <c r="D2759">
        <v>13000</v>
      </c>
      <c r="E2759">
        <v>499</v>
      </c>
      <c r="F2759">
        <v>1</v>
      </c>
      <c r="G2759">
        <v>13000</v>
      </c>
      <c r="H2759">
        <v>1.4445655999999999E-2</v>
      </c>
      <c r="I2759">
        <v>12710</v>
      </c>
      <c r="J2759">
        <v>3793</v>
      </c>
      <c r="K2759">
        <v>8917</v>
      </c>
      <c r="L2759">
        <v>500</v>
      </c>
      <c r="M2759">
        <v>499</v>
      </c>
      <c r="N2759">
        <v>1</v>
      </c>
      <c r="O2759">
        <v>290</v>
      </c>
      <c r="P2759" s="3" t="s">
        <v>52</v>
      </c>
      <c r="Q2759">
        <v>50</v>
      </c>
      <c r="R2759">
        <v>0.999</v>
      </c>
      <c r="S2759">
        <v>1</v>
      </c>
    </row>
    <row r="2760" spans="1:19" x14ac:dyDescent="0.2">
      <c r="A2760" s="3" t="s">
        <v>54</v>
      </c>
      <c r="B2760" s="3" t="s">
        <v>55</v>
      </c>
      <c r="C2760">
        <v>41</v>
      </c>
      <c r="D2760">
        <v>12000</v>
      </c>
      <c r="E2760">
        <v>499</v>
      </c>
      <c r="F2760">
        <v>1</v>
      </c>
      <c r="G2760">
        <v>50533.323552418398</v>
      </c>
      <c r="H2760">
        <v>1.4441018E-2</v>
      </c>
      <c r="I2760">
        <v>12000</v>
      </c>
      <c r="J2760">
        <v>3704</v>
      </c>
      <c r="K2760">
        <v>8296</v>
      </c>
      <c r="L2760">
        <v>500</v>
      </c>
      <c r="M2760">
        <v>499</v>
      </c>
      <c r="N2760">
        <v>1</v>
      </c>
      <c r="O2760">
        <v>0</v>
      </c>
      <c r="P2760" s="3" t="s">
        <v>50</v>
      </c>
      <c r="Q2760">
        <v>50</v>
      </c>
      <c r="R2760">
        <v>0.999</v>
      </c>
      <c r="S2760">
        <v>0</v>
      </c>
    </row>
    <row r="2761" spans="1:19" x14ac:dyDescent="0.2">
      <c r="A2761" s="3" t="s">
        <v>54</v>
      </c>
      <c r="B2761" s="3" t="s">
        <v>55</v>
      </c>
      <c r="C2761">
        <v>29</v>
      </c>
      <c r="D2761">
        <v>13000</v>
      </c>
      <c r="E2761">
        <v>499</v>
      </c>
      <c r="F2761">
        <v>1</v>
      </c>
      <c r="G2761">
        <v>13000</v>
      </c>
      <c r="H2761">
        <v>1.4437012000000001E-2</v>
      </c>
      <c r="I2761">
        <v>12712</v>
      </c>
      <c r="J2761">
        <v>3781</v>
      </c>
      <c r="K2761">
        <v>8931</v>
      </c>
      <c r="L2761">
        <v>500</v>
      </c>
      <c r="M2761">
        <v>499</v>
      </c>
      <c r="N2761">
        <v>1</v>
      </c>
      <c r="O2761">
        <v>288</v>
      </c>
      <c r="P2761" s="3" t="s">
        <v>52</v>
      </c>
      <c r="Q2761">
        <v>50</v>
      </c>
      <c r="R2761">
        <v>0.999</v>
      </c>
      <c r="S2761">
        <v>1</v>
      </c>
    </row>
    <row r="2762" spans="1:19" x14ac:dyDescent="0.2">
      <c r="A2762" s="3" t="s">
        <v>54</v>
      </c>
      <c r="B2762" s="3" t="s">
        <v>55</v>
      </c>
      <c r="C2762">
        <v>5</v>
      </c>
      <c r="D2762">
        <v>11000</v>
      </c>
      <c r="E2762">
        <v>499</v>
      </c>
      <c r="F2762">
        <v>1</v>
      </c>
      <c r="G2762">
        <v>44062.122210792702</v>
      </c>
      <c r="H2762">
        <v>1.4435628000000001E-2</v>
      </c>
      <c r="I2762">
        <v>11000</v>
      </c>
      <c r="J2762">
        <v>3651</v>
      </c>
      <c r="K2762">
        <v>7349</v>
      </c>
      <c r="L2762">
        <v>499</v>
      </c>
      <c r="M2762">
        <v>498</v>
      </c>
      <c r="N2762">
        <v>1</v>
      </c>
      <c r="O2762">
        <v>0</v>
      </c>
      <c r="P2762" s="3" t="s">
        <v>50</v>
      </c>
      <c r="Q2762">
        <v>50</v>
      </c>
      <c r="R2762">
        <v>0.999</v>
      </c>
      <c r="S2762">
        <v>0</v>
      </c>
    </row>
    <row r="2763" spans="1:19" x14ac:dyDescent="0.2">
      <c r="A2763" s="3" t="s">
        <v>54</v>
      </c>
      <c r="B2763" s="3" t="s">
        <v>55</v>
      </c>
      <c r="C2763">
        <v>32</v>
      </c>
      <c r="D2763">
        <v>13000</v>
      </c>
      <c r="E2763">
        <v>499</v>
      </c>
      <c r="F2763">
        <v>1</v>
      </c>
      <c r="G2763">
        <v>13000</v>
      </c>
      <c r="H2763">
        <v>1.4431164E-2</v>
      </c>
      <c r="I2763">
        <v>12693</v>
      </c>
      <c r="J2763">
        <v>3749</v>
      </c>
      <c r="K2763">
        <v>8944</v>
      </c>
      <c r="L2763">
        <v>500</v>
      </c>
      <c r="M2763">
        <v>499</v>
      </c>
      <c r="N2763">
        <v>1</v>
      </c>
      <c r="O2763">
        <v>307</v>
      </c>
      <c r="P2763" s="3" t="s">
        <v>52</v>
      </c>
      <c r="Q2763">
        <v>50</v>
      </c>
      <c r="R2763">
        <v>0.999</v>
      </c>
      <c r="S2763">
        <v>1</v>
      </c>
    </row>
    <row r="2764" spans="1:19" x14ac:dyDescent="0.2">
      <c r="A2764" s="3" t="s">
        <v>54</v>
      </c>
      <c r="B2764" s="3" t="s">
        <v>55</v>
      </c>
      <c r="C2764">
        <v>28</v>
      </c>
      <c r="D2764">
        <v>12000</v>
      </c>
      <c r="E2764">
        <v>499</v>
      </c>
      <c r="F2764">
        <v>1</v>
      </c>
      <c r="G2764">
        <v>12000</v>
      </c>
      <c r="H2764">
        <v>1.4424133E-2</v>
      </c>
      <c r="I2764">
        <v>12000</v>
      </c>
      <c r="J2764">
        <v>3671</v>
      </c>
      <c r="K2764">
        <v>8329</v>
      </c>
      <c r="L2764">
        <v>500</v>
      </c>
      <c r="M2764">
        <v>499</v>
      </c>
      <c r="N2764">
        <v>1</v>
      </c>
      <c r="O2764">
        <v>0</v>
      </c>
      <c r="P2764" s="3" t="s">
        <v>50</v>
      </c>
      <c r="Q2764">
        <v>50</v>
      </c>
      <c r="R2764">
        <v>0.999</v>
      </c>
      <c r="S2764">
        <v>1</v>
      </c>
    </row>
    <row r="2765" spans="1:19" x14ac:dyDescent="0.2">
      <c r="A2765" s="3" t="s">
        <v>54</v>
      </c>
      <c r="B2765" s="3" t="s">
        <v>55</v>
      </c>
      <c r="C2765">
        <v>17</v>
      </c>
      <c r="D2765">
        <v>11000</v>
      </c>
      <c r="E2765">
        <v>499</v>
      </c>
      <c r="F2765">
        <v>1</v>
      </c>
      <c r="G2765">
        <v>44062.122210792702</v>
      </c>
      <c r="H2765">
        <v>1.4423371000000001E-2</v>
      </c>
      <c r="I2765">
        <v>11000</v>
      </c>
      <c r="J2765">
        <v>3661</v>
      </c>
      <c r="K2765">
        <v>7339</v>
      </c>
      <c r="L2765">
        <v>500</v>
      </c>
      <c r="M2765">
        <v>499</v>
      </c>
      <c r="N2765">
        <v>1</v>
      </c>
      <c r="O2765">
        <v>0</v>
      </c>
      <c r="P2765" s="3" t="s">
        <v>50</v>
      </c>
      <c r="Q2765">
        <v>50</v>
      </c>
      <c r="R2765">
        <v>0.999</v>
      </c>
      <c r="S2765">
        <v>0</v>
      </c>
    </row>
    <row r="2766" spans="1:19" x14ac:dyDescent="0.2">
      <c r="A2766" s="3" t="s">
        <v>54</v>
      </c>
      <c r="B2766" s="3" t="s">
        <v>55</v>
      </c>
      <c r="C2766">
        <v>23</v>
      </c>
      <c r="D2766">
        <v>12000</v>
      </c>
      <c r="E2766">
        <v>499</v>
      </c>
      <c r="F2766">
        <v>1</v>
      </c>
      <c r="G2766">
        <v>50533.323552418398</v>
      </c>
      <c r="H2766">
        <v>1.4422803999999999E-2</v>
      </c>
      <c r="I2766">
        <v>12000</v>
      </c>
      <c r="J2766">
        <v>3674</v>
      </c>
      <c r="K2766">
        <v>8326</v>
      </c>
      <c r="L2766">
        <v>500</v>
      </c>
      <c r="M2766">
        <v>499</v>
      </c>
      <c r="N2766">
        <v>1</v>
      </c>
      <c r="O2766">
        <v>0</v>
      </c>
      <c r="P2766" s="3" t="s">
        <v>50</v>
      </c>
      <c r="Q2766">
        <v>50</v>
      </c>
      <c r="R2766">
        <v>0.999</v>
      </c>
      <c r="S2766">
        <v>0</v>
      </c>
    </row>
    <row r="2767" spans="1:19" x14ac:dyDescent="0.2">
      <c r="A2767" s="3" t="s">
        <v>54</v>
      </c>
      <c r="B2767" s="3" t="s">
        <v>55</v>
      </c>
      <c r="C2767">
        <v>13</v>
      </c>
      <c r="D2767">
        <v>10000</v>
      </c>
      <c r="E2767">
        <v>499</v>
      </c>
      <c r="F2767">
        <v>1</v>
      </c>
      <c r="G2767">
        <v>10000</v>
      </c>
      <c r="H2767">
        <v>1.4412729000000001E-2</v>
      </c>
      <c r="I2767">
        <v>10000</v>
      </c>
      <c r="J2767">
        <v>3541</v>
      </c>
      <c r="K2767">
        <v>6459</v>
      </c>
      <c r="L2767">
        <v>500</v>
      </c>
      <c r="M2767">
        <v>499</v>
      </c>
      <c r="N2767">
        <v>1</v>
      </c>
      <c r="O2767">
        <v>0</v>
      </c>
      <c r="P2767" s="3" t="s">
        <v>50</v>
      </c>
      <c r="Q2767">
        <v>50</v>
      </c>
      <c r="R2767">
        <v>0.999</v>
      </c>
      <c r="S2767">
        <v>1</v>
      </c>
    </row>
    <row r="2768" spans="1:19" x14ac:dyDescent="0.2">
      <c r="A2768" s="3" t="s">
        <v>54</v>
      </c>
      <c r="B2768" s="3" t="s">
        <v>55</v>
      </c>
      <c r="C2768">
        <v>19</v>
      </c>
      <c r="D2768">
        <v>11000</v>
      </c>
      <c r="E2768">
        <v>499</v>
      </c>
      <c r="F2768">
        <v>1</v>
      </c>
      <c r="G2768">
        <v>44062.122210792702</v>
      </c>
      <c r="H2768">
        <v>1.4396165000000001E-2</v>
      </c>
      <c r="I2768">
        <v>11000</v>
      </c>
      <c r="J2768">
        <v>3638</v>
      </c>
      <c r="K2768">
        <v>7362</v>
      </c>
      <c r="L2768">
        <v>500</v>
      </c>
      <c r="M2768">
        <v>499</v>
      </c>
      <c r="N2768">
        <v>1</v>
      </c>
      <c r="O2768">
        <v>0</v>
      </c>
      <c r="P2768" s="3" t="s">
        <v>50</v>
      </c>
      <c r="Q2768">
        <v>50</v>
      </c>
      <c r="R2768">
        <v>0.999</v>
      </c>
      <c r="S2768">
        <v>0</v>
      </c>
    </row>
    <row r="2769" spans="1:19" x14ac:dyDescent="0.2">
      <c r="A2769" s="3" t="s">
        <v>54</v>
      </c>
      <c r="B2769" s="3" t="s">
        <v>55</v>
      </c>
      <c r="C2769">
        <v>50</v>
      </c>
      <c r="D2769">
        <v>13000</v>
      </c>
      <c r="E2769">
        <v>499</v>
      </c>
      <c r="F2769">
        <v>1</v>
      </c>
      <c r="G2769">
        <v>13000</v>
      </c>
      <c r="H2769">
        <v>1.4384889999999999E-2</v>
      </c>
      <c r="I2769">
        <v>12677</v>
      </c>
      <c r="J2769">
        <v>3666</v>
      </c>
      <c r="K2769">
        <v>9011</v>
      </c>
      <c r="L2769">
        <v>500</v>
      </c>
      <c r="M2769">
        <v>499</v>
      </c>
      <c r="N2769">
        <v>1</v>
      </c>
      <c r="O2769">
        <v>323</v>
      </c>
      <c r="P2769" s="3" t="s">
        <v>52</v>
      </c>
      <c r="Q2769">
        <v>50</v>
      </c>
      <c r="R2769">
        <v>0.999</v>
      </c>
      <c r="S2769">
        <v>1</v>
      </c>
    </row>
    <row r="2770" spans="1:19" x14ac:dyDescent="0.2">
      <c r="A2770" s="3" t="s">
        <v>54</v>
      </c>
      <c r="B2770" s="3" t="s">
        <v>55</v>
      </c>
      <c r="C2770">
        <v>2</v>
      </c>
      <c r="D2770">
        <v>13000</v>
      </c>
      <c r="E2770">
        <v>499</v>
      </c>
      <c r="F2770">
        <v>1</v>
      </c>
      <c r="G2770">
        <v>13000</v>
      </c>
      <c r="H2770">
        <v>1.4379556E-2</v>
      </c>
      <c r="I2770">
        <v>12698</v>
      </c>
      <c r="J2770">
        <v>3764</v>
      </c>
      <c r="K2770">
        <v>8934</v>
      </c>
      <c r="L2770">
        <v>500</v>
      </c>
      <c r="M2770">
        <v>499</v>
      </c>
      <c r="N2770">
        <v>1</v>
      </c>
      <c r="O2770">
        <v>302</v>
      </c>
      <c r="P2770" s="3" t="s">
        <v>52</v>
      </c>
      <c r="Q2770">
        <v>50</v>
      </c>
      <c r="R2770">
        <v>0.999</v>
      </c>
      <c r="S2770">
        <v>1</v>
      </c>
    </row>
    <row r="2771" spans="1:19" x14ac:dyDescent="0.2">
      <c r="A2771" s="3" t="s">
        <v>54</v>
      </c>
      <c r="B2771" s="3" t="s">
        <v>55</v>
      </c>
      <c r="C2771">
        <v>40</v>
      </c>
      <c r="D2771">
        <v>11000</v>
      </c>
      <c r="E2771">
        <v>499</v>
      </c>
      <c r="F2771">
        <v>1</v>
      </c>
      <c r="G2771">
        <v>44062.122210792702</v>
      </c>
      <c r="H2771">
        <v>1.4374018000000001E-2</v>
      </c>
      <c r="I2771">
        <v>11000</v>
      </c>
      <c r="J2771">
        <v>2766</v>
      </c>
      <c r="K2771">
        <v>8234</v>
      </c>
      <c r="L2771">
        <v>500</v>
      </c>
      <c r="M2771">
        <v>499</v>
      </c>
      <c r="N2771">
        <v>1</v>
      </c>
      <c r="O2771">
        <v>0</v>
      </c>
      <c r="P2771" s="3" t="s">
        <v>52</v>
      </c>
      <c r="Q2771">
        <v>50</v>
      </c>
      <c r="R2771">
        <v>0.999</v>
      </c>
      <c r="S2771">
        <v>0</v>
      </c>
    </row>
    <row r="2772" spans="1:19" x14ac:dyDescent="0.2">
      <c r="A2772" s="3" t="s">
        <v>54</v>
      </c>
      <c r="B2772" s="3" t="s">
        <v>55</v>
      </c>
      <c r="C2772">
        <v>44</v>
      </c>
      <c r="D2772">
        <v>10000</v>
      </c>
      <c r="E2772">
        <v>499</v>
      </c>
      <c r="F2772">
        <v>1</v>
      </c>
      <c r="G2772">
        <v>39482.677260513999</v>
      </c>
      <c r="H2772">
        <v>1.4372726000000001E-2</v>
      </c>
      <c r="I2772">
        <v>10000</v>
      </c>
      <c r="J2772">
        <v>3565</v>
      </c>
      <c r="K2772">
        <v>6435</v>
      </c>
      <c r="L2772">
        <v>500</v>
      </c>
      <c r="M2772">
        <v>499</v>
      </c>
      <c r="N2772">
        <v>1</v>
      </c>
      <c r="O2772">
        <v>0</v>
      </c>
      <c r="P2772" s="3" t="s">
        <v>50</v>
      </c>
      <c r="Q2772">
        <v>50</v>
      </c>
      <c r="R2772">
        <v>0.999</v>
      </c>
      <c r="S2772">
        <v>0</v>
      </c>
    </row>
    <row r="2773" spans="1:19" x14ac:dyDescent="0.2">
      <c r="A2773" s="3" t="s">
        <v>54</v>
      </c>
      <c r="B2773" s="3" t="s">
        <v>55</v>
      </c>
      <c r="C2773">
        <v>35</v>
      </c>
      <c r="D2773">
        <v>11000</v>
      </c>
      <c r="E2773">
        <v>499</v>
      </c>
      <c r="F2773">
        <v>1</v>
      </c>
      <c r="G2773">
        <v>11000</v>
      </c>
      <c r="H2773">
        <v>1.4372194E-2</v>
      </c>
      <c r="I2773">
        <v>11000</v>
      </c>
      <c r="J2773">
        <v>3687</v>
      </c>
      <c r="K2773">
        <v>7313</v>
      </c>
      <c r="L2773">
        <v>500</v>
      </c>
      <c r="M2773">
        <v>499</v>
      </c>
      <c r="N2773">
        <v>1</v>
      </c>
      <c r="O2773">
        <v>0</v>
      </c>
      <c r="P2773" s="3" t="s">
        <v>50</v>
      </c>
      <c r="Q2773">
        <v>50</v>
      </c>
      <c r="R2773">
        <v>0.999</v>
      </c>
      <c r="S2773">
        <v>1</v>
      </c>
    </row>
    <row r="2774" spans="1:19" x14ac:dyDescent="0.2">
      <c r="A2774" s="3" t="s">
        <v>54</v>
      </c>
      <c r="B2774" s="3" t="s">
        <v>55</v>
      </c>
      <c r="C2774">
        <v>15</v>
      </c>
      <c r="D2774">
        <v>11000</v>
      </c>
      <c r="E2774">
        <v>499</v>
      </c>
      <c r="F2774">
        <v>1</v>
      </c>
      <c r="G2774">
        <v>44062.122210792702</v>
      </c>
      <c r="H2774">
        <v>1.4371507E-2</v>
      </c>
      <c r="I2774">
        <v>11000</v>
      </c>
      <c r="J2774">
        <v>3646</v>
      </c>
      <c r="K2774">
        <v>7354</v>
      </c>
      <c r="L2774">
        <v>500</v>
      </c>
      <c r="M2774">
        <v>499</v>
      </c>
      <c r="N2774">
        <v>1</v>
      </c>
      <c r="O2774">
        <v>0</v>
      </c>
      <c r="P2774" s="3" t="s">
        <v>50</v>
      </c>
      <c r="Q2774">
        <v>50</v>
      </c>
      <c r="R2774">
        <v>0.999</v>
      </c>
      <c r="S2774">
        <v>0</v>
      </c>
    </row>
    <row r="2775" spans="1:19" x14ac:dyDescent="0.2">
      <c r="A2775" s="3" t="s">
        <v>54</v>
      </c>
      <c r="B2775" s="3" t="s">
        <v>55</v>
      </c>
      <c r="C2775">
        <v>34</v>
      </c>
      <c r="D2775">
        <v>12000</v>
      </c>
      <c r="E2775">
        <v>499</v>
      </c>
      <c r="F2775">
        <v>1</v>
      </c>
      <c r="G2775">
        <v>50533.323552418398</v>
      </c>
      <c r="H2775">
        <v>1.4369453000000001E-2</v>
      </c>
      <c r="I2775">
        <v>11999</v>
      </c>
      <c r="J2775">
        <v>3681</v>
      </c>
      <c r="K2775">
        <v>8318</v>
      </c>
      <c r="L2775">
        <v>500</v>
      </c>
      <c r="M2775">
        <v>499</v>
      </c>
      <c r="N2775">
        <v>1</v>
      </c>
      <c r="O2775">
        <v>4.2709330557999996</v>
      </c>
      <c r="P2775" s="3" t="s">
        <v>50</v>
      </c>
      <c r="Q2775">
        <v>50</v>
      </c>
      <c r="R2775">
        <v>0.999</v>
      </c>
      <c r="S2775">
        <v>0</v>
      </c>
    </row>
    <row r="2776" spans="1:19" x14ac:dyDescent="0.2">
      <c r="A2776" s="3" t="s">
        <v>54</v>
      </c>
      <c r="B2776" s="3" t="s">
        <v>55</v>
      </c>
      <c r="C2776">
        <v>5</v>
      </c>
      <c r="D2776">
        <v>10000</v>
      </c>
      <c r="E2776">
        <v>499</v>
      </c>
      <c r="F2776">
        <v>1</v>
      </c>
      <c r="G2776">
        <v>39482.677260513999</v>
      </c>
      <c r="H2776">
        <v>1.4361405000000001E-2</v>
      </c>
      <c r="I2776">
        <v>10000</v>
      </c>
      <c r="J2776">
        <v>2664</v>
      </c>
      <c r="K2776">
        <v>7336</v>
      </c>
      <c r="L2776">
        <v>500</v>
      </c>
      <c r="M2776">
        <v>499</v>
      </c>
      <c r="N2776">
        <v>1</v>
      </c>
      <c r="O2776">
        <v>0</v>
      </c>
      <c r="P2776" s="3" t="s">
        <v>52</v>
      </c>
      <c r="Q2776">
        <v>50</v>
      </c>
      <c r="R2776">
        <v>0.999</v>
      </c>
      <c r="S2776">
        <v>0</v>
      </c>
    </row>
    <row r="2777" spans="1:19" x14ac:dyDescent="0.2">
      <c r="A2777" s="3" t="s">
        <v>54</v>
      </c>
      <c r="B2777" s="3" t="s">
        <v>55</v>
      </c>
      <c r="C2777">
        <v>13</v>
      </c>
      <c r="D2777">
        <v>12000</v>
      </c>
      <c r="E2777">
        <v>499</v>
      </c>
      <c r="F2777">
        <v>1</v>
      </c>
      <c r="G2777">
        <v>50533.323552418398</v>
      </c>
      <c r="H2777">
        <v>1.4360911000000001E-2</v>
      </c>
      <c r="I2777">
        <v>12000</v>
      </c>
      <c r="J2777">
        <v>3712</v>
      </c>
      <c r="K2777">
        <v>8288</v>
      </c>
      <c r="L2777">
        <v>500</v>
      </c>
      <c r="M2777">
        <v>499</v>
      </c>
      <c r="N2777">
        <v>1</v>
      </c>
      <c r="O2777">
        <v>0</v>
      </c>
      <c r="P2777" s="3" t="s">
        <v>50</v>
      </c>
      <c r="Q2777">
        <v>50</v>
      </c>
      <c r="R2777">
        <v>0.999</v>
      </c>
      <c r="S2777">
        <v>0</v>
      </c>
    </row>
    <row r="2778" spans="1:19" x14ac:dyDescent="0.2">
      <c r="A2778" s="3" t="s">
        <v>54</v>
      </c>
      <c r="B2778" s="3" t="s">
        <v>55</v>
      </c>
      <c r="C2778">
        <v>39</v>
      </c>
      <c r="D2778">
        <v>10000</v>
      </c>
      <c r="E2778">
        <v>499</v>
      </c>
      <c r="F2778">
        <v>1</v>
      </c>
      <c r="G2778">
        <v>10000</v>
      </c>
      <c r="H2778">
        <v>1.4358783999999999E-2</v>
      </c>
      <c r="I2778">
        <v>10000</v>
      </c>
      <c r="J2778">
        <v>3563</v>
      </c>
      <c r="K2778">
        <v>6437</v>
      </c>
      <c r="L2778">
        <v>500</v>
      </c>
      <c r="M2778">
        <v>499</v>
      </c>
      <c r="N2778">
        <v>1</v>
      </c>
      <c r="O2778">
        <v>0</v>
      </c>
      <c r="P2778" s="3" t="s">
        <v>50</v>
      </c>
      <c r="Q2778">
        <v>50</v>
      </c>
      <c r="R2778">
        <v>0.999</v>
      </c>
      <c r="S2778">
        <v>1</v>
      </c>
    </row>
    <row r="2779" spans="1:19" x14ac:dyDescent="0.2">
      <c r="A2779" s="3" t="s">
        <v>54</v>
      </c>
      <c r="B2779" s="3" t="s">
        <v>55</v>
      </c>
      <c r="C2779">
        <v>33</v>
      </c>
      <c r="D2779">
        <v>10000</v>
      </c>
      <c r="E2779">
        <v>499</v>
      </c>
      <c r="F2779">
        <v>1</v>
      </c>
      <c r="G2779">
        <v>10000</v>
      </c>
      <c r="H2779">
        <v>1.4351559999999999E-2</v>
      </c>
      <c r="I2779">
        <v>10000</v>
      </c>
      <c r="J2779">
        <v>3563</v>
      </c>
      <c r="K2779">
        <v>6437</v>
      </c>
      <c r="L2779">
        <v>500</v>
      </c>
      <c r="M2779">
        <v>499</v>
      </c>
      <c r="N2779">
        <v>1</v>
      </c>
      <c r="O2779">
        <v>0</v>
      </c>
      <c r="P2779" s="3" t="s">
        <v>50</v>
      </c>
      <c r="Q2779">
        <v>50</v>
      </c>
      <c r="R2779">
        <v>0.999</v>
      </c>
      <c r="S2779">
        <v>1</v>
      </c>
    </row>
    <row r="2780" spans="1:19" x14ac:dyDescent="0.2">
      <c r="A2780" s="3" t="s">
        <v>54</v>
      </c>
      <c r="B2780" s="3" t="s">
        <v>55</v>
      </c>
      <c r="C2780">
        <v>49</v>
      </c>
      <c r="D2780">
        <v>12000</v>
      </c>
      <c r="E2780">
        <v>499</v>
      </c>
      <c r="F2780">
        <v>1</v>
      </c>
      <c r="G2780">
        <v>12000</v>
      </c>
      <c r="H2780">
        <v>1.4351305E-2</v>
      </c>
      <c r="I2780">
        <v>12000</v>
      </c>
      <c r="J2780">
        <v>3702</v>
      </c>
      <c r="K2780">
        <v>8298</v>
      </c>
      <c r="L2780">
        <v>500</v>
      </c>
      <c r="M2780">
        <v>499</v>
      </c>
      <c r="N2780">
        <v>1</v>
      </c>
      <c r="O2780">
        <v>0</v>
      </c>
      <c r="P2780" s="3" t="s">
        <v>50</v>
      </c>
      <c r="Q2780">
        <v>50</v>
      </c>
      <c r="R2780">
        <v>0.999</v>
      </c>
      <c r="S2780">
        <v>1</v>
      </c>
    </row>
    <row r="2781" spans="1:19" x14ac:dyDescent="0.2">
      <c r="A2781" s="3" t="s">
        <v>54</v>
      </c>
      <c r="B2781" s="3" t="s">
        <v>55</v>
      </c>
      <c r="C2781">
        <v>43</v>
      </c>
      <c r="D2781">
        <v>12000</v>
      </c>
      <c r="E2781">
        <v>499</v>
      </c>
      <c r="F2781">
        <v>1</v>
      </c>
      <c r="G2781">
        <v>50533.323552418398</v>
      </c>
      <c r="H2781">
        <v>1.4351157999999999E-2</v>
      </c>
      <c r="I2781">
        <v>12000</v>
      </c>
      <c r="J2781">
        <v>3665</v>
      </c>
      <c r="K2781">
        <v>8335</v>
      </c>
      <c r="L2781">
        <v>500</v>
      </c>
      <c r="M2781">
        <v>499</v>
      </c>
      <c r="N2781">
        <v>1</v>
      </c>
      <c r="O2781">
        <v>0</v>
      </c>
      <c r="P2781" s="3" t="s">
        <v>50</v>
      </c>
      <c r="Q2781">
        <v>50</v>
      </c>
      <c r="R2781">
        <v>0.999</v>
      </c>
      <c r="S2781">
        <v>0</v>
      </c>
    </row>
    <row r="2782" spans="1:19" x14ac:dyDescent="0.2">
      <c r="A2782" s="3" t="s">
        <v>54</v>
      </c>
      <c r="B2782" s="3" t="s">
        <v>55</v>
      </c>
      <c r="C2782">
        <v>48</v>
      </c>
      <c r="D2782">
        <v>10000</v>
      </c>
      <c r="E2782">
        <v>499</v>
      </c>
      <c r="F2782">
        <v>1</v>
      </c>
      <c r="G2782">
        <v>39482.677260513999</v>
      </c>
      <c r="H2782">
        <v>1.4350890999999999E-2</v>
      </c>
      <c r="I2782">
        <v>10000</v>
      </c>
      <c r="J2782">
        <v>3595</v>
      </c>
      <c r="K2782">
        <v>6405</v>
      </c>
      <c r="L2782">
        <v>500</v>
      </c>
      <c r="M2782">
        <v>499</v>
      </c>
      <c r="N2782">
        <v>1</v>
      </c>
      <c r="O2782">
        <v>0</v>
      </c>
      <c r="P2782" s="3" t="s">
        <v>50</v>
      </c>
      <c r="Q2782">
        <v>50</v>
      </c>
      <c r="R2782">
        <v>0.999</v>
      </c>
      <c r="S2782">
        <v>0</v>
      </c>
    </row>
    <row r="2783" spans="1:19" x14ac:dyDescent="0.2">
      <c r="A2783" s="3" t="s">
        <v>54</v>
      </c>
      <c r="B2783" s="3" t="s">
        <v>55</v>
      </c>
      <c r="C2783">
        <v>45</v>
      </c>
      <c r="D2783">
        <v>12000</v>
      </c>
      <c r="E2783">
        <v>499</v>
      </c>
      <c r="F2783">
        <v>1</v>
      </c>
      <c r="G2783">
        <v>50533.323552418398</v>
      </c>
      <c r="H2783">
        <v>1.4348092999999999E-2</v>
      </c>
      <c r="I2783">
        <v>11999</v>
      </c>
      <c r="J2783">
        <v>3657</v>
      </c>
      <c r="K2783">
        <v>8342</v>
      </c>
      <c r="L2783">
        <v>500</v>
      </c>
      <c r="M2783">
        <v>499</v>
      </c>
      <c r="N2783">
        <v>1</v>
      </c>
      <c r="O2783">
        <v>2.1685358882000001</v>
      </c>
      <c r="P2783" s="3" t="s">
        <v>50</v>
      </c>
      <c r="Q2783">
        <v>50</v>
      </c>
      <c r="R2783">
        <v>0.999</v>
      </c>
      <c r="S2783">
        <v>0</v>
      </c>
    </row>
    <row r="2784" spans="1:19" x14ac:dyDescent="0.2">
      <c r="A2784" s="3" t="s">
        <v>54</v>
      </c>
      <c r="B2784" s="3" t="s">
        <v>55</v>
      </c>
      <c r="C2784">
        <v>44</v>
      </c>
      <c r="D2784">
        <v>12000</v>
      </c>
      <c r="E2784">
        <v>499</v>
      </c>
      <c r="F2784">
        <v>1</v>
      </c>
      <c r="G2784">
        <v>50533.323552418398</v>
      </c>
      <c r="H2784">
        <v>1.4342862E-2</v>
      </c>
      <c r="I2784">
        <v>12000</v>
      </c>
      <c r="J2784">
        <v>3676</v>
      </c>
      <c r="K2784">
        <v>8324</v>
      </c>
      <c r="L2784">
        <v>500</v>
      </c>
      <c r="M2784">
        <v>499</v>
      </c>
      <c r="N2784">
        <v>1</v>
      </c>
      <c r="O2784">
        <v>0</v>
      </c>
      <c r="P2784" s="3" t="s">
        <v>50</v>
      </c>
      <c r="Q2784">
        <v>50</v>
      </c>
      <c r="R2784">
        <v>0.999</v>
      </c>
      <c r="S2784">
        <v>0</v>
      </c>
    </row>
    <row r="2785" spans="1:19" x14ac:dyDescent="0.2">
      <c r="A2785" s="3" t="s">
        <v>54</v>
      </c>
      <c r="B2785" s="3" t="s">
        <v>55</v>
      </c>
      <c r="C2785">
        <v>33</v>
      </c>
      <c r="D2785">
        <v>12000</v>
      </c>
      <c r="E2785">
        <v>499</v>
      </c>
      <c r="F2785">
        <v>1</v>
      </c>
      <c r="G2785">
        <v>50533.323552418398</v>
      </c>
      <c r="H2785">
        <v>1.4328736E-2</v>
      </c>
      <c r="I2785">
        <v>12000</v>
      </c>
      <c r="J2785">
        <v>3753</v>
      </c>
      <c r="K2785">
        <v>8247</v>
      </c>
      <c r="L2785">
        <v>500</v>
      </c>
      <c r="M2785">
        <v>499</v>
      </c>
      <c r="N2785">
        <v>1</v>
      </c>
      <c r="O2785">
        <v>0</v>
      </c>
      <c r="P2785" s="3" t="s">
        <v>50</v>
      </c>
      <c r="Q2785">
        <v>50</v>
      </c>
      <c r="R2785">
        <v>0.999</v>
      </c>
      <c r="S2785">
        <v>0</v>
      </c>
    </row>
    <row r="2786" spans="1:19" x14ac:dyDescent="0.2">
      <c r="A2786" s="3" t="s">
        <v>54</v>
      </c>
      <c r="B2786" s="3" t="s">
        <v>55</v>
      </c>
      <c r="C2786">
        <v>15</v>
      </c>
      <c r="D2786">
        <v>10000</v>
      </c>
      <c r="E2786">
        <v>499</v>
      </c>
      <c r="F2786">
        <v>1</v>
      </c>
      <c r="G2786">
        <v>39482.677260513999</v>
      </c>
      <c r="H2786">
        <v>1.4322843E-2</v>
      </c>
      <c r="I2786">
        <v>10000</v>
      </c>
      <c r="J2786">
        <v>3549</v>
      </c>
      <c r="K2786">
        <v>6451</v>
      </c>
      <c r="L2786">
        <v>500</v>
      </c>
      <c r="M2786">
        <v>499</v>
      </c>
      <c r="N2786">
        <v>1</v>
      </c>
      <c r="O2786">
        <v>0</v>
      </c>
      <c r="P2786" s="3" t="s">
        <v>50</v>
      </c>
      <c r="Q2786">
        <v>50</v>
      </c>
      <c r="R2786">
        <v>0.999</v>
      </c>
      <c r="S2786">
        <v>0</v>
      </c>
    </row>
    <row r="2787" spans="1:19" x14ac:dyDescent="0.2">
      <c r="A2787" s="3" t="s">
        <v>54</v>
      </c>
      <c r="B2787" s="3" t="s">
        <v>55</v>
      </c>
      <c r="C2787">
        <v>32</v>
      </c>
      <c r="D2787">
        <v>11000</v>
      </c>
      <c r="E2787">
        <v>499</v>
      </c>
      <c r="F2787">
        <v>1</v>
      </c>
      <c r="G2787">
        <v>44062.122210792702</v>
      </c>
      <c r="H2787">
        <v>1.4317745999999999E-2</v>
      </c>
      <c r="I2787">
        <v>11000</v>
      </c>
      <c r="J2787">
        <v>3631</v>
      </c>
      <c r="K2787">
        <v>7369</v>
      </c>
      <c r="L2787">
        <v>500</v>
      </c>
      <c r="M2787">
        <v>499</v>
      </c>
      <c r="N2787">
        <v>1</v>
      </c>
      <c r="O2787">
        <v>0</v>
      </c>
      <c r="P2787" s="3" t="s">
        <v>50</v>
      </c>
      <c r="Q2787">
        <v>50</v>
      </c>
      <c r="R2787">
        <v>0.999</v>
      </c>
      <c r="S2787">
        <v>0</v>
      </c>
    </row>
    <row r="2788" spans="1:19" x14ac:dyDescent="0.2">
      <c r="A2788" s="3" t="s">
        <v>54</v>
      </c>
      <c r="B2788" s="3" t="s">
        <v>55</v>
      </c>
      <c r="C2788">
        <v>40</v>
      </c>
      <c r="D2788">
        <v>12000</v>
      </c>
      <c r="E2788">
        <v>499</v>
      </c>
      <c r="F2788">
        <v>1</v>
      </c>
      <c r="G2788">
        <v>50533.323552418398</v>
      </c>
      <c r="H2788">
        <v>1.4309459E-2</v>
      </c>
      <c r="I2788">
        <v>12000</v>
      </c>
      <c r="J2788">
        <v>3699</v>
      </c>
      <c r="K2788">
        <v>8301</v>
      </c>
      <c r="L2788">
        <v>500</v>
      </c>
      <c r="M2788">
        <v>499</v>
      </c>
      <c r="N2788">
        <v>1</v>
      </c>
      <c r="O2788">
        <v>0</v>
      </c>
      <c r="P2788" s="3" t="s">
        <v>50</v>
      </c>
      <c r="Q2788">
        <v>50</v>
      </c>
      <c r="R2788">
        <v>0.999</v>
      </c>
      <c r="S2788">
        <v>0</v>
      </c>
    </row>
    <row r="2789" spans="1:19" x14ac:dyDescent="0.2">
      <c r="A2789" s="3" t="s">
        <v>54</v>
      </c>
      <c r="B2789" s="3" t="s">
        <v>55</v>
      </c>
      <c r="C2789">
        <v>10</v>
      </c>
      <c r="D2789">
        <v>13000</v>
      </c>
      <c r="E2789">
        <v>499</v>
      </c>
      <c r="F2789">
        <v>1</v>
      </c>
      <c r="G2789">
        <v>13000</v>
      </c>
      <c r="H2789">
        <v>1.4308164999999999E-2</v>
      </c>
      <c r="I2789">
        <v>12703</v>
      </c>
      <c r="J2789">
        <v>3763</v>
      </c>
      <c r="K2789">
        <v>8940</v>
      </c>
      <c r="L2789">
        <v>500</v>
      </c>
      <c r="M2789">
        <v>499</v>
      </c>
      <c r="N2789">
        <v>1</v>
      </c>
      <c r="O2789">
        <v>297</v>
      </c>
      <c r="P2789" s="3" t="s">
        <v>52</v>
      </c>
      <c r="Q2789">
        <v>50</v>
      </c>
      <c r="R2789">
        <v>0.999</v>
      </c>
      <c r="S2789">
        <v>1</v>
      </c>
    </row>
    <row r="2790" spans="1:19" x14ac:dyDescent="0.2">
      <c r="A2790" s="3" t="s">
        <v>54</v>
      </c>
      <c r="B2790" s="3" t="s">
        <v>55</v>
      </c>
      <c r="C2790">
        <v>42</v>
      </c>
      <c r="D2790">
        <v>12000</v>
      </c>
      <c r="E2790">
        <v>499</v>
      </c>
      <c r="F2790">
        <v>1</v>
      </c>
      <c r="G2790">
        <v>12000</v>
      </c>
      <c r="H2790">
        <v>1.4304508000000001E-2</v>
      </c>
      <c r="I2790">
        <v>12000</v>
      </c>
      <c r="J2790">
        <v>3724</v>
      </c>
      <c r="K2790">
        <v>8276</v>
      </c>
      <c r="L2790">
        <v>500</v>
      </c>
      <c r="M2790">
        <v>499</v>
      </c>
      <c r="N2790">
        <v>1</v>
      </c>
      <c r="O2790">
        <v>0</v>
      </c>
      <c r="P2790" s="3" t="s">
        <v>50</v>
      </c>
      <c r="Q2790">
        <v>50</v>
      </c>
      <c r="R2790">
        <v>0.999</v>
      </c>
      <c r="S2790">
        <v>1</v>
      </c>
    </row>
    <row r="2791" spans="1:19" x14ac:dyDescent="0.2">
      <c r="A2791" s="3" t="s">
        <v>54</v>
      </c>
      <c r="B2791" s="3" t="s">
        <v>55</v>
      </c>
      <c r="C2791">
        <v>28</v>
      </c>
      <c r="D2791">
        <v>11000</v>
      </c>
      <c r="E2791">
        <v>499</v>
      </c>
      <c r="F2791">
        <v>1</v>
      </c>
      <c r="G2791">
        <v>11000</v>
      </c>
      <c r="H2791">
        <v>1.4302521E-2</v>
      </c>
      <c r="I2791">
        <v>11000</v>
      </c>
      <c r="J2791">
        <v>3639</v>
      </c>
      <c r="K2791">
        <v>7361</v>
      </c>
      <c r="L2791">
        <v>500</v>
      </c>
      <c r="M2791">
        <v>499</v>
      </c>
      <c r="N2791">
        <v>1</v>
      </c>
      <c r="O2791">
        <v>0</v>
      </c>
      <c r="P2791" s="3" t="s">
        <v>50</v>
      </c>
      <c r="Q2791">
        <v>50</v>
      </c>
      <c r="R2791">
        <v>0.999</v>
      </c>
      <c r="S2791">
        <v>1</v>
      </c>
    </row>
    <row r="2792" spans="1:19" x14ac:dyDescent="0.2">
      <c r="A2792" s="3" t="s">
        <v>54</v>
      </c>
      <c r="B2792" s="3" t="s">
        <v>55</v>
      </c>
      <c r="C2792">
        <v>1</v>
      </c>
      <c r="D2792">
        <v>10000</v>
      </c>
      <c r="E2792">
        <v>499</v>
      </c>
      <c r="F2792">
        <v>1</v>
      </c>
      <c r="G2792">
        <v>39482.677260513999</v>
      </c>
      <c r="H2792">
        <v>1.4287551000000001E-2</v>
      </c>
      <c r="I2792">
        <v>10000</v>
      </c>
      <c r="J2792">
        <v>2685</v>
      </c>
      <c r="K2792">
        <v>7315</v>
      </c>
      <c r="L2792">
        <v>500</v>
      </c>
      <c r="M2792">
        <v>499</v>
      </c>
      <c r="N2792">
        <v>1</v>
      </c>
      <c r="O2792">
        <v>0</v>
      </c>
      <c r="P2792" s="3" t="s">
        <v>52</v>
      </c>
      <c r="Q2792">
        <v>50</v>
      </c>
      <c r="R2792">
        <v>0.999</v>
      </c>
      <c r="S2792">
        <v>0</v>
      </c>
    </row>
    <row r="2793" spans="1:19" x14ac:dyDescent="0.2">
      <c r="A2793" s="3" t="s">
        <v>54</v>
      </c>
      <c r="B2793" s="3" t="s">
        <v>55</v>
      </c>
      <c r="C2793">
        <v>7</v>
      </c>
      <c r="D2793">
        <v>11000</v>
      </c>
      <c r="E2793">
        <v>499</v>
      </c>
      <c r="F2793">
        <v>1</v>
      </c>
      <c r="G2793">
        <v>11000</v>
      </c>
      <c r="H2793">
        <v>1.4281500000000001E-2</v>
      </c>
      <c r="I2793">
        <v>11000</v>
      </c>
      <c r="J2793">
        <v>3658</v>
      </c>
      <c r="K2793">
        <v>7342</v>
      </c>
      <c r="L2793">
        <v>500</v>
      </c>
      <c r="M2793">
        <v>499</v>
      </c>
      <c r="N2793">
        <v>1</v>
      </c>
      <c r="O2793">
        <v>0</v>
      </c>
      <c r="P2793" s="3" t="s">
        <v>50</v>
      </c>
      <c r="Q2793">
        <v>50</v>
      </c>
      <c r="R2793">
        <v>0.999</v>
      </c>
      <c r="S2793">
        <v>1</v>
      </c>
    </row>
    <row r="2794" spans="1:19" x14ac:dyDescent="0.2">
      <c r="A2794" s="3" t="s">
        <v>54</v>
      </c>
      <c r="B2794" s="3" t="s">
        <v>55</v>
      </c>
      <c r="C2794">
        <v>8</v>
      </c>
      <c r="D2794">
        <v>13000</v>
      </c>
      <c r="E2794">
        <v>499</v>
      </c>
      <c r="F2794">
        <v>1</v>
      </c>
      <c r="G2794">
        <v>13000</v>
      </c>
      <c r="H2794">
        <v>1.4267475E-2</v>
      </c>
      <c r="I2794">
        <v>12701</v>
      </c>
      <c r="J2794">
        <v>3781</v>
      </c>
      <c r="K2794">
        <v>8920</v>
      </c>
      <c r="L2794">
        <v>500</v>
      </c>
      <c r="M2794">
        <v>499</v>
      </c>
      <c r="N2794">
        <v>1</v>
      </c>
      <c r="O2794">
        <v>299</v>
      </c>
      <c r="P2794" s="3" t="s">
        <v>52</v>
      </c>
      <c r="Q2794">
        <v>50</v>
      </c>
      <c r="R2794">
        <v>0.999</v>
      </c>
      <c r="S2794">
        <v>1</v>
      </c>
    </row>
    <row r="2795" spans="1:19" x14ac:dyDescent="0.2">
      <c r="A2795" s="3" t="s">
        <v>54</v>
      </c>
      <c r="B2795" s="3" t="s">
        <v>55</v>
      </c>
      <c r="C2795">
        <v>37</v>
      </c>
      <c r="D2795">
        <v>10000</v>
      </c>
      <c r="E2795">
        <v>499</v>
      </c>
      <c r="F2795">
        <v>1</v>
      </c>
      <c r="G2795">
        <v>10000</v>
      </c>
      <c r="H2795">
        <v>1.4262222E-2</v>
      </c>
      <c r="I2795">
        <v>10000</v>
      </c>
      <c r="J2795">
        <v>2678</v>
      </c>
      <c r="K2795">
        <v>7322</v>
      </c>
      <c r="L2795">
        <v>500</v>
      </c>
      <c r="M2795">
        <v>499</v>
      </c>
      <c r="N2795">
        <v>1</v>
      </c>
      <c r="O2795">
        <v>0</v>
      </c>
      <c r="P2795" s="3" t="s">
        <v>52</v>
      </c>
      <c r="Q2795">
        <v>50</v>
      </c>
      <c r="R2795">
        <v>0.999</v>
      </c>
      <c r="S2795">
        <v>1</v>
      </c>
    </row>
    <row r="2796" spans="1:19" x14ac:dyDescent="0.2">
      <c r="A2796" s="3" t="s">
        <v>54</v>
      </c>
      <c r="B2796" s="3" t="s">
        <v>55</v>
      </c>
      <c r="C2796">
        <v>30</v>
      </c>
      <c r="D2796">
        <v>13000</v>
      </c>
      <c r="E2796">
        <v>499</v>
      </c>
      <c r="F2796">
        <v>1</v>
      </c>
      <c r="G2796">
        <v>13000</v>
      </c>
      <c r="H2796">
        <v>1.4261563E-2</v>
      </c>
      <c r="I2796">
        <v>12690</v>
      </c>
      <c r="J2796">
        <v>3723</v>
      </c>
      <c r="K2796">
        <v>8967</v>
      </c>
      <c r="L2796">
        <v>500</v>
      </c>
      <c r="M2796">
        <v>499</v>
      </c>
      <c r="N2796">
        <v>1</v>
      </c>
      <c r="O2796">
        <v>310</v>
      </c>
      <c r="P2796" s="3" t="s">
        <v>52</v>
      </c>
      <c r="Q2796">
        <v>50</v>
      </c>
      <c r="R2796">
        <v>0.999</v>
      </c>
      <c r="S2796">
        <v>1</v>
      </c>
    </row>
    <row r="2797" spans="1:19" x14ac:dyDescent="0.2">
      <c r="A2797" s="3" t="s">
        <v>54</v>
      </c>
      <c r="B2797" s="3" t="s">
        <v>55</v>
      </c>
      <c r="C2797">
        <v>2</v>
      </c>
      <c r="D2797">
        <v>12000</v>
      </c>
      <c r="E2797">
        <v>499</v>
      </c>
      <c r="F2797">
        <v>1</v>
      </c>
      <c r="G2797">
        <v>50533.323552418398</v>
      </c>
      <c r="H2797">
        <v>1.4260251999999999E-2</v>
      </c>
      <c r="I2797">
        <v>12000</v>
      </c>
      <c r="J2797">
        <v>3707</v>
      </c>
      <c r="K2797">
        <v>8293</v>
      </c>
      <c r="L2797">
        <v>500</v>
      </c>
      <c r="M2797">
        <v>499</v>
      </c>
      <c r="N2797">
        <v>1</v>
      </c>
      <c r="O2797">
        <v>0</v>
      </c>
      <c r="P2797" s="3" t="s">
        <v>50</v>
      </c>
      <c r="Q2797">
        <v>50</v>
      </c>
      <c r="R2797">
        <v>0.999</v>
      </c>
      <c r="S2797">
        <v>0</v>
      </c>
    </row>
    <row r="2798" spans="1:19" x14ac:dyDescent="0.2">
      <c r="A2798" s="3" t="s">
        <v>54</v>
      </c>
      <c r="B2798" s="3" t="s">
        <v>55</v>
      </c>
      <c r="C2798">
        <v>42</v>
      </c>
      <c r="D2798">
        <v>10000</v>
      </c>
      <c r="E2798">
        <v>499</v>
      </c>
      <c r="F2798">
        <v>1</v>
      </c>
      <c r="G2798">
        <v>39482.677260513999</v>
      </c>
      <c r="H2798">
        <v>1.4251654000000001E-2</v>
      </c>
      <c r="I2798">
        <v>10000</v>
      </c>
      <c r="J2798">
        <v>3588</v>
      </c>
      <c r="K2798">
        <v>6412</v>
      </c>
      <c r="L2798">
        <v>500</v>
      </c>
      <c r="M2798">
        <v>499</v>
      </c>
      <c r="N2798">
        <v>1</v>
      </c>
      <c r="O2798">
        <v>0</v>
      </c>
      <c r="P2798" s="3" t="s">
        <v>50</v>
      </c>
      <c r="Q2798">
        <v>50</v>
      </c>
      <c r="R2798">
        <v>0.999</v>
      </c>
      <c r="S2798">
        <v>0</v>
      </c>
    </row>
    <row r="2799" spans="1:19" x14ac:dyDescent="0.2">
      <c r="A2799" s="3" t="s">
        <v>54</v>
      </c>
      <c r="B2799" s="3" t="s">
        <v>55</v>
      </c>
      <c r="C2799">
        <v>20</v>
      </c>
      <c r="D2799">
        <v>12000</v>
      </c>
      <c r="E2799">
        <v>499</v>
      </c>
      <c r="F2799">
        <v>1</v>
      </c>
      <c r="G2799">
        <v>50533.323552418398</v>
      </c>
      <c r="H2799">
        <v>1.4237820999999999E-2</v>
      </c>
      <c r="I2799">
        <v>12000</v>
      </c>
      <c r="J2799">
        <v>3652</v>
      </c>
      <c r="K2799">
        <v>8348</v>
      </c>
      <c r="L2799">
        <v>500</v>
      </c>
      <c r="M2799">
        <v>499</v>
      </c>
      <c r="N2799">
        <v>1</v>
      </c>
      <c r="O2799">
        <v>0</v>
      </c>
      <c r="P2799" s="3" t="s">
        <v>50</v>
      </c>
      <c r="Q2799">
        <v>50</v>
      </c>
      <c r="R2799">
        <v>0.999</v>
      </c>
      <c r="S2799">
        <v>0</v>
      </c>
    </row>
    <row r="2800" spans="1:19" x14ac:dyDescent="0.2">
      <c r="A2800" s="3" t="s">
        <v>54</v>
      </c>
      <c r="B2800" s="3" t="s">
        <v>55</v>
      </c>
      <c r="C2800">
        <v>43</v>
      </c>
      <c r="D2800">
        <v>13000</v>
      </c>
      <c r="E2800">
        <v>499</v>
      </c>
      <c r="F2800">
        <v>1</v>
      </c>
      <c r="G2800">
        <v>13000</v>
      </c>
      <c r="H2800">
        <v>1.4235823E-2</v>
      </c>
      <c r="I2800">
        <v>12714</v>
      </c>
      <c r="J2800">
        <v>3794</v>
      </c>
      <c r="K2800">
        <v>8920</v>
      </c>
      <c r="L2800">
        <v>500</v>
      </c>
      <c r="M2800">
        <v>499</v>
      </c>
      <c r="N2800">
        <v>1</v>
      </c>
      <c r="O2800">
        <v>286</v>
      </c>
      <c r="P2800" s="3" t="s">
        <v>52</v>
      </c>
      <c r="Q2800">
        <v>50</v>
      </c>
      <c r="R2800">
        <v>0.999</v>
      </c>
      <c r="S2800">
        <v>1</v>
      </c>
    </row>
    <row r="2801" spans="1:19" x14ac:dyDescent="0.2">
      <c r="A2801" s="3" t="s">
        <v>54</v>
      </c>
      <c r="B2801" s="3" t="s">
        <v>55</v>
      </c>
      <c r="C2801">
        <v>8</v>
      </c>
      <c r="D2801">
        <v>11000</v>
      </c>
      <c r="E2801">
        <v>499</v>
      </c>
      <c r="F2801">
        <v>1</v>
      </c>
      <c r="G2801">
        <v>44062.122210792702</v>
      </c>
      <c r="H2801">
        <v>1.4228314000000001E-2</v>
      </c>
      <c r="I2801">
        <v>11000</v>
      </c>
      <c r="J2801">
        <v>3591</v>
      </c>
      <c r="K2801">
        <v>7409</v>
      </c>
      <c r="L2801">
        <v>500</v>
      </c>
      <c r="M2801">
        <v>499</v>
      </c>
      <c r="N2801">
        <v>1</v>
      </c>
      <c r="O2801">
        <v>0</v>
      </c>
      <c r="P2801" s="3" t="s">
        <v>50</v>
      </c>
      <c r="Q2801">
        <v>50</v>
      </c>
      <c r="R2801">
        <v>0.999</v>
      </c>
      <c r="S2801">
        <v>0</v>
      </c>
    </row>
    <row r="2802" spans="1:19" x14ac:dyDescent="0.2">
      <c r="A2802" s="3" t="s">
        <v>54</v>
      </c>
      <c r="B2802" s="3" t="s">
        <v>55</v>
      </c>
      <c r="C2802">
        <v>41</v>
      </c>
      <c r="D2802">
        <v>13000</v>
      </c>
      <c r="E2802">
        <v>499</v>
      </c>
      <c r="F2802">
        <v>1</v>
      </c>
      <c r="G2802">
        <v>13000</v>
      </c>
      <c r="H2802">
        <v>1.4227929E-2</v>
      </c>
      <c r="I2802">
        <v>12713</v>
      </c>
      <c r="J2802">
        <v>3742</v>
      </c>
      <c r="K2802">
        <v>8971</v>
      </c>
      <c r="L2802">
        <v>500</v>
      </c>
      <c r="M2802">
        <v>499</v>
      </c>
      <c r="N2802">
        <v>1</v>
      </c>
      <c r="O2802">
        <v>287</v>
      </c>
      <c r="P2802" s="3" t="s">
        <v>52</v>
      </c>
      <c r="Q2802">
        <v>50</v>
      </c>
      <c r="R2802">
        <v>0.999</v>
      </c>
      <c r="S2802">
        <v>1</v>
      </c>
    </row>
    <row r="2803" spans="1:19" x14ac:dyDescent="0.2">
      <c r="A2803" s="3" t="s">
        <v>54</v>
      </c>
      <c r="B2803" s="3" t="s">
        <v>55</v>
      </c>
      <c r="C2803">
        <v>10</v>
      </c>
      <c r="D2803">
        <v>11000</v>
      </c>
      <c r="E2803">
        <v>499</v>
      </c>
      <c r="F2803">
        <v>1</v>
      </c>
      <c r="G2803">
        <v>44062.122210792702</v>
      </c>
      <c r="H2803">
        <v>1.4223980000000001E-2</v>
      </c>
      <c r="I2803">
        <v>11000</v>
      </c>
      <c r="J2803">
        <v>3655</v>
      </c>
      <c r="K2803">
        <v>7345</v>
      </c>
      <c r="L2803">
        <v>500</v>
      </c>
      <c r="M2803">
        <v>499</v>
      </c>
      <c r="N2803">
        <v>1</v>
      </c>
      <c r="O2803">
        <v>0</v>
      </c>
      <c r="P2803" s="3" t="s">
        <v>50</v>
      </c>
      <c r="Q2803">
        <v>50</v>
      </c>
      <c r="R2803">
        <v>0.999</v>
      </c>
      <c r="S2803">
        <v>0</v>
      </c>
    </row>
    <row r="2804" spans="1:19" x14ac:dyDescent="0.2">
      <c r="A2804" s="3" t="s">
        <v>54</v>
      </c>
      <c r="B2804" s="3" t="s">
        <v>55</v>
      </c>
      <c r="C2804">
        <v>31</v>
      </c>
      <c r="D2804">
        <v>12000</v>
      </c>
      <c r="E2804">
        <v>499</v>
      </c>
      <c r="F2804">
        <v>1</v>
      </c>
      <c r="G2804">
        <v>50533.323552418398</v>
      </c>
      <c r="H2804">
        <v>1.4220889E-2</v>
      </c>
      <c r="I2804">
        <v>12000</v>
      </c>
      <c r="J2804">
        <v>3708</v>
      </c>
      <c r="K2804">
        <v>8292</v>
      </c>
      <c r="L2804">
        <v>500</v>
      </c>
      <c r="M2804">
        <v>499</v>
      </c>
      <c r="N2804">
        <v>1</v>
      </c>
      <c r="O2804">
        <v>0</v>
      </c>
      <c r="P2804" s="3" t="s">
        <v>50</v>
      </c>
      <c r="Q2804">
        <v>50</v>
      </c>
      <c r="R2804">
        <v>0.999</v>
      </c>
      <c r="S2804">
        <v>0</v>
      </c>
    </row>
    <row r="2805" spans="1:19" x14ac:dyDescent="0.2">
      <c r="A2805" s="3" t="s">
        <v>54</v>
      </c>
      <c r="B2805" s="3" t="s">
        <v>55</v>
      </c>
      <c r="C2805">
        <v>28</v>
      </c>
      <c r="D2805">
        <v>12000</v>
      </c>
      <c r="E2805">
        <v>499</v>
      </c>
      <c r="F2805">
        <v>1</v>
      </c>
      <c r="G2805">
        <v>50533.323552418398</v>
      </c>
      <c r="H2805">
        <v>1.4216965999999999E-2</v>
      </c>
      <c r="I2805">
        <v>12000</v>
      </c>
      <c r="J2805">
        <v>3719</v>
      </c>
      <c r="K2805">
        <v>8281</v>
      </c>
      <c r="L2805">
        <v>500</v>
      </c>
      <c r="M2805">
        <v>499</v>
      </c>
      <c r="N2805">
        <v>1</v>
      </c>
      <c r="O2805">
        <v>0</v>
      </c>
      <c r="P2805" s="3" t="s">
        <v>50</v>
      </c>
      <c r="Q2805">
        <v>50</v>
      </c>
      <c r="R2805">
        <v>0.999</v>
      </c>
      <c r="S2805">
        <v>0</v>
      </c>
    </row>
    <row r="2806" spans="1:19" x14ac:dyDescent="0.2">
      <c r="A2806" s="3" t="s">
        <v>54</v>
      </c>
      <c r="B2806" s="3" t="s">
        <v>55</v>
      </c>
      <c r="C2806">
        <v>16</v>
      </c>
      <c r="D2806">
        <v>10000</v>
      </c>
      <c r="E2806">
        <v>499</v>
      </c>
      <c r="F2806">
        <v>1</v>
      </c>
      <c r="G2806">
        <v>39482.677260513999</v>
      </c>
      <c r="H2806">
        <v>1.4216472000000001E-2</v>
      </c>
      <c r="I2806">
        <v>10000</v>
      </c>
      <c r="J2806">
        <v>3582</v>
      </c>
      <c r="K2806">
        <v>6418</v>
      </c>
      <c r="L2806">
        <v>500</v>
      </c>
      <c r="M2806">
        <v>499</v>
      </c>
      <c r="N2806">
        <v>1</v>
      </c>
      <c r="O2806">
        <v>0</v>
      </c>
      <c r="P2806" s="3" t="s">
        <v>50</v>
      </c>
      <c r="Q2806">
        <v>50</v>
      </c>
      <c r="R2806">
        <v>0.999</v>
      </c>
      <c r="S2806">
        <v>0</v>
      </c>
    </row>
    <row r="2807" spans="1:19" x14ac:dyDescent="0.2">
      <c r="A2807" s="3" t="s">
        <v>54</v>
      </c>
      <c r="B2807" s="3" t="s">
        <v>55</v>
      </c>
      <c r="C2807">
        <v>35</v>
      </c>
      <c r="D2807">
        <v>11000</v>
      </c>
      <c r="E2807">
        <v>499</v>
      </c>
      <c r="F2807">
        <v>1</v>
      </c>
      <c r="G2807">
        <v>44062.122210792702</v>
      </c>
      <c r="H2807">
        <v>1.4214777E-2</v>
      </c>
      <c r="I2807">
        <v>11000</v>
      </c>
      <c r="J2807">
        <v>3641</v>
      </c>
      <c r="K2807">
        <v>7359</v>
      </c>
      <c r="L2807">
        <v>500</v>
      </c>
      <c r="M2807">
        <v>499</v>
      </c>
      <c r="N2807">
        <v>1</v>
      </c>
      <c r="O2807">
        <v>0</v>
      </c>
      <c r="P2807" s="3" t="s">
        <v>50</v>
      </c>
      <c r="Q2807">
        <v>50</v>
      </c>
      <c r="R2807">
        <v>0.999</v>
      </c>
      <c r="S2807">
        <v>0</v>
      </c>
    </row>
    <row r="2808" spans="1:19" x14ac:dyDescent="0.2">
      <c r="A2808" s="3" t="s">
        <v>54</v>
      </c>
      <c r="B2808" s="3" t="s">
        <v>55</v>
      </c>
      <c r="C2808">
        <v>49</v>
      </c>
      <c r="D2808">
        <v>12000</v>
      </c>
      <c r="E2808">
        <v>499</v>
      </c>
      <c r="F2808">
        <v>1</v>
      </c>
      <c r="G2808">
        <v>50533.323552418398</v>
      </c>
      <c r="H2808">
        <v>1.4210209999999999E-2</v>
      </c>
      <c r="I2808">
        <v>12000</v>
      </c>
      <c r="J2808">
        <v>3649</v>
      </c>
      <c r="K2808">
        <v>8351</v>
      </c>
      <c r="L2808">
        <v>500</v>
      </c>
      <c r="M2808">
        <v>499</v>
      </c>
      <c r="N2808">
        <v>1</v>
      </c>
      <c r="O2808">
        <v>0</v>
      </c>
      <c r="P2808" s="3" t="s">
        <v>50</v>
      </c>
      <c r="Q2808">
        <v>50</v>
      </c>
      <c r="R2808">
        <v>0.999</v>
      </c>
      <c r="S2808">
        <v>0</v>
      </c>
    </row>
    <row r="2809" spans="1:19" x14ac:dyDescent="0.2">
      <c r="A2809" s="3" t="s">
        <v>54</v>
      </c>
      <c r="B2809" s="3" t="s">
        <v>55</v>
      </c>
      <c r="C2809">
        <v>35</v>
      </c>
      <c r="D2809">
        <v>13000</v>
      </c>
      <c r="E2809">
        <v>499</v>
      </c>
      <c r="F2809">
        <v>1</v>
      </c>
      <c r="G2809">
        <v>13000</v>
      </c>
      <c r="H2809">
        <v>1.4208029E-2</v>
      </c>
      <c r="I2809">
        <v>12697</v>
      </c>
      <c r="J2809">
        <v>3759</v>
      </c>
      <c r="K2809">
        <v>8938</v>
      </c>
      <c r="L2809">
        <v>500</v>
      </c>
      <c r="M2809">
        <v>499</v>
      </c>
      <c r="N2809">
        <v>1</v>
      </c>
      <c r="O2809">
        <v>303</v>
      </c>
      <c r="P2809" s="3" t="s">
        <v>52</v>
      </c>
      <c r="Q2809">
        <v>50</v>
      </c>
      <c r="R2809">
        <v>0.999</v>
      </c>
      <c r="S2809">
        <v>1</v>
      </c>
    </row>
    <row r="2810" spans="1:19" x14ac:dyDescent="0.2">
      <c r="A2810" s="3" t="s">
        <v>54</v>
      </c>
      <c r="B2810" s="3" t="s">
        <v>55</v>
      </c>
      <c r="C2810">
        <v>48</v>
      </c>
      <c r="D2810">
        <v>12000</v>
      </c>
      <c r="E2810">
        <v>499</v>
      </c>
      <c r="F2810">
        <v>1</v>
      </c>
      <c r="G2810">
        <v>50533.323552418398</v>
      </c>
      <c r="H2810">
        <v>1.4204098E-2</v>
      </c>
      <c r="I2810">
        <v>12000</v>
      </c>
      <c r="J2810">
        <v>3711</v>
      </c>
      <c r="K2810">
        <v>8289</v>
      </c>
      <c r="L2810">
        <v>500</v>
      </c>
      <c r="M2810">
        <v>499</v>
      </c>
      <c r="N2810">
        <v>1</v>
      </c>
      <c r="O2810">
        <v>0</v>
      </c>
      <c r="P2810" s="3" t="s">
        <v>50</v>
      </c>
      <c r="Q2810">
        <v>50</v>
      </c>
      <c r="R2810">
        <v>0.999</v>
      </c>
      <c r="S2810">
        <v>0</v>
      </c>
    </row>
    <row r="2811" spans="1:19" x14ac:dyDescent="0.2">
      <c r="A2811" s="3" t="s">
        <v>54</v>
      </c>
      <c r="B2811" s="3" t="s">
        <v>55</v>
      </c>
      <c r="C2811">
        <v>20</v>
      </c>
      <c r="D2811">
        <v>13000</v>
      </c>
      <c r="E2811">
        <v>499</v>
      </c>
      <c r="F2811">
        <v>1</v>
      </c>
      <c r="G2811">
        <v>13000</v>
      </c>
      <c r="H2811">
        <v>1.4202896E-2</v>
      </c>
      <c r="I2811">
        <v>12707</v>
      </c>
      <c r="J2811">
        <v>3786</v>
      </c>
      <c r="K2811">
        <v>8921</v>
      </c>
      <c r="L2811">
        <v>500</v>
      </c>
      <c r="M2811">
        <v>499</v>
      </c>
      <c r="N2811">
        <v>1</v>
      </c>
      <c r="O2811">
        <v>293</v>
      </c>
      <c r="P2811" s="3" t="s">
        <v>52</v>
      </c>
      <c r="Q2811">
        <v>50</v>
      </c>
      <c r="R2811">
        <v>0.999</v>
      </c>
      <c r="S2811">
        <v>1</v>
      </c>
    </row>
    <row r="2812" spans="1:19" x14ac:dyDescent="0.2">
      <c r="A2812" s="3" t="s">
        <v>54</v>
      </c>
      <c r="B2812" s="3" t="s">
        <v>55</v>
      </c>
      <c r="C2812">
        <v>9</v>
      </c>
      <c r="D2812">
        <v>12000</v>
      </c>
      <c r="E2812">
        <v>499</v>
      </c>
      <c r="F2812">
        <v>1</v>
      </c>
      <c r="G2812">
        <v>50533.323552418398</v>
      </c>
      <c r="H2812">
        <v>1.4202888E-2</v>
      </c>
      <c r="I2812">
        <v>12000</v>
      </c>
      <c r="J2812">
        <v>3713</v>
      </c>
      <c r="K2812">
        <v>8287</v>
      </c>
      <c r="L2812">
        <v>500</v>
      </c>
      <c r="M2812">
        <v>499</v>
      </c>
      <c r="N2812">
        <v>1</v>
      </c>
      <c r="O2812">
        <v>0</v>
      </c>
      <c r="P2812" s="3" t="s">
        <v>50</v>
      </c>
      <c r="Q2812">
        <v>50</v>
      </c>
      <c r="R2812">
        <v>0.999</v>
      </c>
      <c r="S2812">
        <v>0</v>
      </c>
    </row>
    <row r="2813" spans="1:19" x14ac:dyDescent="0.2">
      <c r="A2813" s="3" t="s">
        <v>54</v>
      </c>
      <c r="B2813" s="3" t="s">
        <v>55</v>
      </c>
      <c r="C2813">
        <v>26</v>
      </c>
      <c r="D2813">
        <v>10000</v>
      </c>
      <c r="E2813">
        <v>499</v>
      </c>
      <c r="F2813">
        <v>1</v>
      </c>
      <c r="G2813">
        <v>39482.677260513999</v>
      </c>
      <c r="H2813">
        <v>1.4202813999999999E-2</v>
      </c>
      <c r="I2813">
        <v>10000</v>
      </c>
      <c r="J2813">
        <v>3628</v>
      </c>
      <c r="K2813">
        <v>6372</v>
      </c>
      <c r="L2813">
        <v>500</v>
      </c>
      <c r="M2813">
        <v>499</v>
      </c>
      <c r="N2813">
        <v>1</v>
      </c>
      <c r="O2813">
        <v>0</v>
      </c>
      <c r="P2813" s="3" t="s">
        <v>50</v>
      </c>
      <c r="Q2813">
        <v>50</v>
      </c>
      <c r="R2813">
        <v>0.999</v>
      </c>
      <c r="S2813">
        <v>0</v>
      </c>
    </row>
    <row r="2814" spans="1:19" x14ac:dyDescent="0.2">
      <c r="A2814" s="3" t="s">
        <v>54</v>
      </c>
      <c r="B2814" s="3" t="s">
        <v>55</v>
      </c>
      <c r="C2814">
        <v>46</v>
      </c>
      <c r="D2814">
        <v>12000</v>
      </c>
      <c r="E2814">
        <v>499</v>
      </c>
      <c r="F2814">
        <v>1</v>
      </c>
      <c r="G2814">
        <v>12000</v>
      </c>
      <c r="H2814">
        <v>1.4198321999999999E-2</v>
      </c>
      <c r="I2814">
        <v>12000</v>
      </c>
      <c r="J2814">
        <v>3642</v>
      </c>
      <c r="K2814">
        <v>8358</v>
      </c>
      <c r="L2814">
        <v>500</v>
      </c>
      <c r="M2814">
        <v>499</v>
      </c>
      <c r="N2814">
        <v>1</v>
      </c>
      <c r="O2814">
        <v>0</v>
      </c>
      <c r="P2814" s="3" t="s">
        <v>50</v>
      </c>
      <c r="Q2814">
        <v>50</v>
      </c>
      <c r="R2814">
        <v>0.999</v>
      </c>
      <c r="S2814">
        <v>1</v>
      </c>
    </row>
    <row r="2815" spans="1:19" x14ac:dyDescent="0.2">
      <c r="A2815" s="3" t="s">
        <v>54</v>
      </c>
      <c r="B2815" s="3" t="s">
        <v>55</v>
      </c>
      <c r="C2815">
        <v>12</v>
      </c>
      <c r="D2815">
        <v>11000</v>
      </c>
      <c r="E2815">
        <v>499</v>
      </c>
      <c r="F2815">
        <v>1</v>
      </c>
      <c r="G2815">
        <v>11000</v>
      </c>
      <c r="H2815">
        <v>1.4196992E-2</v>
      </c>
      <c r="I2815">
        <v>11000</v>
      </c>
      <c r="J2815">
        <v>3659</v>
      </c>
      <c r="K2815">
        <v>7341</v>
      </c>
      <c r="L2815">
        <v>500</v>
      </c>
      <c r="M2815">
        <v>499</v>
      </c>
      <c r="N2815">
        <v>1</v>
      </c>
      <c r="O2815">
        <v>0</v>
      </c>
      <c r="P2815" s="3" t="s">
        <v>50</v>
      </c>
      <c r="Q2815">
        <v>50</v>
      </c>
      <c r="R2815">
        <v>0.999</v>
      </c>
      <c r="S2815">
        <v>1</v>
      </c>
    </row>
    <row r="2816" spans="1:19" x14ac:dyDescent="0.2">
      <c r="A2816" s="3" t="s">
        <v>54</v>
      </c>
      <c r="B2816" s="3" t="s">
        <v>55</v>
      </c>
      <c r="C2816">
        <v>12</v>
      </c>
      <c r="D2816">
        <v>10000</v>
      </c>
      <c r="E2816">
        <v>499</v>
      </c>
      <c r="F2816">
        <v>1</v>
      </c>
      <c r="G2816">
        <v>39482.677260513999</v>
      </c>
      <c r="H2816">
        <v>1.4194297999999999E-2</v>
      </c>
      <c r="I2816">
        <v>10000</v>
      </c>
      <c r="J2816">
        <v>3587</v>
      </c>
      <c r="K2816">
        <v>6413</v>
      </c>
      <c r="L2816">
        <v>500</v>
      </c>
      <c r="M2816">
        <v>499</v>
      </c>
      <c r="N2816">
        <v>1</v>
      </c>
      <c r="O2816">
        <v>0</v>
      </c>
      <c r="P2816" s="3" t="s">
        <v>50</v>
      </c>
      <c r="Q2816">
        <v>50</v>
      </c>
      <c r="R2816">
        <v>0.999</v>
      </c>
      <c r="S2816">
        <v>0</v>
      </c>
    </row>
    <row r="2817" spans="1:19" x14ac:dyDescent="0.2">
      <c r="A2817" s="3" t="s">
        <v>54</v>
      </c>
      <c r="B2817" s="3" t="s">
        <v>55</v>
      </c>
      <c r="C2817">
        <v>10</v>
      </c>
      <c r="D2817">
        <v>10000</v>
      </c>
      <c r="E2817">
        <v>499</v>
      </c>
      <c r="F2817">
        <v>1</v>
      </c>
      <c r="G2817">
        <v>39482.677260513999</v>
      </c>
      <c r="H2817">
        <v>1.4193610000000001E-2</v>
      </c>
      <c r="I2817">
        <v>10000</v>
      </c>
      <c r="J2817">
        <v>3565</v>
      </c>
      <c r="K2817">
        <v>6435</v>
      </c>
      <c r="L2817">
        <v>500</v>
      </c>
      <c r="M2817">
        <v>499</v>
      </c>
      <c r="N2817">
        <v>1</v>
      </c>
      <c r="O2817">
        <v>0</v>
      </c>
      <c r="P2817" s="3" t="s">
        <v>50</v>
      </c>
      <c r="Q2817">
        <v>50</v>
      </c>
      <c r="R2817">
        <v>0.999</v>
      </c>
      <c r="S2817">
        <v>0</v>
      </c>
    </row>
    <row r="2818" spans="1:19" x14ac:dyDescent="0.2">
      <c r="A2818" s="3" t="s">
        <v>54</v>
      </c>
      <c r="B2818" s="3" t="s">
        <v>55</v>
      </c>
      <c r="C2818">
        <v>44</v>
      </c>
      <c r="D2818">
        <v>13000</v>
      </c>
      <c r="E2818">
        <v>499</v>
      </c>
      <c r="F2818">
        <v>1</v>
      </c>
      <c r="G2818">
        <v>13000</v>
      </c>
      <c r="H2818">
        <v>1.4182848E-2</v>
      </c>
      <c r="I2818">
        <v>12702</v>
      </c>
      <c r="J2818">
        <v>3754</v>
      </c>
      <c r="K2818">
        <v>8948</v>
      </c>
      <c r="L2818">
        <v>500</v>
      </c>
      <c r="M2818">
        <v>499</v>
      </c>
      <c r="N2818">
        <v>1</v>
      </c>
      <c r="O2818">
        <v>298</v>
      </c>
      <c r="P2818" s="3" t="s">
        <v>52</v>
      </c>
      <c r="Q2818">
        <v>50</v>
      </c>
      <c r="R2818">
        <v>0.999</v>
      </c>
      <c r="S2818">
        <v>1</v>
      </c>
    </row>
    <row r="2819" spans="1:19" x14ac:dyDescent="0.2">
      <c r="A2819" s="3" t="s">
        <v>54</v>
      </c>
      <c r="B2819" s="3" t="s">
        <v>55</v>
      </c>
      <c r="C2819">
        <v>17</v>
      </c>
      <c r="D2819">
        <v>11000</v>
      </c>
      <c r="E2819">
        <v>499</v>
      </c>
      <c r="F2819">
        <v>1</v>
      </c>
      <c r="G2819">
        <v>11000</v>
      </c>
      <c r="H2819">
        <v>1.4181208000000001E-2</v>
      </c>
      <c r="I2819">
        <v>11000</v>
      </c>
      <c r="J2819">
        <v>3613</v>
      </c>
      <c r="K2819">
        <v>7387</v>
      </c>
      <c r="L2819">
        <v>500</v>
      </c>
      <c r="M2819">
        <v>499</v>
      </c>
      <c r="N2819">
        <v>1</v>
      </c>
      <c r="O2819">
        <v>0</v>
      </c>
      <c r="P2819" s="3" t="s">
        <v>50</v>
      </c>
      <c r="Q2819">
        <v>50</v>
      </c>
      <c r="R2819">
        <v>0.999</v>
      </c>
      <c r="S2819">
        <v>1</v>
      </c>
    </row>
    <row r="2820" spans="1:19" x14ac:dyDescent="0.2">
      <c r="A2820" s="3" t="s">
        <v>54</v>
      </c>
      <c r="B2820" s="3" t="s">
        <v>55</v>
      </c>
      <c r="C2820">
        <v>50</v>
      </c>
      <c r="D2820">
        <v>12000</v>
      </c>
      <c r="E2820">
        <v>499</v>
      </c>
      <c r="F2820">
        <v>1</v>
      </c>
      <c r="G2820">
        <v>50533.323552418398</v>
      </c>
      <c r="H2820">
        <v>1.417823E-2</v>
      </c>
      <c r="I2820">
        <v>12000</v>
      </c>
      <c r="J2820">
        <v>3654</v>
      </c>
      <c r="K2820">
        <v>8346</v>
      </c>
      <c r="L2820">
        <v>500</v>
      </c>
      <c r="M2820">
        <v>499</v>
      </c>
      <c r="N2820">
        <v>1</v>
      </c>
      <c r="O2820">
        <v>0</v>
      </c>
      <c r="P2820" s="3" t="s">
        <v>50</v>
      </c>
      <c r="Q2820">
        <v>50</v>
      </c>
      <c r="R2820">
        <v>0.999</v>
      </c>
      <c r="S2820">
        <v>0</v>
      </c>
    </row>
    <row r="2821" spans="1:19" x14ac:dyDescent="0.2">
      <c r="A2821" s="3" t="s">
        <v>54</v>
      </c>
      <c r="B2821" s="3" t="s">
        <v>55</v>
      </c>
      <c r="C2821">
        <v>19</v>
      </c>
      <c r="D2821">
        <v>12000</v>
      </c>
      <c r="E2821">
        <v>499</v>
      </c>
      <c r="F2821">
        <v>1</v>
      </c>
      <c r="G2821">
        <v>50533.323552418398</v>
      </c>
      <c r="H2821">
        <v>1.4177046E-2</v>
      </c>
      <c r="I2821">
        <v>12000</v>
      </c>
      <c r="J2821">
        <v>3638</v>
      </c>
      <c r="K2821">
        <v>8362</v>
      </c>
      <c r="L2821">
        <v>500</v>
      </c>
      <c r="M2821">
        <v>499</v>
      </c>
      <c r="N2821">
        <v>1</v>
      </c>
      <c r="O2821">
        <v>0</v>
      </c>
      <c r="P2821" s="3" t="s">
        <v>50</v>
      </c>
      <c r="Q2821">
        <v>50</v>
      </c>
      <c r="R2821">
        <v>0.999</v>
      </c>
      <c r="S2821">
        <v>0</v>
      </c>
    </row>
    <row r="2822" spans="1:19" x14ac:dyDescent="0.2">
      <c r="A2822" s="3" t="s">
        <v>54</v>
      </c>
      <c r="B2822" s="3" t="s">
        <v>55</v>
      </c>
      <c r="C2822">
        <v>25</v>
      </c>
      <c r="D2822">
        <v>12000</v>
      </c>
      <c r="E2822">
        <v>499</v>
      </c>
      <c r="F2822">
        <v>1</v>
      </c>
      <c r="G2822">
        <v>50533.323552418398</v>
      </c>
      <c r="H2822">
        <v>1.417415E-2</v>
      </c>
      <c r="I2822">
        <v>12000</v>
      </c>
      <c r="J2822">
        <v>3666</v>
      </c>
      <c r="K2822">
        <v>8334</v>
      </c>
      <c r="L2822">
        <v>500</v>
      </c>
      <c r="M2822">
        <v>499</v>
      </c>
      <c r="N2822">
        <v>1</v>
      </c>
      <c r="O2822">
        <v>0</v>
      </c>
      <c r="P2822" s="3" t="s">
        <v>50</v>
      </c>
      <c r="Q2822">
        <v>50</v>
      </c>
      <c r="R2822">
        <v>0.999</v>
      </c>
      <c r="S2822">
        <v>0</v>
      </c>
    </row>
    <row r="2823" spans="1:19" x14ac:dyDescent="0.2">
      <c r="A2823" s="3" t="s">
        <v>54</v>
      </c>
      <c r="B2823" s="3" t="s">
        <v>55</v>
      </c>
      <c r="C2823">
        <v>40</v>
      </c>
      <c r="D2823">
        <v>10000</v>
      </c>
      <c r="E2823">
        <v>499</v>
      </c>
      <c r="F2823">
        <v>1</v>
      </c>
      <c r="G2823">
        <v>39482.677260513999</v>
      </c>
      <c r="H2823">
        <v>1.4173609E-2</v>
      </c>
      <c r="I2823">
        <v>10000</v>
      </c>
      <c r="J2823">
        <v>3575</v>
      </c>
      <c r="K2823">
        <v>6425</v>
      </c>
      <c r="L2823">
        <v>500</v>
      </c>
      <c r="M2823">
        <v>499</v>
      </c>
      <c r="N2823">
        <v>1</v>
      </c>
      <c r="O2823">
        <v>0</v>
      </c>
      <c r="P2823" s="3" t="s">
        <v>50</v>
      </c>
      <c r="Q2823">
        <v>50</v>
      </c>
      <c r="R2823">
        <v>0.999</v>
      </c>
      <c r="S2823">
        <v>0</v>
      </c>
    </row>
    <row r="2824" spans="1:19" x14ac:dyDescent="0.2">
      <c r="A2824" s="3" t="s">
        <v>54</v>
      </c>
      <c r="B2824" s="3" t="s">
        <v>55</v>
      </c>
      <c r="C2824">
        <v>7</v>
      </c>
      <c r="D2824">
        <v>11000</v>
      </c>
      <c r="E2824">
        <v>499</v>
      </c>
      <c r="F2824">
        <v>1</v>
      </c>
      <c r="G2824">
        <v>11000</v>
      </c>
      <c r="H2824">
        <v>1.4169668999999999E-2</v>
      </c>
      <c r="I2824">
        <v>11000</v>
      </c>
      <c r="J2824">
        <v>2786</v>
      </c>
      <c r="K2824">
        <v>8214</v>
      </c>
      <c r="L2824">
        <v>500</v>
      </c>
      <c r="M2824">
        <v>499</v>
      </c>
      <c r="N2824">
        <v>1</v>
      </c>
      <c r="O2824">
        <v>0</v>
      </c>
      <c r="P2824" s="3" t="s">
        <v>52</v>
      </c>
      <c r="Q2824">
        <v>50</v>
      </c>
      <c r="R2824">
        <v>0.999</v>
      </c>
      <c r="S2824">
        <v>1</v>
      </c>
    </row>
    <row r="2825" spans="1:19" x14ac:dyDescent="0.2">
      <c r="A2825" s="3" t="s">
        <v>54</v>
      </c>
      <c r="B2825" s="3" t="s">
        <v>55</v>
      </c>
      <c r="C2825">
        <v>31</v>
      </c>
      <c r="D2825">
        <v>13000</v>
      </c>
      <c r="E2825">
        <v>499</v>
      </c>
      <c r="F2825">
        <v>1</v>
      </c>
      <c r="G2825">
        <v>13000</v>
      </c>
      <c r="H2825">
        <v>1.4168184E-2</v>
      </c>
      <c r="I2825">
        <v>12695</v>
      </c>
      <c r="J2825">
        <v>3778</v>
      </c>
      <c r="K2825">
        <v>8917</v>
      </c>
      <c r="L2825">
        <v>500</v>
      </c>
      <c r="M2825">
        <v>499</v>
      </c>
      <c r="N2825">
        <v>1</v>
      </c>
      <c r="O2825">
        <v>305</v>
      </c>
      <c r="P2825" s="3" t="s">
        <v>52</v>
      </c>
      <c r="Q2825">
        <v>50</v>
      </c>
      <c r="R2825">
        <v>0.999</v>
      </c>
      <c r="S2825">
        <v>1</v>
      </c>
    </row>
    <row r="2826" spans="1:19" x14ac:dyDescent="0.2">
      <c r="A2826" s="3" t="s">
        <v>54</v>
      </c>
      <c r="B2826" s="3" t="s">
        <v>55</v>
      </c>
      <c r="C2826">
        <v>49</v>
      </c>
      <c r="D2826">
        <v>10000</v>
      </c>
      <c r="E2826">
        <v>499</v>
      </c>
      <c r="F2826">
        <v>1</v>
      </c>
      <c r="G2826">
        <v>39482.677260513999</v>
      </c>
      <c r="H2826">
        <v>1.4164892E-2</v>
      </c>
      <c r="I2826">
        <v>10000</v>
      </c>
      <c r="J2826">
        <v>3581</v>
      </c>
      <c r="K2826">
        <v>6419</v>
      </c>
      <c r="L2826">
        <v>500</v>
      </c>
      <c r="M2826">
        <v>499</v>
      </c>
      <c r="N2826">
        <v>1</v>
      </c>
      <c r="O2826">
        <v>0</v>
      </c>
      <c r="P2826" s="3" t="s">
        <v>50</v>
      </c>
      <c r="Q2826">
        <v>50</v>
      </c>
      <c r="R2826">
        <v>0.999</v>
      </c>
      <c r="S2826">
        <v>0</v>
      </c>
    </row>
    <row r="2827" spans="1:19" x14ac:dyDescent="0.2">
      <c r="A2827" s="3" t="s">
        <v>54</v>
      </c>
      <c r="B2827" s="3" t="s">
        <v>55</v>
      </c>
      <c r="C2827">
        <v>33</v>
      </c>
      <c r="D2827">
        <v>11000</v>
      </c>
      <c r="E2827">
        <v>499</v>
      </c>
      <c r="F2827">
        <v>1</v>
      </c>
      <c r="G2827">
        <v>44062.122210792702</v>
      </c>
      <c r="H2827">
        <v>1.4161246000000001E-2</v>
      </c>
      <c r="I2827">
        <v>10999</v>
      </c>
      <c r="J2827">
        <v>3627</v>
      </c>
      <c r="K2827">
        <v>7372</v>
      </c>
      <c r="L2827">
        <v>500</v>
      </c>
      <c r="M2827">
        <v>499</v>
      </c>
      <c r="N2827">
        <v>1</v>
      </c>
      <c r="O2827">
        <v>7.1788955287</v>
      </c>
      <c r="P2827" s="3" t="s">
        <v>50</v>
      </c>
      <c r="Q2827">
        <v>50</v>
      </c>
      <c r="R2827">
        <v>0.999</v>
      </c>
      <c r="S2827">
        <v>0</v>
      </c>
    </row>
    <row r="2828" spans="1:19" x14ac:dyDescent="0.2">
      <c r="A2828" s="3" t="s">
        <v>54</v>
      </c>
      <c r="B2828" s="3" t="s">
        <v>55</v>
      </c>
      <c r="C2828">
        <v>14</v>
      </c>
      <c r="D2828">
        <v>12000</v>
      </c>
      <c r="E2828">
        <v>499</v>
      </c>
      <c r="F2828">
        <v>1</v>
      </c>
      <c r="G2828">
        <v>50533.323552418398</v>
      </c>
      <c r="H2828">
        <v>1.4159648E-2</v>
      </c>
      <c r="I2828">
        <v>12000</v>
      </c>
      <c r="J2828">
        <v>3709</v>
      </c>
      <c r="K2828">
        <v>8291</v>
      </c>
      <c r="L2828">
        <v>500</v>
      </c>
      <c r="M2828">
        <v>499</v>
      </c>
      <c r="N2828">
        <v>1</v>
      </c>
      <c r="O2828">
        <v>0</v>
      </c>
      <c r="P2828" s="3" t="s">
        <v>50</v>
      </c>
      <c r="Q2828">
        <v>50</v>
      </c>
      <c r="R2828">
        <v>0.999</v>
      </c>
      <c r="S2828">
        <v>0</v>
      </c>
    </row>
    <row r="2829" spans="1:19" x14ac:dyDescent="0.2">
      <c r="A2829" s="3" t="s">
        <v>54</v>
      </c>
      <c r="B2829" s="3" t="s">
        <v>55</v>
      </c>
      <c r="C2829">
        <v>48</v>
      </c>
      <c r="D2829">
        <v>11000</v>
      </c>
      <c r="E2829">
        <v>499</v>
      </c>
      <c r="F2829">
        <v>1</v>
      </c>
      <c r="G2829">
        <v>44062.122210792702</v>
      </c>
      <c r="H2829">
        <v>1.4158749999999999E-2</v>
      </c>
      <c r="I2829">
        <v>11000</v>
      </c>
      <c r="J2829">
        <v>3649</v>
      </c>
      <c r="K2829">
        <v>7351</v>
      </c>
      <c r="L2829">
        <v>500</v>
      </c>
      <c r="M2829">
        <v>499</v>
      </c>
      <c r="N2829">
        <v>1</v>
      </c>
      <c r="O2829">
        <v>0</v>
      </c>
      <c r="P2829" s="3" t="s">
        <v>50</v>
      </c>
      <c r="Q2829">
        <v>50</v>
      </c>
      <c r="R2829">
        <v>0.999</v>
      </c>
      <c r="S2829">
        <v>0</v>
      </c>
    </row>
    <row r="2830" spans="1:19" x14ac:dyDescent="0.2">
      <c r="A2830" s="3" t="s">
        <v>54</v>
      </c>
      <c r="B2830" s="3" t="s">
        <v>55</v>
      </c>
      <c r="C2830">
        <v>32</v>
      </c>
      <c r="D2830">
        <v>10000</v>
      </c>
      <c r="E2830">
        <v>499</v>
      </c>
      <c r="F2830">
        <v>1</v>
      </c>
      <c r="G2830">
        <v>39482.677260513999</v>
      </c>
      <c r="H2830">
        <v>1.4156696E-2</v>
      </c>
      <c r="I2830">
        <v>10000</v>
      </c>
      <c r="J2830">
        <v>3571</v>
      </c>
      <c r="K2830">
        <v>6429</v>
      </c>
      <c r="L2830">
        <v>500</v>
      </c>
      <c r="M2830">
        <v>499</v>
      </c>
      <c r="N2830">
        <v>1</v>
      </c>
      <c r="O2830">
        <v>0</v>
      </c>
      <c r="P2830" s="3" t="s">
        <v>50</v>
      </c>
      <c r="Q2830">
        <v>50</v>
      </c>
      <c r="R2830">
        <v>0.999</v>
      </c>
      <c r="S2830">
        <v>0</v>
      </c>
    </row>
    <row r="2831" spans="1:19" x14ac:dyDescent="0.2">
      <c r="A2831" s="3" t="s">
        <v>54</v>
      </c>
      <c r="B2831" s="3" t="s">
        <v>55</v>
      </c>
      <c r="C2831">
        <v>42</v>
      </c>
      <c r="D2831">
        <v>11000</v>
      </c>
      <c r="E2831">
        <v>499</v>
      </c>
      <c r="F2831">
        <v>1</v>
      </c>
      <c r="G2831">
        <v>44062.122210792702</v>
      </c>
      <c r="H2831">
        <v>1.4152957000000001E-2</v>
      </c>
      <c r="I2831">
        <v>11000</v>
      </c>
      <c r="J2831">
        <v>3610</v>
      </c>
      <c r="K2831">
        <v>7390</v>
      </c>
      <c r="L2831">
        <v>500</v>
      </c>
      <c r="M2831">
        <v>499</v>
      </c>
      <c r="N2831">
        <v>1</v>
      </c>
      <c r="O2831">
        <v>0</v>
      </c>
      <c r="P2831" s="3" t="s">
        <v>50</v>
      </c>
      <c r="Q2831">
        <v>50</v>
      </c>
      <c r="R2831">
        <v>0.999</v>
      </c>
      <c r="S2831">
        <v>0</v>
      </c>
    </row>
    <row r="2832" spans="1:19" x14ac:dyDescent="0.2">
      <c r="A2832" s="3" t="s">
        <v>54</v>
      </c>
      <c r="B2832" s="3" t="s">
        <v>55</v>
      </c>
      <c r="C2832">
        <v>11</v>
      </c>
      <c r="D2832">
        <v>11000</v>
      </c>
      <c r="E2832">
        <v>499</v>
      </c>
      <c r="F2832">
        <v>1</v>
      </c>
      <c r="G2832">
        <v>44062.122210792702</v>
      </c>
      <c r="H2832">
        <v>1.4141424E-2</v>
      </c>
      <c r="I2832">
        <v>11000</v>
      </c>
      <c r="J2832">
        <v>3627</v>
      </c>
      <c r="K2832">
        <v>7373</v>
      </c>
      <c r="L2832">
        <v>500</v>
      </c>
      <c r="M2832">
        <v>499</v>
      </c>
      <c r="N2832">
        <v>1</v>
      </c>
      <c r="O2832">
        <v>0</v>
      </c>
      <c r="P2832" s="3" t="s">
        <v>50</v>
      </c>
      <c r="Q2832">
        <v>50</v>
      </c>
      <c r="R2832">
        <v>0.999</v>
      </c>
      <c r="S2832">
        <v>0</v>
      </c>
    </row>
    <row r="2833" spans="1:19" x14ac:dyDescent="0.2">
      <c r="A2833" s="3" t="s">
        <v>54</v>
      </c>
      <c r="B2833" s="3" t="s">
        <v>55</v>
      </c>
      <c r="C2833">
        <v>24</v>
      </c>
      <c r="D2833">
        <v>11000</v>
      </c>
      <c r="E2833">
        <v>499</v>
      </c>
      <c r="F2833">
        <v>1</v>
      </c>
      <c r="G2833">
        <v>44062.122210792702</v>
      </c>
      <c r="H2833">
        <v>1.4139693E-2</v>
      </c>
      <c r="I2833">
        <v>11000</v>
      </c>
      <c r="J2833">
        <v>3611</v>
      </c>
      <c r="K2833">
        <v>7389</v>
      </c>
      <c r="L2833">
        <v>500</v>
      </c>
      <c r="M2833">
        <v>499</v>
      </c>
      <c r="N2833">
        <v>1</v>
      </c>
      <c r="O2833">
        <v>0</v>
      </c>
      <c r="P2833" s="3" t="s">
        <v>50</v>
      </c>
      <c r="Q2833">
        <v>50</v>
      </c>
      <c r="R2833">
        <v>0.999</v>
      </c>
      <c r="S2833">
        <v>0</v>
      </c>
    </row>
    <row r="2834" spans="1:19" x14ac:dyDescent="0.2">
      <c r="A2834" s="3" t="s">
        <v>54</v>
      </c>
      <c r="B2834" s="3" t="s">
        <v>55</v>
      </c>
      <c r="C2834">
        <v>21</v>
      </c>
      <c r="D2834">
        <v>12000</v>
      </c>
      <c r="E2834">
        <v>499</v>
      </c>
      <c r="F2834">
        <v>1</v>
      </c>
      <c r="G2834">
        <v>50533.323552418398</v>
      </c>
      <c r="H2834">
        <v>1.4138684E-2</v>
      </c>
      <c r="I2834">
        <v>12000</v>
      </c>
      <c r="J2834">
        <v>3642</v>
      </c>
      <c r="K2834">
        <v>8358</v>
      </c>
      <c r="L2834">
        <v>500</v>
      </c>
      <c r="M2834">
        <v>499</v>
      </c>
      <c r="N2834">
        <v>1</v>
      </c>
      <c r="O2834">
        <v>0</v>
      </c>
      <c r="P2834" s="3" t="s">
        <v>50</v>
      </c>
      <c r="Q2834">
        <v>50</v>
      </c>
      <c r="R2834">
        <v>0.999</v>
      </c>
      <c r="S2834">
        <v>0</v>
      </c>
    </row>
    <row r="2835" spans="1:19" x14ac:dyDescent="0.2">
      <c r="A2835" s="3" t="s">
        <v>54</v>
      </c>
      <c r="B2835" s="3" t="s">
        <v>55</v>
      </c>
      <c r="C2835">
        <v>37</v>
      </c>
      <c r="D2835">
        <v>11000</v>
      </c>
      <c r="E2835">
        <v>499</v>
      </c>
      <c r="F2835">
        <v>1</v>
      </c>
      <c r="G2835">
        <v>44062.122210792702</v>
      </c>
      <c r="H2835">
        <v>1.4136558E-2</v>
      </c>
      <c r="I2835">
        <v>11000</v>
      </c>
      <c r="J2835">
        <v>3661</v>
      </c>
      <c r="K2835">
        <v>7339</v>
      </c>
      <c r="L2835">
        <v>500</v>
      </c>
      <c r="M2835">
        <v>499</v>
      </c>
      <c r="N2835">
        <v>1</v>
      </c>
      <c r="O2835">
        <v>0</v>
      </c>
      <c r="P2835" s="3" t="s">
        <v>50</v>
      </c>
      <c r="Q2835">
        <v>50</v>
      </c>
      <c r="R2835">
        <v>0.999</v>
      </c>
      <c r="S2835">
        <v>0</v>
      </c>
    </row>
    <row r="2836" spans="1:19" x14ac:dyDescent="0.2">
      <c r="A2836" s="3" t="s">
        <v>54</v>
      </c>
      <c r="B2836" s="3" t="s">
        <v>55</v>
      </c>
      <c r="C2836">
        <v>29</v>
      </c>
      <c r="D2836">
        <v>12000</v>
      </c>
      <c r="E2836">
        <v>499</v>
      </c>
      <c r="F2836">
        <v>1</v>
      </c>
      <c r="G2836">
        <v>50533.323552418398</v>
      </c>
      <c r="H2836">
        <v>1.413499E-2</v>
      </c>
      <c r="I2836">
        <v>12000</v>
      </c>
      <c r="J2836">
        <v>3695</v>
      </c>
      <c r="K2836">
        <v>8305</v>
      </c>
      <c r="L2836">
        <v>500</v>
      </c>
      <c r="M2836">
        <v>499</v>
      </c>
      <c r="N2836">
        <v>1</v>
      </c>
      <c r="O2836">
        <v>0</v>
      </c>
      <c r="P2836" s="3" t="s">
        <v>50</v>
      </c>
      <c r="Q2836">
        <v>50</v>
      </c>
      <c r="R2836">
        <v>0.999</v>
      </c>
      <c r="S2836">
        <v>0</v>
      </c>
    </row>
    <row r="2837" spans="1:19" x14ac:dyDescent="0.2">
      <c r="A2837" s="3" t="s">
        <v>54</v>
      </c>
      <c r="B2837" s="3" t="s">
        <v>55</v>
      </c>
      <c r="C2837">
        <v>13</v>
      </c>
      <c r="D2837">
        <v>10000</v>
      </c>
      <c r="E2837">
        <v>499</v>
      </c>
      <c r="F2837">
        <v>1</v>
      </c>
      <c r="G2837">
        <v>39482.677260513999</v>
      </c>
      <c r="H2837">
        <v>1.4131103000000001E-2</v>
      </c>
      <c r="I2837">
        <v>10000</v>
      </c>
      <c r="J2837">
        <v>3599</v>
      </c>
      <c r="K2837">
        <v>6401</v>
      </c>
      <c r="L2837">
        <v>500</v>
      </c>
      <c r="M2837">
        <v>499</v>
      </c>
      <c r="N2837">
        <v>1</v>
      </c>
      <c r="O2837">
        <v>0</v>
      </c>
      <c r="P2837" s="3" t="s">
        <v>50</v>
      </c>
      <c r="Q2837">
        <v>50</v>
      </c>
      <c r="R2837">
        <v>0.999</v>
      </c>
      <c r="S2837">
        <v>0</v>
      </c>
    </row>
    <row r="2838" spans="1:19" x14ac:dyDescent="0.2">
      <c r="A2838" s="3" t="s">
        <v>54</v>
      </c>
      <c r="B2838" s="3" t="s">
        <v>55</v>
      </c>
      <c r="C2838">
        <v>9</v>
      </c>
      <c r="D2838">
        <v>13000</v>
      </c>
      <c r="E2838">
        <v>499</v>
      </c>
      <c r="F2838">
        <v>1</v>
      </c>
      <c r="G2838">
        <v>13000</v>
      </c>
      <c r="H2838">
        <v>1.4127865999999999E-2</v>
      </c>
      <c r="I2838">
        <v>12714</v>
      </c>
      <c r="J2838">
        <v>3782</v>
      </c>
      <c r="K2838">
        <v>8932</v>
      </c>
      <c r="L2838">
        <v>500</v>
      </c>
      <c r="M2838">
        <v>499</v>
      </c>
      <c r="N2838">
        <v>1</v>
      </c>
      <c r="O2838">
        <v>286</v>
      </c>
      <c r="P2838" s="3" t="s">
        <v>52</v>
      </c>
      <c r="Q2838">
        <v>50</v>
      </c>
      <c r="R2838">
        <v>0.999</v>
      </c>
      <c r="S2838">
        <v>1</v>
      </c>
    </row>
    <row r="2839" spans="1:19" x14ac:dyDescent="0.2">
      <c r="A2839" s="3" t="s">
        <v>54</v>
      </c>
      <c r="B2839" s="3" t="s">
        <v>55</v>
      </c>
      <c r="C2839">
        <v>45</v>
      </c>
      <c r="D2839">
        <v>12000</v>
      </c>
      <c r="E2839">
        <v>499</v>
      </c>
      <c r="F2839">
        <v>1</v>
      </c>
      <c r="G2839">
        <v>12000</v>
      </c>
      <c r="H2839">
        <v>1.4126401E-2</v>
      </c>
      <c r="I2839">
        <v>12000</v>
      </c>
      <c r="J2839">
        <v>3666</v>
      </c>
      <c r="K2839">
        <v>8334</v>
      </c>
      <c r="L2839">
        <v>500</v>
      </c>
      <c r="M2839">
        <v>499</v>
      </c>
      <c r="N2839">
        <v>1</v>
      </c>
      <c r="O2839">
        <v>0</v>
      </c>
      <c r="P2839" s="3" t="s">
        <v>50</v>
      </c>
      <c r="Q2839">
        <v>50</v>
      </c>
      <c r="R2839">
        <v>0.999</v>
      </c>
      <c r="S2839">
        <v>1</v>
      </c>
    </row>
    <row r="2840" spans="1:19" x14ac:dyDescent="0.2">
      <c r="A2840" s="3" t="s">
        <v>54</v>
      </c>
      <c r="B2840" s="3" t="s">
        <v>55</v>
      </c>
      <c r="C2840">
        <v>19</v>
      </c>
      <c r="D2840">
        <v>11000</v>
      </c>
      <c r="E2840">
        <v>499</v>
      </c>
      <c r="F2840">
        <v>1</v>
      </c>
      <c r="G2840">
        <v>11000</v>
      </c>
      <c r="H2840">
        <v>1.4126117000000001E-2</v>
      </c>
      <c r="I2840">
        <v>11000</v>
      </c>
      <c r="J2840">
        <v>3657</v>
      </c>
      <c r="K2840">
        <v>7343</v>
      </c>
      <c r="L2840">
        <v>500</v>
      </c>
      <c r="M2840">
        <v>499</v>
      </c>
      <c r="N2840">
        <v>1</v>
      </c>
      <c r="O2840">
        <v>0</v>
      </c>
      <c r="P2840" s="3" t="s">
        <v>50</v>
      </c>
      <c r="Q2840">
        <v>50</v>
      </c>
      <c r="R2840">
        <v>0.999</v>
      </c>
      <c r="S2840">
        <v>1</v>
      </c>
    </row>
    <row r="2841" spans="1:19" x14ac:dyDescent="0.2">
      <c r="A2841" s="3" t="s">
        <v>54</v>
      </c>
      <c r="B2841" s="3" t="s">
        <v>55</v>
      </c>
      <c r="C2841">
        <v>6</v>
      </c>
      <c r="D2841">
        <v>10000</v>
      </c>
      <c r="E2841">
        <v>499</v>
      </c>
      <c r="F2841">
        <v>1</v>
      </c>
      <c r="G2841">
        <v>10000</v>
      </c>
      <c r="H2841">
        <v>1.4124998999999999E-2</v>
      </c>
      <c r="I2841">
        <v>10000</v>
      </c>
      <c r="J2841">
        <v>3573</v>
      </c>
      <c r="K2841">
        <v>6427</v>
      </c>
      <c r="L2841">
        <v>500</v>
      </c>
      <c r="M2841">
        <v>499</v>
      </c>
      <c r="N2841">
        <v>1</v>
      </c>
      <c r="O2841">
        <v>0</v>
      </c>
      <c r="P2841" s="3" t="s">
        <v>50</v>
      </c>
      <c r="Q2841">
        <v>50</v>
      </c>
      <c r="R2841">
        <v>0.999</v>
      </c>
      <c r="S2841">
        <v>1</v>
      </c>
    </row>
    <row r="2842" spans="1:19" x14ac:dyDescent="0.2">
      <c r="A2842" s="3" t="s">
        <v>54</v>
      </c>
      <c r="B2842" s="3" t="s">
        <v>55</v>
      </c>
      <c r="C2842">
        <v>34</v>
      </c>
      <c r="D2842">
        <v>11000</v>
      </c>
      <c r="E2842">
        <v>499</v>
      </c>
      <c r="F2842">
        <v>1</v>
      </c>
      <c r="G2842">
        <v>44062.122210792702</v>
      </c>
      <c r="H2842">
        <v>1.4119095E-2</v>
      </c>
      <c r="I2842">
        <v>11000</v>
      </c>
      <c r="J2842">
        <v>3673</v>
      </c>
      <c r="K2842">
        <v>7327</v>
      </c>
      <c r="L2842">
        <v>500</v>
      </c>
      <c r="M2842">
        <v>499</v>
      </c>
      <c r="N2842">
        <v>1</v>
      </c>
      <c r="O2842">
        <v>0</v>
      </c>
      <c r="P2842" s="3" t="s">
        <v>50</v>
      </c>
      <c r="Q2842">
        <v>50</v>
      </c>
      <c r="R2842">
        <v>0.999</v>
      </c>
      <c r="S2842">
        <v>0</v>
      </c>
    </row>
    <row r="2843" spans="1:19" x14ac:dyDescent="0.2">
      <c r="A2843" s="3" t="s">
        <v>54</v>
      </c>
      <c r="B2843" s="3" t="s">
        <v>55</v>
      </c>
      <c r="C2843">
        <v>3</v>
      </c>
      <c r="D2843">
        <v>11000</v>
      </c>
      <c r="E2843">
        <v>499</v>
      </c>
      <c r="F2843">
        <v>1</v>
      </c>
      <c r="G2843">
        <v>44062.122210792702</v>
      </c>
      <c r="H2843">
        <v>1.4118986E-2</v>
      </c>
      <c r="I2843">
        <v>11000</v>
      </c>
      <c r="J2843">
        <v>3609</v>
      </c>
      <c r="K2843">
        <v>7391</v>
      </c>
      <c r="L2843">
        <v>500</v>
      </c>
      <c r="M2843">
        <v>499</v>
      </c>
      <c r="N2843">
        <v>1</v>
      </c>
      <c r="O2843">
        <v>0</v>
      </c>
      <c r="P2843" s="3" t="s">
        <v>50</v>
      </c>
      <c r="Q2843">
        <v>50</v>
      </c>
      <c r="R2843">
        <v>0.999</v>
      </c>
      <c r="S2843">
        <v>0</v>
      </c>
    </row>
    <row r="2844" spans="1:19" x14ac:dyDescent="0.2">
      <c r="A2844" s="3" t="s">
        <v>54</v>
      </c>
      <c r="B2844" s="3" t="s">
        <v>55</v>
      </c>
      <c r="C2844">
        <v>30</v>
      </c>
      <c r="D2844">
        <v>10000</v>
      </c>
      <c r="E2844">
        <v>499</v>
      </c>
      <c r="F2844">
        <v>1</v>
      </c>
      <c r="G2844">
        <v>10000</v>
      </c>
      <c r="H2844">
        <v>1.4117344E-2</v>
      </c>
      <c r="I2844">
        <v>10000</v>
      </c>
      <c r="J2844">
        <v>3559</v>
      </c>
      <c r="K2844">
        <v>6441</v>
      </c>
      <c r="L2844">
        <v>500</v>
      </c>
      <c r="M2844">
        <v>499</v>
      </c>
      <c r="N2844">
        <v>1</v>
      </c>
      <c r="O2844">
        <v>0</v>
      </c>
      <c r="P2844" s="3" t="s">
        <v>50</v>
      </c>
      <c r="Q2844">
        <v>50</v>
      </c>
      <c r="R2844">
        <v>0.999</v>
      </c>
      <c r="S2844">
        <v>1</v>
      </c>
    </row>
    <row r="2845" spans="1:19" x14ac:dyDescent="0.2">
      <c r="A2845" s="3" t="s">
        <v>54</v>
      </c>
      <c r="B2845" s="3" t="s">
        <v>55</v>
      </c>
      <c r="C2845">
        <v>45</v>
      </c>
      <c r="D2845">
        <v>10000</v>
      </c>
      <c r="E2845">
        <v>499</v>
      </c>
      <c r="F2845">
        <v>1</v>
      </c>
      <c r="G2845">
        <v>39482.677260513999</v>
      </c>
      <c r="H2845">
        <v>1.4114935E-2</v>
      </c>
      <c r="I2845">
        <v>10000</v>
      </c>
      <c r="J2845">
        <v>3567</v>
      </c>
      <c r="K2845">
        <v>6433</v>
      </c>
      <c r="L2845">
        <v>500</v>
      </c>
      <c r="M2845">
        <v>499</v>
      </c>
      <c r="N2845">
        <v>1</v>
      </c>
      <c r="O2845">
        <v>0</v>
      </c>
      <c r="P2845" s="3" t="s">
        <v>50</v>
      </c>
      <c r="Q2845">
        <v>50</v>
      </c>
      <c r="R2845">
        <v>0.999</v>
      </c>
      <c r="S2845">
        <v>0</v>
      </c>
    </row>
    <row r="2846" spans="1:19" x14ac:dyDescent="0.2">
      <c r="A2846" s="3" t="s">
        <v>54</v>
      </c>
      <c r="B2846" s="3" t="s">
        <v>55</v>
      </c>
      <c r="C2846">
        <v>32</v>
      </c>
      <c r="D2846">
        <v>12000</v>
      </c>
      <c r="E2846">
        <v>499</v>
      </c>
      <c r="F2846">
        <v>1</v>
      </c>
      <c r="G2846">
        <v>50533.323552418398</v>
      </c>
      <c r="H2846">
        <v>1.4113933E-2</v>
      </c>
      <c r="I2846">
        <v>11999</v>
      </c>
      <c r="J2846">
        <v>3682</v>
      </c>
      <c r="K2846">
        <v>8317</v>
      </c>
      <c r="L2846">
        <v>500</v>
      </c>
      <c r="M2846">
        <v>499</v>
      </c>
      <c r="N2846">
        <v>1</v>
      </c>
      <c r="O2846">
        <v>4.4953684565999996</v>
      </c>
      <c r="P2846" s="3" t="s">
        <v>50</v>
      </c>
      <c r="Q2846">
        <v>50</v>
      </c>
      <c r="R2846">
        <v>0.999</v>
      </c>
      <c r="S2846">
        <v>0</v>
      </c>
    </row>
    <row r="2847" spans="1:19" x14ac:dyDescent="0.2">
      <c r="A2847" s="3" t="s">
        <v>54</v>
      </c>
      <c r="B2847" s="3" t="s">
        <v>55</v>
      </c>
      <c r="C2847">
        <v>18</v>
      </c>
      <c r="D2847">
        <v>11000</v>
      </c>
      <c r="E2847">
        <v>499</v>
      </c>
      <c r="F2847">
        <v>1</v>
      </c>
      <c r="G2847">
        <v>44062.122210792702</v>
      </c>
      <c r="H2847">
        <v>1.4109487E-2</v>
      </c>
      <c r="I2847">
        <v>11000</v>
      </c>
      <c r="J2847">
        <v>3657</v>
      </c>
      <c r="K2847">
        <v>7343</v>
      </c>
      <c r="L2847">
        <v>500</v>
      </c>
      <c r="M2847">
        <v>499</v>
      </c>
      <c r="N2847">
        <v>1</v>
      </c>
      <c r="O2847">
        <v>0</v>
      </c>
      <c r="P2847" s="3" t="s">
        <v>50</v>
      </c>
      <c r="Q2847">
        <v>50</v>
      </c>
      <c r="R2847">
        <v>0.999</v>
      </c>
      <c r="S2847">
        <v>0</v>
      </c>
    </row>
    <row r="2848" spans="1:19" x14ac:dyDescent="0.2">
      <c r="A2848" s="3" t="s">
        <v>54</v>
      </c>
      <c r="B2848" s="3" t="s">
        <v>55</v>
      </c>
      <c r="C2848">
        <v>4</v>
      </c>
      <c r="D2848">
        <v>12000</v>
      </c>
      <c r="E2848">
        <v>499</v>
      </c>
      <c r="F2848">
        <v>1</v>
      </c>
      <c r="G2848">
        <v>50533.323552418398</v>
      </c>
      <c r="H2848">
        <v>1.4101074E-2</v>
      </c>
      <c r="I2848">
        <v>11999</v>
      </c>
      <c r="J2848">
        <v>3696</v>
      </c>
      <c r="K2848">
        <v>8303</v>
      </c>
      <c r="L2848">
        <v>500</v>
      </c>
      <c r="M2848">
        <v>499</v>
      </c>
      <c r="N2848">
        <v>1</v>
      </c>
      <c r="O2848">
        <v>2.3024193145999998</v>
      </c>
      <c r="P2848" s="3" t="s">
        <v>50</v>
      </c>
      <c r="Q2848">
        <v>50</v>
      </c>
      <c r="R2848">
        <v>0.999</v>
      </c>
      <c r="S2848">
        <v>0</v>
      </c>
    </row>
    <row r="2849" spans="1:19" x14ac:dyDescent="0.2">
      <c r="A2849" s="3" t="s">
        <v>54</v>
      </c>
      <c r="B2849" s="3" t="s">
        <v>55</v>
      </c>
      <c r="C2849">
        <v>35</v>
      </c>
      <c r="D2849">
        <v>10000</v>
      </c>
      <c r="E2849">
        <v>499</v>
      </c>
      <c r="F2849">
        <v>1</v>
      </c>
      <c r="G2849">
        <v>39482.677260513999</v>
      </c>
      <c r="H2849">
        <v>1.4099293000000001E-2</v>
      </c>
      <c r="I2849">
        <v>10000</v>
      </c>
      <c r="J2849">
        <v>3568</v>
      </c>
      <c r="K2849">
        <v>6432</v>
      </c>
      <c r="L2849">
        <v>500</v>
      </c>
      <c r="M2849">
        <v>499</v>
      </c>
      <c r="N2849">
        <v>1</v>
      </c>
      <c r="O2849">
        <v>0</v>
      </c>
      <c r="P2849" s="3" t="s">
        <v>50</v>
      </c>
      <c r="Q2849">
        <v>50</v>
      </c>
      <c r="R2849">
        <v>0.999</v>
      </c>
      <c r="S2849">
        <v>0</v>
      </c>
    </row>
    <row r="2850" spans="1:19" x14ac:dyDescent="0.2">
      <c r="A2850" s="3" t="s">
        <v>54</v>
      </c>
      <c r="B2850" s="3" t="s">
        <v>55</v>
      </c>
      <c r="C2850">
        <v>5</v>
      </c>
      <c r="D2850">
        <v>10000</v>
      </c>
      <c r="E2850">
        <v>499</v>
      </c>
      <c r="F2850">
        <v>1</v>
      </c>
      <c r="G2850">
        <v>39482.677260513999</v>
      </c>
      <c r="H2850">
        <v>1.4098634000000001E-2</v>
      </c>
      <c r="I2850">
        <v>10000</v>
      </c>
      <c r="J2850">
        <v>3587</v>
      </c>
      <c r="K2850">
        <v>6413</v>
      </c>
      <c r="L2850">
        <v>500</v>
      </c>
      <c r="M2850">
        <v>499</v>
      </c>
      <c r="N2850">
        <v>1</v>
      </c>
      <c r="O2850">
        <v>0</v>
      </c>
      <c r="P2850" s="3" t="s">
        <v>50</v>
      </c>
      <c r="Q2850">
        <v>50</v>
      </c>
      <c r="R2850">
        <v>0.999</v>
      </c>
      <c r="S2850">
        <v>0</v>
      </c>
    </row>
    <row r="2851" spans="1:19" x14ac:dyDescent="0.2">
      <c r="A2851" s="3" t="s">
        <v>54</v>
      </c>
      <c r="B2851" s="3" t="s">
        <v>55</v>
      </c>
      <c r="C2851">
        <v>3</v>
      </c>
      <c r="D2851">
        <v>11000</v>
      </c>
      <c r="E2851">
        <v>499</v>
      </c>
      <c r="F2851">
        <v>1</v>
      </c>
      <c r="G2851">
        <v>11000</v>
      </c>
      <c r="H2851">
        <v>1.4097892000000001E-2</v>
      </c>
      <c r="I2851">
        <v>11000</v>
      </c>
      <c r="J2851">
        <v>3667</v>
      </c>
      <c r="K2851">
        <v>7333</v>
      </c>
      <c r="L2851">
        <v>500</v>
      </c>
      <c r="M2851">
        <v>499</v>
      </c>
      <c r="N2851">
        <v>1</v>
      </c>
      <c r="O2851">
        <v>0</v>
      </c>
      <c r="P2851" s="3" t="s">
        <v>50</v>
      </c>
      <c r="Q2851">
        <v>50</v>
      </c>
      <c r="R2851">
        <v>0.999</v>
      </c>
      <c r="S2851">
        <v>1</v>
      </c>
    </row>
    <row r="2852" spans="1:19" x14ac:dyDescent="0.2">
      <c r="A2852" s="3" t="s">
        <v>54</v>
      </c>
      <c r="B2852" s="3" t="s">
        <v>55</v>
      </c>
      <c r="C2852">
        <v>30</v>
      </c>
      <c r="D2852">
        <v>12000</v>
      </c>
      <c r="E2852">
        <v>499</v>
      </c>
      <c r="F2852">
        <v>1</v>
      </c>
      <c r="G2852">
        <v>12000</v>
      </c>
      <c r="H2852">
        <v>1.4097434000000001E-2</v>
      </c>
      <c r="I2852">
        <v>12000</v>
      </c>
      <c r="J2852">
        <v>3709</v>
      </c>
      <c r="K2852">
        <v>8291</v>
      </c>
      <c r="L2852">
        <v>500</v>
      </c>
      <c r="M2852">
        <v>499</v>
      </c>
      <c r="N2852">
        <v>1</v>
      </c>
      <c r="O2852">
        <v>0</v>
      </c>
      <c r="P2852" s="3" t="s">
        <v>50</v>
      </c>
      <c r="Q2852">
        <v>50</v>
      </c>
      <c r="R2852">
        <v>0.999</v>
      </c>
      <c r="S2852">
        <v>1</v>
      </c>
    </row>
    <row r="2853" spans="1:19" x14ac:dyDescent="0.2">
      <c r="A2853" s="3" t="s">
        <v>54</v>
      </c>
      <c r="B2853" s="3" t="s">
        <v>55</v>
      </c>
      <c r="C2853">
        <v>23</v>
      </c>
      <c r="D2853">
        <v>11000</v>
      </c>
      <c r="E2853">
        <v>499</v>
      </c>
      <c r="F2853">
        <v>1</v>
      </c>
      <c r="G2853">
        <v>11000</v>
      </c>
      <c r="H2853">
        <v>1.4089496E-2</v>
      </c>
      <c r="I2853">
        <v>11000</v>
      </c>
      <c r="J2853">
        <v>2786</v>
      </c>
      <c r="K2853">
        <v>8214</v>
      </c>
      <c r="L2853">
        <v>500</v>
      </c>
      <c r="M2853">
        <v>499</v>
      </c>
      <c r="N2853">
        <v>1</v>
      </c>
      <c r="O2853">
        <v>0</v>
      </c>
      <c r="P2853" s="3" t="s">
        <v>52</v>
      </c>
      <c r="Q2853">
        <v>50</v>
      </c>
      <c r="R2853">
        <v>0.999</v>
      </c>
      <c r="S2853">
        <v>1</v>
      </c>
    </row>
    <row r="2854" spans="1:19" x14ac:dyDescent="0.2">
      <c r="A2854" s="3" t="s">
        <v>54</v>
      </c>
      <c r="B2854" s="3" t="s">
        <v>55</v>
      </c>
      <c r="C2854">
        <v>11</v>
      </c>
      <c r="D2854">
        <v>12000</v>
      </c>
      <c r="E2854">
        <v>499</v>
      </c>
      <c r="F2854">
        <v>1</v>
      </c>
      <c r="G2854">
        <v>50533.323552418398</v>
      </c>
      <c r="H2854">
        <v>1.4084252E-2</v>
      </c>
      <c r="I2854">
        <v>12000</v>
      </c>
      <c r="J2854">
        <v>3678</v>
      </c>
      <c r="K2854">
        <v>8322</v>
      </c>
      <c r="L2854">
        <v>500</v>
      </c>
      <c r="M2854">
        <v>499</v>
      </c>
      <c r="N2854">
        <v>1</v>
      </c>
      <c r="O2854">
        <v>0</v>
      </c>
      <c r="P2854" s="3" t="s">
        <v>50</v>
      </c>
      <c r="Q2854">
        <v>50</v>
      </c>
      <c r="R2854">
        <v>0.999</v>
      </c>
      <c r="S2854">
        <v>0</v>
      </c>
    </row>
    <row r="2855" spans="1:19" x14ac:dyDescent="0.2">
      <c r="A2855" s="3" t="s">
        <v>54</v>
      </c>
      <c r="B2855" s="3" t="s">
        <v>55</v>
      </c>
      <c r="C2855">
        <v>22</v>
      </c>
      <c r="D2855">
        <v>12000</v>
      </c>
      <c r="E2855">
        <v>499</v>
      </c>
      <c r="F2855">
        <v>1</v>
      </c>
      <c r="G2855">
        <v>12000</v>
      </c>
      <c r="H2855">
        <v>1.4082749E-2</v>
      </c>
      <c r="I2855">
        <v>12000</v>
      </c>
      <c r="J2855">
        <v>3705</v>
      </c>
      <c r="K2855">
        <v>8295</v>
      </c>
      <c r="L2855">
        <v>500</v>
      </c>
      <c r="M2855">
        <v>499</v>
      </c>
      <c r="N2855">
        <v>1</v>
      </c>
      <c r="O2855">
        <v>0</v>
      </c>
      <c r="P2855" s="3" t="s">
        <v>50</v>
      </c>
      <c r="Q2855">
        <v>50</v>
      </c>
      <c r="R2855">
        <v>0.999</v>
      </c>
      <c r="S2855">
        <v>1</v>
      </c>
    </row>
    <row r="2856" spans="1:19" x14ac:dyDescent="0.2">
      <c r="A2856" s="3" t="s">
        <v>54</v>
      </c>
      <c r="B2856" s="3" t="s">
        <v>55</v>
      </c>
      <c r="C2856">
        <v>13</v>
      </c>
      <c r="D2856">
        <v>12000</v>
      </c>
      <c r="E2856">
        <v>499</v>
      </c>
      <c r="F2856">
        <v>1</v>
      </c>
      <c r="G2856">
        <v>12000</v>
      </c>
      <c r="H2856">
        <v>1.4081915E-2</v>
      </c>
      <c r="I2856">
        <v>12000</v>
      </c>
      <c r="J2856">
        <v>3693</v>
      </c>
      <c r="K2856">
        <v>8307</v>
      </c>
      <c r="L2856">
        <v>500</v>
      </c>
      <c r="M2856">
        <v>499</v>
      </c>
      <c r="N2856">
        <v>1</v>
      </c>
      <c r="O2856">
        <v>0</v>
      </c>
      <c r="P2856" s="3" t="s">
        <v>50</v>
      </c>
      <c r="Q2856">
        <v>50</v>
      </c>
      <c r="R2856">
        <v>0.999</v>
      </c>
      <c r="S2856">
        <v>1</v>
      </c>
    </row>
    <row r="2857" spans="1:19" x14ac:dyDescent="0.2">
      <c r="A2857" s="3" t="s">
        <v>54</v>
      </c>
      <c r="B2857" s="3" t="s">
        <v>55</v>
      </c>
      <c r="C2857">
        <v>28</v>
      </c>
      <c r="D2857">
        <v>13000</v>
      </c>
      <c r="E2857">
        <v>499</v>
      </c>
      <c r="F2857">
        <v>1</v>
      </c>
      <c r="G2857">
        <v>13000</v>
      </c>
      <c r="H2857">
        <v>1.4079688E-2</v>
      </c>
      <c r="I2857">
        <v>12713</v>
      </c>
      <c r="J2857">
        <v>3815</v>
      </c>
      <c r="K2857">
        <v>8898</v>
      </c>
      <c r="L2857">
        <v>500</v>
      </c>
      <c r="M2857">
        <v>499</v>
      </c>
      <c r="N2857">
        <v>1</v>
      </c>
      <c r="O2857">
        <v>287</v>
      </c>
      <c r="P2857" s="3" t="s">
        <v>52</v>
      </c>
      <c r="Q2857">
        <v>50</v>
      </c>
      <c r="R2857">
        <v>0.999</v>
      </c>
      <c r="S2857">
        <v>1</v>
      </c>
    </row>
    <row r="2858" spans="1:19" x14ac:dyDescent="0.2">
      <c r="A2858" s="3" t="s">
        <v>54</v>
      </c>
      <c r="B2858" s="3" t="s">
        <v>55</v>
      </c>
      <c r="C2858">
        <v>26</v>
      </c>
      <c r="D2858">
        <v>11000</v>
      </c>
      <c r="E2858">
        <v>499</v>
      </c>
      <c r="F2858">
        <v>1</v>
      </c>
      <c r="G2858">
        <v>44062.122210792702</v>
      </c>
      <c r="H2858">
        <v>1.4075635E-2</v>
      </c>
      <c r="I2858">
        <v>11000</v>
      </c>
      <c r="J2858">
        <v>3624</v>
      </c>
      <c r="K2858">
        <v>7376</v>
      </c>
      <c r="L2858">
        <v>500</v>
      </c>
      <c r="M2858">
        <v>499</v>
      </c>
      <c r="N2858">
        <v>1</v>
      </c>
      <c r="O2858">
        <v>0</v>
      </c>
      <c r="P2858" s="3" t="s">
        <v>50</v>
      </c>
      <c r="Q2858">
        <v>50</v>
      </c>
      <c r="R2858">
        <v>0.999</v>
      </c>
      <c r="S2858">
        <v>0</v>
      </c>
    </row>
    <row r="2859" spans="1:19" x14ac:dyDescent="0.2">
      <c r="A2859" s="3" t="s">
        <v>54</v>
      </c>
      <c r="B2859" s="3" t="s">
        <v>55</v>
      </c>
      <c r="C2859">
        <v>36</v>
      </c>
      <c r="D2859">
        <v>13000</v>
      </c>
      <c r="E2859">
        <v>499</v>
      </c>
      <c r="F2859">
        <v>1</v>
      </c>
      <c r="G2859">
        <v>13000</v>
      </c>
      <c r="H2859">
        <v>1.4074134E-2</v>
      </c>
      <c r="I2859">
        <v>12720</v>
      </c>
      <c r="J2859">
        <v>3793</v>
      </c>
      <c r="K2859">
        <v>8927</v>
      </c>
      <c r="L2859">
        <v>500</v>
      </c>
      <c r="M2859">
        <v>499</v>
      </c>
      <c r="N2859">
        <v>1</v>
      </c>
      <c r="O2859">
        <v>280</v>
      </c>
      <c r="P2859" s="3" t="s">
        <v>52</v>
      </c>
      <c r="Q2859">
        <v>50</v>
      </c>
      <c r="R2859">
        <v>0.999</v>
      </c>
      <c r="S2859">
        <v>1</v>
      </c>
    </row>
    <row r="2860" spans="1:19" x14ac:dyDescent="0.2">
      <c r="A2860" s="3" t="s">
        <v>54</v>
      </c>
      <c r="B2860" s="3" t="s">
        <v>55</v>
      </c>
      <c r="C2860">
        <v>28</v>
      </c>
      <c r="D2860">
        <v>11000</v>
      </c>
      <c r="E2860">
        <v>499</v>
      </c>
      <c r="F2860">
        <v>1</v>
      </c>
      <c r="G2860">
        <v>44062.122210792702</v>
      </c>
      <c r="H2860">
        <v>1.4072161E-2</v>
      </c>
      <c r="I2860">
        <v>11000</v>
      </c>
      <c r="J2860">
        <v>3650</v>
      </c>
      <c r="K2860">
        <v>7350</v>
      </c>
      <c r="L2860">
        <v>500</v>
      </c>
      <c r="M2860">
        <v>499</v>
      </c>
      <c r="N2860">
        <v>1</v>
      </c>
      <c r="O2860">
        <v>0</v>
      </c>
      <c r="P2860" s="3" t="s">
        <v>50</v>
      </c>
      <c r="Q2860">
        <v>50</v>
      </c>
      <c r="R2860">
        <v>0.999</v>
      </c>
      <c r="S2860">
        <v>0</v>
      </c>
    </row>
    <row r="2861" spans="1:19" x14ac:dyDescent="0.2">
      <c r="A2861" s="3" t="s">
        <v>54</v>
      </c>
      <c r="B2861" s="3" t="s">
        <v>55</v>
      </c>
      <c r="C2861">
        <v>12</v>
      </c>
      <c r="D2861">
        <v>11000</v>
      </c>
      <c r="E2861">
        <v>499</v>
      </c>
      <c r="F2861">
        <v>1</v>
      </c>
      <c r="G2861">
        <v>44062.122210792702</v>
      </c>
      <c r="H2861">
        <v>1.4071969E-2</v>
      </c>
      <c r="I2861">
        <v>11000</v>
      </c>
      <c r="J2861">
        <v>3651</v>
      </c>
      <c r="K2861">
        <v>7349</v>
      </c>
      <c r="L2861">
        <v>500</v>
      </c>
      <c r="M2861">
        <v>499</v>
      </c>
      <c r="N2861">
        <v>1</v>
      </c>
      <c r="O2861">
        <v>0</v>
      </c>
      <c r="P2861" s="3" t="s">
        <v>50</v>
      </c>
      <c r="Q2861">
        <v>50</v>
      </c>
      <c r="R2861">
        <v>0.999</v>
      </c>
      <c r="S2861">
        <v>0</v>
      </c>
    </row>
    <row r="2862" spans="1:19" x14ac:dyDescent="0.2">
      <c r="A2862" s="3" t="s">
        <v>54</v>
      </c>
      <c r="B2862" s="3" t="s">
        <v>55</v>
      </c>
      <c r="C2862">
        <v>23</v>
      </c>
      <c r="D2862">
        <v>13000</v>
      </c>
      <c r="E2862">
        <v>499</v>
      </c>
      <c r="F2862">
        <v>1</v>
      </c>
      <c r="G2862">
        <v>13000</v>
      </c>
      <c r="H2862">
        <v>1.4067057000000001E-2</v>
      </c>
      <c r="I2862">
        <v>12712</v>
      </c>
      <c r="J2862">
        <v>3786</v>
      </c>
      <c r="K2862">
        <v>8926</v>
      </c>
      <c r="L2862">
        <v>500</v>
      </c>
      <c r="M2862">
        <v>499</v>
      </c>
      <c r="N2862">
        <v>1</v>
      </c>
      <c r="O2862">
        <v>288</v>
      </c>
      <c r="P2862" s="3" t="s">
        <v>52</v>
      </c>
      <c r="Q2862">
        <v>50</v>
      </c>
      <c r="R2862">
        <v>0.999</v>
      </c>
      <c r="S2862">
        <v>1</v>
      </c>
    </row>
    <row r="2863" spans="1:19" x14ac:dyDescent="0.2">
      <c r="A2863" s="3" t="s">
        <v>54</v>
      </c>
      <c r="B2863" s="3" t="s">
        <v>55</v>
      </c>
      <c r="C2863">
        <v>31</v>
      </c>
      <c r="D2863">
        <v>10000</v>
      </c>
      <c r="E2863">
        <v>499</v>
      </c>
      <c r="F2863">
        <v>1</v>
      </c>
      <c r="G2863">
        <v>39482.677260513999</v>
      </c>
      <c r="H2863">
        <v>1.4067046999999999E-2</v>
      </c>
      <c r="I2863">
        <v>10000</v>
      </c>
      <c r="J2863">
        <v>3538</v>
      </c>
      <c r="K2863">
        <v>6462</v>
      </c>
      <c r="L2863">
        <v>500</v>
      </c>
      <c r="M2863">
        <v>499</v>
      </c>
      <c r="N2863">
        <v>1</v>
      </c>
      <c r="O2863">
        <v>0</v>
      </c>
      <c r="P2863" s="3" t="s">
        <v>50</v>
      </c>
      <c r="Q2863">
        <v>50</v>
      </c>
      <c r="R2863">
        <v>0.999</v>
      </c>
      <c r="S2863">
        <v>0</v>
      </c>
    </row>
    <row r="2864" spans="1:19" x14ac:dyDescent="0.2">
      <c r="A2864" s="3" t="s">
        <v>54</v>
      </c>
      <c r="B2864" s="3" t="s">
        <v>55</v>
      </c>
      <c r="C2864">
        <v>25</v>
      </c>
      <c r="D2864">
        <v>12000</v>
      </c>
      <c r="E2864">
        <v>499</v>
      </c>
      <c r="F2864">
        <v>1</v>
      </c>
      <c r="G2864">
        <v>12000</v>
      </c>
      <c r="H2864">
        <v>1.4063691999999999E-2</v>
      </c>
      <c r="I2864">
        <v>11999</v>
      </c>
      <c r="J2864">
        <v>3691</v>
      </c>
      <c r="K2864">
        <v>8308</v>
      </c>
      <c r="L2864">
        <v>500</v>
      </c>
      <c r="M2864">
        <v>499</v>
      </c>
      <c r="N2864">
        <v>1</v>
      </c>
      <c r="O2864">
        <v>1</v>
      </c>
      <c r="P2864" s="3" t="s">
        <v>50</v>
      </c>
      <c r="Q2864">
        <v>50</v>
      </c>
      <c r="R2864">
        <v>0.999</v>
      </c>
      <c r="S2864">
        <v>1</v>
      </c>
    </row>
    <row r="2865" spans="1:19" x14ac:dyDescent="0.2">
      <c r="A2865" s="3" t="s">
        <v>54</v>
      </c>
      <c r="B2865" s="3" t="s">
        <v>55</v>
      </c>
      <c r="C2865">
        <v>34</v>
      </c>
      <c r="D2865">
        <v>11000</v>
      </c>
      <c r="E2865">
        <v>499</v>
      </c>
      <c r="F2865">
        <v>1</v>
      </c>
      <c r="G2865">
        <v>11000</v>
      </c>
      <c r="H2865">
        <v>1.4063582E-2</v>
      </c>
      <c r="I2865">
        <v>11000</v>
      </c>
      <c r="J2865">
        <v>3633</v>
      </c>
      <c r="K2865">
        <v>7367</v>
      </c>
      <c r="L2865">
        <v>500</v>
      </c>
      <c r="M2865">
        <v>499</v>
      </c>
      <c r="N2865">
        <v>1</v>
      </c>
      <c r="O2865">
        <v>0</v>
      </c>
      <c r="P2865" s="3" t="s">
        <v>50</v>
      </c>
      <c r="Q2865">
        <v>50</v>
      </c>
      <c r="R2865">
        <v>0.999</v>
      </c>
      <c r="S2865">
        <v>1</v>
      </c>
    </row>
    <row r="2866" spans="1:19" x14ac:dyDescent="0.2">
      <c r="A2866" s="3" t="s">
        <v>54</v>
      </c>
      <c r="B2866" s="3" t="s">
        <v>55</v>
      </c>
      <c r="C2866">
        <v>44</v>
      </c>
      <c r="D2866">
        <v>11000</v>
      </c>
      <c r="E2866">
        <v>499</v>
      </c>
      <c r="F2866">
        <v>1</v>
      </c>
      <c r="G2866">
        <v>44062.122210792702</v>
      </c>
      <c r="H2866">
        <v>1.4061482E-2</v>
      </c>
      <c r="I2866">
        <v>11000</v>
      </c>
      <c r="J2866">
        <v>3664</v>
      </c>
      <c r="K2866">
        <v>7336</v>
      </c>
      <c r="L2866">
        <v>500</v>
      </c>
      <c r="M2866">
        <v>499</v>
      </c>
      <c r="N2866">
        <v>1</v>
      </c>
      <c r="O2866">
        <v>0</v>
      </c>
      <c r="P2866" s="3" t="s">
        <v>50</v>
      </c>
      <c r="Q2866">
        <v>50</v>
      </c>
      <c r="R2866">
        <v>0.999</v>
      </c>
      <c r="S2866">
        <v>0</v>
      </c>
    </row>
    <row r="2867" spans="1:19" x14ac:dyDescent="0.2">
      <c r="A2867" s="3" t="s">
        <v>54</v>
      </c>
      <c r="B2867" s="3" t="s">
        <v>55</v>
      </c>
      <c r="C2867">
        <v>38</v>
      </c>
      <c r="D2867">
        <v>11000</v>
      </c>
      <c r="E2867">
        <v>499</v>
      </c>
      <c r="F2867">
        <v>1</v>
      </c>
      <c r="G2867">
        <v>44062.122210792702</v>
      </c>
      <c r="H2867">
        <v>1.4060747E-2</v>
      </c>
      <c r="I2867">
        <v>11000</v>
      </c>
      <c r="J2867">
        <v>3664</v>
      </c>
      <c r="K2867">
        <v>7336</v>
      </c>
      <c r="L2867">
        <v>500</v>
      </c>
      <c r="M2867">
        <v>499</v>
      </c>
      <c r="N2867">
        <v>1</v>
      </c>
      <c r="O2867">
        <v>0</v>
      </c>
      <c r="P2867" s="3" t="s">
        <v>50</v>
      </c>
      <c r="Q2867">
        <v>50</v>
      </c>
      <c r="R2867">
        <v>0.999</v>
      </c>
      <c r="S2867">
        <v>0</v>
      </c>
    </row>
    <row r="2868" spans="1:19" x14ac:dyDescent="0.2">
      <c r="A2868" s="3" t="s">
        <v>54</v>
      </c>
      <c r="B2868" s="3" t="s">
        <v>55</v>
      </c>
      <c r="C2868">
        <v>13</v>
      </c>
      <c r="D2868">
        <v>11000</v>
      </c>
      <c r="E2868">
        <v>499</v>
      </c>
      <c r="F2868">
        <v>1</v>
      </c>
      <c r="G2868">
        <v>44062.122210792702</v>
      </c>
      <c r="H2868">
        <v>1.4059228E-2</v>
      </c>
      <c r="I2868">
        <v>11000</v>
      </c>
      <c r="J2868">
        <v>3654</v>
      </c>
      <c r="K2868">
        <v>7346</v>
      </c>
      <c r="L2868">
        <v>500</v>
      </c>
      <c r="M2868">
        <v>499</v>
      </c>
      <c r="N2868">
        <v>1</v>
      </c>
      <c r="O2868">
        <v>0</v>
      </c>
      <c r="P2868" s="3" t="s">
        <v>50</v>
      </c>
      <c r="Q2868">
        <v>50</v>
      </c>
      <c r="R2868">
        <v>0.999</v>
      </c>
      <c r="S2868">
        <v>0</v>
      </c>
    </row>
    <row r="2869" spans="1:19" x14ac:dyDescent="0.2">
      <c r="A2869" s="3" t="s">
        <v>54</v>
      </c>
      <c r="B2869" s="3" t="s">
        <v>55</v>
      </c>
      <c r="C2869">
        <v>37</v>
      </c>
      <c r="D2869">
        <v>10000</v>
      </c>
      <c r="E2869">
        <v>499</v>
      </c>
      <c r="F2869">
        <v>1</v>
      </c>
      <c r="G2869">
        <v>39482.677260513999</v>
      </c>
      <c r="H2869">
        <v>1.4056816999999999E-2</v>
      </c>
      <c r="I2869">
        <v>10000</v>
      </c>
      <c r="J2869">
        <v>3592</v>
      </c>
      <c r="K2869">
        <v>6408</v>
      </c>
      <c r="L2869">
        <v>500</v>
      </c>
      <c r="M2869">
        <v>499</v>
      </c>
      <c r="N2869">
        <v>1</v>
      </c>
      <c r="O2869">
        <v>0</v>
      </c>
      <c r="P2869" s="3" t="s">
        <v>50</v>
      </c>
      <c r="Q2869">
        <v>50</v>
      </c>
      <c r="R2869">
        <v>0.999</v>
      </c>
      <c r="S2869">
        <v>0</v>
      </c>
    </row>
    <row r="2870" spans="1:19" x14ac:dyDescent="0.2">
      <c r="A2870" s="3" t="s">
        <v>54</v>
      </c>
      <c r="B2870" s="3" t="s">
        <v>55</v>
      </c>
      <c r="C2870">
        <v>30</v>
      </c>
      <c r="D2870">
        <v>12000</v>
      </c>
      <c r="E2870">
        <v>499</v>
      </c>
      <c r="F2870">
        <v>1</v>
      </c>
      <c r="G2870">
        <v>50533.323552418398</v>
      </c>
      <c r="H2870">
        <v>1.4054561E-2</v>
      </c>
      <c r="I2870">
        <v>12000</v>
      </c>
      <c r="J2870">
        <v>3703</v>
      </c>
      <c r="K2870">
        <v>8297</v>
      </c>
      <c r="L2870">
        <v>500</v>
      </c>
      <c r="M2870">
        <v>499</v>
      </c>
      <c r="N2870">
        <v>1</v>
      </c>
      <c r="O2870">
        <v>0</v>
      </c>
      <c r="P2870" s="3" t="s">
        <v>50</v>
      </c>
      <c r="Q2870">
        <v>50</v>
      </c>
      <c r="R2870">
        <v>0.999</v>
      </c>
      <c r="S2870">
        <v>0</v>
      </c>
    </row>
    <row r="2871" spans="1:19" x14ac:dyDescent="0.2">
      <c r="A2871" s="3" t="s">
        <v>54</v>
      </c>
      <c r="B2871" s="3" t="s">
        <v>55</v>
      </c>
      <c r="C2871">
        <v>2</v>
      </c>
      <c r="D2871">
        <v>11000</v>
      </c>
      <c r="E2871">
        <v>499</v>
      </c>
      <c r="F2871">
        <v>1</v>
      </c>
      <c r="G2871">
        <v>44062.122210792702</v>
      </c>
      <c r="H2871">
        <v>1.4045597E-2</v>
      </c>
      <c r="I2871">
        <v>11000</v>
      </c>
      <c r="J2871">
        <v>3625</v>
      </c>
      <c r="K2871">
        <v>7375</v>
      </c>
      <c r="L2871">
        <v>500</v>
      </c>
      <c r="M2871">
        <v>499</v>
      </c>
      <c r="N2871">
        <v>1</v>
      </c>
      <c r="O2871">
        <v>0</v>
      </c>
      <c r="P2871" s="3" t="s">
        <v>50</v>
      </c>
      <c r="Q2871">
        <v>50</v>
      </c>
      <c r="R2871">
        <v>0.999</v>
      </c>
      <c r="S2871">
        <v>0</v>
      </c>
    </row>
    <row r="2872" spans="1:19" x14ac:dyDescent="0.2">
      <c r="A2872" s="3" t="s">
        <v>54</v>
      </c>
      <c r="B2872" s="3" t="s">
        <v>55</v>
      </c>
      <c r="C2872">
        <v>16</v>
      </c>
      <c r="D2872">
        <v>11000</v>
      </c>
      <c r="E2872">
        <v>499</v>
      </c>
      <c r="F2872">
        <v>1</v>
      </c>
      <c r="G2872">
        <v>44062.122210792702</v>
      </c>
      <c r="H2872">
        <v>1.4043231E-2</v>
      </c>
      <c r="I2872">
        <v>11000</v>
      </c>
      <c r="J2872">
        <v>3676</v>
      </c>
      <c r="K2872">
        <v>7324</v>
      </c>
      <c r="L2872">
        <v>500</v>
      </c>
      <c r="M2872">
        <v>499</v>
      </c>
      <c r="N2872">
        <v>1</v>
      </c>
      <c r="O2872">
        <v>0</v>
      </c>
      <c r="P2872" s="3" t="s">
        <v>50</v>
      </c>
      <c r="Q2872">
        <v>50</v>
      </c>
      <c r="R2872">
        <v>0.999</v>
      </c>
      <c r="S2872">
        <v>0</v>
      </c>
    </row>
    <row r="2873" spans="1:19" x14ac:dyDescent="0.2">
      <c r="A2873" s="3" t="s">
        <v>54</v>
      </c>
      <c r="B2873" s="3" t="s">
        <v>55</v>
      </c>
      <c r="C2873">
        <v>30</v>
      </c>
      <c r="D2873">
        <v>11000</v>
      </c>
      <c r="E2873">
        <v>499</v>
      </c>
      <c r="F2873">
        <v>1</v>
      </c>
      <c r="G2873">
        <v>44062.122210792702</v>
      </c>
      <c r="H2873">
        <v>1.4042305E-2</v>
      </c>
      <c r="I2873">
        <v>11000</v>
      </c>
      <c r="J2873">
        <v>3674</v>
      </c>
      <c r="K2873">
        <v>7326</v>
      </c>
      <c r="L2873">
        <v>500</v>
      </c>
      <c r="M2873">
        <v>499</v>
      </c>
      <c r="N2873">
        <v>1</v>
      </c>
      <c r="O2873">
        <v>0</v>
      </c>
      <c r="P2873" s="3" t="s">
        <v>50</v>
      </c>
      <c r="Q2873">
        <v>50</v>
      </c>
      <c r="R2873">
        <v>0.999</v>
      </c>
      <c r="S2873">
        <v>0</v>
      </c>
    </row>
    <row r="2874" spans="1:19" x14ac:dyDescent="0.2">
      <c r="A2874" s="3" t="s">
        <v>54</v>
      </c>
      <c r="B2874" s="3" t="s">
        <v>55</v>
      </c>
      <c r="C2874">
        <v>18</v>
      </c>
      <c r="D2874">
        <v>12000</v>
      </c>
      <c r="E2874">
        <v>499</v>
      </c>
      <c r="F2874">
        <v>1</v>
      </c>
      <c r="G2874">
        <v>50533.323552418398</v>
      </c>
      <c r="H2874">
        <v>1.4035743999999999E-2</v>
      </c>
      <c r="I2874">
        <v>12000</v>
      </c>
      <c r="J2874">
        <v>3706</v>
      </c>
      <c r="K2874">
        <v>8294</v>
      </c>
      <c r="L2874">
        <v>500</v>
      </c>
      <c r="M2874">
        <v>499</v>
      </c>
      <c r="N2874">
        <v>1</v>
      </c>
      <c r="O2874">
        <v>0</v>
      </c>
      <c r="P2874" s="3" t="s">
        <v>50</v>
      </c>
      <c r="Q2874">
        <v>50</v>
      </c>
      <c r="R2874">
        <v>0.999</v>
      </c>
      <c r="S2874">
        <v>0</v>
      </c>
    </row>
    <row r="2875" spans="1:19" x14ac:dyDescent="0.2">
      <c r="A2875" s="3" t="s">
        <v>54</v>
      </c>
      <c r="B2875" s="3" t="s">
        <v>55</v>
      </c>
      <c r="C2875">
        <v>20</v>
      </c>
      <c r="D2875">
        <v>11000</v>
      </c>
      <c r="E2875">
        <v>499</v>
      </c>
      <c r="F2875">
        <v>1</v>
      </c>
      <c r="G2875">
        <v>11000</v>
      </c>
      <c r="H2875">
        <v>1.4031516000000001E-2</v>
      </c>
      <c r="I2875">
        <v>11000</v>
      </c>
      <c r="J2875">
        <v>3650</v>
      </c>
      <c r="K2875">
        <v>7350</v>
      </c>
      <c r="L2875">
        <v>500</v>
      </c>
      <c r="M2875">
        <v>499</v>
      </c>
      <c r="N2875">
        <v>1</v>
      </c>
      <c r="O2875">
        <v>0</v>
      </c>
      <c r="P2875" s="3" t="s">
        <v>50</v>
      </c>
      <c r="Q2875">
        <v>50</v>
      </c>
      <c r="R2875">
        <v>0.999</v>
      </c>
      <c r="S2875">
        <v>1</v>
      </c>
    </row>
    <row r="2876" spans="1:19" x14ac:dyDescent="0.2">
      <c r="A2876" s="3" t="s">
        <v>54</v>
      </c>
      <c r="B2876" s="3" t="s">
        <v>55</v>
      </c>
      <c r="C2876">
        <v>37</v>
      </c>
      <c r="D2876">
        <v>10000</v>
      </c>
      <c r="E2876">
        <v>499</v>
      </c>
      <c r="F2876">
        <v>1</v>
      </c>
      <c r="G2876">
        <v>10000</v>
      </c>
      <c r="H2876">
        <v>1.4029372999999999E-2</v>
      </c>
      <c r="I2876">
        <v>10000</v>
      </c>
      <c r="J2876">
        <v>3581</v>
      </c>
      <c r="K2876">
        <v>6419</v>
      </c>
      <c r="L2876">
        <v>500</v>
      </c>
      <c r="M2876">
        <v>499</v>
      </c>
      <c r="N2876">
        <v>1</v>
      </c>
      <c r="O2876">
        <v>0</v>
      </c>
      <c r="P2876" s="3" t="s">
        <v>50</v>
      </c>
      <c r="Q2876">
        <v>50</v>
      </c>
      <c r="R2876">
        <v>0.999</v>
      </c>
      <c r="S2876">
        <v>1</v>
      </c>
    </row>
    <row r="2877" spans="1:19" x14ac:dyDescent="0.2">
      <c r="A2877" s="3" t="s">
        <v>54</v>
      </c>
      <c r="B2877" s="3" t="s">
        <v>55</v>
      </c>
      <c r="C2877">
        <v>36</v>
      </c>
      <c r="D2877">
        <v>10000</v>
      </c>
      <c r="E2877">
        <v>499</v>
      </c>
      <c r="F2877">
        <v>1</v>
      </c>
      <c r="G2877">
        <v>10000</v>
      </c>
      <c r="H2877">
        <v>1.4029363E-2</v>
      </c>
      <c r="I2877">
        <v>10000</v>
      </c>
      <c r="J2877">
        <v>3586</v>
      </c>
      <c r="K2877">
        <v>6414</v>
      </c>
      <c r="L2877">
        <v>500</v>
      </c>
      <c r="M2877">
        <v>499</v>
      </c>
      <c r="N2877">
        <v>1</v>
      </c>
      <c r="O2877">
        <v>0</v>
      </c>
      <c r="P2877" s="3" t="s">
        <v>50</v>
      </c>
      <c r="Q2877">
        <v>50</v>
      </c>
      <c r="R2877">
        <v>0.999</v>
      </c>
      <c r="S2877">
        <v>1</v>
      </c>
    </row>
    <row r="2878" spans="1:19" x14ac:dyDescent="0.2">
      <c r="A2878" s="3" t="s">
        <v>54</v>
      </c>
      <c r="B2878" s="3" t="s">
        <v>55</v>
      </c>
      <c r="C2878">
        <v>46</v>
      </c>
      <c r="D2878">
        <v>13000</v>
      </c>
      <c r="E2878">
        <v>499</v>
      </c>
      <c r="F2878">
        <v>1</v>
      </c>
      <c r="G2878">
        <v>13000</v>
      </c>
      <c r="H2878">
        <v>1.4026988000000001E-2</v>
      </c>
      <c r="I2878">
        <v>12724</v>
      </c>
      <c r="J2878">
        <v>3821</v>
      </c>
      <c r="K2878">
        <v>8903</v>
      </c>
      <c r="L2878">
        <v>500</v>
      </c>
      <c r="M2878">
        <v>499</v>
      </c>
      <c r="N2878">
        <v>1</v>
      </c>
      <c r="O2878">
        <v>276</v>
      </c>
      <c r="P2878" s="3" t="s">
        <v>52</v>
      </c>
      <c r="Q2878">
        <v>50</v>
      </c>
      <c r="R2878">
        <v>0.999</v>
      </c>
      <c r="S2878">
        <v>1</v>
      </c>
    </row>
    <row r="2879" spans="1:19" x14ac:dyDescent="0.2">
      <c r="A2879" s="3" t="s">
        <v>54</v>
      </c>
      <c r="B2879" s="3" t="s">
        <v>55</v>
      </c>
      <c r="C2879">
        <v>11</v>
      </c>
      <c r="D2879">
        <v>10000</v>
      </c>
      <c r="E2879">
        <v>499</v>
      </c>
      <c r="F2879">
        <v>1</v>
      </c>
      <c r="G2879">
        <v>39482.677260513999</v>
      </c>
      <c r="H2879">
        <v>1.4020873E-2</v>
      </c>
      <c r="I2879">
        <v>10000</v>
      </c>
      <c r="J2879">
        <v>3589</v>
      </c>
      <c r="K2879">
        <v>6411</v>
      </c>
      <c r="L2879">
        <v>500</v>
      </c>
      <c r="M2879">
        <v>499</v>
      </c>
      <c r="N2879">
        <v>1</v>
      </c>
      <c r="O2879">
        <v>0</v>
      </c>
      <c r="P2879" s="3" t="s">
        <v>50</v>
      </c>
      <c r="Q2879">
        <v>50</v>
      </c>
      <c r="R2879">
        <v>0.999</v>
      </c>
      <c r="S2879">
        <v>0</v>
      </c>
    </row>
    <row r="2880" spans="1:19" x14ac:dyDescent="0.2">
      <c r="A2880" s="3" t="s">
        <v>54</v>
      </c>
      <c r="B2880" s="3" t="s">
        <v>55</v>
      </c>
      <c r="C2880">
        <v>33</v>
      </c>
      <c r="D2880">
        <v>11000</v>
      </c>
      <c r="E2880">
        <v>499</v>
      </c>
      <c r="F2880">
        <v>1</v>
      </c>
      <c r="G2880">
        <v>11000</v>
      </c>
      <c r="H2880">
        <v>1.4015806E-2</v>
      </c>
      <c r="I2880">
        <v>11000</v>
      </c>
      <c r="J2880">
        <v>3657</v>
      </c>
      <c r="K2880">
        <v>7343</v>
      </c>
      <c r="L2880">
        <v>500</v>
      </c>
      <c r="M2880">
        <v>499</v>
      </c>
      <c r="N2880">
        <v>1</v>
      </c>
      <c r="O2880">
        <v>0</v>
      </c>
      <c r="P2880" s="3" t="s">
        <v>50</v>
      </c>
      <c r="Q2880">
        <v>50</v>
      </c>
      <c r="R2880">
        <v>0.999</v>
      </c>
      <c r="S2880">
        <v>1</v>
      </c>
    </row>
    <row r="2881" spans="1:19" x14ac:dyDescent="0.2">
      <c r="A2881" s="3" t="s">
        <v>54</v>
      </c>
      <c r="B2881" s="3" t="s">
        <v>55</v>
      </c>
      <c r="C2881">
        <v>34</v>
      </c>
      <c r="D2881">
        <v>13000</v>
      </c>
      <c r="E2881">
        <v>499</v>
      </c>
      <c r="F2881">
        <v>1</v>
      </c>
      <c r="G2881">
        <v>13000</v>
      </c>
      <c r="H2881">
        <v>1.4013411999999999E-2</v>
      </c>
      <c r="I2881">
        <v>12698</v>
      </c>
      <c r="J2881">
        <v>3735</v>
      </c>
      <c r="K2881">
        <v>8963</v>
      </c>
      <c r="L2881">
        <v>500</v>
      </c>
      <c r="M2881">
        <v>499</v>
      </c>
      <c r="N2881">
        <v>1</v>
      </c>
      <c r="O2881">
        <v>302</v>
      </c>
      <c r="P2881" s="3" t="s">
        <v>52</v>
      </c>
      <c r="Q2881">
        <v>50</v>
      </c>
      <c r="R2881">
        <v>0.999</v>
      </c>
      <c r="S2881">
        <v>1</v>
      </c>
    </row>
    <row r="2882" spans="1:19" x14ac:dyDescent="0.2">
      <c r="A2882" s="3" t="s">
        <v>54</v>
      </c>
      <c r="B2882" s="3" t="s">
        <v>55</v>
      </c>
      <c r="C2882">
        <v>36</v>
      </c>
      <c r="D2882">
        <v>12000</v>
      </c>
      <c r="E2882">
        <v>499</v>
      </c>
      <c r="F2882">
        <v>1</v>
      </c>
      <c r="G2882">
        <v>50533.323552418398</v>
      </c>
      <c r="H2882">
        <v>1.4013083000000001E-2</v>
      </c>
      <c r="I2882">
        <v>12000</v>
      </c>
      <c r="J2882">
        <v>3652</v>
      </c>
      <c r="K2882">
        <v>8348</v>
      </c>
      <c r="L2882">
        <v>500</v>
      </c>
      <c r="M2882">
        <v>499</v>
      </c>
      <c r="N2882">
        <v>1</v>
      </c>
      <c r="O2882">
        <v>0</v>
      </c>
      <c r="P2882" s="3" t="s">
        <v>50</v>
      </c>
      <c r="Q2882">
        <v>50</v>
      </c>
      <c r="R2882">
        <v>0.999</v>
      </c>
      <c r="S2882">
        <v>0</v>
      </c>
    </row>
    <row r="2883" spans="1:19" x14ac:dyDescent="0.2">
      <c r="A2883" s="3" t="s">
        <v>54</v>
      </c>
      <c r="B2883" s="3" t="s">
        <v>55</v>
      </c>
      <c r="C2883">
        <v>43</v>
      </c>
      <c r="D2883">
        <v>11000</v>
      </c>
      <c r="E2883">
        <v>499</v>
      </c>
      <c r="F2883">
        <v>1</v>
      </c>
      <c r="G2883">
        <v>44062.122210792702</v>
      </c>
      <c r="H2883">
        <v>1.4011322999999999E-2</v>
      </c>
      <c r="I2883">
        <v>11000</v>
      </c>
      <c r="J2883">
        <v>3649</v>
      </c>
      <c r="K2883">
        <v>7351</v>
      </c>
      <c r="L2883">
        <v>500</v>
      </c>
      <c r="M2883">
        <v>499</v>
      </c>
      <c r="N2883">
        <v>1</v>
      </c>
      <c r="O2883">
        <v>0</v>
      </c>
      <c r="P2883" s="3" t="s">
        <v>50</v>
      </c>
      <c r="Q2883">
        <v>50</v>
      </c>
      <c r="R2883">
        <v>0.999</v>
      </c>
      <c r="S2883">
        <v>0</v>
      </c>
    </row>
    <row r="2884" spans="1:19" x14ac:dyDescent="0.2">
      <c r="A2884" s="3" t="s">
        <v>54</v>
      </c>
      <c r="B2884" s="3" t="s">
        <v>55</v>
      </c>
      <c r="C2884">
        <v>30</v>
      </c>
      <c r="D2884">
        <v>11000</v>
      </c>
      <c r="E2884">
        <v>499</v>
      </c>
      <c r="F2884">
        <v>1</v>
      </c>
      <c r="G2884">
        <v>11000</v>
      </c>
      <c r="H2884">
        <v>1.4009855999999999E-2</v>
      </c>
      <c r="I2884">
        <v>11000</v>
      </c>
      <c r="J2884">
        <v>3614</v>
      </c>
      <c r="K2884">
        <v>7386</v>
      </c>
      <c r="L2884">
        <v>500</v>
      </c>
      <c r="M2884">
        <v>499</v>
      </c>
      <c r="N2884">
        <v>1</v>
      </c>
      <c r="O2884">
        <v>0</v>
      </c>
      <c r="P2884" s="3" t="s">
        <v>50</v>
      </c>
      <c r="Q2884">
        <v>50</v>
      </c>
      <c r="R2884">
        <v>0.999</v>
      </c>
      <c r="S2884">
        <v>1</v>
      </c>
    </row>
    <row r="2885" spans="1:19" x14ac:dyDescent="0.2">
      <c r="A2885" s="3" t="s">
        <v>54</v>
      </c>
      <c r="B2885" s="3" t="s">
        <v>55</v>
      </c>
      <c r="C2885">
        <v>35</v>
      </c>
      <c r="D2885">
        <v>12000</v>
      </c>
      <c r="E2885">
        <v>499</v>
      </c>
      <c r="F2885">
        <v>1</v>
      </c>
      <c r="G2885">
        <v>50533.323552418398</v>
      </c>
      <c r="H2885">
        <v>1.3996199000000001E-2</v>
      </c>
      <c r="I2885">
        <v>12000</v>
      </c>
      <c r="J2885">
        <v>3648</v>
      </c>
      <c r="K2885">
        <v>8352</v>
      </c>
      <c r="L2885">
        <v>500</v>
      </c>
      <c r="M2885">
        <v>499</v>
      </c>
      <c r="N2885">
        <v>1</v>
      </c>
      <c r="O2885">
        <v>0</v>
      </c>
      <c r="P2885" s="3" t="s">
        <v>50</v>
      </c>
      <c r="Q2885">
        <v>50</v>
      </c>
      <c r="R2885">
        <v>0.999</v>
      </c>
      <c r="S2885">
        <v>0</v>
      </c>
    </row>
    <row r="2886" spans="1:19" x14ac:dyDescent="0.2">
      <c r="A2886" s="3" t="s">
        <v>54</v>
      </c>
      <c r="B2886" s="3" t="s">
        <v>55</v>
      </c>
      <c r="C2886">
        <v>47</v>
      </c>
      <c r="D2886">
        <v>11000</v>
      </c>
      <c r="E2886">
        <v>499</v>
      </c>
      <c r="F2886">
        <v>1</v>
      </c>
      <c r="G2886">
        <v>44062.122210792702</v>
      </c>
      <c r="H2886">
        <v>1.3992147E-2</v>
      </c>
      <c r="I2886">
        <v>11000</v>
      </c>
      <c r="J2886">
        <v>3645</v>
      </c>
      <c r="K2886">
        <v>7355</v>
      </c>
      <c r="L2886">
        <v>500</v>
      </c>
      <c r="M2886">
        <v>499</v>
      </c>
      <c r="N2886">
        <v>1</v>
      </c>
      <c r="O2886">
        <v>0</v>
      </c>
      <c r="P2886" s="3" t="s">
        <v>50</v>
      </c>
      <c r="Q2886">
        <v>50</v>
      </c>
      <c r="R2886">
        <v>0.999</v>
      </c>
      <c r="S2886">
        <v>0</v>
      </c>
    </row>
    <row r="2887" spans="1:19" x14ac:dyDescent="0.2">
      <c r="A2887" s="3" t="s">
        <v>54</v>
      </c>
      <c r="B2887" s="3" t="s">
        <v>55</v>
      </c>
      <c r="C2887">
        <v>36</v>
      </c>
      <c r="D2887">
        <v>10000</v>
      </c>
      <c r="E2887">
        <v>499</v>
      </c>
      <c r="F2887">
        <v>1</v>
      </c>
      <c r="G2887">
        <v>39482.677260513999</v>
      </c>
      <c r="H2887">
        <v>1.399186E-2</v>
      </c>
      <c r="I2887">
        <v>10000</v>
      </c>
      <c r="J2887">
        <v>3553</v>
      </c>
      <c r="K2887">
        <v>6447</v>
      </c>
      <c r="L2887">
        <v>500</v>
      </c>
      <c r="M2887">
        <v>499</v>
      </c>
      <c r="N2887">
        <v>1</v>
      </c>
      <c r="O2887">
        <v>0</v>
      </c>
      <c r="P2887" s="3" t="s">
        <v>50</v>
      </c>
      <c r="Q2887">
        <v>50</v>
      </c>
      <c r="R2887">
        <v>0.999</v>
      </c>
      <c r="S2887">
        <v>0</v>
      </c>
    </row>
    <row r="2888" spans="1:19" x14ac:dyDescent="0.2">
      <c r="A2888" s="3" t="s">
        <v>54</v>
      </c>
      <c r="B2888" s="3" t="s">
        <v>55</v>
      </c>
      <c r="C2888">
        <v>23</v>
      </c>
      <c r="D2888">
        <v>11000</v>
      </c>
      <c r="E2888">
        <v>499</v>
      </c>
      <c r="F2888">
        <v>1</v>
      </c>
      <c r="G2888">
        <v>44062.122210792702</v>
      </c>
      <c r="H2888">
        <v>1.3983722000000001E-2</v>
      </c>
      <c r="I2888">
        <v>11000</v>
      </c>
      <c r="J2888">
        <v>3651</v>
      </c>
      <c r="K2888">
        <v>7349</v>
      </c>
      <c r="L2888">
        <v>500</v>
      </c>
      <c r="M2888">
        <v>499</v>
      </c>
      <c r="N2888">
        <v>1</v>
      </c>
      <c r="O2888">
        <v>0</v>
      </c>
      <c r="P2888" s="3" t="s">
        <v>50</v>
      </c>
      <c r="Q2888">
        <v>50</v>
      </c>
      <c r="R2888">
        <v>0.999</v>
      </c>
      <c r="S2888">
        <v>0</v>
      </c>
    </row>
    <row r="2889" spans="1:19" x14ac:dyDescent="0.2">
      <c r="A2889" s="3" t="s">
        <v>54</v>
      </c>
      <c r="B2889" s="3" t="s">
        <v>55</v>
      </c>
      <c r="C2889">
        <v>7</v>
      </c>
      <c r="D2889">
        <v>13000</v>
      </c>
      <c r="E2889">
        <v>499</v>
      </c>
      <c r="F2889">
        <v>1</v>
      </c>
      <c r="G2889">
        <v>13000</v>
      </c>
      <c r="H2889">
        <v>1.3982575000000001E-2</v>
      </c>
      <c r="I2889">
        <v>12703</v>
      </c>
      <c r="J2889">
        <v>3777</v>
      </c>
      <c r="K2889">
        <v>8926</v>
      </c>
      <c r="L2889">
        <v>500</v>
      </c>
      <c r="M2889">
        <v>499</v>
      </c>
      <c r="N2889">
        <v>1</v>
      </c>
      <c r="O2889">
        <v>297</v>
      </c>
      <c r="P2889" s="3" t="s">
        <v>52</v>
      </c>
      <c r="Q2889">
        <v>50</v>
      </c>
      <c r="R2889">
        <v>0.999</v>
      </c>
      <c r="S2889">
        <v>1</v>
      </c>
    </row>
    <row r="2890" spans="1:19" x14ac:dyDescent="0.2">
      <c r="A2890" s="3" t="s">
        <v>54</v>
      </c>
      <c r="B2890" s="3" t="s">
        <v>55</v>
      </c>
      <c r="C2890">
        <v>41</v>
      </c>
      <c r="D2890">
        <v>10000</v>
      </c>
      <c r="E2890">
        <v>499</v>
      </c>
      <c r="F2890">
        <v>1</v>
      </c>
      <c r="G2890">
        <v>39482.677260513999</v>
      </c>
      <c r="H2890">
        <v>1.3979919E-2</v>
      </c>
      <c r="I2890">
        <v>10000</v>
      </c>
      <c r="J2890">
        <v>3591</v>
      </c>
      <c r="K2890">
        <v>6409</v>
      </c>
      <c r="L2890">
        <v>500</v>
      </c>
      <c r="M2890">
        <v>499</v>
      </c>
      <c r="N2890">
        <v>1</v>
      </c>
      <c r="O2890">
        <v>0</v>
      </c>
      <c r="P2890" s="3" t="s">
        <v>50</v>
      </c>
      <c r="Q2890">
        <v>50</v>
      </c>
      <c r="R2890">
        <v>0.999</v>
      </c>
      <c r="S2890">
        <v>0</v>
      </c>
    </row>
    <row r="2891" spans="1:19" x14ac:dyDescent="0.2">
      <c r="A2891" s="3" t="s">
        <v>54</v>
      </c>
      <c r="B2891" s="3" t="s">
        <v>55</v>
      </c>
      <c r="C2891">
        <v>30</v>
      </c>
      <c r="D2891">
        <v>10000</v>
      </c>
      <c r="E2891">
        <v>499</v>
      </c>
      <c r="F2891">
        <v>1</v>
      </c>
      <c r="G2891">
        <v>39482.677260513999</v>
      </c>
      <c r="H2891">
        <v>1.3977140000000001E-2</v>
      </c>
      <c r="I2891">
        <v>10000</v>
      </c>
      <c r="J2891">
        <v>3560</v>
      </c>
      <c r="K2891">
        <v>6440</v>
      </c>
      <c r="L2891">
        <v>500</v>
      </c>
      <c r="M2891">
        <v>499</v>
      </c>
      <c r="N2891">
        <v>1</v>
      </c>
      <c r="O2891">
        <v>0</v>
      </c>
      <c r="P2891" s="3" t="s">
        <v>50</v>
      </c>
      <c r="Q2891">
        <v>50</v>
      </c>
      <c r="R2891">
        <v>0.999</v>
      </c>
      <c r="S2891">
        <v>0</v>
      </c>
    </row>
    <row r="2892" spans="1:19" x14ac:dyDescent="0.2">
      <c r="A2892" s="3" t="s">
        <v>54</v>
      </c>
      <c r="B2892" s="3" t="s">
        <v>55</v>
      </c>
      <c r="C2892">
        <v>21</v>
      </c>
      <c r="D2892">
        <v>13000</v>
      </c>
      <c r="E2892">
        <v>499</v>
      </c>
      <c r="F2892">
        <v>1</v>
      </c>
      <c r="G2892">
        <v>13000</v>
      </c>
      <c r="H2892">
        <v>1.3975693000000001E-2</v>
      </c>
      <c r="I2892">
        <v>12726</v>
      </c>
      <c r="J2892">
        <v>3797</v>
      </c>
      <c r="K2892">
        <v>8929</v>
      </c>
      <c r="L2892">
        <v>500</v>
      </c>
      <c r="M2892">
        <v>499</v>
      </c>
      <c r="N2892">
        <v>1</v>
      </c>
      <c r="O2892">
        <v>274</v>
      </c>
      <c r="P2892" s="3" t="s">
        <v>52</v>
      </c>
      <c r="Q2892">
        <v>50</v>
      </c>
      <c r="R2892">
        <v>0.999</v>
      </c>
      <c r="S2892">
        <v>1</v>
      </c>
    </row>
    <row r="2893" spans="1:19" x14ac:dyDescent="0.2">
      <c r="A2893" s="3" t="s">
        <v>54</v>
      </c>
      <c r="B2893" s="3" t="s">
        <v>55</v>
      </c>
      <c r="C2893">
        <v>39</v>
      </c>
      <c r="D2893">
        <v>13000</v>
      </c>
      <c r="E2893">
        <v>499</v>
      </c>
      <c r="F2893">
        <v>1</v>
      </c>
      <c r="G2893">
        <v>13000</v>
      </c>
      <c r="H2893">
        <v>1.3975464E-2</v>
      </c>
      <c r="I2893">
        <v>12698</v>
      </c>
      <c r="J2893">
        <v>3766</v>
      </c>
      <c r="K2893">
        <v>8932</v>
      </c>
      <c r="L2893">
        <v>500</v>
      </c>
      <c r="M2893">
        <v>499</v>
      </c>
      <c r="N2893">
        <v>1</v>
      </c>
      <c r="O2893">
        <v>302</v>
      </c>
      <c r="P2893" s="3" t="s">
        <v>52</v>
      </c>
      <c r="Q2893">
        <v>50</v>
      </c>
      <c r="R2893">
        <v>0.999</v>
      </c>
      <c r="S2893">
        <v>1</v>
      </c>
    </row>
    <row r="2894" spans="1:19" x14ac:dyDescent="0.2">
      <c r="A2894" s="3" t="s">
        <v>54</v>
      </c>
      <c r="B2894" s="3" t="s">
        <v>55</v>
      </c>
      <c r="C2894">
        <v>19</v>
      </c>
      <c r="D2894">
        <v>10000</v>
      </c>
      <c r="E2894">
        <v>499</v>
      </c>
      <c r="F2894">
        <v>1</v>
      </c>
      <c r="G2894">
        <v>39482.677260513999</v>
      </c>
      <c r="H2894">
        <v>1.3970889E-2</v>
      </c>
      <c r="I2894">
        <v>10000</v>
      </c>
      <c r="J2894">
        <v>3573</v>
      </c>
      <c r="K2894">
        <v>6427</v>
      </c>
      <c r="L2894">
        <v>500</v>
      </c>
      <c r="M2894">
        <v>499</v>
      </c>
      <c r="N2894">
        <v>1</v>
      </c>
      <c r="O2894">
        <v>0</v>
      </c>
      <c r="P2894" s="3" t="s">
        <v>50</v>
      </c>
      <c r="Q2894">
        <v>50</v>
      </c>
      <c r="R2894">
        <v>0.999</v>
      </c>
      <c r="S2894">
        <v>0</v>
      </c>
    </row>
    <row r="2895" spans="1:19" x14ac:dyDescent="0.2">
      <c r="A2895" s="3" t="s">
        <v>54</v>
      </c>
      <c r="B2895" s="3" t="s">
        <v>55</v>
      </c>
      <c r="C2895">
        <v>6</v>
      </c>
      <c r="D2895">
        <v>11000</v>
      </c>
      <c r="E2895">
        <v>499</v>
      </c>
      <c r="F2895">
        <v>1</v>
      </c>
      <c r="G2895">
        <v>44062.122210792702</v>
      </c>
      <c r="H2895">
        <v>1.3966572E-2</v>
      </c>
      <c r="I2895">
        <v>11000</v>
      </c>
      <c r="J2895">
        <v>3659</v>
      </c>
      <c r="K2895">
        <v>7341</v>
      </c>
      <c r="L2895">
        <v>500</v>
      </c>
      <c r="M2895">
        <v>499</v>
      </c>
      <c r="N2895">
        <v>1</v>
      </c>
      <c r="O2895">
        <v>0</v>
      </c>
      <c r="P2895" s="3" t="s">
        <v>50</v>
      </c>
      <c r="Q2895">
        <v>50</v>
      </c>
      <c r="R2895">
        <v>0.999</v>
      </c>
      <c r="S2895">
        <v>0</v>
      </c>
    </row>
    <row r="2896" spans="1:19" x14ac:dyDescent="0.2">
      <c r="A2896" s="3" t="s">
        <v>54</v>
      </c>
      <c r="B2896" s="3" t="s">
        <v>55</v>
      </c>
      <c r="C2896">
        <v>43</v>
      </c>
      <c r="D2896">
        <v>11000</v>
      </c>
      <c r="E2896">
        <v>499</v>
      </c>
      <c r="F2896">
        <v>1</v>
      </c>
      <c r="G2896">
        <v>11000</v>
      </c>
      <c r="H2896">
        <v>1.3959963000000001E-2</v>
      </c>
      <c r="I2896">
        <v>11000</v>
      </c>
      <c r="J2896">
        <v>3674</v>
      </c>
      <c r="K2896">
        <v>7326</v>
      </c>
      <c r="L2896">
        <v>500</v>
      </c>
      <c r="M2896">
        <v>499</v>
      </c>
      <c r="N2896">
        <v>1</v>
      </c>
      <c r="O2896">
        <v>0</v>
      </c>
      <c r="P2896" s="3" t="s">
        <v>50</v>
      </c>
      <c r="Q2896">
        <v>50</v>
      </c>
      <c r="R2896">
        <v>0.999</v>
      </c>
      <c r="S2896">
        <v>1</v>
      </c>
    </row>
    <row r="2897" spans="1:19" x14ac:dyDescent="0.2">
      <c r="A2897" s="3" t="s">
        <v>54</v>
      </c>
      <c r="B2897" s="3" t="s">
        <v>55</v>
      </c>
      <c r="C2897">
        <v>20</v>
      </c>
      <c r="D2897">
        <v>12000</v>
      </c>
      <c r="E2897">
        <v>499</v>
      </c>
      <c r="F2897">
        <v>1</v>
      </c>
      <c r="G2897">
        <v>12000</v>
      </c>
      <c r="H2897">
        <v>1.3958458999999999E-2</v>
      </c>
      <c r="I2897">
        <v>12000</v>
      </c>
      <c r="J2897">
        <v>3733</v>
      </c>
      <c r="K2897">
        <v>8267</v>
      </c>
      <c r="L2897">
        <v>500</v>
      </c>
      <c r="M2897">
        <v>499</v>
      </c>
      <c r="N2897">
        <v>1</v>
      </c>
      <c r="O2897">
        <v>0</v>
      </c>
      <c r="P2897" s="3" t="s">
        <v>50</v>
      </c>
      <c r="Q2897">
        <v>50</v>
      </c>
      <c r="R2897">
        <v>0.999</v>
      </c>
      <c r="S2897">
        <v>1</v>
      </c>
    </row>
    <row r="2898" spans="1:19" x14ac:dyDescent="0.2">
      <c r="A2898" s="3" t="s">
        <v>54</v>
      </c>
      <c r="B2898" s="3" t="s">
        <v>55</v>
      </c>
      <c r="C2898">
        <v>14</v>
      </c>
      <c r="D2898">
        <v>13000</v>
      </c>
      <c r="E2898">
        <v>499</v>
      </c>
      <c r="F2898">
        <v>1</v>
      </c>
      <c r="G2898">
        <v>13000</v>
      </c>
      <c r="H2898">
        <v>1.3957679000000001E-2</v>
      </c>
      <c r="I2898">
        <v>12713</v>
      </c>
      <c r="J2898">
        <v>3783</v>
      </c>
      <c r="K2898">
        <v>8930</v>
      </c>
      <c r="L2898">
        <v>500</v>
      </c>
      <c r="M2898">
        <v>499</v>
      </c>
      <c r="N2898">
        <v>1</v>
      </c>
      <c r="O2898">
        <v>287</v>
      </c>
      <c r="P2898" s="3" t="s">
        <v>52</v>
      </c>
      <c r="Q2898">
        <v>50</v>
      </c>
      <c r="R2898">
        <v>0.999</v>
      </c>
      <c r="S2898">
        <v>1</v>
      </c>
    </row>
    <row r="2899" spans="1:19" x14ac:dyDescent="0.2">
      <c r="A2899" s="3" t="s">
        <v>54</v>
      </c>
      <c r="B2899" s="3" t="s">
        <v>55</v>
      </c>
      <c r="C2899">
        <v>21</v>
      </c>
      <c r="D2899">
        <v>11000</v>
      </c>
      <c r="E2899">
        <v>499</v>
      </c>
      <c r="F2899">
        <v>1</v>
      </c>
      <c r="G2899">
        <v>44062.122210792702</v>
      </c>
      <c r="H2899">
        <v>1.3957486999999999E-2</v>
      </c>
      <c r="I2899">
        <v>11000</v>
      </c>
      <c r="J2899">
        <v>3674</v>
      </c>
      <c r="K2899">
        <v>7326</v>
      </c>
      <c r="L2899">
        <v>500</v>
      </c>
      <c r="M2899">
        <v>499</v>
      </c>
      <c r="N2899">
        <v>1</v>
      </c>
      <c r="O2899">
        <v>0</v>
      </c>
      <c r="P2899" s="3" t="s">
        <v>50</v>
      </c>
      <c r="Q2899">
        <v>50</v>
      </c>
      <c r="R2899">
        <v>0.999</v>
      </c>
      <c r="S2899">
        <v>0</v>
      </c>
    </row>
    <row r="2900" spans="1:19" x14ac:dyDescent="0.2">
      <c r="A2900" s="3" t="s">
        <v>54</v>
      </c>
      <c r="B2900" s="3" t="s">
        <v>55</v>
      </c>
      <c r="C2900">
        <v>40</v>
      </c>
      <c r="D2900">
        <v>10000</v>
      </c>
      <c r="E2900">
        <v>499</v>
      </c>
      <c r="F2900">
        <v>1</v>
      </c>
      <c r="G2900">
        <v>10000</v>
      </c>
      <c r="H2900">
        <v>1.3956128999999999E-2</v>
      </c>
      <c r="I2900">
        <v>10000</v>
      </c>
      <c r="J2900">
        <v>3560</v>
      </c>
      <c r="K2900">
        <v>6440</v>
      </c>
      <c r="L2900">
        <v>500</v>
      </c>
      <c r="M2900">
        <v>499</v>
      </c>
      <c r="N2900">
        <v>1</v>
      </c>
      <c r="O2900">
        <v>0</v>
      </c>
      <c r="P2900" s="3" t="s">
        <v>50</v>
      </c>
      <c r="Q2900">
        <v>50</v>
      </c>
      <c r="R2900">
        <v>0.999</v>
      </c>
      <c r="S2900">
        <v>1</v>
      </c>
    </row>
    <row r="2901" spans="1:19" x14ac:dyDescent="0.2">
      <c r="A2901" s="3" t="s">
        <v>54</v>
      </c>
      <c r="B2901" s="3" t="s">
        <v>55</v>
      </c>
      <c r="C2901">
        <v>29</v>
      </c>
      <c r="D2901">
        <v>10000</v>
      </c>
      <c r="E2901">
        <v>499</v>
      </c>
      <c r="F2901">
        <v>1</v>
      </c>
      <c r="G2901">
        <v>39482.677260513999</v>
      </c>
      <c r="H2901">
        <v>1.3954041E-2</v>
      </c>
      <c r="I2901">
        <v>10000</v>
      </c>
      <c r="J2901">
        <v>3594</v>
      </c>
      <c r="K2901">
        <v>6406</v>
      </c>
      <c r="L2901">
        <v>500</v>
      </c>
      <c r="M2901">
        <v>499</v>
      </c>
      <c r="N2901">
        <v>1</v>
      </c>
      <c r="O2901">
        <v>0</v>
      </c>
      <c r="P2901" s="3" t="s">
        <v>50</v>
      </c>
      <c r="Q2901">
        <v>50</v>
      </c>
      <c r="R2901">
        <v>0.999</v>
      </c>
      <c r="S2901">
        <v>0</v>
      </c>
    </row>
    <row r="2902" spans="1:19" x14ac:dyDescent="0.2">
      <c r="A2902" s="3" t="s">
        <v>54</v>
      </c>
      <c r="B2902" s="3" t="s">
        <v>55</v>
      </c>
      <c r="C2902">
        <v>39</v>
      </c>
      <c r="D2902">
        <v>11000</v>
      </c>
      <c r="E2902">
        <v>499</v>
      </c>
      <c r="F2902">
        <v>1</v>
      </c>
      <c r="G2902">
        <v>44062.122210792702</v>
      </c>
      <c r="H2902">
        <v>1.3953343999999999E-2</v>
      </c>
      <c r="I2902">
        <v>11000</v>
      </c>
      <c r="J2902">
        <v>3671</v>
      </c>
      <c r="K2902">
        <v>7329</v>
      </c>
      <c r="L2902">
        <v>500</v>
      </c>
      <c r="M2902">
        <v>499</v>
      </c>
      <c r="N2902">
        <v>1</v>
      </c>
      <c r="O2902">
        <v>0</v>
      </c>
      <c r="P2902" s="3" t="s">
        <v>50</v>
      </c>
      <c r="Q2902">
        <v>50</v>
      </c>
      <c r="R2902">
        <v>0.999</v>
      </c>
      <c r="S2902">
        <v>0</v>
      </c>
    </row>
    <row r="2903" spans="1:19" x14ac:dyDescent="0.2">
      <c r="A2903" s="3" t="s">
        <v>54</v>
      </c>
      <c r="B2903" s="3" t="s">
        <v>55</v>
      </c>
      <c r="C2903">
        <v>18</v>
      </c>
      <c r="D2903">
        <v>11000</v>
      </c>
      <c r="E2903">
        <v>499</v>
      </c>
      <c r="F2903">
        <v>1</v>
      </c>
      <c r="G2903">
        <v>11000</v>
      </c>
      <c r="H2903">
        <v>1.3953187000000001E-2</v>
      </c>
      <c r="I2903">
        <v>11000</v>
      </c>
      <c r="J2903">
        <v>2802</v>
      </c>
      <c r="K2903">
        <v>8198</v>
      </c>
      <c r="L2903">
        <v>500</v>
      </c>
      <c r="M2903">
        <v>499</v>
      </c>
      <c r="N2903">
        <v>1</v>
      </c>
      <c r="O2903">
        <v>0</v>
      </c>
      <c r="P2903" s="3" t="s">
        <v>52</v>
      </c>
      <c r="Q2903">
        <v>50</v>
      </c>
      <c r="R2903">
        <v>0.999</v>
      </c>
      <c r="S2903">
        <v>1</v>
      </c>
    </row>
    <row r="2904" spans="1:19" x14ac:dyDescent="0.2">
      <c r="A2904" s="3" t="s">
        <v>54</v>
      </c>
      <c r="B2904" s="3" t="s">
        <v>55</v>
      </c>
      <c r="C2904">
        <v>15</v>
      </c>
      <c r="D2904">
        <v>12000</v>
      </c>
      <c r="E2904">
        <v>499</v>
      </c>
      <c r="F2904">
        <v>1</v>
      </c>
      <c r="G2904">
        <v>50533.323552418398</v>
      </c>
      <c r="H2904">
        <v>1.3952812E-2</v>
      </c>
      <c r="I2904">
        <v>11999</v>
      </c>
      <c r="J2904">
        <v>3627</v>
      </c>
      <c r="K2904">
        <v>8372</v>
      </c>
      <c r="L2904">
        <v>500</v>
      </c>
      <c r="M2904">
        <v>499</v>
      </c>
      <c r="N2904">
        <v>1</v>
      </c>
      <c r="O2904">
        <v>7.0416527571999996</v>
      </c>
      <c r="P2904" s="3" t="s">
        <v>50</v>
      </c>
      <c r="Q2904">
        <v>50</v>
      </c>
      <c r="R2904">
        <v>0.999</v>
      </c>
      <c r="S2904">
        <v>0</v>
      </c>
    </row>
    <row r="2905" spans="1:19" x14ac:dyDescent="0.2">
      <c r="A2905" s="3" t="s">
        <v>54</v>
      </c>
      <c r="B2905" s="3" t="s">
        <v>55</v>
      </c>
      <c r="C2905">
        <v>27</v>
      </c>
      <c r="D2905">
        <v>11000</v>
      </c>
      <c r="E2905">
        <v>499</v>
      </c>
      <c r="F2905">
        <v>1</v>
      </c>
      <c r="G2905">
        <v>44062.122210792702</v>
      </c>
      <c r="H2905">
        <v>1.3949411E-2</v>
      </c>
      <c r="I2905">
        <v>11000</v>
      </c>
      <c r="J2905">
        <v>3677</v>
      </c>
      <c r="K2905">
        <v>7323</v>
      </c>
      <c r="L2905">
        <v>500</v>
      </c>
      <c r="M2905">
        <v>499</v>
      </c>
      <c r="N2905">
        <v>1</v>
      </c>
      <c r="O2905">
        <v>0</v>
      </c>
      <c r="P2905" s="3" t="s">
        <v>50</v>
      </c>
      <c r="Q2905">
        <v>50</v>
      </c>
      <c r="R2905">
        <v>0.999</v>
      </c>
      <c r="S2905">
        <v>0</v>
      </c>
    </row>
    <row r="2906" spans="1:19" x14ac:dyDescent="0.2">
      <c r="A2906" s="3" t="s">
        <v>54</v>
      </c>
      <c r="B2906" s="3" t="s">
        <v>55</v>
      </c>
      <c r="C2906">
        <v>10</v>
      </c>
      <c r="D2906">
        <v>12000</v>
      </c>
      <c r="E2906">
        <v>499</v>
      </c>
      <c r="F2906">
        <v>1</v>
      </c>
      <c r="G2906">
        <v>12000</v>
      </c>
      <c r="H2906">
        <v>1.3946955E-2</v>
      </c>
      <c r="I2906">
        <v>12000</v>
      </c>
      <c r="J2906">
        <v>3688</v>
      </c>
      <c r="K2906">
        <v>8312</v>
      </c>
      <c r="L2906">
        <v>500</v>
      </c>
      <c r="M2906">
        <v>499</v>
      </c>
      <c r="N2906">
        <v>1</v>
      </c>
      <c r="O2906">
        <v>0</v>
      </c>
      <c r="P2906" s="3" t="s">
        <v>50</v>
      </c>
      <c r="Q2906">
        <v>50</v>
      </c>
      <c r="R2906">
        <v>0.999</v>
      </c>
      <c r="S2906">
        <v>1</v>
      </c>
    </row>
    <row r="2907" spans="1:19" x14ac:dyDescent="0.2">
      <c r="A2907" s="3" t="s">
        <v>54</v>
      </c>
      <c r="B2907" s="3" t="s">
        <v>55</v>
      </c>
      <c r="C2907">
        <v>3</v>
      </c>
      <c r="D2907">
        <v>10000</v>
      </c>
      <c r="E2907">
        <v>499</v>
      </c>
      <c r="F2907">
        <v>1</v>
      </c>
      <c r="G2907">
        <v>39482.677260513999</v>
      </c>
      <c r="H2907">
        <v>1.3946596E-2</v>
      </c>
      <c r="I2907">
        <v>10000</v>
      </c>
      <c r="J2907">
        <v>3584</v>
      </c>
      <c r="K2907">
        <v>6416</v>
      </c>
      <c r="L2907">
        <v>500</v>
      </c>
      <c r="M2907">
        <v>499</v>
      </c>
      <c r="N2907">
        <v>1</v>
      </c>
      <c r="O2907">
        <v>0</v>
      </c>
      <c r="P2907" s="3" t="s">
        <v>50</v>
      </c>
      <c r="Q2907">
        <v>50</v>
      </c>
      <c r="R2907">
        <v>0.999</v>
      </c>
      <c r="S2907">
        <v>0</v>
      </c>
    </row>
    <row r="2908" spans="1:19" x14ac:dyDescent="0.2">
      <c r="A2908" s="3" t="s">
        <v>54</v>
      </c>
      <c r="B2908" s="3" t="s">
        <v>55</v>
      </c>
      <c r="C2908">
        <v>4</v>
      </c>
      <c r="D2908">
        <v>11000</v>
      </c>
      <c r="E2908">
        <v>499</v>
      </c>
      <c r="F2908">
        <v>1</v>
      </c>
      <c r="G2908">
        <v>11000</v>
      </c>
      <c r="H2908">
        <v>1.3946175E-2</v>
      </c>
      <c r="I2908">
        <v>11000</v>
      </c>
      <c r="J2908">
        <v>3619</v>
      </c>
      <c r="K2908">
        <v>7381</v>
      </c>
      <c r="L2908">
        <v>500</v>
      </c>
      <c r="M2908">
        <v>499</v>
      </c>
      <c r="N2908">
        <v>1</v>
      </c>
      <c r="O2908">
        <v>0</v>
      </c>
      <c r="P2908" s="3" t="s">
        <v>50</v>
      </c>
      <c r="Q2908">
        <v>50</v>
      </c>
      <c r="R2908">
        <v>0.999</v>
      </c>
      <c r="S2908">
        <v>1</v>
      </c>
    </row>
    <row r="2909" spans="1:19" x14ac:dyDescent="0.2">
      <c r="A2909" s="3" t="s">
        <v>54</v>
      </c>
      <c r="B2909" s="3" t="s">
        <v>55</v>
      </c>
      <c r="C2909">
        <v>31</v>
      </c>
      <c r="D2909">
        <v>10000</v>
      </c>
      <c r="E2909">
        <v>499</v>
      </c>
      <c r="F2909">
        <v>1</v>
      </c>
      <c r="G2909">
        <v>10000</v>
      </c>
      <c r="H2909">
        <v>1.394283E-2</v>
      </c>
      <c r="I2909">
        <v>10000</v>
      </c>
      <c r="J2909">
        <v>3601</v>
      </c>
      <c r="K2909">
        <v>6399</v>
      </c>
      <c r="L2909">
        <v>500</v>
      </c>
      <c r="M2909">
        <v>499</v>
      </c>
      <c r="N2909">
        <v>1</v>
      </c>
      <c r="O2909">
        <v>0</v>
      </c>
      <c r="P2909" s="3" t="s">
        <v>50</v>
      </c>
      <c r="Q2909">
        <v>50</v>
      </c>
      <c r="R2909">
        <v>0.999</v>
      </c>
      <c r="S2909">
        <v>1</v>
      </c>
    </row>
    <row r="2910" spans="1:19" x14ac:dyDescent="0.2">
      <c r="A2910" s="3" t="s">
        <v>54</v>
      </c>
      <c r="B2910" s="3" t="s">
        <v>55</v>
      </c>
      <c r="C2910">
        <v>7</v>
      </c>
      <c r="D2910">
        <v>12000</v>
      </c>
      <c r="E2910">
        <v>499</v>
      </c>
      <c r="F2910">
        <v>1</v>
      </c>
      <c r="G2910">
        <v>50533.323552418398</v>
      </c>
      <c r="H2910">
        <v>1.3936560000000001E-2</v>
      </c>
      <c r="I2910">
        <v>12000</v>
      </c>
      <c r="J2910">
        <v>3679</v>
      </c>
      <c r="K2910">
        <v>8321</v>
      </c>
      <c r="L2910">
        <v>500</v>
      </c>
      <c r="M2910">
        <v>499</v>
      </c>
      <c r="N2910">
        <v>1</v>
      </c>
      <c r="O2910">
        <v>0</v>
      </c>
      <c r="P2910" s="3" t="s">
        <v>50</v>
      </c>
      <c r="Q2910">
        <v>50</v>
      </c>
      <c r="R2910">
        <v>0.999</v>
      </c>
      <c r="S2910">
        <v>0</v>
      </c>
    </row>
    <row r="2911" spans="1:19" x14ac:dyDescent="0.2">
      <c r="A2911" s="3" t="s">
        <v>54</v>
      </c>
      <c r="B2911" s="3" t="s">
        <v>55</v>
      </c>
      <c r="C2911">
        <v>11</v>
      </c>
      <c r="D2911">
        <v>10000</v>
      </c>
      <c r="E2911">
        <v>499</v>
      </c>
      <c r="F2911">
        <v>1</v>
      </c>
      <c r="G2911">
        <v>10000</v>
      </c>
      <c r="H2911">
        <v>1.3936018999999999E-2</v>
      </c>
      <c r="I2911">
        <v>10000</v>
      </c>
      <c r="J2911">
        <v>3590</v>
      </c>
      <c r="K2911">
        <v>6410</v>
      </c>
      <c r="L2911">
        <v>500</v>
      </c>
      <c r="M2911">
        <v>499</v>
      </c>
      <c r="N2911">
        <v>1</v>
      </c>
      <c r="O2911">
        <v>0</v>
      </c>
      <c r="P2911" s="3" t="s">
        <v>50</v>
      </c>
      <c r="Q2911">
        <v>50</v>
      </c>
      <c r="R2911">
        <v>0.999</v>
      </c>
      <c r="S2911">
        <v>1</v>
      </c>
    </row>
    <row r="2912" spans="1:19" x14ac:dyDescent="0.2">
      <c r="A2912" s="3" t="s">
        <v>54</v>
      </c>
      <c r="B2912" s="3" t="s">
        <v>55</v>
      </c>
      <c r="C2912">
        <v>1</v>
      </c>
      <c r="D2912">
        <v>10000</v>
      </c>
      <c r="E2912">
        <v>499</v>
      </c>
      <c r="F2912">
        <v>1</v>
      </c>
      <c r="G2912">
        <v>39482.677260513999</v>
      </c>
      <c r="H2912">
        <v>1.3935651E-2</v>
      </c>
      <c r="I2912">
        <v>10000</v>
      </c>
      <c r="J2912">
        <v>3558</v>
      </c>
      <c r="K2912">
        <v>6442</v>
      </c>
      <c r="L2912">
        <v>500</v>
      </c>
      <c r="M2912">
        <v>499</v>
      </c>
      <c r="N2912">
        <v>1</v>
      </c>
      <c r="O2912">
        <v>0</v>
      </c>
      <c r="P2912" s="3" t="s">
        <v>50</v>
      </c>
      <c r="Q2912">
        <v>50</v>
      </c>
      <c r="R2912">
        <v>0.999</v>
      </c>
      <c r="S2912">
        <v>0</v>
      </c>
    </row>
    <row r="2913" spans="1:19" x14ac:dyDescent="0.2">
      <c r="A2913" s="3" t="s">
        <v>54</v>
      </c>
      <c r="B2913" s="3" t="s">
        <v>55</v>
      </c>
      <c r="C2913">
        <v>27</v>
      </c>
      <c r="D2913">
        <v>10000</v>
      </c>
      <c r="E2913">
        <v>499</v>
      </c>
      <c r="F2913">
        <v>1</v>
      </c>
      <c r="G2913">
        <v>39482.677260513999</v>
      </c>
      <c r="H2913">
        <v>1.3920692E-2</v>
      </c>
      <c r="I2913">
        <v>10000</v>
      </c>
      <c r="J2913">
        <v>3587</v>
      </c>
      <c r="K2913">
        <v>6413</v>
      </c>
      <c r="L2913">
        <v>500</v>
      </c>
      <c r="M2913">
        <v>499</v>
      </c>
      <c r="N2913">
        <v>1</v>
      </c>
      <c r="O2913">
        <v>0</v>
      </c>
      <c r="P2913" s="3" t="s">
        <v>50</v>
      </c>
      <c r="Q2913">
        <v>50</v>
      </c>
      <c r="R2913">
        <v>0.999</v>
      </c>
      <c r="S2913">
        <v>0</v>
      </c>
    </row>
    <row r="2914" spans="1:19" x14ac:dyDescent="0.2">
      <c r="A2914" s="3" t="s">
        <v>54</v>
      </c>
      <c r="B2914" s="3" t="s">
        <v>55</v>
      </c>
      <c r="C2914">
        <v>9</v>
      </c>
      <c r="D2914">
        <v>11000</v>
      </c>
      <c r="E2914">
        <v>499</v>
      </c>
      <c r="F2914">
        <v>1</v>
      </c>
      <c r="G2914">
        <v>44062.122210792702</v>
      </c>
      <c r="H2914">
        <v>1.39185E-2</v>
      </c>
      <c r="I2914">
        <v>11000</v>
      </c>
      <c r="J2914">
        <v>3647</v>
      </c>
      <c r="K2914">
        <v>7353</v>
      </c>
      <c r="L2914">
        <v>500</v>
      </c>
      <c r="M2914">
        <v>499</v>
      </c>
      <c r="N2914">
        <v>1</v>
      </c>
      <c r="O2914">
        <v>0</v>
      </c>
      <c r="P2914" s="3" t="s">
        <v>50</v>
      </c>
      <c r="Q2914">
        <v>50</v>
      </c>
      <c r="R2914">
        <v>0.999</v>
      </c>
      <c r="S2914">
        <v>0</v>
      </c>
    </row>
    <row r="2915" spans="1:19" x14ac:dyDescent="0.2">
      <c r="A2915" s="3" t="s">
        <v>54</v>
      </c>
      <c r="B2915" s="3" t="s">
        <v>55</v>
      </c>
      <c r="C2915">
        <v>7</v>
      </c>
      <c r="D2915">
        <v>11000</v>
      </c>
      <c r="E2915">
        <v>499</v>
      </c>
      <c r="F2915">
        <v>1</v>
      </c>
      <c r="G2915">
        <v>44062.122210792702</v>
      </c>
      <c r="H2915">
        <v>1.3918309E-2</v>
      </c>
      <c r="I2915">
        <v>11000</v>
      </c>
      <c r="J2915">
        <v>3656</v>
      </c>
      <c r="K2915">
        <v>7344</v>
      </c>
      <c r="L2915">
        <v>500</v>
      </c>
      <c r="M2915">
        <v>499</v>
      </c>
      <c r="N2915">
        <v>1</v>
      </c>
      <c r="O2915">
        <v>0</v>
      </c>
      <c r="P2915" s="3" t="s">
        <v>50</v>
      </c>
      <c r="Q2915">
        <v>50</v>
      </c>
      <c r="R2915">
        <v>0.999</v>
      </c>
      <c r="S2915">
        <v>0</v>
      </c>
    </row>
    <row r="2916" spans="1:19" x14ac:dyDescent="0.2">
      <c r="A2916" s="3" t="s">
        <v>54</v>
      </c>
      <c r="B2916" s="3" t="s">
        <v>55</v>
      </c>
      <c r="C2916">
        <v>7</v>
      </c>
      <c r="D2916">
        <v>10000</v>
      </c>
      <c r="E2916">
        <v>499</v>
      </c>
      <c r="F2916">
        <v>1</v>
      </c>
      <c r="G2916">
        <v>39482.677260513999</v>
      </c>
      <c r="H2916">
        <v>1.3916898E-2</v>
      </c>
      <c r="I2916">
        <v>10000</v>
      </c>
      <c r="J2916">
        <v>3569</v>
      </c>
      <c r="K2916">
        <v>6431</v>
      </c>
      <c r="L2916">
        <v>500</v>
      </c>
      <c r="M2916">
        <v>499</v>
      </c>
      <c r="N2916">
        <v>1</v>
      </c>
      <c r="O2916">
        <v>0</v>
      </c>
      <c r="P2916" s="3" t="s">
        <v>50</v>
      </c>
      <c r="Q2916">
        <v>50</v>
      </c>
      <c r="R2916">
        <v>0.999</v>
      </c>
      <c r="S2916">
        <v>0</v>
      </c>
    </row>
    <row r="2917" spans="1:19" x14ac:dyDescent="0.2">
      <c r="A2917" s="3" t="s">
        <v>54</v>
      </c>
      <c r="B2917" s="3" t="s">
        <v>55</v>
      </c>
      <c r="C2917">
        <v>45</v>
      </c>
      <c r="D2917">
        <v>10000</v>
      </c>
      <c r="E2917">
        <v>499</v>
      </c>
      <c r="F2917">
        <v>1</v>
      </c>
      <c r="G2917">
        <v>10000</v>
      </c>
      <c r="H2917">
        <v>1.3916677000000001E-2</v>
      </c>
      <c r="I2917">
        <v>10000</v>
      </c>
      <c r="J2917">
        <v>3595</v>
      </c>
      <c r="K2917">
        <v>6405</v>
      </c>
      <c r="L2917">
        <v>500</v>
      </c>
      <c r="M2917">
        <v>499</v>
      </c>
      <c r="N2917">
        <v>1</v>
      </c>
      <c r="O2917">
        <v>0</v>
      </c>
      <c r="P2917" s="3" t="s">
        <v>50</v>
      </c>
      <c r="Q2917">
        <v>50</v>
      </c>
      <c r="R2917">
        <v>0.999</v>
      </c>
      <c r="S2917">
        <v>1</v>
      </c>
    </row>
    <row r="2918" spans="1:19" x14ac:dyDescent="0.2">
      <c r="A2918" s="3" t="s">
        <v>54</v>
      </c>
      <c r="B2918" s="3" t="s">
        <v>55</v>
      </c>
      <c r="C2918">
        <v>17</v>
      </c>
      <c r="D2918">
        <v>13000</v>
      </c>
      <c r="E2918">
        <v>499</v>
      </c>
      <c r="F2918">
        <v>1</v>
      </c>
      <c r="G2918">
        <v>13000</v>
      </c>
      <c r="H2918">
        <v>1.3913165999999999E-2</v>
      </c>
      <c r="I2918">
        <v>12715</v>
      </c>
      <c r="J2918">
        <v>3788</v>
      </c>
      <c r="K2918">
        <v>8927</v>
      </c>
      <c r="L2918">
        <v>500</v>
      </c>
      <c r="M2918">
        <v>499</v>
      </c>
      <c r="N2918">
        <v>1</v>
      </c>
      <c r="O2918">
        <v>285</v>
      </c>
      <c r="P2918" s="3" t="s">
        <v>52</v>
      </c>
      <c r="Q2918">
        <v>50</v>
      </c>
      <c r="R2918">
        <v>0.999</v>
      </c>
      <c r="S2918">
        <v>1</v>
      </c>
    </row>
    <row r="2919" spans="1:19" x14ac:dyDescent="0.2">
      <c r="A2919" s="3" t="s">
        <v>54</v>
      </c>
      <c r="B2919" s="3" t="s">
        <v>55</v>
      </c>
      <c r="C2919">
        <v>14</v>
      </c>
      <c r="D2919">
        <v>11000</v>
      </c>
      <c r="E2919">
        <v>499</v>
      </c>
      <c r="F2919">
        <v>1</v>
      </c>
      <c r="G2919">
        <v>11000</v>
      </c>
      <c r="H2919">
        <v>1.3904292E-2</v>
      </c>
      <c r="I2919">
        <v>11000</v>
      </c>
      <c r="J2919">
        <v>3675</v>
      </c>
      <c r="K2919">
        <v>7325</v>
      </c>
      <c r="L2919">
        <v>500</v>
      </c>
      <c r="M2919">
        <v>499</v>
      </c>
      <c r="N2919">
        <v>1</v>
      </c>
      <c r="O2919">
        <v>0</v>
      </c>
      <c r="P2919" s="3" t="s">
        <v>50</v>
      </c>
      <c r="Q2919">
        <v>50</v>
      </c>
      <c r="R2919">
        <v>0.999</v>
      </c>
      <c r="S2919">
        <v>1</v>
      </c>
    </row>
    <row r="2920" spans="1:19" x14ac:dyDescent="0.2">
      <c r="A2920" s="3" t="s">
        <v>54</v>
      </c>
      <c r="B2920" s="3" t="s">
        <v>55</v>
      </c>
      <c r="C2920">
        <v>25</v>
      </c>
      <c r="D2920">
        <v>11000</v>
      </c>
      <c r="E2920">
        <v>499</v>
      </c>
      <c r="F2920">
        <v>1</v>
      </c>
      <c r="G2920">
        <v>44062.122210792702</v>
      </c>
      <c r="H2920">
        <v>1.3894558E-2</v>
      </c>
      <c r="I2920">
        <v>11000</v>
      </c>
      <c r="J2920">
        <v>3667</v>
      </c>
      <c r="K2920">
        <v>7333</v>
      </c>
      <c r="L2920">
        <v>500</v>
      </c>
      <c r="M2920">
        <v>499</v>
      </c>
      <c r="N2920">
        <v>1</v>
      </c>
      <c r="O2920">
        <v>0</v>
      </c>
      <c r="P2920" s="3" t="s">
        <v>50</v>
      </c>
      <c r="Q2920">
        <v>50</v>
      </c>
      <c r="R2920">
        <v>0.999</v>
      </c>
      <c r="S2920">
        <v>0</v>
      </c>
    </row>
    <row r="2921" spans="1:19" x14ac:dyDescent="0.2">
      <c r="A2921" s="3" t="s">
        <v>54</v>
      </c>
      <c r="B2921" s="3" t="s">
        <v>55</v>
      </c>
      <c r="C2921">
        <v>38</v>
      </c>
      <c r="D2921">
        <v>13000</v>
      </c>
      <c r="E2921">
        <v>499</v>
      </c>
      <c r="F2921">
        <v>1</v>
      </c>
      <c r="G2921">
        <v>13000</v>
      </c>
      <c r="H2921">
        <v>1.3894511999999999E-2</v>
      </c>
      <c r="I2921">
        <v>12721</v>
      </c>
      <c r="J2921">
        <v>3804</v>
      </c>
      <c r="K2921">
        <v>8917</v>
      </c>
      <c r="L2921">
        <v>500</v>
      </c>
      <c r="M2921">
        <v>499</v>
      </c>
      <c r="N2921">
        <v>1</v>
      </c>
      <c r="O2921">
        <v>279</v>
      </c>
      <c r="P2921" s="3" t="s">
        <v>52</v>
      </c>
      <c r="Q2921">
        <v>50</v>
      </c>
      <c r="R2921">
        <v>0.999</v>
      </c>
      <c r="S2921">
        <v>1</v>
      </c>
    </row>
    <row r="2922" spans="1:19" x14ac:dyDescent="0.2">
      <c r="A2922" s="3" t="s">
        <v>54</v>
      </c>
      <c r="B2922" s="3" t="s">
        <v>55</v>
      </c>
      <c r="C2922">
        <v>20</v>
      </c>
      <c r="D2922">
        <v>10000</v>
      </c>
      <c r="E2922">
        <v>499</v>
      </c>
      <c r="F2922">
        <v>1</v>
      </c>
      <c r="G2922">
        <v>10000</v>
      </c>
      <c r="H2922">
        <v>1.3893009E-2</v>
      </c>
      <c r="I2922">
        <v>10000</v>
      </c>
      <c r="J2922">
        <v>3602</v>
      </c>
      <c r="K2922">
        <v>6398</v>
      </c>
      <c r="L2922">
        <v>500</v>
      </c>
      <c r="M2922">
        <v>499</v>
      </c>
      <c r="N2922">
        <v>1</v>
      </c>
      <c r="O2922">
        <v>0</v>
      </c>
      <c r="P2922" s="3" t="s">
        <v>50</v>
      </c>
      <c r="Q2922">
        <v>50</v>
      </c>
      <c r="R2922">
        <v>0.999</v>
      </c>
      <c r="S2922">
        <v>1</v>
      </c>
    </row>
    <row r="2923" spans="1:19" x14ac:dyDescent="0.2">
      <c r="A2923" s="3" t="s">
        <v>54</v>
      </c>
      <c r="B2923" s="3" t="s">
        <v>55</v>
      </c>
      <c r="C2923">
        <v>12</v>
      </c>
      <c r="D2923">
        <v>12000</v>
      </c>
      <c r="E2923">
        <v>499</v>
      </c>
      <c r="F2923">
        <v>1</v>
      </c>
      <c r="G2923">
        <v>12000</v>
      </c>
      <c r="H2923">
        <v>1.3889498E-2</v>
      </c>
      <c r="I2923">
        <v>12000</v>
      </c>
      <c r="J2923">
        <v>3699</v>
      </c>
      <c r="K2923">
        <v>8301</v>
      </c>
      <c r="L2923">
        <v>500</v>
      </c>
      <c r="M2923">
        <v>499</v>
      </c>
      <c r="N2923">
        <v>1</v>
      </c>
      <c r="O2923">
        <v>0</v>
      </c>
      <c r="P2923" s="3" t="s">
        <v>50</v>
      </c>
      <c r="Q2923">
        <v>50</v>
      </c>
      <c r="R2923">
        <v>0.999</v>
      </c>
      <c r="S2923">
        <v>1</v>
      </c>
    </row>
    <row r="2924" spans="1:19" x14ac:dyDescent="0.2">
      <c r="A2924" s="3" t="s">
        <v>54</v>
      </c>
      <c r="B2924" s="3" t="s">
        <v>55</v>
      </c>
      <c r="C2924">
        <v>46</v>
      </c>
      <c r="D2924">
        <v>11000</v>
      </c>
      <c r="E2924">
        <v>499</v>
      </c>
      <c r="F2924">
        <v>1</v>
      </c>
      <c r="G2924">
        <v>44062.122210792702</v>
      </c>
      <c r="H2924">
        <v>1.3878260999999999E-2</v>
      </c>
      <c r="I2924">
        <v>11000</v>
      </c>
      <c r="J2924">
        <v>3644</v>
      </c>
      <c r="K2924">
        <v>7356</v>
      </c>
      <c r="L2924">
        <v>500</v>
      </c>
      <c r="M2924">
        <v>499</v>
      </c>
      <c r="N2924">
        <v>1</v>
      </c>
      <c r="O2924">
        <v>0</v>
      </c>
      <c r="P2924" s="3" t="s">
        <v>50</v>
      </c>
      <c r="Q2924">
        <v>50</v>
      </c>
      <c r="R2924">
        <v>0.999</v>
      </c>
      <c r="S2924">
        <v>0</v>
      </c>
    </row>
    <row r="2925" spans="1:19" x14ac:dyDescent="0.2">
      <c r="A2925" s="3" t="s">
        <v>54</v>
      </c>
      <c r="B2925" s="3" t="s">
        <v>55</v>
      </c>
      <c r="C2925">
        <v>6</v>
      </c>
      <c r="D2925">
        <v>12000</v>
      </c>
      <c r="E2925">
        <v>499</v>
      </c>
      <c r="F2925">
        <v>1</v>
      </c>
      <c r="G2925">
        <v>12000</v>
      </c>
      <c r="H2925">
        <v>1.3875353E-2</v>
      </c>
      <c r="I2925">
        <v>12000</v>
      </c>
      <c r="J2925">
        <v>3729</v>
      </c>
      <c r="K2925">
        <v>8271</v>
      </c>
      <c r="L2925">
        <v>500</v>
      </c>
      <c r="M2925">
        <v>499</v>
      </c>
      <c r="N2925">
        <v>1</v>
      </c>
      <c r="O2925">
        <v>0</v>
      </c>
      <c r="P2925" s="3" t="s">
        <v>50</v>
      </c>
      <c r="Q2925">
        <v>50</v>
      </c>
      <c r="R2925">
        <v>0.999</v>
      </c>
      <c r="S2925">
        <v>1</v>
      </c>
    </row>
    <row r="2926" spans="1:19" x14ac:dyDescent="0.2">
      <c r="A2926" s="3" t="s">
        <v>54</v>
      </c>
      <c r="B2926" s="3" t="s">
        <v>55</v>
      </c>
      <c r="C2926">
        <v>29</v>
      </c>
      <c r="D2926">
        <v>12000</v>
      </c>
      <c r="E2926">
        <v>499</v>
      </c>
      <c r="F2926">
        <v>1</v>
      </c>
      <c r="G2926">
        <v>12000</v>
      </c>
      <c r="H2926">
        <v>1.3875234E-2</v>
      </c>
      <c r="I2926">
        <v>12000</v>
      </c>
      <c r="J2926">
        <v>3714</v>
      </c>
      <c r="K2926">
        <v>8286</v>
      </c>
      <c r="L2926">
        <v>500</v>
      </c>
      <c r="M2926">
        <v>499</v>
      </c>
      <c r="N2926">
        <v>1</v>
      </c>
      <c r="O2926">
        <v>0</v>
      </c>
      <c r="P2926" s="3" t="s">
        <v>50</v>
      </c>
      <c r="Q2926">
        <v>50</v>
      </c>
      <c r="R2926">
        <v>0.999</v>
      </c>
      <c r="S2926">
        <v>1</v>
      </c>
    </row>
    <row r="2927" spans="1:19" x14ac:dyDescent="0.2">
      <c r="A2927" s="3" t="s">
        <v>54</v>
      </c>
      <c r="B2927" s="3" t="s">
        <v>55</v>
      </c>
      <c r="C2927">
        <v>17</v>
      </c>
      <c r="D2927">
        <v>10000</v>
      </c>
      <c r="E2927">
        <v>499</v>
      </c>
      <c r="F2927">
        <v>1</v>
      </c>
      <c r="G2927">
        <v>39482.677260513999</v>
      </c>
      <c r="H2927">
        <v>1.3869652E-2</v>
      </c>
      <c r="I2927">
        <v>10000</v>
      </c>
      <c r="J2927">
        <v>3570</v>
      </c>
      <c r="K2927">
        <v>6430</v>
      </c>
      <c r="L2927">
        <v>500</v>
      </c>
      <c r="M2927">
        <v>499</v>
      </c>
      <c r="N2927">
        <v>1</v>
      </c>
      <c r="O2927">
        <v>0</v>
      </c>
      <c r="P2927" s="3" t="s">
        <v>50</v>
      </c>
      <c r="Q2927">
        <v>50</v>
      </c>
      <c r="R2927">
        <v>0.999</v>
      </c>
      <c r="S2927">
        <v>0</v>
      </c>
    </row>
    <row r="2928" spans="1:19" x14ac:dyDescent="0.2">
      <c r="A2928" s="3" t="s">
        <v>54</v>
      </c>
      <c r="B2928" s="3" t="s">
        <v>55</v>
      </c>
      <c r="C2928">
        <v>8</v>
      </c>
      <c r="D2928">
        <v>10000</v>
      </c>
      <c r="E2928">
        <v>499</v>
      </c>
      <c r="F2928">
        <v>1</v>
      </c>
      <c r="G2928">
        <v>39482.677260513999</v>
      </c>
      <c r="H2928">
        <v>1.3868121000000001E-2</v>
      </c>
      <c r="I2928">
        <v>10000</v>
      </c>
      <c r="J2928">
        <v>3556</v>
      </c>
      <c r="K2928">
        <v>6444</v>
      </c>
      <c r="L2928">
        <v>500</v>
      </c>
      <c r="M2928">
        <v>499</v>
      </c>
      <c r="N2928">
        <v>1</v>
      </c>
      <c r="O2928">
        <v>0</v>
      </c>
      <c r="P2928" s="3" t="s">
        <v>50</v>
      </c>
      <c r="Q2928">
        <v>50</v>
      </c>
      <c r="R2928">
        <v>0.999</v>
      </c>
      <c r="S2928">
        <v>0</v>
      </c>
    </row>
    <row r="2929" spans="1:19" x14ac:dyDescent="0.2">
      <c r="A2929" s="3" t="s">
        <v>54</v>
      </c>
      <c r="B2929" s="3" t="s">
        <v>55</v>
      </c>
      <c r="C2929">
        <v>42</v>
      </c>
      <c r="D2929">
        <v>13000</v>
      </c>
      <c r="E2929">
        <v>499</v>
      </c>
      <c r="F2929">
        <v>1</v>
      </c>
      <c r="G2929">
        <v>13000</v>
      </c>
      <c r="H2929">
        <v>1.3866755999999999E-2</v>
      </c>
      <c r="I2929">
        <v>12705</v>
      </c>
      <c r="J2929">
        <v>3745</v>
      </c>
      <c r="K2929">
        <v>8960</v>
      </c>
      <c r="L2929">
        <v>500</v>
      </c>
      <c r="M2929">
        <v>499</v>
      </c>
      <c r="N2929">
        <v>1</v>
      </c>
      <c r="O2929">
        <v>295</v>
      </c>
      <c r="P2929" s="3" t="s">
        <v>52</v>
      </c>
      <c r="Q2929">
        <v>50</v>
      </c>
      <c r="R2929">
        <v>0.999</v>
      </c>
      <c r="S2929">
        <v>1</v>
      </c>
    </row>
    <row r="2930" spans="1:19" x14ac:dyDescent="0.2">
      <c r="A2930" s="3" t="s">
        <v>54</v>
      </c>
      <c r="B2930" s="3" t="s">
        <v>55</v>
      </c>
      <c r="C2930">
        <v>50</v>
      </c>
      <c r="D2930">
        <v>11000</v>
      </c>
      <c r="E2930">
        <v>499</v>
      </c>
      <c r="F2930">
        <v>1</v>
      </c>
      <c r="G2930">
        <v>44062.122210792702</v>
      </c>
      <c r="H2930">
        <v>1.3855912999999999E-2</v>
      </c>
      <c r="I2930">
        <v>11000</v>
      </c>
      <c r="J2930">
        <v>3635</v>
      </c>
      <c r="K2930">
        <v>7365</v>
      </c>
      <c r="L2930">
        <v>500</v>
      </c>
      <c r="M2930">
        <v>499</v>
      </c>
      <c r="N2930">
        <v>1</v>
      </c>
      <c r="O2930">
        <v>0</v>
      </c>
      <c r="P2930" s="3" t="s">
        <v>50</v>
      </c>
      <c r="Q2930">
        <v>50</v>
      </c>
      <c r="R2930">
        <v>0.999</v>
      </c>
      <c r="S2930">
        <v>0</v>
      </c>
    </row>
    <row r="2931" spans="1:19" x14ac:dyDescent="0.2">
      <c r="A2931" s="3" t="s">
        <v>54</v>
      </c>
      <c r="B2931" s="3" t="s">
        <v>55</v>
      </c>
      <c r="C2931">
        <v>11</v>
      </c>
      <c r="D2931">
        <v>12000</v>
      </c>
      <c r="E2931">
        <v>499</v>
      </c>
      <c r="F2931">
        <v>1</v>
      </c>
      <c r="G2931">
        <v>12000</v>
      </c>
      <c r="H2931">
        <v>1.3851822E-2</v>
      </c>
      <c r="I2931">
        <v>12000</v>
      </c>
      <c r="J2931">
        <v>3613</v>
      </c>
      <c r="K2931">
        <v>8387</v>
      </c>
      <c r="L2931">
        <v>500</v>
      </c>
      <c r="M2931">
        <v>499</v>
      </c>
      <c r="N2931">
        <v>1</v>
      </c>
      <c r="O2931">
        <v>0</v>
      </c>
      <c r="P2931" s="3" t="s">
        <v>50</v>
      </c>
      <c r="Q2931">
        <v>50</v>
      </c>
      <c r="R2931">
        <v>0.999</v>
      </c>
      <c r="S2931">
        <v>1</v>
      </c>
    </row>
    <row r="2932" spans="1:19" x14ac:dyDescent="0.2">
      <c r="A2932" s="3" t="s">
        <v>54</v>
      </c>
      <c r="B2932" s="3" t="s">
        <v>55</v>
      </c>
      <c r="C2932">
        <v>44</v>
      </c>
      <c r="D2932">
        <v>10000</v>
      </c>
      <c r="E2932">
        <v>499</v>
      </c>
      <c r="F2932">
        <v>1</v>
      </c>
      <c r="G2932">
        <v>10000</v>
      </c>
      <c r="H2932">
        <v>1.3850539E-2</v>
      </c>
      <c r="I2932">
        <v>10000</v>
      </c>
      <c r="J2932">
        <v>3576</v>
      </c>
      <c r="K2932">
        <v>6424</v>
      </c>
      <c r="L2932">
        <v>500</v>
      </c>
      <c r="M2932">
        <v>499</v>
      </c>
      <c r="N2932">
        <v>1</v>
      </c>
      <c r="O2932">
        <v>0</v>
      </c>
      <c r="P2932" s="3" t="s">
        <v>50</v>
      </c>
      <c r="Q2932">
        <v>50</v>
      </c>
      <c r="R2932">
        <v>0.999</v>
      </c>
      <c r="S2932">
        <v>1</v>
      </c>
    </row>
    <row r="2933" spans="1:19" x14ac:dyDescent="0.2">
      <c r="A2933" s="3" t="s">
        <v>54</v>
      </c>
      <c r="B2933" s="3" t="s">
        <v>55</v>
      </c>
      <c r="C2933">
        <v>22</v>
      </c>
      <c r="D2933">
        <v>12000</v>
      </c>
      <c r="E2933">
        <v>499</v>
      </c>
      <c r="F2933">
        <v>1</v>
      </c>
      <c r="G2933">
        <v>50533.323552418398</v>
      </c>
      <c r="H2933">
        <v>1.3849577E-2</v>
      </c>
      <c r="I2933">
        <v>12000</v>
      </c>
      <c r="J2933">
        <v>3666</v>
      </c>
      <c r="K2933">
        <v>8334</v>
      </c>
      <c r="L2933">
        <v>500</v>
      </c>
      <c r="M2933">
        <v>499</v>
      </c>
      <c r="N2933">
        <v>1</v>
      </c>
      <c r="O2933">
        <v>0</v>
      </c>
      <c r="P2933" s="3" t="s">
        <v>50</v>
      </c>
      <c r="Q2933">
        <v>50</v>
      </c>
      <c r="R2933">
        <v>0.999</v>
      </c>
      <c r="S2933">
        <v>0</v>
      </c>
    </row>
    <row r="2934" spans="1:19" x14ac:dyDescent="0.2">
      <c r="A2934" s="3" t="s">
        <v>54</v>
      </c>
      <c r="B2934" s="3" t="s">
        <v>55</v>
      </c>
      <c r="C2934">
        <v>37</v>
      </c>
      <c r="D2934">
        <v>13000</v>
      </c>
      <c r="E2934">
        <v>499</v>
      </c>
      <c r="F2934">
        <v>1</v>
      </c>
      <c r="G2934">
        <v>13000</v>
      </c>
      <c r="H2934">
        <v>1.3842721000000001E-2</v>
      </c>
      <c r="I2934">
        <v>12698</v>
      </c>
      <c r="J2934">
        <v>3761</v>
      </c>
      <c r="K2934">
        <v>8937</v>
      </c>
      <c r="L2934">
        <v>500</v>
      </c>
      <c r="M2934">
        <v>499</v>
      </c>
      <c r="N2934">
        <v>1</v>
      </c>
      <c r="O2934">
        <v>302</v>
      </c>
      <c r="P2934" s="3" t="s">
        <v>52</v>
      </c>
      <c r="Q2934">
        <v>50</v>
      </c>
      <c r="R2934">
        <v>0.999</v>
      </c>
      <c r="S2934">
        <v>1</v>
      </c>
    </row>
    <row r="2935" spans="1:19" x14ac:dyDescent="0.2">
      <c r="A2935" s="3" t="s">
        <v>54</v>
      </c>
      <c r="B2935" s="3" t="s">
        <v>55</v>
      </c>
      <c r="C2935">
        <v>7</v>
      </c>
      <c r="D2935">
        <v>12000</v>
      </c>
      <c r="E2935">
        <v>499</v>
      </c>
      <c r="F2935">
        <v>1</v>
      </c>
      <c r="G2935">
        <v>12000</v>
      </c>
      <c r="H2935">
        <v>1.3841134999999999E-2</v>
      </c>
      <c r="I2935">
        <v>12000</v>
      </c>
      <c r="J2935">
        <v>3675</v>
      </c>
      <c r="K2935">
        <v>8325</v>
      </c>
      <c r="L2935">
        <v>500</v>
      </c>
      <c r="M2935">
        <v>499</v>
      </c>
      <c r="N2935">
        <v>1</v>
      </c>
      <c r="O2935">
        <v>0</v>
      </c>
      <c r="P2935" s="3" t="s">
        <v>50</v>
      </c>
      <c r="Q2935">
        <v>50</v>
      </c>
      <c r="R2935">
        <v>0.999</v>
      </c>
      <c r="S2935">
        <v>1</v>
      </c>
    </row>
    <row r="2936" spans="1:19" x14ac:dyDescent="0.2">
      <c r="A2936" s="3" t="s">
        <v>54</v>
      </c>
      <c r="B2936" s="3" t="s">
        <v>55</v>
      </c>
      <c r="C2936">
        <v>23</v>
      </c>
      <c r="D2936">
        <v>12000</v>
      </c>
      <c r="E2936">
        <v>499</v>
      </c>
      <c r="F2936">
        <v>1</v>
      </c>
      <c r="G2936">
        <v>12000</v>
      </c>
      <c r="H2936">
        <v>1.3836166E-2</v>
      </c>
      <c r="I2936">
        <v>12000</v>
      </c>
      <c r="J2936">
        <v>3731</v>
      </c>
      <c r="K2936">
        <v>8269</v>
      </c>
      <c r="L2936">
        <v>500</v>
      </c>
      <c r="M2936">
        <v>499</v>
      </c>
      <c r="N2936">
        <v>1</v>
      </c>
      <c r="O2936">
        <v>0</v>
      </c>
      <c r="P2936" s="3" t="s">
        <v>50</v>
      </c>
      <c r="Q2936">
        <v>50</v>
      </c>
      <c r="R2936">
        <v>0.999</v>
      </c>
      <c r="S2936">
        <v>1</v>
      </c>
    </row>
    <row r="2937" spans="1:19" x14ac:dyDescent="0.2">
      <c r="A2937" s="3" t="s">
        <v>54</v>
      </c>
      <c r="B2937" s="3" t="s">
        <v>55</v>
      </c>
      <c r="C2937">
        <v>4</v>
      </c>
      <c r="D2937">
        <v>12000</v>
      </c>
      <c r="E2937">
        <v>499</v>
      </c>
      <c r="F2937">
        <v>1</v>
      </c>
      <c r="G2937">
        <v>12000</v>
      </c>
      <c r="H2937">
        <v>1.3829878E-2</v>
      </c>
      <c r="I2937">
        <v>12000</v>
      </c>
      <c r="J2937">
        <v>3668</v>
      </c>
      <c r="K2937">
        <v>8332</v>
      </c>
      <c r="L2937">
        <v>500</v>
      </c>
      <c r="M2937">
        <v>499</v>
      </c>
      <c r="N2937">
        <v>1</v>
      </c>
      <c r="O2937">
        <v>0</v>
      </c>
      <c r="P2937" s="3" t="s">
        <v>50</v>
      </c>
      <c r="Q2937">
        <v>50</v>
      </c>
      <c r="R2937">
        <v>0.999</v>
      </c>
      <c r="S2937">
        <v>1</v>
      </c>
    </row>
    <row r="2938" spans="1:19" x14ac:dyDescent="0.2">
      <c r="A2938" s="3" t="s">
        <v>54</v>
      </c>
      <c r="B2938" s="3" t="s">
        <v>55</v>
      </c>
      <c r="C2938">
        <v>3</v>
      </c>
      <c r="D2938">
        <v>12000</v>
      </c>
      <c r="E2938">
        <v>499</v>
      </c>
      <c r="F2938">
        <v>1</v>
      </c>
      <c r="G2938">
        <v>12000</v>
      </c>
      <c r="H2938">
        <v>1.3828778E-2</v>
      </c>
      <c r="I2938">
        <v>12000</v>
      </c>
      <c r="J2938">
        <v>3680</v>
      </c>
      <c r="K2938">
        <v>8320</v>
      </c>
      <c r="L2938">
        <v>500</v>
      </c>
      <c r="M2938">
        <v>499</v>
      </c>
      <c r="N2938">
        <v>1</v>
      </c>
      <c r="O2938">
        <v>0</v>
      </c>
      <c r="P2938" s="3" t="s">
        <v>50</v>
      </c>
      <c r="Q2938">
        <v>50</v>
      </c>
      <c r="R2938">
        <v>0.999</v>
      </c>
      <c r="S2938">
        <v>1</v>
      </c>
    </row>
    <row r="2939" spans="1:19" x14ac:dyDescent="0.2">
      <c r="A2939" s="3" t="s">
        <v>54</v>
      </c>
      <c r="B2939" s="3" t="s">
        <v>55</v>
      </c>
      <c r="C2939">
        <v>6</v>
      </c>
      <c r="D2939">
        <v>11000</v>
      </c>
      <c r="E2939">
        <v>499</v>
      </c>
      <c r="F2939">
        <v>1</v>
      </c>
      <c r="G2939">
        <v>11000</v>
      </c>
      <c r="H2939">
        <v>1.3826990000000001E-2</v>
      </c>
      <c r="I2939">
        <v>11000</v>
      </c>
      <c r="J2939">
        <v>3654</v>
      </c>
      <c r="K2939">
        <v>7346</v>
      </c>
      <c r="L2939">
        <v>500</v>
      </c>
      <c r="M2939">
        <v>499</v>
      </c>
      <c r="N2939">
        <v>1</v>
      </c>
      <c r="O2939">
        <v>0</v>
      </c>
      <c r="P2939" s="3" t="s">
        <v>50</v>
      </c>
      <c r="Q2939">
        <v>50</v>
      </c>
      <c r="R2939">
        <v>0.999</v>
      </c>
      <c r="S2939">
        <v>1</v>
      </c>
    </row>
    <row r="2940" spans="1:19" x14ac:dyDescent="0.2">
      <c r="A2940" s="3" t="s">
        <v>54</v>
      </c>
      <c r="B2940" s="3" t="s">
        <v>55</v>
      </c>
      <c r="C2940">
        <v>1</v>
      </c>
      <c r="D2940">
        <v>12000</v>
      </c>
      <c r="E2940">
        <v>499</v>
      </c>
      <c r="F2940">
        <v>1</v>
      </c>
      <c r="G2940">
        <v>50533.323552418398</v>
      </c>
      <c r="H2940">
        <v>1.3825726999999999E-2</v>
      </c>
      <c r="I2940">
        <v>11999</v>
      </c>
      <c r="J2940">
        <v>3753</v>
      </c>
      <c r="K2940">
        <v>8246</v>
      </c>
      <c r="L2940">
        <v>500</v>
      </c>
      <c r="M2940">
        <v>499</v>
      </c>
      <c r="N2940">
        <v>1</v>
      </c>
      <c r="O2940">
        <v>6.5197123084999999</v>
      </c>
      <c r="P2940" s="3" t="s">
        <v>50</v>
      </c>
      <c r="Q2940">
        <v>50</v>
      </c>
      <c r="R2940">
        <v>0.999</v>
      </c>
      <c r="S2940">
        <v>0</v>
      </c>
    </row>
    <row r="2941" spans="1:19" x14ac:dyDescent="0.2">
      <c r="A2941" s="3" t="s">
        <v>54</v>
      </c>
      <c r="B2941" s="3" t="s">
        <v>55</v>
      </c>
      <c r="C2941">
        <v>44</v>
      </c>
      <c r="D2941">
        <v>12000</v>
      </c>
      <c r="E2941">
        <v>499</v>
      </c>
      <c r="F2941">
        <v>1</v>
      </c>
      <c r="G2941">
        <v>12000</v>
      </c>
      <c r="H2941">
        <v>1.3824168E-2</v>
      </c>
      <c r="I2941">
        <v>12000</v>
      </c>
      <c r="J2941">
        <v>3695</v>
      </c>
      <c r="K2941">
        <v>8305</v>
      </c>
      <c r="L2941">
        <v>500</v>
      </c>
      <c r="M2941">
        <v>499</v>
      </c>
      <c r="N2941">
        <v>1</v>
      </c>
      <c r="O2941">
        <v>0</v>
      </c>
      <c r="P2941" s="3" t="s">
        <v>50</v>
      </c>
      <c r="Q2941">
        <v>50</v>
      </c>
      <c r="R2941">
        <v>0.999</v>
      </c>
      <c r="S2941">
        <v>1</v>
      </c>
    </row>
    <row r="2942" spans="1:19" x14ac:dyDescent="0.2">
      <c r="A2942" s="3" t="s">
        <v>54</v>
      </c>
      <c r="B2942" s="3" t="s">
        <v>55</v>
      </c>
      <c r="C2942">
        <v>22</v>
      </c>
      <c r="D2942">
        <v>10000</v>
      </c>
      <c r="E2942">
        <v>499</v>
      </c>
      <c r="F2942">
        <v>1</v>
      </c>
      <c r="G2942">
        <v>10000</v>
      </c>
      <c r="H2942">
        <v>1.3816421000000001E-2</v>
      </c>
      <c r="I2942">
        <v>10000</v>
      </c>
      <c r="J2942">
        <v>3561</v>
      </c>
      <c r="K2942">
        <v>6439</v>
      </c>
      <c r="L2942">
        <v>500</v>
      </c>
      <c r="M2942">
        <v>499</v>
      </c>
      <c r="N2942">
        <v>1</v>
      </c>
      <c r="O2942">
        <v>0</v>
      </c>
      <c r="P2942" s="3" t="s">
        <v>50</v>
      </c>
      <c r="Q2942">
        <v>50</v>
      </c>
      <c r="R2942">
        <v>0.999</v>
      </c>
      <c r="S2942">
        <v>1</v>
      </c>
    </row>
    <row r="2943" spans="1:19" x14ac:dyDescent="0.2">
      <c r="A2943" s="3" t="s">
        <v>54</v>
      </c>
      <c r="B2943" s="3" t="s">
        <v>55</v>
      </c>
      <c r="C2943">
        <v>23</v>
      </c>
      <c r="D2943">
        <v>10000</v>
      </c>
      <c r="E2943">
        <v>499</v>
      </c>
      <c r="F2943">
        <v>1</v>
      </c>
      <c r="G2943">
        <v>39482.677260513999</v>
      </c>
      <c r="H2943">
        <v>1.3815348999999999E-2</v>
      </c>
      <c r="I2943">
        <v>10000</v>
      </c>
      <c r="J2943">
        <v>3549</v>
      </c>
      <c r="K2943">
        <v>6451</v>
      </c>
      <c r="L2943">
        <v>500</v>
      </c>
      <c r="M2943">
        <v>499</v>
      </c>
      <c r="N2943">
        <v>1</v>
      </c>
      <c r="O2943">
        <v>0</v>
      </c>
      <c r="P2943" s="3" t="s">
        <v>50</v>
      </c>
      <c r="Q2943">
        <v>50</v>
      </c>
      <c r="R2943">
        <v>0.999</v>
      </c>
      <c r="S2943">
        <v>0</v>
      </c>
    </row>
    <row r="2944" spans="1:19" x14ac:dyDescent="0.2">
      <c r="A2944" s="3" t="s">
        <v>54</v>
      </c>
      <c r="B2944" s="3" t="s">
        <v>55</v>
      </c>
      <c r="C2944">
        <v>24</v>
      </c>
      <c r="D2944">
        <v>10000</v>
      </c>
      <c r="E2944">
        <v>499</v>
      </c>
      <c r="F2944">
        <v>1</v>
      </c>
      <c r="G2944">
        <v>39482.677260513999</v>
      </c>
      <c r="H2944">
        <v>1.3814781E-2</v>
      </c>
      <c r="I2944">
        <v>10000</v>
      </c>
      <c r="J2944">
        <v>3540</v>
      </c>
      <c r="K2944">
        <v>6460</v>
      </c>
      <c r="L2944">
        <v>500</v>
      </c>
      <c r="M2944">
        <v>499</v>
      </c>
      <c r="N2944">
        <v>1</v>
      </c>
      <c r="O2944">
        <v>0</v>
      </c>
      <c r="P2944" s="3" t="s">
        <v>50</v>
      </c>
      <c r="Q2944">
        <v>50</v>
      </c>
      <c r="R2944">
        <v>0.999</v>
      </c>
      <c r="S2944">
        <v>0</v>
      </c>
    </row>
    <row r="2945" spans="1:19" x14ac:dyDescent="0.2">
      <c r="A2945" s="3" t="s">
        <v>54</v>
      </c>
      <c r="B2945" s="3" t="s">
        <v>55</v>
      </c>
      <c r="C2945">
        <v>32</v>
      </c>
      <c r="D2945">
        <v>10000</v>
      </c>
      <c r="E2945">
        <v>499</v>
      </c>
      <c r="F2945">
        <v>1</v>
      </c>
      <c r="G2945">
        <v>10000</v>
      </c>
      <c r="H2945">
        <v>1.3813873000000001E-2</v>
      </c>
      <c r="I2945">
        <v>10000</v>
      </c>
      <c r="J2945">
        <v>3612</v>
      </c>
      <c r="K2945">
        <v>6388</v>
      </c>
      <c r="L2945">
        <v>500</v>
      </c>
      <c r="M2945">
        <v>499</v>
      </c>
      <c r="N2945">
        <v>1</v>
      </c>
      <c r="O2945">
        <v>0</v>
      </c>
      <c r="P2945" s="3" t="s">
        <v>50</v>
      </c>
      <c r="Q2945">
        <v>50</v>
      </c>
      <c r="R2945">
        <v>0.999</v>
      </c>
      <c r="S2945">
        <v>1</v>
      </c>
    </row>
    <row r="2946" spans="1:19" x14ac:dyDescent="0.2">
      <c r="A2946" s="3" t="s">
        <v>54</v>
      </c>
      <c r="B2946" s="3" t="s">
        <v>55</v>
      </c>
      <c r="C2946">
        <v>21</v>
      </c>
      <c r="D2946">
        <v>10000</v>
      </c>
      <c r="E2946">
        <v>499</v>
      </c>
      <c r="F2946">
        <v>1</v>
      </c>
      <c r="G2946">
        <v>39482.677260513999</v>
      </c>
      <c r="H2946">
        <v>1.380731E-2</v>
      </c>
      <c r="I2946">
        <v>10000</v>
      </c>
      <c r="J2946">
        <v>3584</v>
      </c>
      <c r="K2946">
        <v>6416</v>
      </c>
      <c r="L2946">
        <v>500</v>
      </c>
      <c r="M2946">
        <v>499</v>
      </c>
      <c r="N2946">
        <v>1</v>
      </c>
      <c r="O2946">
        <v>0</v>
      </c>
      <c r="P2946" s="3" t="s">
        <v>50</v>
      </c>
      <c r="Q2946">
        <v>50</v>
      </c>
      <c r="R2946">
        <v>0.999</v>
      </c>
      <c r="S2946">
        <v>0</v>
      </c>
    </row>
    <row r="2947" spans="1:19" x14ac:dyDescent="0.2">
      <c r="A2947" s="3" t="s">
        <v>54</v>
      </c>
      <c r="B2947" s="3" t="s">
        <v>55</v>
      </c>
      <c r="C2947">
        <v>36</v>
      </c>
      <c r="D2947">
        <v>11000</v>
      </c>
      <c r="E2947">
        <v>499</v>
      </c>
      <c r="F2947">
        <v>1</v>
      </c>
      <c r="G2947">
        <v>44062.122210792702</v>
      </c>
      <c r="H2947">
        <v>1.3800738E-2</v>
      </c>
      <c r="I2947">
        <v>10999</v>
      </c>
      <c r="J2947">
        <v>3630</v>
      </c>
      <c r="K2947">
        <v>7369</v>
      </c>
      <c r="L2947">
        <v>500</v>
      </c>
      <c r="M2947">
        <v>499</v>
      </c>
      <c r="N2947">
        <v>1</v>
      </c>
      <c r="O2947">
        <v>4.7487275037999996</v>
      </c>
      <c r="P2947" s="3" t="s">
        <v>50</v>
      </c>
      <c r="Q2947">
        <v>50</v>
      </c>
      <c r="R2947">
        <v>0.999</v>
      </c>
      <c r="S2947">
        <v>0</v>
      </c>
    </row>
    <row r="2948" spans="1:19" x14ac:dyDescent="0.2">
      <c r="A2948" s="3" t="s">
        <v>54</v>
      </c>
      <c r="B2948" s="3" t="s">
        <v>55</v>
      </c>
      <c r="C2948">
        <v>24</v>
      </c>
      <c r="D2948">
        <v>13000</v>
      </c>
      <c r="E2948">
        <v>499</v>
      </c>
      <c r="F2948">
        <v>1</v>
      </c>
      <c r="G2948">
        <v>13000</v>
      </c>
      <c r="H2948">
        <v>1.379763E-2</v>
      </c>
      <c r="I2948">
        <v>12696</v>
      </c>
      <c r="J2948">
        <v>3760</v>
      </c>
      <c r="K2948">
        <v>8936</v>
      </c>
      <c r="L2948">
        <v>500</v>
      </c>
      <c r="M2948">
        <v>499</v>
      </c>
      <c r="N2948">
        <v>1</v>
      </c>
      <c r="O2948">
        <v>304</v>
      </c>
      <c r="P2948" s="3" t="s">
        <v>52</v>
      </c>
      <c r="Q2948">
        <v>50</v>
      </c>
      <c r="R2948">
        <v>0.999</v>
      </c>
      <c r="S2948">
        <v>1</v>
      </c>
    </row>
    <row r="2949" spans="1:19" x14ac:dyDescent="0.2">
      <c r="A2949" s="3" t="s">
        <v>54</v>
      </c>
      <c r="B2949" s="3" t="s">
        <v>55</v>
      </c>
      <c r="C2949">
        <v>27</v>
      </c>
      <c r="D2949">
        <v>10000</v>
      </c>
      <c r="E2949">
        <v>499</v>
      </c>
      <c r="F2949">
        <v>1</v>
      </c>
      <c r="G2949">
        <v>10000</v>
      </c>
      <c r="H2949">
        <v>1.3796978999999999E-2</v>
      </c>
      <c r="I2949">
        <v>10000</v>
      </c>
      <c r="J2949">
        <v>3546</v>
      </c>
      <c r="K2949">
        <v>6454</v>
      </c>
      <c r="L2949">
        <v>500</v>
      </c>
      <c r="M2949">
        <v>499</v>
      </c>
      <c r="N2949">
        <v>1</v>
      </c>
      <c r="O2949">
        <v>0</v>
      </c>
      <c r="P2949" s="3" t="s">
        <v>50</v>
      </c>
      <c r="Q2949">
        <v>50</v>
      </c>
      <c r="R2949">
        <v>0.999</v>
      </c>
      <c r="S2949">
        <v>1</v>
      </c>
    </row>
    <row r="2950" spans="1:19" x14ac:dyDescent="0.2">
      <c r="A2950" s="3" t="s">
        <v>54</v>
      </c>
      <c r="B2950" s="3" t="s">
        <v>55</v>
      </c>
      <c r="C2950">
        <v>49</v>
      </c>
      <c r="D2950">
        <v>11000</v>
      </c>
      <c r="E2950">
        <v>499</v>
      </c>
      <c r="F2950">
        <v>1</v>
      </c>
      <c r="G2950">
        <v>11000</v>
      </c>
      <c r="H2950">
        <v>1.3796474E-2</v>
      </c>
      <c r="I2950">
        <v>11000</v>
      </c>
      <c r="J2950">
        <v>3633</v>
      </c>
      <c r="K2950">
        <v>7367</v>
      </c>
      <c r="L2950">
        <v>500</v>
      </c>
      <c r="M2950">
        <v>499</v>
      </c>
      <c r="N2950">
        <v>1</v>
      </c>
      <c r="O2950">
        <v>0</v>
      </c>
      <c r="P2950" s="3" t="s">
        <v>50</v>
      </c>
      <c r="Q2950">
        <v>50</v>
      </c>
      <c r="R2950">
        <v>0.999</v>
      </c>
      <c r="S2950">
        <v>1</v>
      </c>
    </row>
    <row r="2951" spans="1:19" x14ac:dyDescent="0.2">
      <c r="A2951" s="3" t="s">
        <v>54</v>
      </c>
      <c r="B2951" s="3" t="s">
        <v>55</v>
      </c>
      <c r="C2951">
        <v>2</v>
      </c>
      <c r="D2951">
        <v>12000</v>
      </c>
      <c r="E2951">
        <v>499</v>
      </c>
      <c r="F2951">
        <v>1</v>
      </c>
      <c r="G2951">
        <v>12000</v>
      </c>
      <c r="H2951">
        <v>1.3794449E-2</v>
      </c>
      <c r="I2951">
        <v>11999</v>
      </c>
      <c r="J2951">
        <v>3749</v>
      </c>
      <c r="K2951">
        <v>8250</v>
      </c>
      <c r="L2951">
        <v>500</v>
      </c>
      <c r="M2951">
        <v>499</v>
      </c>
      <c r="N2951">
        <v>1</v>
      </c>
      <c r="O2951">
        <v>1</v>
      </c>
      <c r="P2951" s="3" t="s">
        <v>50</v>
      </c>
      <c r="Q2951">
        <v>50</v>
      </c>
      <c r="R2951">
        <v>0.999</v>
      </c>
      <c r="S2951">
        <v>1</v>
      </c>
    </row>
    <row r="2952" spans="1:19" x14ac:dyDescent="0.2">
      <c r="A2952" s="3" t="s">
        <v>54</v>
      </c>
      <c r="B2952" s="3" t="s">
        <v>55</v>
      </c>
      <c r="C2952">
        <v>47</v>
      </c>
      <c r="D2952">
        <v>10000</v>
      </c>
      <c r="E2952">
        <v>499</v>
      </c>
      <c r="F2952">
        <v>1</v>
      </c>
      <c r="G2952">
        <v>10000</v>
      </c>
      <c r="H2952">
        <v>1.3791608E-2</v>
      </c>
      <c r="I2952">
        <v>10000</v>
      </c>
      <c r="J2952">
        <v>3602</v>
      </c>
      <c r="K2952">
        <v>6398</v>
      </c>
      <c r="L2952">
        <v>500</v>
      </c>
      <c r="M2952">
        <v>499</v>
      </c>
      <c r="N2952">
        <v>1</v>
      </c>
      <c r="O2952">
        <v>0</v>
      </c>
      <c r="P2952" s="3" t="s">
        <v>50</v>
      </c>
      <c r="Q2952">
        <v>50</v>
      </c>
      <c r="R2952">
        <v>0.999</v>
      </c>
      <c r="S2952">
        <v>1</v>
      </c>
    </row>
    <row r="2953" spans="1:19" x14ac:dyDescent="0.2">
      <c r="A2953" s="3" t="s">
        <v>54</v>
      </c>
      <c r="B2953" s="3" t="s">
        <v>55</v>
      </c>
      <c r="C2953">
        <v>35</v>
      </c>
      <c r="D2953">
        <v>12000</v>
      </c>
      <c r="E2953">
        <v>499</v>
      </c>
      <c r="F2953">
        <v>1</v>
      </c>
      <c r="G2953">
        <v>12000</v>
      </c>
      <c r="H2953">
        <v>1.3789499E-2</v>
      </c>
      <c r="I2953">
        <v>12000</v>
      </c>
      <c r="J2953">
        <v>3691</v>
      </c>
      <c r="K2953">
        <v>8309</v>
      </c>
      <c r="L2953">
        <v>500</v>
      </c>
      <c r="M2953">
        <v>499</v>
      </c>
      <c r="N2953">
        <v>1</v>
      </c>
      <c r="O2953">
        <v>0</v>
      </c>
      <c r="P2953" s="3" t="s">
        <v>50</v>
      </c>
      <c r="Q2953">
        <v>50</v>
      </c>
      <c r="R2953">
        <v>0.999</v>
      </c>
      <c r="S2953">
        <v>1</v>
      </c>
    </row>
    <row r="2954" spans="1:19" x14ac:dyDescent="0.2">
      <c r="A2954" s="3" t="s">
        <v>54</v>
      </c>
      <c r="B2954" s="3" t="s">
        <v>55</v>
      </c>
      <c r="C2954">
        <v>50</v>
      </c>
      <c r="D2954">
        <v>10000</v>
      </c>
      <c r="E2954">
        <v>499</v>
      </c>
      <c r="F2954">
        <v>1</v>
      </c>
      <c r="G2954">
        <v>39482.677260513999</v>
      </c>
      <c r="H2954">
        <v>1.3781909E-2</v>
      </c>
      <c r="I2954">
        <v>10000</v>
      </c>
      <c r="J2954">
        <v>3580</v>
      </c>
      <c r="K2954">
        <v>6420</v>
      </c>
      <c r="L2954">
        <v>500</v>
      </c>
      <c r="M2954">
        <v>499</v>
      </c>
      <c r="N2954">
        <v>1</v>
      </c>
      <c r="O2954">
        <v>0</v>
      </c>
      <c r="P2954" s="3" t="s">
        <v>50</v>
      </c>
      <c r="Q2954">
        <v>50</v>
      </c>
      <c r="R2954">
        <v>0.999</v>
      </c>
      <c r="S2954">
        <v>0</v>
      </c>
    </row>
    <row r="2955" spans="1:19" x14ac:dyDescent="0.2">
      <c r="A2955" s="3" t="s">
        <v>54</v>
      </c>
      <c r="B2955" s="3" t="s">
        <v>55</v>
      </c>
      <c r="C2955">
        <v>37</v>
      </c>
      <c r="D2955">
        <v>12000</v>
      </c>
      <c r="E2955">
        <v>499</v>
      </c>
      <c r="F2955">
        <v>1</v>
      </c>
      <c r="G2955">
        <v>12000</v>
      </c>
      <c r="H2955">
        <v>1.3779417E-2</v>
      </c>
      <c r="I2955">
        <v>11999</v>
      </c>
      <c r="J2955">
        <v>3639</v>
      </c>
      <c r="K2955">
        <v>8360</v>
      </c>
      <c r="L2955">
        <v>500</v>
      </c>
      <c r="M2955">
        <v>499</v>
      </c>
      <c r="N2955">
        <v>1</v>
      </c>
      <c r="O2955">
        <v>1</v>
      </c>
      <c r="P2955" s="3" t="s">
        <v>50</v>
      </c>
      <c r="Q2955">
        <v>50</v>
      </c>
      <c r="R2955">
        <v>0.999</v>
      </c>
      <c r="S2955">
        <v>1</v>
      </c>
    </row>
    <row r="2956" spans="1:19" x14ac:dyDescent="0.2">
      <c r="A2956" s="3" t="s">
        <v>54</v>
      </c>
      <c r="B2956" s="3" t="s">
        <v>55</v>
      </c>
      <c r="C2956">
        <v>45</v>
      </c>
      <c r="D2956">
        <v>11000</v>
      </c>
      <c r="E2956">
        <v>499</v>
      </c>
      <c r="F2956">
        <v>1</v>
      </c>
      <c r="G2956">
        <v>44062.122210792702</v>
      </c>
      <c r="H2956">
        <v>1.3778178E-2</v>
      </c>
      <c r="I2956">
        <v>11000</v>
      </c>
      <c r="J2956">
        <v>3636</v>
      </c>
      <c r="K2956">
        <v>7364</v>
      </c>
      <c r="L2956">
        <v>500</v>
      </c>
      <c r="M2956">
        <v>499</v>
      </c>
      <c r="N2956">
        <v>1</v>
      </c>
      <c r="O2956">
        <v>0</v>
      </c>
      <c r="P2956" s="3" t="s">
        <v>50</v>
      </c>
      <c r="Q2956">
        <v>50</v>
      </c>
      <c r="R2956">
        <v>0.999</v>
      </c>
      <c r="S2956">
        <v>0</v>
      </c>
    </row>
    <row r="2957" spans="1:19" x14ac:dyDescent="0.2">
      <c r="A2957" s="3" t="s">
        <v>54</v>
      </c>
      <c r="B2957" s="3" t="s">
        <v>55</v>
      </c>
      <c r="C2957">
        <v>49</v>
      </c>
      <c r="D2957">
        <v>11000</v>
      </c>
      <c r="E2957">
        <v>499</v>
      </c>
      <c r="F2957">
        <v>1</v>
      </c>
      <c r="G2957">
        <v>44062.122210792702</v>
      </c>
      <c r="H2957">
        <v>1.3774814999999999E-2</v>
      </c>
      <c r="I2957">
        <v>11000</v>
      </c>
      <c r="J2957">
        <v>3647</v>
      </c>
      <c r="K2957">
        <v>7353</v>
      </c>
      <c r="L2957">
        <v>500</v>
      </c>
      <c r="M2957">
        <v>499</v>
      </c>
      <c r="N2957">
        <v>1</v>
      </c>
      <c r="O2957">
        <v>0</v>
      </c>
      <c r="P2957" s="3" t="s">
        <v>50</v>
      </c>
      <c r="Q2957">
        <v>50</v>
      </c>
      <c r="R2957">
        <v>0.999</v>
      </c>
      <c r="S2957">
        <v>0</v>
      </c>
    </row>
    <row r="2958" spans="1:19" x14ac:dyDescent="0.2">
      <c r="A2958" s="3" t="s">
        <v>54</v>
      </c>
      <c r="B2958" s="3" t="s">
        <v>55</v>
      </c>
      <c r="C2958">
        <v>25</v>
      </c>
      <c r="D2958">
        <v>10000</v>
      </c>
      <c r="E2958">
        <v>499</v>
      </c>
      <c r="F2958">
        <v>1</v>
      </c>
      <c r="G2958">
        <v>39482.677260513999</v>
      </c>
      <c r="H2958">
        <v>1.376937E-2</v>
      </c>
      <c r="I2958">
        <v>10000</v>
      </c>
      <c r="J2958">
        <v>3567</v>
      </c>
      <c r="K2958">
        <v>6433</v>
      </c>
      <c r="L2958">
        <v>500</v>
      </c>
      <c r="M2958">
        <v>499</v>
      </c>
      <c r="N2958">
        <v>1</v>
      </c>
      <c r="O2958">
        <v>0</v>
      </c>
      <c r="P2958" s="3" t="s">
        <v>50</v>
      </c>
      <c r="Q2958">
        <v>50</v>
      </c>
      <c r="R2958">
        <v>0.999</v>
      </c>
      <c r="S2958">
        <v>0</v>
      </c>
    </row>
    <row r="2959" spans="1:19" x14ac:dyDescent="0.2">
      <c r="A2959" s="3" t="s">
        <v>54</v>
      </c>
      <c r="B2959" s="3" t="s">
        <v>55</v>
      </c>
      <c r="C2959">
        <v>46</v>
      </c>
      <c r="D2959">
        <v>10000</v>
      </c>
      <c r="E2959">
        <v>499</v>
      </c>
      <c r="F2959">
        <v>1</v>
      </c>
      <c r="G2959">
        <v>39482.677260513999</v>
      </c>
      <c r="H2959">
        <v>1.3768215E-2</v>
      </c>
      <c r="I2959">
        <v>10000</v>
      </c>
      <c r="J2959">
        <v>3549</v>
      </c>
      <c r="K2959">
        <v>6451</v>
      </c>
      <c r="L2959">
        <v>500</v>
      </c>
      <c r="M2959">
        <v>499</v>
      </c>
      <c r="N2959">
        <v>1</v>
      </c>
      <c r="O2959">
        <v>0</v>
      </c>
      <c r="P2959" s="3" t="s">
        <v>50</v>
      </c>
      <c r="Q2959">
        <v>50</v>
      </c>
      <c r="R2959">
        <v>0.999</v>
      </c>
      <c r="S2959">
        <v>0</v>
      </c>
    </row>
    <row r="2960" spans="1:19" x14ac:dyDescent="0.2">
      <c r="A2960" s="3" t="s">
        <v>54</v>
      </c>
      <c r="B2960" s="3" t="s">
        <v>55</v>
      </c>
      <c r="C2960">
        <v>24</v>
      </c>
      <c r="D2960">
        <v>10000</v>
      </c>
      <c r="E2960">
        <v>499</v>
      </c>
      <c r="F2960">
        <v>1</v>
      </c>
      <c r="G2960">
        <v>10000</v>
      </c>
      <c r="H2960">
        <v>1.376639E-2</v>
      </c>
      <c r="I2960">
        <v>10000</v>
      </c>
      <c r="J2960">
        <v>3535</v>
      </c>
      <c r="K2960">
        <v>6465</v>
      </c>
      <c r="L2960">
        <v>500</v>
      </c>
      <c r="M2960">
        <v>499</v>
      </c>
      <c r="N2960">
        <v>1</v>
      </c>
      <c r="O2960">
        <v>0</v>
      </c>
      <c r="P2960" s="3" t="s">
        <v>50</v>
      </c>
      <c r="Q2960">
        <v>50</v>
      </c>
      <c r="R2960">
        <v>0.999</v>
      </c>
      <c r="S2960">
        <v>1</v>
      </c>
    </row>
    <row r="2961" spans="1:19" x14ac:dyDescent="0.2">
      <c r="A2961" s="3" t="s">
        <v>54</v>
      </c>
      <c r="B2961" s="3" t="s">
        <v>55</v>
      </c>
      <c r="C2961">
        <v>24</v>
      </c>
      <c r="D2961">
        <v>12000</v>
      </c>
      <c r="E2961">
        <v>499</v>
      </c>
      <c r="F2961">
        <v>1</v>
      </c>
      <c r="G2961">
        <v>12000</v>
      </c>
      <c r="H2961">
        <v>1.3766281E-2</v>
      </c>
      <c r="I2961">
        <v>11999</v>
      </c>
      <c r="J2961">
        <v>3650</v>
      </c>
      <c r="K2961">
        <v>8349</v>
      </c>
      <c r="L2961">
        <v>500</v>
      </c>
      <c r="M2961">
        <v>499</v>
      </c>
      <c r="N2961">
        <v>1</v>
      </c>
      <c r="O2961">
        <v>1</v>
      </c>
      <c r="P2961" s="3" t="s">
        <v>50</v>
      </c>
      <c r="Q2961">
        <v>50</v>
      </c>
      <c r="R2961">
        <v>0.999</v>
      </c>
      <c r="S2961">
        <v>1</v>
      </c>
    </row>
    <row r="2962" spans="1:19" x14ac:dyDescent="0.2">
      <c r="A2962" s="3" t="s">
        <v>54</v>
      </c>
      <c r="B2962" s="3" t="s">
        <v>55</v>
      </c>
      <c r="C2962">
        <v>47</v>
      </c>
      <c r="D2962">
        <v>10000</v>
      </c>
      <c r="E2962">
        <v>499</v>
      </c>
      <c r="F2962">
        <v>1</v>
      </c>
      <c r="G2962">
        <v>39482.677260513999</v>
      </c>
      <c r="H2962">
        <v>1.3759845E-2</v>
      </c>
      <c r="I2962">
        <v>10000</v>
      </c>
      <c r="J2962">
        <v>3536</v>
      </c>
      <c r="K2962">
        <v>6464</v>
      </c>
      <c r="L2962">
        <v>500</v>
      </c>
      <c r="M2962">
        <v>499</v>
      </c>
      <c r="N2962">
        <v>1</v>
      </c>
      <c r="O2962">
        <v>0</v>
      </c>
      <c r="P2962" s="3" t="s">
        <v>50</v>
      </c>
      <c r="Q2962">
        <v>50</v>
      </c>
      <c r="R2962">
        <v>0.999</v>
      </c>
      <c r="S2962">
        <v>0</v>
      </c>
    </row>
    <row r="2963" spans="1:19" x14ac:dyDescent="0.2">
      <c r="A2963" s="3" t="s">
        <v>54</v>
      </c>
      <c r="B2963" s="3" t="s">
        <v>55</v>
      </c>
      <c r="C2963">
        <v>28</v>
      </c>
      <c r="D2963">
        <v>10000</v>
      </c>
      <c r="E2963">
        <v>499</v>
      </c>
      <c r="F2963">
        <v>1</v>
      </c>
      <c r="G2963">
        <v>39482.677260513999</v>
      </c>
      <c r="H2963">
        <v>1.3758149000000001E-2</v>
      </c>
      <c r="I2963">
        <v>10000</v>
      </c>
      <c r="J2963">
        <v>3616</v>
      </c>
      <c r="K2963">
        <v>6384</v>
      </c>
      <c r="L2963">
        <v>500</v>
      </c>
      <c r="M2963">
        <v>499</v>
      </c>
      <c r="N2963">
        <v>1</v>
      </c>
      <c r="O2963">
        <v>0</v>
      </c>
      <c r="P2963" s="3" t="s">
        <v>50</v>
      </c>
      <c r="Q2963">
        <v>50</v>
      </c>
      <c r="R2963">
        <v>0.999</v>
      </c>
      <c r="S2963">
        <v>0</v>
      </c>
    </row>
    <row r="2964" spans="1:19" x14ac:dyDescent="0.2">
      <c r="A2964" s="3" t="s">
        <v>54</v>
      </c>
      <c r="B2964" s="3" t="s">
        <v>55</v>
      </c>
      <c r="C2964">
        <v>14</v>
      </c>
      <c r="D2964">
        <v>10000</v>
      </c>
      <c r="E2964">
        <v>499</v>
      </c>
      <c r="F2964">
        <v>1</v>
      </c>
      <c r="G2964">
        <v>39482.677260513999</v>
      </c>
      <c r="H2964">
        <v>1.3756269999999999E-2</v>
      </c>
      <c r="I2964">
        <v>10000</v>
      </c>
      <c r="J2964">
        <v>3579</v>
      </c>
      <c r="K2964">
        <v>6421</v>
      </c>
      <c r="L2964">
        <v>500</v>
      </c>
      <c r="M2964">
        <v>499</v>
      </c>
      <c r="N2964">
        <v>1</v>
      </c>
      <c r="O2964">
        <v>0</v>
      </c>
      <c r="P2964" s="3" t="s">
        <v>50</v>
      </c>
      <c r="Q2964">
        <v>50</v>
      </c>
      <c r="R2964">
        <v>0.999</v>
      </c>
      <c r="S2964">
        <v>0</v>
      </c>
    </row>
    <row r="2965" spans="1:19" x14ac:dyDescent="0.2">
      <c r="A2965" s="3" t="s">
        <v>54</v>
      </c>
      <c r="B2965" s="3" t="s">
        <v>55</v>
      </c>
      <c r="C2965">
        <v>21</v>
      </c>
      <c r="D2965">
        <v>11000</v>
      </c>
      <c r="E2965">
        <v>499</v>
      </c>
      <c r="F2965">
        <v>1</v>
      </c>
      <c r="G2965">
        <v>11000</v>
      </c>
      <c r="H2965">
        <v>1.3756213999999999E-2</v>
      </c>
      <c r="I2965">
        <v>10999</v>
      </c>
      <c r="J2965">
        <v>3698</v>
      </c>
      <c r="K2965">
        <v>7301</v>
      </c>
      <c r="L2965">
        <v>500</v>
      </c>
      <c r="M2965">
        <v>499</v>
      </c>
      <c r="N2965">
        <v>1</v>
      </c>
      <c r="O2965">
        <v>1</v>
      </c>
      <c r="P2965" s="3" t="s">
        <v>50</v>
      </c>
      <c r="Q2965">
        <v>50</v>
      </c>
      <c r="R2965">
        <v>0.999</v>
      </c>
      <c r="S2965">
        <v>1</v>
      </c>
    </row>
    <row r="2966" spans="1:19" x14ac:dyDescent="0.2">
      <c r="A2966" s="3" t="s">
        <v>54</v>
      </c>
      <c r="B2966" s="3" t="s">
        <v>55</v>
      </c>
      <c r="C2966">
        <v>8</v>
      </c>
      <c r="D2966">
        <v>12000</v>
      </c>
      <c r="E2966">
        <v>499</v>
      </c>
      <c r="F2966">
        <v>1</v>
      </c>
      <c r="G2966">
        <v>12000</v>
      </c>
      <c r="H2966">
        <v>1.3753501E-2</v>
      </c>
      <c r="I2966">
        <v>12000</v>
      </c>
      <c r="J2966">
        <v>3716</v>
      </c>
      <c r="K2966">
        <v>8284</v>
      </c>
      <c r="L2966">
        <v>500</v>
      </c>
      <c r="M2966">
        <v>499</v>
      </c>
      <c r="N2966">
        <v>1</v>
      </c>
      <c r="O2966">
        <v>0</v>
      </c>
      <c r="P2966" s="3" t="s">
        <v>50</v>
      </c>
      <c r="Q2966">
        <v>50</v>
      </c>
      <c r="R2966">
        <v>0.999</v>
      </c>
      <c r="S2966">
        <v>1</v>
      </c>
    </row>
    <row r="2967" spans="1:19" x14ac:dyDescent="0.2">
      <c r="A2967" s="3" t="s">
        <v>54</v>
      </c>
      <c r="B2967" s="3" t="s">
        <v>55</v>
      </c>
      <c r="C2967">
        <v>1</v>
      </c>
      <c r="D2967">
        <v>11000</v>
      </c>
      <c r="E2967">
        <v>499</v>
      </c>
      <c r="F2967">
        <v>1</v>
      </c>
      <c r="G2967">
        <v>44062.122210792702</v>
      </c>
      <c r="H2967">
        <v>1.3753209000000001E-2</v>
      </c>
      <c r="I2967">
        <v>11000</v>
      </c>
      <c r="J2967">
        <v>3600</v>
      </c>
      <c r="K2967">
        <v>7400</v>
      </c>
      <c r="L2967">
        <v>500</v>
      </c>
      <c r="M2967">
        <v>499</v>
      </c>
      <c r="N2967">
        <v>1</v>
      </c>
      <c r="O2967">
        <v>0</v>
      </c>
      <c r="P2967" s="3" t="s">
        <v>50</v>
      </c>
      <c r="Q2967">
        <v>50</v>
      </c>
      <c r="R2967">
        <v>0.999</v>
      </c>
      <c r="S2967">
        <v>0</v>
      </c>
    </row>
    <row r="2968" spans="1:19" x14ac:dyDescent="0.2">
      <c r="A2968" s="3" t="s">
        <v>54</v>
      </c>
      <c r="B2968" s="3" t="s">
        <v>55</v>
      </c>
      <c r="C2968">
        <v>29</v>
      </c>
      <c r="D2968">
        <v>11000</v>
      </c>
      <c r="E2968">
        <v>499</v>
      </c>
      <c r="F2968">
        <v>1</v>
      </c>
      <c r="G2968">
        <v>11000</v>
      </c>
      <c r="H2968">
        <v>1.3736386E-2</v>
      </c>
      <c r="I2968">
        <v>11000</v>
      </c>
      <c r="J2968">
        <v>3683</v>
      </c>
      <c r="K2968">
        <v>7317</v>
      </c>
      <c r="L2968">
        <v>500</v>
      </c>
      <c r="M2968">
        <v>499</v>
      </c>
      <c r="N2968">
        <v>1</v>
      </c>
      <c r="O2968">
        <v>0</v>
      </c>
      <c r="P2968" s="3" t="s">
        <v>50</v>
      </c>
      <c r="Q2968">
        <v>50</v>
      </c>
      <c r="R2968">
        <v>0.999</v>
      </c>
      <c r="S2968">
        <v>1</v>
      </c>
    </row>
    <row r="2969" spans="1:19" x14ac:dyDescent="0.2">
      <c r="A2969" s="3" t="s">
        <v>54</v>
      </c>
      <c r="B2969" s="3" t="s">
        <v>55</v>
      </c>
      <c r="C2969">
        <v>44</v>
      </c>
      <c r="D2969">
        <v>11000</v>
      </c>
      <c r="E2969">
        <v>499</v>
      </c>
      <c r="F2969">
        <v>1</v>
      </c>
      <c r="G2969">
        <v>11000</v>
      </c>
      <c r="H2969">
        <v>1.3733703E-2</v>
      </c>
      <c r="I2969">
        <v>11000</v>
      </c>
      <c r="J2969">
        <v>3655</v>
      </c>
      <c r="K2969">
        <v>7345</v>
      </c>
      <c r="L2969">
        <v>500</v>
      </c>
      <c r="M2969">
        <v>499</v>
      </c>
      <c r="N2969">
        <v>1</v>
      </c>
      <c r="O2969">
        <v>0</v>
      </c>
      <c r="P2969" s="3" t="s">
        <v>50</v>
      </c>
      <c r="Q2969">
        <v>50</v>
      </c>
      <c r="R2969">
        <v>0.999</v>
      </c>
      <c r="S2969">
        <v>1</v>
      </c>
    </row>
    <row r="2970" spans="1:19" x14ac:dyDescent="0.2">
      <c r="A2970" s="3" t="s">
        <v>54</v>
      </c>
      <c r="B2970" s="3" t="s">
        <v>55</v>
      </c>
      <c r="C2970">
        <v>48</v>
      </c>
      <c r="D2970">
        <v>11000</v>
      </c>
      <c r="E2970">
        <v>499</v>
      </c>
      <c r="F2970">
        <v>1</v>
      </c>
      <c r="G2970">
        <v>11000</v>
      </c>
      <c r="H2970">
        <v>1.373097E-2</v>
      </c>
      <c r="I2970">
        <v>11000</v>
      </c>
      <c r="J2970">
        <v>3648</v>
      </c>
      <c r="K2970">
        <v>7352</v>
      </c>
      <c r="L2970">
        <v>500</v>
      </c>
      <c r="M2970">
        <v>499</v>
      </c>
      <c r="N2970">
        <v>1</v>
      </c>
      <c r="O2970">
        <v>0</v>
      </c>
      <c r="P2970" s="3" t="s">
        <v>50</v>
      </c>
      <c r="Q2970">
        <v>50</v>
      </c>
      <c r="R2970">
        <v>0.999</v>
      </c>
      <c r="S2970">
        <v>1</v>
      </c>
    </row>
    <row r="2971" spans="1:19" x14ac:dyDescent="0.2">
      <c r="A2971" s="3" t="s">
        <v>54</v>
      </c>
      <c r="B2971" s="3" t="s">
        <v>55</v>
      </c>
      <c r="C2971">
        <v>10</v>
      </c>
      <c r="D2971">
        <v>10000</v>
      </c>
      <c r="E2971">
        <v>499</v>
      </c>
      <c r="F2971">
        <v>1</v>
      </c>
      <c r="G2971">
        <v>10000</v>
      </c>
      <c r="H2971">
        <v>1.3714423E-2</v>
      </c>
      <c r="I2971">
        <v>10000</v>
      </c>
      <c r="J2971">
        <v>3572</v>
      </c>
      <c r="K2971">
        <v>6428</v>
      </c>
      <c r="L2971">
        <v>500</v>
      </c>
      <c r="M2971">
        <v>499</v>
      </c>
      <c r="N2971">
        <v>1</v>
      </c>
      <c r="O2971">
        <v>0</v>
      </c>
      <c r="P2971" s="3" t="s">
        <v>50</v>
      </c>
      <c r="Q2971">
        <v>50</v>
      </c>
      <c r="R2971">
        <v>0.999</v>
      </c>
      <c r="S2971">
        <v>1</v>
      </c>
    </row>
    <row r="2972" spans="1:19" x14ac:dyDescent="0.2">
      <c r="A2972" s="3" t="s">
        <v>54</v>
      </c>
      <c r="B2972" s="3" t="s">
        <v>55</v>
      </c>
      <c r="C2972">
        <v>14</v>
      </c>
      <c r="D2972">
        <v>11000</v>
      </c>
      <c r="E2972">
        <v>499</v>
      </c>
      <c r="F2972">
        <v>1</v>
      </c>
      <c r="G2972">
        <v>44062.122210792702</v>
      </c>
      <c r="H2972">
        <v>1.3711124999999999E-2</v>
      </c>
      <c r="I2972">
        <v>11000</v>
      </c>
      <c r="J2972">
        <v>3601</v>
      </c>
      <c r="K2972">
        <v>7399</v>
      </c>
      <c r="L2972">
        <v>500</v>
      </c>
      <c r="M2972">
        <v>499</v>
      </c>
      <c r="N2972">
        <v>1</v>
      </c>
      <c r="O2972">
        <v>0</v>
      </c>
      <c r="P2972" s="3" t="s">
        <v>50</v>
      </c>
      <c r="Q2972">
        <v>50</v>
      </c>
      <c r="R2972">
        <v>0.999</v>
      </c>
      <c r="S2972">
        <v>0</v>
      </c>
    </row>
    <row r="2973" spans="1:19" x14ac:dyDescent="0.2">
      <c r="A2973" s="3" t="s">
        <v>54</v>
      </c>
      <c r="B2973" s="3" t="s">
        <v>55</v>
      </c>
      <c r="C2973">
        <v>18</v>
      </c>
      <c r="D2973">
        <v>10000</v>
      </c>
      <c r="E2973">
        <v>499</v>
      </c>
      <c r="F2973">
        <v>1</v>
      </c>
      <c r="G2973">
        <v>10000</v>
      </c>
      <c r="H2973">
        <v>1.3708605E-2</v>
      </c>
      <c r="I2973">
        <v>10000</v>
      </c>
      <c r="J2973">
        <v>3578</v>
      </c>
      <c r="K2973">
        <v>6422</v>
      </c>
      <c r="L2973">
        <v>500</v>
      </c>
      <c r="M2973">
        <v>499</v>
      </c>
      <c r="N2973">
        <v>1</v>
      </c>
      <c r="O2973">
        <v>0</v>
      </c>
      <c r="P2973" s="3" t="s">
        <v>50</v>
      </c>
      <c r="Q2973">
        <v>50</v>
      </c>
      <c r="R2973">
        <v>0.999</v>
      </c>
      <c r="S2973">
        <v>1</v>
      </c>
    </row>
    <row r="2974" spans="1:19" x14ac:dyDescent="0.2">
      <c r="A2974" s="3" t="s">
        <v>54</v>
      </c>
      <c r="B2974" s="3" t="s">
        <v>55</v>
      </c>
      <c r="C2974">
        <v>41</v>
      </c>
      <c r="D2974">
        <v>12000</v>
      </c>
      <c r="E2974">
        <v>499</v>
      </c>
      <c r="F2974">
        <v>1</v>
      </c>
      <c r="G2974">
        <v>12000</v>
      </c>
      <c r="H2974">
        <v>1.3706998999999999E-2</v>
      </c>
      <c r="I2974">
        <v>12000</v>
      </c>
      <c r="J2974">
        <v>3725</v>
      </c>
      <c r="K2974">
        <v>8275</v>
      </c>
      <c r="L2974">
        <v>500</v>
      </c>
      <c r="M2974">
        <v>499</v>
      </c>
      <c r="N2974">
        <v>1</v>
      </c>
      <c r="O2974">
        <v>0</v>
      </c>
      <c r="P2974" s="3" t="s">
        <v>50</v>
      </c>
      <c r="Q2974">
        <v>50</v>
      </c>
      <c r="R2974">
        <v>0.999</v>
      </c>
      <c r="S2974">
        <v>1</v>
      </c>
    </row>
    <row r="2975" spans="1:19" x14ac:dyDescent="0.2">
      <c r="A2975" s="3" t="s">
        <v>54</v>
      </c>
      <c r="B2975" s="3" t="s">
        <v>55</v>
      </c>
      <c r="C2975">
        <v>22</v>
      </c>
      <c r="D2975">
        <v>11000</v>
      </c>
      <c r="E2975">
        <v>499</v>
      </c>
      <c r="F2975">
        <v>1</v>
      </c>
      <c r="G2975">
        <v>11000</v>
      </c>
      <c r="H2975">
        <v>1.3700336E-2</v>
      </c>
      <c r="I2975">
        <v>11000</v>
      </c>
      <c r="J2975">
        <v>3672</v>
      </c>
      <c r="K2975">
        <v>7328</v>
      </c>
      <c r="L2975">
        <v>500</v>
      </c>
      <c r="M2975">
        <v>499</v>
      </c>
      <c r="N2975">
        <v>1</v>
      </c>
      <c r="O2975">
        <v>0</v>
      </c>
      <c r="P2975" s="3" t="s">
        <v>50</v>
      </c>
      <c r="Q2975">
        <v>50</v>
      </c>
      <c r="R2975">
        <v>0.999</v>
      </c>
      <c r="S2975">
        <v>1</v>
      </c>
    </row>
    <row r="2976" spans="1:19" x14ac:dyDescent="0.2">
      <c r="A2976" s="3" t="s">
        <v>54</v>
      </c>
      <c r="B2976" s="3" t="s">
        <v>55</v>
      </c>
      <c r="C2976">
        <v>45</v>
      </c>
      <c r="D2976">
        <v>10000</v>
      </c>
      <c r="E2976">
        <v>499</v>
      </c>
      <c r="F2976">
        <v>1</v>
      </c>
      <c r="G2976">
        <v>10000</v>
      </c>
      <c r="H2976">
        <v>1.3699068999999999E-2</v>
      </c>
      <c r="I2976">
        <v>10000</v>
      </c>
      <c r="J2976">
        <v>2717</v>
      </c>
      <c r="K2976">
        <v>7283</v>
      </c>
      <c r="L2976">
        <v>500</v>
      </c>
      <c r="M2976">
        <v>499</v>
      </c>
      <c r="N2976">
        <v>1</v>
      </c>
      <c r="O2976">
        <v>0</v>
      </c>
      <c r="P2976" s="3" t="s">
        <v>52</v>
      </c>
      <c r="Q2976">
        <v>50</v>
      </c>
      <c r="R2976">
        <v>0.999</v>
      </c>
      <c r="S2976">
        <v>1</v>
      </c>
    </row>
    <row r="2977" spans="1:19" x14ac:dyDescent="0.2">
      <c r="A2977" s="3" t="s">
        <v>54</v>
      </c>
      <c r="B2977" s="3" t="s">
        <v>55</v>
      </c>
      <c r="C2977">
        <v>34</v>
      </c>
      <c r="D2977">
        <v>10000</v>
      </c>
      <c r="E2977">
        <v>499</v>
      </c>
      <c r="F2977">
        <v>1</v>
      </c>
      <c r="G2977">
        <v>39482.677260513999</v>
      </c>
      <c r="H2977">
        <v>1.3677739E-2</v>
      </c>
      <c r="I2977">
        <v>10000</v>
      </c>
      <c r="J2977">
        <v>3556</v>
      </c>
      <c r="K2977">
        <v>6444</v>
      </c>
      <c r="L2977">
        <v>500</v>
      </c>
      <c r="M2977">
        <v>499</v>
      </c>
      <c r="N2977">
        <v>1</v>
      </c>
      <c r="O2977">
        <v>0</v>
      </c>
      <c r="P2977" s="3" t="s">
        <v>50</v>
      </c>
      <c r="Q2977">
        <v>50</v>
      </c>
      <c r="R2977">
        <v>0.999</v>
      </c>
      <c r="S2977">
        <v>0</v>
      </c>
    </row>
    <row r="2978" spans="1:19" x14ac:dyDescent="0.2">
      <c r="A2978" s="3" t="s">
        <v>54</v>
      </c>
      <c r="B2978" s="3" t="s">
        <v>55</v>
      </c>
      <c r="C2978">
        <v>10</v>
      </c>
      <c r="D2978">
        <v>11000</v>
      </c>
      <c r="E2978">
        <v>499</v>
      </c>
      <c r="F2978">
        <v>1</v>
      </c>
      <c r="G2978">
        <v>11000</v>
      </c>
      <c r="H2978">
        <v>1.3673551000000001E-2</v>
      </c>
      <c r="I2978">
        <v>11000</v>
      </c>
      <c r="J2978">
        <v>3614</v>
      </c>
      <c r="K2978">
        <v>7386</v>
      </c>
      <c r="L2978">
        <v>500</v>
      </c>
      <c r="M2978">
        <v>499</v>
      </c>
      <c r="N2978">
        <v>1</v>
      </c>
      <c r="O2978">
        <v>0</v>
      </c>
      <c r="P2978" s="3" t="s">
        <v>50</v>
      </c>
      <c r="Q2978">
        <v>50</v>
      </c>
      <c r="R2978">
        <v>0.999</v>
      </c>
      <c r="S2978">
        <v>1</v>
      </c>
    </row>
    <row r="2979" spans="1:19" x14ac:dyDescent="0.2">
      <c r="A2979" s="3" t="s">
        <v>54</v>
      </c>
      <c r="B2979" s="3" t="s">
        <v>55</v>
      </c>
      <c r="C2979">
        <v>46</v>
      </c>
      <c r="D2979">
        <v>10000</v>
      </c>
      <c r="E2979">
        <v>499</v>
      </c>
      <c r="F2979">
        <v>1</v>
      </c>
      <c r="G2979">
        <v>10000</v>
      </c>
      <c r="H2979">
        <v>1.3669608999999999E-2</v>
      </c>
      <c r="I2979">
        <v>10000</v>
      </c>
      <c r="J2979">
        <v>3569</v>
      </c>
      <c r="K2979">
        <v>6431</v>
      </c>
      <c r="L2979">
        <v>500</v>
      </c>
      <c r="M2979">
        <v>499</v>
      </c>
      <c r="N2979">
        <v>1</v>
      </c>
      <c r="O2979">
        <v>0</v>
      </c>
      <c r="P2979" s="3" t="s">
        <v>50</v>
      </c>
      <c r="Q2979">
        <v>50</v>
      </c>
      <c r="R2979">
        <v>0.999</v>
      </c>
      <c r="S2979">
        <v>1</v>
      </c>
    </row>
    <row r="2980" spans="1:19" x14ac:dyDescent="0.2">
      <c r="A2980" s="3" t="s">
        <v>54</v>
      </c>
      <c r="B2980" s="3" t="s">
        <v>55</v>
      </c>
      <c r="C2980">
        <v>33</v>
      </c>
      <c r="D2980">
        <v>12000</v>
      </c>
      <c r="E2980">
        <v>499</v>
      </c>
      <c r="F2980">
        <v>1</v>
      </c>
      <c r="G2980">
        <v>12000</v>
      </c>
      <c r="H2980">
        <v>1.3669425000000001E-2</v>
      </c>
      <c r="I2980">
        <v>12000</v>
      </c>
      <c r="J2980">
        <v>3716</v>
      </c>
      <c r="K2980">
        <v>8284</v>
      </c>
      <c r="L2980">
        <v>500</v>
      </c>
      <c r="M2980">
        <v>499</v>
      </c>
      <c r="N2980">
        <v>1</v>
      </c>
      <c r="O2980">
        <v>0</v>
      </c>
      <c r="P2980" s="3" t="s">
        <v>50</v>
      </c>
      <c r="Q2980">
        <v>50</v>
      </c>
      <c r="R2980">
        <v>0.999</v>
      </c>
      <c r="S2980">
        <v>1</v>
      </c>
    </row>
    <row r="2981" spans="1:19" x14ac:dyDescent="0.2">
      <c r="A2981" s="3" t="s">
        <v>54</v>
      </c>
      <c r="B2981" s="3" t="s">
        <v>55</v>
      </c>
      <c r="C2981">
        <v>34</v>
      </c>
      <c r="D2981">
        <v>12000</v>
      </c>
      <c r="E2981">
        <v>499</v>
      </c>
      <c r="F2981">
        <v>1</v>
      </c>
      <c r="G2981">
        <v>12000</v>
      </c>
      <c r="H2981">
        <v>1.3667344E-2</v>
      </c>
      <c r="I2981">
        <v>12000</v>
      </c>
      <c r="J2981">
        <v>3662</v>
      </c>
      <c r="K2981">
        <v>8338</v>
      </c>
      <c r="L2981">
        <v>500</v>
      </c>
      <c r="M2981">
        <v>499</v>
      </c>
      <c r="N2981">
        <v>1</v>
      </c>
      <c r="O2981">
        <v>0</v>
      </c>
      <c r="P2981" s="3" t="s">
        <v>50</v>
      </c>
      <c r="Q2981">
        <v>50</v>
      </c>
      <c r="R2981">
        <v>0.999</v>
      </c>
      <c r="S2981">
        <v>1</v>
      </c>
    </row>
    <row r="2982" spans="1:19" x14ac:dyDescent="0.2">
      <c r="A2982" s="3" t="s">
        <v>54</v>
      </c>
      <c r="B2982" s="3" t="s">
        <v>55</v>
      </c>
      <c r="C2982">
        <v>27</v>
      </c>
      <c r="D2982">
        <v>12000</v>
      </c>
      <c r="E2982">
        <v>499</v>
      </c>
      <c r="F2982">
        <v>1</v>
      </c>
      <c r="G2982">
        <v>12000</v>
      </c>
      <c r="H2982">
        <v>1.3662568999999999E-2</v>
      </c>
      <c r="I2982">
        <v>12000</v>
      </c>
      <c r="J2982">
        <v>3628</v>
      </c>
      <c r="K2982">
        <v>8372</v>
      </c>
      <c r="L2982">
        <v>500</v>
      </c>
      <c r="M2982">
        <v>499</v>
      </c>
      <c r="N2982">
        <v>1</v>
      </c>
      <c r="O2982">
        <v>0</v>
      </c>
      <c r="P2982" s="3" t="s">
        <v>50</v>
      </c>
      <c r="Q2982">
        <v>50</v>
      </c>
      <c r="R2982">
        <v>0.999</v>
      </c>
      <c r="S2982">
        <v>1</v>
      </c>
    </row>
    <row r="2983" spans="1:19" x14ac:dyDescent="0.2">
      <c r="A2983" s="3" t="s">
        <v>54</v>
      </c>
      <c r="B2983" s="3" t="s">
        <v>55</v>
      </c>
      <c r="C2983">
        <v>11</v>
      </c>
      <c r="D2983">
        <v>11000</v>
      </c>
      <c r="E2983">
        <v>499</v>
      </c>
      <c r="F2983">
        <v>1</v>
      </c>
      <c r="G2983">
        <v>11000</v>
      </c>
      <c r="H2983">
        <v>1.3660011E-2</v>
      </c>
      <c r="I2983">
        <v>11000</v>
      </c>
      <c r="J2983">
        <v>2757</v>
      </c>
      <c r="K2983">
        <v>8243</v>
      </c>
      <c r="L2983">
        <v>500</v>
      </c>
      <c r="M2983">
        <v>499</v>
      </c>
      <c r="N2983">
        <v>1</v>
      </c>
      <c r="O2983">
        <v>0</v>
      </c>
      <c r="P2983" s="3" t="s">
        <v>52</v>
      </c>
      <c r="Q2983">
        <v>50</v>
      </c>
      <c r="R2983">
        <v>0.999</v>
      </c>
      <c r="S2983">
        <v>1</v>
      </c>
    </row>
    <row r="2984" spans="1:19" x14ac:dyDescent="0.2">
      <c r="A2984" s="3" t="s">
        <v>54</v>
      </c>
      <c r="B2984" s="3" t="s">
        <v>55</v>
      </c>
      <c r="C2984">
        <v>31</v>
      </c>
      <c r="D2984">
        <v>12000</v>
      </c>
      <c r="E2984">
        <v>499</v>
      </c>
      <c r="F2984">
        <v>1</v>
      </c>
      <c r="G2984">
        <v>12000</v>
      </c>
      <c r="H2984">
        <v>1.3656738999999999E-2</v>
      </c>
      <c r="I2984">
        <v>12000</v>
      </c>
      <c r="J2984">
        <v>3681</v>
      </c>
      <c r="K2984">
        <v>8319</v>
      </c>
      <c r="L2984">
        <v>500</v>
      </c>
      <c r="M2984">
        <v>499</v>
      </c>
      <c r="N2984">
        <v>1</v>
      </c>
      <c r="O2984">
        <v>0</v>
      </c>
      <c r="P2984" s="3" t="s">
        <v>50</v>
      </c>
      <c r="Q2984">
        <v>50</v>
      </c>
      <c r="R2984">
        <v>0.999</v>
      </c>
      <c r="S2984">
        <v>1</v>
      </c>
    </row>
    <row r="2985" spans="1:19" x14ac:dyDescent="0.2">
      <c r="A2985" s="3" t="s">
        <v>54</v>
      </c>
      <c r="B2985" s="3" t="s">
        <v>55</v>
      </c>
      <c r="C2985">
        <v>21</v>
      </c>
      <c r="D2985">
        <v>12000</v>
      </c>
      <c r="E2985">
        <v>499</v>
      </c>
      <c r="F2985">
        <v>1</v>
      </c>
      <c r="G2985">
        <v>12000</v>
      </c>
      <c r="H2985">
        <v>1.3653713E-2</v>
      </c>
      <c r="I2985">
        <v>12000</v>
      </c>
      <c r="J2985">
        <v>3649</v>
      </c>
      <c r="K2985">
        <v>8351</v>
      </c>
      <c r="L2985">
        <v>500</v>
      </c>
      <c r="M2985">
        <v>499</v>
      </c>
      <c r="N2985">
        <v>1</v>
      </c>
      <c r="O2985">
        <v>0</v>
      </c>
      <c r="P2985" s="3" t="s">
        <v>50</v>
      </c>
      <c r="Q2985">
        <v>50</v>
      </c>
      <c r="R2985">
        <v>0.999</v>
      </c>
      <c r="S2985">
        <v>1</v>
      </c>
    </row>
    <row r="2986" spans="1:19" x14ac:dyDescent="0.2">
      <c r="A2986" s="3" t="s">
        <v>54</v>
      </c>
      <c r="B2986" s="3" t="s">
        <v>55</v>
      </c>
      <c r="C2986">
        <v>25</v>
      </c>
      <c r="D2986">
        <v>10000</v>
      </c>
      <c r="E2986">
        <v>499</v>
      </c>
      <c r="F2986">
        <v>1</v>
      </c>
      <c r="G2986">
        <v>10000</v>
      </c>
      <c r="H2986">
        <v>1.3652541000000001E-2</v>
      </c>
      <c r="I2986">
        <v>10000</v>
      </c>
      <c r="J2986">
        <v>3626</v>
      </c>
      <c r="K2986">
        <v>6374</v>
      </c>
      <c r="L2986">
        <v>500</v>
      </c>
      <c r="M2986">
        <v>499</v>
      </c>
      <c r="N2986">
        <v>1</v>
      </c>
      <c r="O2986">
        <v>0</v>
      </c>
      <c r="P2986" s="3" t="s">
        <v>50</v>
      </c>
      <c r="Q2986">
        <v>50</v>
      </c>
      <c r="R2986">
        <v>0.999</v>
      </c>
      <c r="S2986">
        <v>1</v>
      </c>
    </row>
    <row r="2987" spans="1:19" x14ac:dyDescent="0.2">
      <c r="A2987" s="3" t="s">
        <v>54</v>
      </c>
      <c r="B2987" s="3" t="s">
        <v>55</v>
      </c>
      <c r="C2987">
        <v>43</v>
      </c>
      <c r="D2987">
        <v>10000</v>
      </c>
      <c r="E2987">
        <v>499</v>
      </c>
      <c r="F2987">
        <v>1</v>
      </c>
      <c r="G2987">
        <v>39482.677260513999</v>
      </c>
      <c r="H2987">
        <v>1.3649194999999999E-2</v>
      </c>
      <c r="I2987">
        <v>10000</v>
      </c>
      <c r="J2987">
        <v>3575</v>
      </c>
      <c r="K2987">
        <v>6425</v>
      </c>
      <c r="L2987">
        <v>500</v>
      </c>
      <c r="M2987">
        <v>499</v>
      </c>
      <c r="N2987">
        <v>1</v>
      </c>
      <c r="O2987">
        <v>0</v>
      </c>
      <c r="P2987" s="3" t="s">
        <v>50</v>
      </c>
      <c r="Q2987">
        <v>50</v>
      </c>
      <c r="R2987">
        <v>0.999</v>
      </c>
      <c r="S2987">
        <v>0</v>
      </c>
    </row>
    <row r="2988" spans="1:19" x14ac:dyDescent="0.2">
      <c r="A2988" s="3" t="s">
        <v>54</v>
      </c>
      <c r="B2988" s="3" t="s">
        <v>55</v>
      </c>
      <c r="C2988">
        <v>5</v>
      </c>
      <c r="D2988">
        <v>12000</v>
      </c>
      <c r="E2988">
        <v>499</v>
      </c>
      <c r="F2988">
        <v>1</v>
      </c>
      <c r="G2988">
        <v>12000</v>
      </c>
      <c r="H2988">
        <v>1.3647462000000001E-2</v>
      </c>
      <c r="I2988">
        <v>12000</v>
      </c>
      <c r="J2988">
        <v>3714</v>
      </c>
      <c r="K2988">
        <v>8286</v>
      </c>
      <c r="L2988">
        <v>500</v>
      </c>
      <c r="M2988">
        <v>499</v>
      </c>
      <c r="N2988">
        <v>1</v>
      </c>
      <c r="O2988">
        <v>0</v>
      </c>
      <c r="P2988" s="3" t="s">
        <v>50</v>
      </c>
      <c r="Q2988">
        <v>50</v>
      </c>
      <c r="R2988">
        <v>0.999</v>
      </c>
      <c r="S2988">
        <v>1</v>
      </c>
    </row>
    <row r="2989" spans="1:19" x14ac:dyDescent="0.2">
      <c r="A2989" s="3" t="s">
        <v>54</v>
      </c>
      <c r="B2989" s="3" t="s">
        <v>55</v>
      </c>
      <c r="C2989">
        <v>45</v>
      </c>
      <c r="D2989">
        <v>11000</v>
      </c>
      <c r="E2989">
        <v>499</v>
      </c>
      <c r="F2989">
        <v>1</v>
      </c>
      <c r="G2989">
        <v>11000</v>
      </c>
      <c r="H2989">
        <v>1.364517E-2</v>
      </c>
      <c r="I2989">
        <v>11000</v>
      </c>
      <c r="J2989">
        <v>3610</v>
      </c>
      <c r="K2989">
        <v>7390</v>
      </c>
      <c r="L2989">
        <v>500</v>
      </c>
      <c r="M2989">
        <v>499</v>
      </c>
      <c r="N2989">
        <v>1</v>
      </c>
      <c r="O2989">
        <v>0</v>
      </c>
      <c r="P2989" s="3" t="s">
        <v>50</v>
      </c>
      <c r="Q2989">
        <v>50</v>
      </c>
      <c r="R2989">
        <v>0.999</v>
      </c>
      <c r="S2989">
        <v>1</v>
      </c>
    </row>
    <row r="2990" spans="1:19" x14ac:dyDescent="0.2">
      <c r="A2990" s="3" t="s">
        <v>54</v>
      </c>
      <c r="B2990" s="3" t="s">
        <v>55</v>
      </c>
      <c r="C2990">
        <v>17</v>
      </c>
      <c r="D2990">
        <v>10000</v>
      </c>
      <c r="E2990">
        <v>499</v>
      </c>
      <c r="F2990">
        <v>1</v>
      </c>
      <c r="G2990">
        <v>10000</v>
      </c>
      <c r="H2990">
        <v>1.3642191E-2</v>
      </c>
      <c r="I2990">
        <v>10000</v>
      </c>
      <c r="J2990">
        <v>3620</v>
      </c>
      <c r="K2990">
        <v>6380</v>
      </c>
      <c r="L2990">
        <v>500</v>
      </c>
      <c r="M2990">
        <v>499</v>
      </c>
      <c r="N2990">
        <v>1</v>
      </c>
      <c r="O2990">
        <v>0</v>
      </c>
      <c r="P2990" s="3" t="s">
        <v>50</v>
      </c>
      <c r="Q2990">
        <v>50</v>
      </c>
      <c r="R2990">
        <v>0.999</v>
      </c>
      <c r="S2990">
        <v>1</v>
      </c>
    </row>
    <row r="2991" spans="1:19" x14ac:dyDescent="0.2">
      <c r="A2991" s="3" t="s">
        <v>54</v>
      </c>
      <c r="B2991" s="3" t="s">
        <v>55</v>
      </c>
      <c r="C2991">
        <v>39</v>
      </c>
      <c r="D2991">
        <v>10000</v>
      </c>
      <c r="E2991">
        <v>499</v>
      </c>
      <c r="F2991">
        <v>1</v>
      </c>
      <c r="G2991">
        <v>39482.677260513999</v>
      </c>
      <c r="H2991">
        <v>1.3632494E-2</v>
      </c>
      <c r="I2991">
        <v>10000</v>
      </c>
      <c r="J2991">
        <v>3564</v>
      </c>
      <c r="K2991">
        <v>6436</v>
      </c>
      <c r="L2991">
        <v>500</v>
      </c>
      <c r="M2991">
        <v>499</v>
      </c>
      <c r="N2991">
        <v>1</v>
      </c>
      <c r="O2991">
        <v>0</v>
      </c>
      <c r="P2991" s="3" t="s">
        <v>50</v>
      </c>
      <c r="Q2991">
        <v>50</v>
      </c>
      <c r="R2991">
        <v>0.999</v>
      </c>
      <c r="S2991">
        <v>0</v>
      </c>
    </row>
    <row r="2992" spans="1:19" x14ac:dyDescent="0.2">
      <c r="A2992" s="3" t="s">
        <v>54</v>
      </c>
      <c r="B2992" s="3" t="s">
        <v>55</v>
      </c>
      <c r="C2992">
        <v>41</v>
      </c>
      <c r="D2992">
        <v>11000</v>
      </c>
      <c r="E2992">
        <v>499</v>
      </c>
      <c r="F2992">
        <v>1</v>
      </c>
      <c r="G2992">
        <v>11000</v>
      </c>
      <c r="H2992">
        <v>1.3630586E-2</v>
      </c>
      <c r="I2992">
        <v>11000</v>
      </c>
      <c r="J2992">
        <v>3654</v>
      </c>
      <c r="K2992">
        <v>7346</v>
      </c>
      <c r="L2992">
        <v>500</v>
      </c>
      <c r="M2992">
        <v>499</v>
      </c>
      <c r="N2992">
        <v>1</v>
      </c>
      <c r="O2992">
        <v>0</v>
      </c>
      <c r="P2992" s="3" t="s">
        <v>50</v>
      </c>
      <c r="Q2992">
        <v>50</v>
      </c>
      <c r="R2992">
        <v>0.999</v>
      </c>
      <c r="S2992">
        <v>1</v>
      </c>
    </row>
    <row r="2993" spans="1:19" x14ac:dyDescent="0.2">
      <c r="A2993" s="3" t="s">
        <v>54</v>
      </c>
      <c r="B2993" s="3" t="s">
        <v>55</v>
      </c>
      <c r="C2993">
        <v>15</v>
      </c>
      <c r="D2993">
        <v>12000</v>
      </c>
      <c r="E2993">
        <v>499</v>
      </c>
      <c r="F2993">
        <v>1</v>
      </c>
      <c r="G2993">
        <v>12000</v>
      </c>
      <c r="H2993">
        <v>1.3628927000000001E-2</v>
      </c>
      <c r="I2993">
        <v>12000</v>
      </c>
      <c r="J2993">
        <v>3660</v>
      </c>
      <c r="K2993">
        <v>8340</v>
      </c>
      <c r="L2993">
        <v>500</v>
      </c>
      <c r="M2993">
        <v>499</v>
      </c>
      <c r="N2993">
        <v>1</v>
      </c>
      <c r="O2993">
        <v>0</v>
      </c>
      <c r="P2993" s="3" t="s">
        <v>50</v>
      </c>
      <c r="Q2993">
        <v>50</v>
      </c>
      <c r="R2993">
        <v>0.999</v>
      </c>
      <c r="S2993">
        <v>1</v>
      </c>
    </row>
    <row r="2994" spans="1:19" x14ac:dyDescent="0.2">
      <c r="A2994" s="3" t="s">
        <v>54</v>
      </c>
      <c r="B2994" s="3" t="s">
        <v>55</v>
      </c>
      <c r="C2994">
        <v>7</v>
      </c>
      <c r="D2994">
        <v>10000</v>
      </c>
      <c r="E2994">
        <v>499</v>
      </c>
      <c r="F2994">
        <v>1</v>
      </c>
      <c r="G2994">
        <v>10000</v>
      </c>
      <c r="H2994">
        <v>1.3627551999999999E-2</v>
      </c>
      <c r="I2994">
        <v>10000</v>
      </c>
      <c r="J2994">
        <v>3570</v>
      </c>
      <c r="K2994">
        <v>6430</v>
      </c>
      <c r="L2994">
        <v>500</v>
      </c>
      <c r="M2994">
        <v>499</v>
      </c>
      <c r="N2994">
        <v>1</v>
      </c>
      <c r="O2994">
        <v>0</v>
      </c>
      <c r="P2994" s="3" t="s">
        <v>50</v>
      </c>
      <c r="Q2994">
        <v>50</v>
      </c>
      <c r="R2994">
        <v>0.999</v>
      </c>
      <c r="S2994">
        <v>1</v>
      </c>
    </row>
    <row r="2995" spans="1:19" x14ac:dyDescent="0.2">
      <c r="A2995" s="3" t="s">
        <v>54</v>
      </c>
      <c r="B2995" s="3" t="s">
        <v>55</v>
      </c>
      <c r="C2995">
        <v>47</v>
      </c>
      <c r="D2995">
        <v>11000</v>
      </c>
      <c r="E2995">
        <v>499</v>
      </c>
      <c r="F2995">
        <v>1</v>
      </c>
      <c r="G2995">
        <v>11000</v>
      </c>
      <c r="H2995">
        <v>1.3624654999999999E-2</v>
      </c>
      <c r="I2995">
        <v>11000</v>
      </c>
      <c r="J2995">
        <v>3640</v>
      </c>
      <c r="K2995">
        <v>7360</v>
      </c>
      <c r="L2995">
        <v>500</v>
      </c>
      <c r="M2995">
        <v>499</v>
      </c>
      <c r="N2995">
        <v>1</v>
      </c>
      <c r="O2995">
        <v>0</v>
      </c>
      <c r="P2995" s="3" t="s">
        <v>50</v>
      </c>
      <c r="Q2995">
        <v>50</v>
      </c>
      <c r="R2995">
        <v>0.999</v>
      </c>
      <c r="S2995">
        <v>1</v>
      </c>
    </row>
    <row r="2996" spans="1:19" x14ac:dyDescent="0.2">
      <c r="A2996" s="3" t="s">
        <v>54</v>
      </c>
      <c r="B2996" s="3" t="s">
        <v>55</v>
      </c>
      <c r="C2996">
        <v>37</v>
      </c>
      <c r="D2996">
        <v>11000</v>
      </c>
      <c r="E2996">
        <v>499</v>
      </c>
      <c r="F2996">
        <v>1</v>
      </c>
      <c r="G2996">
        <v>11000</v>
      </c>
      <c r="H2996">
        <v>1.3623803E-2</v>
      </c>
      <c r="I2996">
        <v>10999</v>
      </c>
      <c r="J2996">
        <v>3659</v>
      </c>
      <c r="K2996">
        <v>7340</v>
      </c>
      <c r="L2996">
        <v>500</v>
      </c>
      <c r="M2996">
        <v>499</v>
      </c>
      <c r="N2996">
        <v>1</v>
      </c>
      <c r="O2996">
        <v>1</v>
      </c>
      <c r="P2996" s="3" t="s">
        <v>50</v>
      </c>
      <c r="Q2996">
        <v>50</v>
      </c>
      <c r="R2996">
        <v>0.999</v>
      </c>
      <c r="S2996">
        <v>1</v>
      </c>
    </row>
    <row r="2997" spans="1:19" x14ac:dyDescent="0.2">
      <c r="A2997" s="3" t="s">
        <v>54</v>
      </c>
      <c r="B2997" s="3" t="s">
        <v>55</v>
      </c>
      <c r="C2997">
        <v>15</v>
      </c>
      <c r="D2997">
        <v>10000</v>
      </c>
      <c r="E2997">
        <v>499</v>
      </c>
      <c r="F2997">
        <v>1</v>
      </c>
      <c r="G2997">
        <v>39482.677260513999</v>
      </c>
      <c r="H2997">
        <v>1.362E-2</v>
      </c>
      <c r="I2997">
        <v>10000</v>
      </c>
      <c r="J2997">
        <v>2720</v>
      </c>
      <c r="K2997">
        <v>7280</v>
      </c>
      <c r="L2997">
        <v>500</v>
      </c>
      <c r="M2997">
        <v>499</v>
      </c>
      <c r="N2997">
        <v>1</v>
      </c>
      <c r="O2997">
        <v>0</v>
      </c>
      <c r="P2997" s="3" t="s">
        <v>52</v>
      </c>
      <c r="Q2997">
        <v>50</v>
      </c>
      <c r="R2997">
        <v>0.999</v>
      </c>
      <c r="S2997">
        <v>0</v>
      </c>
    </row>
    <row r="2998" spans="1:19" x14ac:dyDescent="0.2">
      <c r="A2998" s="3" t="s">
        <v>54</v>
      </c>
      <c r="B2998" s="3" t="s">
        <v>55</v>
      </c>
      <c r="C2998">
        <v>21</v>
      </c>
      <c r="D2998">
        <v>10000</v>
      </c>
      <c r="E2998">
        <v>499</v>
      </c>
      <c r="F2998">
        <v>1</v>
      </c>
      <c r="G2998">
        <v>10000</v>
      </c>
      <c r="H2998">
        <v>1.3594424000000001E-2</v>
      </c>
      <c r="I2998">
        <v>10000</v>
      </c>
      <c r="J2998">
        <v>3581</v>
      </c>
      <c r="K2998">
        <v>6419</v>
      </c>
      <c r="L2998">
        <v>500</v>
      </c>
      <c r="M2998">
        <v>499</v>
      </c>
      <c r="N2998">
        <v>1</v>
      </c>
      <c r="O2998">
        <v>0</v>
      </c>
      <c r="P2998" s="3" t="s">
        <v>50</v>
      </c>
      <c r="Q2998">
        <v>50</v>
      </c>
      <c r="R2998">
        <v>0.999</v>
      </c>
      <c r="S2998">
        <v>1</v>
      </c>
    </row>
    <row r="2999" spans="1:19" x14ac:dyDescent="0.2">
      <c r="A2999" s="3" t="s">
        <v>54</v>
      </c>
      <c r="B2999" s="3" t="s">
        <v>55</v>
      </c>
      <c r="C2999">
        <v>43</v>
      </c>
      <c r="D2999">
        <v>10000</v>
      </c>
      <c r="E2999">
        <v>499</v>
      </c>
      <c r="F2999">
        <v>1</v>
      </c>
      <c r="G2999">
        <v>10000</v>
      </c>
      <c r="H2999">
        <v>1.3588045E-2</v>
      </c>
      <c r="I2999">
        <v>10000</v>
      </c>
      <c r="J2999">
        <v>3563</v>
      </c>
      <c r="K2999">
        <v>6437</v>
      </c>
      <c r="L2999">
        <v>500</v>
      </c>
      <c r="M2999">
        <v>499</v>
      </c>
      <c r="N2999">
        <v>1</v>
      </c>
      <c r="O2999">
        <v>0</v>
      </c>
      <c r="P2999" s="3" t="s">
        <v>50</v>
      </c>
      <c r="Q2999">
        <v>50</v>
      </c>
      <c r="R2999">
        <v>0.999</v>
      </c>
      <c r="S2999">
        <v>1</v>
      </c>
    </row>
    <row r="3000" spans="1:19" x14ac:dyDescent="0.2">
      <c r="A3000" s="3" t="s">
        <v>54</v>
      </c>
      <c r="B3000" s="3" t="s">
        <v>55</v>
      </c>
      <c r="C3000">
        <v>36</v>
      </c>
      <c r="D3000">
        <v>11000</v>
      </c>
      <c r="E3000">
        <v>499</v>
      </c>
      <c r="F3000">
        <v>1</v>
      </c>
      <c r="G3000">
        <v>11000</v>
      </c>
      <c r="H3000">
        <v>1.3584443E-2</v>
      </c>
      <c r="I3000">
        <v>11000</v>
      </c>
      <c r="J3000">
        <v>3644</v>
      </c>
      <c r="K3000">
        <v>7356</v>
      </c>
      <c r="L3000">
        <v>500</v>
      </c>
      <c r="M3000">
        <v>499</v>
      </c>
      <c r="N3000">
        <v>1</v>
      </c>
      <c r="O3000">
        <v>0</v>
      </c>
      <c r="P3000" s="3" t="s">
        <v>50</v>
      </c>
      <c r="Q3000">
        <v>50</v>
      </c>
      <c r="R3000">
        <v>0.999</v>
      </c>
      <c r="S3000">
        <v>1</v>
      </c>
    </row>
    <row r="3001" spans="1:19" x14ac:dyDescent="0.2">
      <c r="A3001" s="3" t="s">
        <v>54</v>
      </c>
      <c r="B3001" s="3" t="s">
        <v>55</v>
      </c>
      <c r="C3001">
        <v>46</v>
      </c>
      <c r="D3001">
        <v>11000</v>
      </c>
      <c r="E3001">
        <v>499</v>
      </c>
      <c r="F3001">
        <v>1</v>
      </c>
      <c r="G3001">
        <v>11000</v>
      </c>
      <c r="H3001">
        <v>1.3580454E-2</v>
      </c>
      <c r="I3001">
        <v>11000</v>
      </c>
      <c r="J3001">
        <v>3650</v>
      </c>
      <c r="K3001">
        <v>7350</v>
      </c>
      <c r="L3001">
        <v>500</v>
      </c>
      <c r="M3001">
        <v>499</v>
      </c>
      <c r="N3001">
        <v>1</v>
      </c>
      <c r="O3001">
        <v>0</v>
      </c>
      <c r="P3001" s="3" t="s">
        <v>50</v>
      </c>
      <c r="Q3001">
        <v>50</v>
      </c>
      <c r="R3001">
        <v>0.999</v>
      </c>
      <c r="S3001">
        <v>1</v>
      </c>
    </row>
    <row r="3002" spans="1:19" x14ac:dyDescent="0.2">
      <c r="A3002" s="3" t="s">
        <v>54</v>
      </c>
      <c r="B3002" s="3" t="s">
        <v>55</v>
      </c>
      <c r="C3002">
        <v>16</v>
      </c>
      <c r="D3002">
        <v>10000</v>
      </c>
      <c r="E3002">
        <v>499</v>
      </c>
      <c r="F3002">
        <v>1</v>
      </c>
      <c r="G3002">
        <v>10000</v>
      </c>
      <c r="H3002">
        <v>1.3580225E-2</v>
      </c>
      <c r="I3002">
        <v>10000</v>
      </c>
      <c r="J3002">
        <v>3568</v>
      </c>
      <c r="K3002">
        <v>6432</v>
      </c>
      <c r="L3002">
        <v>500</v>
      </c>
      <c r="M3002">
        <v>499</v>
      </c>
      <c r="N3002">
        <v>1</v>
      </c>
      <c r="O3002">
        <v>0</v>
      </c>
      <c r="P3002" s="3" t="s">
        <v>50</v>
      </c>
      <c r="Q3002">
        <v>50</v>
      </c>
      <c r="R3002">
        <v>0.999</v>
      </c>
      <c r="S3002">
        <v>1</v>
      </c>
    </row>
    <row r="3003" spans="1:19" x14ac:dyDescent="0.2">
      <c r="A3003" s="3" t="s">
        <v>54</v>
      </c>
      <c r="B3003" s="3" t="s">
        <v>55</v>
      </c>
      <c r="C3003">
        <v>40</v>
      </c>
      <c r="D3003">
        <v>11000</v>
      </c>
      <c r="E3003">
        <v>499</v>
      </c>
      <c r="F3003">
        <v>1</v>
      </c>
      <c r="G3003">
        <v>11000</v>
      </c>
      <c r="H3003">
        <v>1.3567630000000001E-2</v>
      </c>
      <c r="I3003">
        <v>11000</v>
      </c>
      <c r="J3003">
        <v>3659</v>
      </c>
      <c r="K3003">
        <v>7341</v>
      </c>
      <c r="L3003">
        <v>500</v>
      </c>
      <c r="M3003">
        <v>499</v>
      </c>
      <c r="N3003">
        <v>1</v>
      </c>
      <c r="O3003">
        <v>0</v>
      </c>
      <c r="P3003" s="3" t="s">
        <v>50</v>
      </c>
      <c r="Q3003">
        <v>50</v>
      </c>
      <c r="R3003">
        <v>0.999</v>
      </c>
      <c r="S3003">
        <v>1</v>
      </c>
    </row>
    <row r="3004" spans="1:19" x14ac:dyDescent="0.2">
      <c r="A3004" s="3" t="s">
        <v>54</v>
      </c>
      <c r="B3004" s="3" t="s">
        <v>55</v>
      </c>
      <c r="C3004">
        <v>31</v>
      </c>
      <c r="D3004">
        <v>11000</v>
      </c>
      <c r="E3004">
        <v>499</v>
      </c>
      <c r="F3004">
        <v>1</v>
      </c>
      <c r="G3004">
        <v>11000</v>
      </c>
      <c r="H3004">
        <v>1.3565713E-2</v>
      </c>
      <c r="I3004">
        <v>11000</v>
      </c>
      <c r="J3004">
        <v>3660</v>
      </c>
      <c r="K3004">
        <v>7340</v>
      </c>
      <c r="L3004">
        <v>500</v>
      </c>
      <c r="M3004">
        <v>499</v>
      </c>
      <c r="N3004">
        <v>1</v>
      </c>
      <c r="O3004">
        <v>0</v>
      </c>
      <c r="P3004" s="3" t="s">
        <v>50</v>
      </c>
      <c r="Q3004">
        <v>50</v>
      </c>
      <c r="R3004">
        <v>0.999</v>
      </c>
      <c r="S3004">
        <v>1</v>
      </c>
    </row>
    <row r="3005" spans="1:19" x14ac:dyDescent="0.2">
      <c r="A3005" s="3" t="s">
        <v>54</v>
      </c>
      <c r="B3005" s="3" t="s">
        <v>55</v>
      </c>
      <c r="C3005">
        <v>8</v>
      </c>
      <c r="D3005">
        <v>12000</v>
      </c>
      <c r="E3005">
        <v>499</v>
      </c>
      <c r="F3005">
        <v>1</v>
      </c>
      <c r="G3005">
        <v>12000</v>
      </c>
      <c r="H3005">
        <v>1.3564239000000001E-2</v>
      </c>
      <c r="I3005">
        <v>12000</v>
      </c>
      <c r="J3005">
        <v>3603</v>
      </c>
      <c r="K3005">
        <v>8397</v>
      </c>
      <c r="L3005">
        <v>500</v>
      </c>
      <c r="M3005">
        <v>499</v>
      </c>
      <c r="N3005">
        <v>1</v>
      </c>
      <c r="O3005">
        <v>0</v>
      </c>
      <c r="P3005" s="3" t="s">
        <v>52</v>
      </c>
      <c r="Q3005">
        <v>50</v>
      </c>
      <c r="R3005">
        <v>0.999</v>
      </c>
      <c r="S3005">
        <v>1</v>
      </c>
    </row>
    <row r="3006" spans="1:19" x14ac:dyDescent="0.2">
      <c r="A3006" s="3" t="s">
        <v>54</v>
      </c>
      <c r="B3006" s="3" t="s">
        <v>55</v>
      </c>
      <c r="C3006">
        <v>38</v>
      </c>
      <c r="D3006">
        <v>11000</v>
      </c>
      <c r="E3006">
        <v>499</v>
      </c>
      <c r="F3006">
        <v>1</v>
      </c>
      <c r="G3006">
        <v>11000</v>
      </c>
      <c r="H3006">
        <v>1.355961E-2</v>
      </c>
      <c r="I3006">
        <v>11000</v>
      </c>
      <c r="J3006">
        <v>3661</v>
      </c>
      <c r="K3006">
        <v>7339</v>
      </c>
      <c r="L3006">
        <v>500</v>
      </c>
      <c r="M3006">
        <v>499</v>
      </c>
      <c r="N3006">
        <v>1</v>
      </c>
      <c r="O3006">
        <v>0</v>
      </c>
      <c r="P3006" s="3" t="s">
        <v>50</v>
      </c>
      <c r="Q3006">
        <v>50</v>
      </c>
      <c r="R3006">
        <v>0.999</v>
      </c>
      <c r="S3006">
        <v>1</v>
      </c>
    </row>
    <row r="3007" spans="1:19" x14ac:dyDescent="0.2">
      <c r="A3007" s="3" t="s">
        <v>54</v>
      </c>
      <c r="B3007" s="3" t="s">
        <v>55</v>
      </c>
      <c r="C3007">
        <v>50</v>
      </c>
      <c r="D3007">
        <v>10000</v>
      </c>
      <c r="E3007">
        <v>499</v>
      </c>
      <c r="F3007">
        <v>1</v>
      </c>
      <c r="G3007">
        <v>10000</v>
      </c>
      <c r="H3007">
        <v>1.3556044E-2</v>
      </c>
      <c r="I3007">
        <v>10000</v>
      </c>
      <c r="J3007">
        <v>3613</v>
      </c>
      <c r="K3007">
        <v>6387</v>
      </c>
      <c r="L3007">
        <v>500</v>
      </c>
      <c r="M3007">
        <v>499</v>
      </c>
      <c r="N3007">
        <v>1</v>
      </c>
      <c r="O3007">
        <v>0</v>
      </c>
      <c r="P3007" s="3" t="s">
        <v>50</v>
      </c>
      <c r="Q3007">
        <v>50</v>
      </c>
      <c r="R3007">
        <v>0.999</v>
      </c>
      <c r="S3007">
        <v>1</v>
      </c>
    </row>
    <row r="3008" spans="1:19" x14ac:dyDescent="0.2">
      <c r="A3008" s="3" t="s">
        <v>54</v>
      </c>
      <c r="B3008" s="3" t="s">
        <v>55</v>
      </c>
      <c r="C3008">
        <v>20</v>
      </c>
      <c r="D3008">
        <v>10000</v>
      </c>
      <c r="E3008">
        <v>499</v>
      </c>
      <c r="F3008">
        <v>1</v>
      </c>
      <c r="G3008">
        <v>39482.677260513999</v>
      </c>
      <c r="H3008">
        <v>1.3542871E-2</v>
      </c>
      <c r="I3008">
        <v>10000</v>
      </c>
      <c r="J3008">
        <v>3568</v>
      </c>
      <c r="K3008">
        <v>6432</v>
      </c>
      <c r="L3008">
        <v>500</v>
      </c>
      <c r="M3008">
        <v>499</v>
      </c>
      <c r="N3008">
        <v>1</v>
      </c>
      <c r="O3008">
        <v>0</v>
      </c>
      <c r="P3008" s="3" t="s">
        <v>50</v>
      </c>
      <c r="Q3008">
        <v>50</v>
      </c>
      <c r="R3008">
        <v>0.999</v>
      </c>
      <c r="S3008">
        <v>0</v>
      </c>
    </row>
    <row r="3009" spans="1:19" x14ac:dyDescent="0.2">
      <c r="A3009" s="3" t="s">
        <v>54</v>
      </c>
      <c r="B3009" s="3" t="s">
        <v>55</v>
      </c>
      <c r="C3009">
        <v>36</v>
      </c>
      <c r="D3009">
        <v>12000</v>
      </c>
      <c r="E3009">
        <v>499</v>
      </c>
      <c r="F3009">
        <v>1</v>
      </c>
      <c r="G3009">
        <v>12000</v>
      </c>
      <c r="H3009">
        <v>1.3538242000000001E-2</v>
      </c>
      <c r="I3009">
        <v>12000</v>
      </c>
      <c r="J3009">
        <v>3687</v>
      </c>
      <c r="K3009">
        <v>8313</v>
      </c>
      <c r="L3009">
        <v>500</v>
      </c>
      <c r="M3009">
        <v>499</v>
      </c>
      <c r="N3009">
        <v>1</v>
      </c>
      <c r="O3009">
        <v>0</v>
      </c>
      <c r="P3009" s="3" t="s">
        <v>50</v>
      </c>
      <c r="Q3009">
        <v>50</v>
      </c>
      <c r="R3009">
        <v>0.999</v>
      </c>
      <c r="S3009">
        <v>1</v>
      </c>
    </row>
    <row r="3010" spans="1:19" x14ac:dyDescent="0.2">
      <c r="A3010" s="3" t="s">
        <v>54</v>
      </c>
      <c r="B3010" s="3" t="s">
        <v>55</v>
      </c>
      <c r="C3010">
        <v>49</v>
      </c>
      <c r="D3010">
        <v>10000</v>
      </c>
      <c r="E3010">
        <v>499</v>
      </c>
      <c r="F3010">
        <v>1</v>
      </c>
      <c r="G3010">
        <v>10000</v>
      </c>
      <c r="H3010">
        <v>1.3536823E-2</v>
      </c>
      <c r="I3010">
        <v>10000</v>
      </c>
      <c r="J3010">
        <v>3558</v>
      </c>
      <c r="K3010">
        <v>6442</v>
      </c>
      <c r="L3010">
        <v>500</v>
      </c>
      <c r="M3010">
        <v>499</v>
      </c>
      <c r="N3010">
        <v>1</v>
      </c>
      <c r="O3010">
        <v>0</v>
      </c>
      <c r="P3010" s="3" t="s">
        <v>50</v>
      </c>
      <c r="Q3010">
        <v>50</v>
      </c>
      <c r="R3010">
        <v>0.999</v>
      </c>
      <c r="S3010">
        <v>1</v>
      </c>
    </row>
    <row r="3011" spans="1:19" x14ac:dyDescent="0.2">
      <c r="A3011" s="3" t="s">
        <v>54</v>
      </c>
      <c r="B3011" s="3" t="s">
        <v>55</v>
      </c>
      <c r="C3011">
        <v>45</v>
      </c>
      <c r="D3011">
        <v>12000</v>
      </c>
      <c r="E3011">
        <v>499</v>
      </c>
      <c r="F3011">
        <v>1</v>
      </c>
      <c r="G3011">
        <v>12000</v>
      </c>
      <c r="H3011">
        <v>1.352474E-2</v>
      </c>
      <c r="I3011">
        <v>12000</v>
      </c>
      <c r="J3011">
        <v>3617</v>
      </c>
      <c r="K3011">
        <v>8383</v>
      </c>
      <c r="L3011">
        <v>500</v>
      </c>
      <c r="M3011">
        <v>499</v>
      </c>
      <c r="N3011">
        <v>1</v>
      </c>
      <c r="O3011">
        <v>0</v>
      </c>
      <c r="P3011" s="3" t="s">
        <v>52</v>
      </c>
      <c r="Q3011">
        <v>50</v>
      </c>
      <c r="R3011">
        <v>0.999</v>
      </c>
      <c r="S3011">
        <v>1</v>
      </c>
    </row>
    <row r="3012" spans="1:19" x14ac:dyDescent="0.2">
      <c r="A3012" s="3" t="s">
        <v>54</v>
      </c>
      <c r="B3012" s="3" t="s">
        <v>55</v>
      </c>
      <c r="C3012">
        <v>41</v>
      </c>
      <c r="D3012">
        <v>10000</v>
      </c>
      <c r="E3012">
        <v>499</v>
      </c>
      <c r="F3012">
        <v>1</v>
      </c>
      <c r="G3012">
        <v>10000</v>
      </c>
      <c r="H3012">
        <v>1.3523346E-2</v>
      </c>
      <c r="I3012">
        <v>10000</v>
      </c>
      <c r="J3012">
        <v>3546</v>
      </c>
      <c r="K3012">
        <v>6454</v>
      </c>
      <c r="L3012">
        <v>500</v>
      </c>
      <c r="M3012">
        <v>499</v>
      </c>
      <c r="N3012">
        <v>1</v>
      </c>
      <c r="O3012">
        <v>0</v>
      </c>
      <c r="P3012" s="3" t="s">
        <v>50</v>
      </c>
      <c r="Q3012">
        <v>50</v>
      </c>
      <c r="R3012">
        <v>0.999</v>
      </c>
      <c r="S3012">
        <v>1</v>
      </c>
    </row>
    <row r="3013" spans="1:19" x14ac:dyDescent="0.2">
      <c r="A3013" s="3" t="s">
        <v>54</v>
      </c>
      <c r="B3013" s="3" t="s">
        <v>55</v>
      </c>
      <c r="C3013">
        <v>39</v>
      </c>
      <c r="D3013">
        <v>12000</v>
      </c>
      <c r="E3013">
        <v>499</v>
      </c>
      <c r="F3013">
        <v>1</v>
      </c>
      <c r="G3013">
        <v>12000</v>
      </c>
      <c r="H3013">
        <v>1.3519211999999999E-2</v>
      </c>
      <c r="I3013">
        <v>12000</v>
      </c>
      <c r="J3013">
        <v>3670</v>
      </c>
      <c r="K3013">
        <v>8330</v>
      </c>
      <c r="L3013">
        <v>500</v>
      </c>
      <c r="M3013">
        <v>499</v>
      </c>
      <c r="N3013">
        <v>1</v>
      </c>
      <c r="O3013">
        <v>0</v>
      </c>
      <c r="P3013" s="3" t="s">
        <v>50</v>
      </c>
      <c r="Q3013">
        <v>50</v>
      </c>
      <c r="R3013">
        <v>0.999</v>
      </c>
      <c r="S3013">
        <v>1</v>
      </c>
    </row>
    <row r="3014" spans="1:19" x14ac:dyDescent="0.2">
      <c r="A3014" s="3" t="s">
        <v>54</v>
      </c>
      <c r="B3014" s="3" t="s">
        <v>55</v>
      </c>
      <c r="C3014">
        <v>29</v>
      </c>
      <c r="D3014">
        <v>10000</v>
      </c>
      <c r="E3014">
        <v>499</v>
      </c>
      <c r="F3014">
        <v>1</v>
      </c>
      <c r="G3014">
        <v>10000</v>
      </c>
      <c r="H3014">
        <v>1.3497523000000001E-2</v>
      </c>
      <c r="I3014">
        <v>10000</v>
      </c>
      <c r="J3014">
        <v>3610</v>
      </c>
      <c r="K3014">
        <v>6390</v>
      </c>
      <c r="L3014">
        <v>500</v>
      </c>
      <c r="M3014">
        <v>499</v>
      </c>
      <c r="N3014">
        <v>1</v>
      </c>
      <c r="O3014">
        <v>0</v>
      </c>
      <c r="P3014" s="3" t="s">
        <v>50</v>
      </c>
      <c r="Q3014">
        <v>50</v>
      </c>
      <c r="R3014">
        <v>0.999</v>
      </c>
      <c r="S3014">
        <v>1</v>
      </c>
    </row>
    <row r="3015" spans="1:19" x14ac:dyDescent="0.2">
      <c r="A3015" s="3" t="s">
        <v>54</v>
      </c>
      <c r="B3015" s="3" t="s">
        <v>55</v>
      </c>
      <c r="C3015">
        <v>17</v>
      </c>
      <c r="D3015">
        <v>12000</v>
      </c>
      <c r="E3015">
        <v>499</v>
      </c>
      <c r="F3015">
        <v>1</v>
      </c>
      <c r="G3015">
        <v>12000</v>
      </c>
      <c r="H3015">
        <v>1.3496855E-2</v>
      </c>
      <c r="I3015">
        <v>12000</v>
      </c>
      <c r="J3015">
        <v>3718</v>
      </c>
      <c r="K3015">
        <v>8282</v>
      </c>
      <c r="L3015">
        <v>500</v>
      </c>
      <c r="M3015">
        <v>499</v>
      </c>
      <c r="N3015">
        <v>1</v>
      </c>
      <c r="O3015">
        <v>0</v>
      </c>
      <c r="P3015" s="3" t="s">
        <v>50</v>
      </c>
      <c r="Q3015">
        <v>50</v>
      </c>
      <c r="R3015">
        <v>0.999</v>
      </c>
      <c r="S3015">
        <v>1</v>
      </c>
    </row>
    <row r="3016" spans="1:19" x14ac:dyDescent="0.2">
      <c r="A3016" s="3" t="s">
        <v>54</v>
      </c>
      <c r="B3016" s="3" t="s">
        <v>55</v>
      </c>
      <c r="C3016">
        <v>48</v>
      </c>
      <c r="D3016">
        <v>10000</v>
      </c>
      <c r="E3016">
        <v>499</v>
      </c>
      <c r="F3016">
        <v>1</v>
      </c>
      <c r="G3016">
        <v>10000</v>
      </c>
      <c r="H3016">
        <v>1.3493616999999999E-2</v>
      </c>
      <c r="I3016">
        <v>10000</v>
      </c>
      <c r="J3016">
        <v>2695</v>
      </c>
      <c r="K3016">
        <v>7305</v>
      </c>
      <c r="L3016">
        <v>500</v>
      </c>
      <c r="M3016">
        <v>499</v>
      </c>
      <c r="N3016">
        <v>1</v>
      </c>
      <c r="O3016">
        <v>0</v>
      </c>
      <c r="P3016" s="3" t="s">
        <v>52</v>
      </c>
      <c r="Q3016">
        <v>50</v>
      </c>
      <c r="R3016">
        <v>0.999</v>
      </c>
      <c r="S3016">
        <v>1</v>
      </c>
    </row>
    <row r="3017" spans="1:19" x14ac:dyDescent="0.2">
      <c r="A3017" s="3" t="s">
        <v>54</v>
      </c>
      <c r="B3017" s="3" t="s">
        <v>55</v>
      </c>
      <c r="C3017">
        <v>14</v>
      </c>
      <c r="D3017">
        <v>12000</v>
      </c>
      <c r="E3017">
        <v>499</v>
      </c>
      <c r="F3017">
        <v>1</v>
      </c>
      <c r="G3017">
        <v>12000</v>
      </c>
      <c r="H3017">
        <v>1.3485096E-2</v>
      </c>
      <c r="I3017">
        <v>12000</v>
      </c>
      <c r="J3017">
        <v>3629</v>
      </c>
      <c r="K3017">
        <v>8371</v>
      </c>
      <c r="L3017">
        <v>500</v>
      </c>
      <c r="M3017">
        <v>499</v>
      </c>
      <c r="N3017">
        <v>1</v>
      </c>
      <c r="O3017">
        <v>0</v>
      </c>
      <c r="P3017" s="3" t="s">
        <v>52</v>
      </c>
      <c r="Q3017">
        <v>50</v>
      </c>
      <c r="R3017">
        <v>0.999</v>
      </c>
      <c r="S3017">
        <v>1</v>
      </c>
    </row>
    <row r="3018" spans="1:19" x14ac:dyDescent="0.2">
      <c r="A3018" s="3" t="s">
        <v>54</v>
      </c>
      <c r="B3018" s="3" t="s">
        <v>55</v>
      </c>
      <c r="C3018">
        <v>12</v>
      </c>
      <c r="D3018">
        <v>10000</v>
      </c>
      <c r="E3018">
        <v>499</v>
      </c>
      <c r="F3018">
        <v>1</v>
      </c>
      <c r="G3018">
        <v>10000</v>
      </c>
      <c r="H3018">
        <v>1.3484332999999999E-2</v>
      </c>
      <c r="I3018">
        <v>10000</v>
      </c>
      <c r="J3018">
        <v>3619</v>
      </c>
      <c r="K3018">
        <v>6381</v>
      </c>
      <c r="L3018">
        <v>500</v>
      </c>
      <c r="M3018">
        <v>499</v>
      </c>
      <c r="N3018">
        <v>1</v>
      </c>
      <c r="O3018">
        <v>0</v>
      </c>
      <c r="P3018" s="3" t="s">
        <v>50</v>
      </c>
      <c r="Q3018">
        <v>50</v>
      </c>
      <c r="R3018">
        <v>0.999</v>
      </c>
      <c r="S3018">
        <v>1</v>
      </c>
    </row>
    <row r="3019" spans="1:19" x14ac:dyDescent="0.2">
      <c r="A3019" s="3" t="s">
        <v>54</v>
      </c>
      <c r="B3019" s="3" t="s">
        <v>55</v>
      </c>
      <c r="C3019">
        <v>15</v>
      </c>
      <c r="D3019">
        <v>10000</v>
      </c>
      <c r="E3019">
        <v>499</v>
      </c>
      <c r="F3019">
        <v>1</v>
      </c>
      <c r="G3019">
        <v>10000</v>
      </c>
      <c r="H3019">
        <v>1.3483095E-2</v>
      </c>
      <c r="I3019">
        <v>10000</v>
      </c>
      <c r="J3019">
        <v>3563</v>
      </c>
      <c r="K3019">
        <v>6437</v>
      </c>
      <c r="L3019">
        <v>500</v>
      </c>
      <c r="M3019">
        <v>499</v>
      </c>
      <c r="N3019">
        <v>1</v>
      </c>
      <c r="O3019">
        <v>0</v>
      </c>
      <c r="P3019" s="3" t="s">
        <v>50</v>
      </c>
      <c r="Q3019">
        <v>50</v>
      </c>
      <c r="R3019">
        <v>0.999</v>
      </c>
      <c r="S3019">
        <v>1</v>
      </c>
    </row>
    <row r="3020" spans="1:19" x14ac:dyDescent="0.2">
      <c r="A3020" s="3" t="s">
        <v>54</v>
      </c>
      <c r="B3020" s="3" t="s">
        <v>55</v>
      </c>
      <c r="C3020">
        <v>38</v>
      </c>
      <c r="D3020">
        <v>12000</v>
      </c>
      <c r="E3020">
        <v>499</v>
      </c>
      <c r="F3020">
        <v>1</v>
      </c>
      <c r="G3020">
        <v>12000</v>
      </c>
      <c r="H3020">
        <v>1.3465001000000001E-2</v>
      </c>
      <c r="I3020">
        <v>12000</v>
      </c>
      <c r="J3020">
        <v>3683</v>
      </c>
      <c r="K3020">
        <v>8317</v>
      </c>
      <c r="L3020">
        <v>500</v>
      </c>
      <c r="M3020">
        <v>499</v>
      </c>
      <c r="N3020">
        <v>1</v>
      </c>
      <c r="O3020">
        <v>0</v>
      </c>
      <c r="P3020" s="3" t="s">
        <v>50</v>
      </c>
      <c r="Q3020">
        <v>50</v>
      </c>
      <c r="R3020">
        <v>0.999</v>
      </c>
      <c r="S3020">
        <v>1</v>
      </c>
    </row>
    <row r="3021" spans="1:19" x14ac:dyDescent="0.2">
      <c r="A3021" s="3" t="s">
        <v>54</v>
      </c>
      <c r="B3021" s="3" t="s">
        <v>55</v>
      </c>
      <c r="C3021">
        <v>17</v>
      </c>
      <c r="D3021">
        <v>12000</v>
      </c>
      <c r="E3021">
        <v>499</v>
      </c>
      <c r="F3021">
        <v>1</v>
      </c>
      <c r="G3021">
        <v>50533.323552418398</v>
      </c>
      <c r="H3021">
        <v>1.3461086000000001E-2</v>
      </c>
      <c r="I3021">
        <v>11999</v>
      </c>
      <c r="J3021">
        <v>3636</v>
      </c>
      <c r="K3021">
        <v>8363</v>
      </c>
      <c r="L3021">
        <v>500</v>
      </c>
      <c r="M3021">
        <v>499</v>
      </c>
      <c r="N3021">
        <v>1</v>
      </c>
      <c r="O3021">
        <v>3.1847845033</v>
      </c>
      <c r="P3021" s="3" t="s">
        <v>52</v>
      </c>
      <c r="Q3021">
        <v>50</v>
      </c>
      <c r="R3021">
        <v>0.999</v>
      </c>
      <c r="S3021">
        <v>0</v>
      </c>
    </row>
    <row r="3022" spans="1:19" x14ac:dyDescent="0.2">
      <c r="A3022" s="3" t="s">
        <v>54</v>
      </c>
      <c r="B3022" s="3" t="s">
        <v>55</v>
      </c>
      <c r="C3022">
        <v>35</v>
      </c>
      <c r="D3022">
        <v>10000</v>
      </c>
      <c r="E3022">
        <v>499</v>
      </c>
      <c r="F3022">
        <v>1</v>
      </c>
      <c r="G3022">
        <v>10000</v>
      </c>
      <c r="H3022">
        <v>1.3458547E-2</v>
      </c>
      <c r="I3022">
        <v>10000</v>
      </c>
      <c r="J3022">
        <v>3604</v>
      </c>
      <c r="K3022">
        <v>6396</v>
      </c>
      <c r="L3022">
        <v>500</v>
      </c>
      <c r="M3022">
        <v>499</v>
      </c>
      <c r="N3022">
        <v>1</v>
      </c>
      <c r="O3022">
        <v>0</v>
      </c>
      <c r="P3022" s="3" t="s">
        <v>50</v>
      </c>
      <c r="Q3022">
        <v>50</v>
      </c>
      <c r="R3022">
        <v>0.999</v>
      </c>
      <c r="S3022">
        <v>1</v>
      </c>
    </row>
    <row r="3023" spans="1:19" x14ac:dyDescent="0.2">
      <c r="A3023" s="3" t="s">
        <v>54</v>
      </c>
      <c r="B3023" s="3" t="s">
        <v>55</v>
      </c>
      <c r="C3023">
        <v>19</v>
      </c>
      <c r="D3023">
        <v>10000</v>
      </c>
      <c r="E3023">
        <v>499</v>
      </c>
      <c r="F3023">
        <v>1</v>
      </c>
      <c r="G3023">
        <v>10000</v>
      </c>
      <c r="H3023">
        <v>1.3415758E-2</v>
      </c>
      <c r="I3023">
        <v>10000</v>
      </c>
      <c r="J3023">
        <v>3568</v>
      </c>
      <c r="K3023">
        <v>6432</v>
      </c>
      <c r="L3023">
        <v>500</v>
      </c>
      <c r="M3023">
        <v>499</v>
      </c>
      <c r="N3023">
        <v>1</v>
      </c>
      <c r="O3023">
        <v>0</v>
      </c>
      <c r="P3023" s="3" t="s">
        <v>50</v>
      </c>
      <c r="Q3023">
        <v>50</v>
      </c>
      <c r="R3023">
        <v>0.999</v>
      </c>
      <c r="S3023">
        <v>1</v>
      </c>
    </row>
    <row r="3024" spans="1:19" x14ac:dyDescent="0.2">
      <c r="A3024" s="3" t="s">
        <v>54</v>
      </c>
      <c r="B3024" s="3" t="s">
        <v>55</v>
      </c>
      <c r="C3024">
        <v>42</v>
      </c>
      <c r="D3024">
        <v>11000</v>
      </c>
      <c r="E3024">
        <v>499</v>
      </c>
      <c r="F3024">
        <v>1</v>
      </c>
      <c r="G3024">
        <v>11000</v>
      </c>
      <c r="H3024">
        <v>1.3378753E-2</v>
      </c>
      <c r="I3024">
        <v>11000</v>
      </c>
      <c r="J3024">
        <v>3667</v>
      </c>
      <c r="K3024">
        <v>7333</v>
      </c>
      <c r="L3024">
        <v>500</v>
      </c>
      <c r="M3024">
        <v>499</v>
      </c>
      <c r="N3024">
        <v>1</v>
      </c>
      <c r="O3024">
        <v>0</v>
      </c>
      <c r="P3024" s="3" t="s">
        <v>50</v>
      </c>
      <c r="Q3024">
        <v>50</v>
      </c>
      <c r="R3024">
        <v>0.999</v>
      </c>
      <c r="S3024">
        <v>1</v>
      </c>
    </row>
    <row r="3025" spans="1:19" x14ac:dyDescent="0.2">
      <c r="A3025" s="3" t="s">
        <v>54</v>
      </c>
      <c r="B3025" s="3" t="s">
        <v>55</v>
      </c>
      <c r="C3025">
        <v>39</v>
      </c>
      <c r="D3025">
        <v>11000</v>
      </c>
      <c r="E3025">
        <v>499</v>
      </c>
      <c r="F3025">
        <v>1</v>
      </c>
      <c r="G3025">
        <v>11000</v>
      </c>
      <c r="H3025">
        <v>1.3353029000000001E-2</v>
      </c>
      <c r="I3025">
        <v>11000</v>
      </c>
      <c r="J3025">
        <v>3639</v>
      </c>
      <c r="K3025">
        <v>7361</v>
      </c>
      <c r="L3025">
        <v>500</v>
      </c>
      <c r="M3025">
        <v>499</v>
      </c>
      <c r="N3025">
        <v>1</v>
      </c>
      <c r="O3025">
        <v>0</v>
      </c>
      <c r="P3025" s="3" t="s">
        <v>50</v>
      </c>
      <c r="Q3025">
        <v>50</v>
      </c>
      <c r="R3025">
        <v>0.999</v>
      </c>
      <c r="S3025">
        <v>1</v>
      </c>
    </row>
    <row r="3026" spans="1:19" x14ac:dyDescent="0.2">
      <c r="A3026" s="3" t="s">
        <v>54</v>
      </c>
      <c r="B3026" s="3" t="s">
        <v>55</v>
      </c>
      <c r="C3026">
        <v>48</v>
      </c>
      <c r="D3026">
        <v>10000</v>
      </c>
      <c r="E3026">
        <v>499</v>
      </c>
      <c r="F3026">
        <v>1</v>
      </c>
      <c r="G3026">
        <v>10000</v>
      </c>
      <c r="H3026">
        <v>1.3296216E-2</v>
      </c>
      <c r="I3026">
        <v>10000</v>
      </c>
      <c r="J3026">
        <v>3591</v>
      </c>
      <c r="K3026">
        <v>6409</v>
      </c>
      <c r="L3026">
        <v>500</v>
      </c>
      <c r="M3026">
        <v>499</v>
      </c>
      <c r="N3026">
        <v>1</v>
      </c>
      <c r="O3026">
        <v>0</v>
      </c>
      <c r="P3026" s="3" t="s">
        <v>50</v>
      </c>
      <c r="Q3026">
        <v>50</v>
      </c>
      <c r="R3026">
        <v>0.999</v>
      </c>
      <c r="S3026">
        <v>1</v>
      </c>
    </row>
    <row r="3027" spans="1:19" x14ac:dyDescent="0.2">
      <c r="A3027" s="3" t="s">
        <v>54</v>
      </c>
      <c r="B3027" s="3" t="s">
        <v>55</v>
      </c>
      <c r="C3027">
        <v>8</v>
      </c>
      <c r="D3027">
        <v>10000</v>
      </c>
      <c r="E3027">
        <v>499</v>
      </c>
      <c r="F3027">
        <v>1</v>
      </c>
      <c r="G3027">
        <v>10000</v>
      </c>
      <c r="H3027">
        <v>1.3287314999999999E-2</v>
      </c>
      <c r="I3027">
        <v>10000</v>
      </c>
      <c r="J3027">
        <v>3533</v>
      </c>
      <c r="K3027">
        <v>6467</v>
      </c>
      <c r="L3027">
        <v>500</v>
      </c>
      <c r="M3027">
        <v>499</v>
      </c>
      <c r="N3027">
        <v>1</v>
      </c>
      <c r="O3027">
        <v>0</v>
      </c>
      <c r="P3027" s="3" t="s">
        <v>50</v>
      </c>
      <c r="Q3027">
        <v>50</v>
      </c>
      <c r="R3027">
        <v>0.999</v>
      </c>
      <c r="S3027">
        <v>1</v>
      </c>
    </row>
    <row r="3028" spans="1:19" x14ac:dyDescent="0.2">
      <c r="A3028" s="3" t="s">
        <v>54</v>
      </c>
      <c r="B3028" s="3" t="s">
        <v>55</v>
      </c>
      <c r="C3028">
        <v>14</v>
      </c>
      <c r="D3028">
        <v>10000</v>
      </c>
      <c r="E3028">
        <v>499</v>
      </c>
      <c r="F3028">
        <v>1</v>
      </c>
      <c r="G3028">
        <v>10000</v>
      </c>
      <c r="H3028">
        <v>1.3286378999999999E-2</v>
      </c>
      <c r="I3028">
        <v>10000</v>
      </c>
      <c r="J3028">
        <v>3572</v>
      </c>
      <c r="K3028">
        <v>6428</v>
      </c>
      <c r="L3028">
        <v>500</v>
      </c>
      <c r="M3028">
        <v>499</v>
      </c>
      <c r="N3028">
        <v>1</v>
      </c>
      <c r="O3028">
        <v>0</v>
      </c>
      <c r="P3028" s="3" t="s">
        <v>50</v>
      </c>
      <c r="Q3028">
        <v>50</v>
      </c>
      <c r="R3028">
        <v>0.999</v>
      </c>
      <c r="S3028">
        <v>1</v>
      </c>
    </row>
    <row r="3029" spans="1:19" x14ac:dyDescent="0.2">
      <c r="A3029" s="3" t="s">
        <v>54</v>
      </c>
      <c r="B3029" s="3" t="s">
        <v>55</v>
      </c>
      <c r="C3029">
        <v>6</v>
      </c>
      <c r="D3029">
        <v>10000</v>
      </c>
      <c r="E3029">
        <v>499</v>
      </c>
      <c r="F3029">
        <v>1</v>
      </c>
      <c r="G3029">
        <v>39482.677260513999</v>
      </c>
      <c r="H3029">
        <v>1.3284664E-2</v>
      </c>
      <c r="I3029">
        <v>10000</v>
      </c>
      <c r="J3029">
        <v>2680</v>
      </c>
      <c r="K3029">
        <v>7320</v>
      </c>
      <c r="L3029">
        <v>500</v>
      </c>
      <c r="M3029">
        <v>499</v>
      </c>
      <c r="N3029">
        <v>1</v>
      </c>
      <c r="O3029">
        <v>0</v>
      </c>
      <c r="P3029" s="3" t="s">
        <v>52</v>
      </c>
      <c r="Q3029">
        <v>50</v>
      </c>
      <c r="R3029">
        <v>0.999</v>
      </c>
      <c r="S3029">
        <v>0</v>
      </c>
    </row>
    <row r="3030" spans="1:19" x14ac:dyDescent="0.2">
      <c r="A3030" s="3" t="s">
        <v>54</v>
      </c>
      <c r="B3030" s="3" t="s">
        <v>55</v>
      </c>
      <c r="C3030">
        <v>50</v>
      </c>
      <c r="D3030">
        <v>11000</v>
      </c>
      <c r="E3030">
        <v>499</v>
      </c>
      <c r="F3030">
        <v>1</v>
      </c>
      <c r="G3030">
        <v>11000</v>
      </c>
      <c r="H3030">
        <v>1.3249253000000001E-2</v>
      </c>
      <c r="I3030">
        <v>11000</v>
      </c>
      <c r="J3030">
        <v>3623</v>
      </c>
      <c r="K3030">
        <v>7377</v>
      </c>
      <c r="L3030">
        <v>500</v>
      </c>
      <c r="M3030">
        <v>499</v>
      </c>
      <c r="N3030">
        <v>1</v>
      </c>
      <c r="O3030">
        <v>0</v>
      </c>
      <c r="P3030" s="3" t="s">
        <v>50</v>
      </c>
      <c r="Q3030">
        <v>50</v>
      </c>
      <c r="R3030">
        <v>0.999</v>
      </c>
      <c r="S3030">
        <v>1</v>
      </c>
    </row>
    <row r="3031" spans="1:19" x14ac:dyDescent="0.2">
      <c r="A3031" s="3" t="s">
        <v>54</v>
      </c>
      <c r="B3031" s="3" t="s">
        <v>55</v>
      </c>
      <c r="C3031">
        <v>21</v>
      </c>
      <c r="D3031">
        <v>11000</v>
      </c>
      <c r="E3031">
        <v>499</v>
      </c>
      <c r="F3031">
        <v>1</v>
      </c>
      <c r="G3031">
        <v>11000</v>
      </c>
      <c r="H3031">
        <v>1.3248118E-2</v>
      </c>
      <c r="I3031">
        <v>11000</v>
      </c>
      <c r="J3031">
        <v>2758</v>
      </c>
      <c r="K3031">
        <v>8242</v>
      </c>
      <c r="L3031">
        <v>500</v>
      </c>
      <c r="M3031">
        <v>499</v>
      </c>
      <c r="N3031">
        <v>1</v>
      </c>
      <c r="O3031">
        <v>0</v>
      </c>
      <c r="P3031" s="3" t="s">
        <v>52</v>
      </c>
      <c r="Q3031">
        <v>50</v>
      </c>
      <c r="R3031">
        <v>0.999</v>
      </c>
      <c r="S3031">
        <v>1</v>
      </c>
    </row>
    <row r="3032" spans="1:19" x14ac:dyDescent="0.2">
      <c r="A3032" s="3" t="s">
        <v>54</v>
      </c>
      <c r="B3032" s="3" t="s">
        <v>55</v>
      </c>
      <c r="C3032">
        <v>9</v>
      </c>
      <c r="D3032">
        <v>10000</v>
      </c>
      <c r="E3032">
        <v>499</v>
      </c>
      <c r="F3032">
        <v>1</v>
      </c>
      <c r="G3032">
        <v>10000</v>
      </c>
      <c r="H3032">
        <v>1.3213157E-2</v>
      </c>
      <c r="I3032">
        <v>10000</v>
      </c>
      <c r="J3032">
        <v>3600</v>
      </c>
      <c r="K3032">
        <v>6400</v>
      </c>
      <c r="L3032">
        <v>500</v>
      </c>
      <c r="M3032">
        <v>499</v>
      </c>
      <c r="N3032">
        <v>1</v>
      </c>
      <c r="O3032">
        <v>0</v>
      </c>
      <c r="P3032" s="3" t="s">
        <v>50</v>
      </c>
      <c r="Q3032">
        <v>50</v>
      </c>
      <c r="R3032">
        <v>0.999</v>
      </c>
      <c r="S3032">
        <v>1</v>
      </c>
    </row>
    <row r="3033" spans="1:19" x14ac:dyDescent="0.2">
      <c r="A3033" s="3" t="s">
        <v>54</v>
      </c>
      <c r="B3033" s="3" t="s">
        <v>55</v>
      </c>
      <c r="C3033">
        <v>19</v>
      </c>
      <c r="D3033">
        <v>11000</v>
      </c>
      <c r="E3033">
        <v>499</v>
      </c>
      <c r="F3033">
        <v>1</v>
      </c>
      <c r="G3033">
        <v>44062.122210792702</v>
      </c>
      <c r="H3033">
        <v>1.3209143E-2</v>
      </c>
      <c r="I3033">
        <v>11000</v>
      </c>
      <c r="J3033">
        <v>2788</v>
      </c>
      <c r="K3033">
        <v>8212</v>
      </c>
      <c r="L3033">
        <v>500</v>
      </c>
      <c r="M3033">
        <v>499</v>
      </c>
      <c r="N3033">
        <v>1</v>
      </c>
      <c r="O3033">
        <v>0</v>
      </c>
      <c r="P3033" s="3" t="s">
        <v>52</v>
      </c>
      <c r="Q3033">
        <v>50</v>
      </c>
      <c r="R3033">
        <v>0.999</v>
      </c>
      <c r="S3033">
        <v>0</v>
      </c>
    </row>
    <row r="3034" spans="1:19" x14ac:dyDescent="0.2">
      <c r="A3034" s="3" t="s">
        <v>54</v>
      </c>
      <c r="B3034" s="3" t="s">
        <v>55</v>
      </c>
      <c r="C3034">
        <v>10</v>
      </c>
      <c r="D3034">
        <v>11000</v>
      </c>
      <c r="E3034">
        <v>499</v>
      </c>
      <c r="F3034">
        <v>1</v>
      </c>
      <c r="G3034">
        <v>44062.122210792702</v>
      </c>
      <c r="H3034">
        <v>1.3205366E-2</v>
      </c>
      <c r="I3034">
        <v>11000</v>
      </c>
      <c r="J3034">
        <v>2745</v>
      </c>
      <c r="K3034">
        <v>8255</v>
      </c>
      <c r="L3034">
        <v>500</v>
      </c>
      <c r="M3034">
        <v>499</v>
      </c>
      <c r="N3034">
        <v>1</v>
      </c>
      <c r="O3034">
        <v>0</v>
      </c>
      <c r="P3034" s="3" t="s">
        <v>52</v>
      </c>
      <c r="Q3034">
        <v>50</v>
      </c>
      <c r="R3034">
        <v>0.999</v>
      </c>
      <c r="S3034">
        <v>0</v>
      </c>
    </row>
    <row r="3035" spans="1:19" x14ac:dyDescent="0.2">
      <c r="A3035" s="3" t="s">
        <v>54</v>
      </c>
      <c r="B3035" s="3" t="s">
        <v>55</v>
      </c>
      <c r="C3035">
        <v>44</v>
      </c>
      <c r="D3035">
        <v>10000</v>
      </c>
      <c r="E3035">
        <v>499</v>
      </c>
      <c r="F3035">
        <v>1</v>
      </c>
      <c r="G3035">
        <v>10000</v>
      </c>
      <c r="H3035">
        <v>1.3134598000000001E-2</v>
      </c>
      <c r="I3035">
        <v>10000</v>
      </c>
      <c r="J3035">
        <v>2704</v>
      </c>
      <c r="K3035">
        <v>7296</v>
      </c>
      <c r="L3035">
        <v>500</v>
      </c>
      <c r="M3035">
        <v>499</v>
      </c>
      <c r="N3035">
        <v>1</v>
      </c>
      <c r="O3035">
        <v>0</v>
      </c>
      <c r="P3035" s="3" t="s">
        <v>52</v>
      </c>
      <c r="Q3035">
        <v>50</v>
      </c>
      <c r="R3035">
        <v>0.999</v>
      </c>
      <c r="S3035">
        <v>1</v>
      </c>
    </row>
    <row r="3036" spans="1:19" x14ac:dyDescent="0.2">
      <c r="A3036" s="3" t="s">
        <v>54</v>
      </c>
      <c r="B3036" s="3" t="s">
        <v>55</v>
      </c>
      <c r="C3036">
        <v>27</v>
      </c>
      <c r="D3036">
        <v>10000</v>
      </c>
      <c r="E3036">
        <v>499</v>
      </c>
      <c r="F3036">
        <v>1</v>
      </c>
      <c r="G3036">
        <v>10000</v>
      </c>
      <c r="H3036">
        <v>1.3132572E-2</v>
      </c>
      <c r="I3036">
        <v>10000</v>
      </c>
      <c r="J3036">
        <v>2675</v>
      </c>
      <c r="K3036">
        <v>7325</v>
      </c>
      <c r="L3036">
        <v>500</v>
      </c>
      <c r="M3036">
        <v>499</v>
      </c>
      <c r="N3036">
        <v>1</v>
      </c>
      <c r="O3036">
        <v>0</v>
      </c>
      <c r="P3036" s="3" t="s">
        <v>52</v>
      </c>
      <c r="Q3036">
        <v>50</v>
      </c>
      <c r="R3036">
        <v>0.999</v>
      </c>
      <c r="S3036">
        <v>1</v>
      </c>
    </row>
    <row r="3037" spans="1:19" x14ac:dyDescent="0.2">
      <c r="A3037" s="3" t="s">
        <v>54</v>
      </c>
      <c r="B3037" s="3" t="s">
        <v>55</v>
      </c>
      <c r="C3037">
        <v>46</v>
      </c>
      <c r="D3037">
        <v>10000</v>
      </c>
      <c r="E3037">
        <v>499</v>
      </c>
      <c r="F3037">
        <v>1</v>
      </c>
      <c r="G3037">
        <v>10000</v>
      </c>
      <c r="H3037">
        <v>1.3091478E-2</v>
      </c>
      <c r="I3037">
        <v>10000</v>
      </c>
      <c r="J3037">
        <v>2681</v>
      </c>
      <c r="K3037">
        <v>7319</v>
      </c>
      <c r="L3037">
        <v>500</v>
      </c>
      <c r="M3037">
        <v>499</v>
      </c>
      <c r="N3037">
        <v>1</v>
      </c>
      <c r="O3037">
        <v>0</v>
      </c>
      <c r="P3037" s="3" t="s">
        <v>52</v>
      </c>
      <c r="Q3037">
        <v>50</v>
      </c>
      <c r="R3037">
        <v>0.999</v>
      </c>
      <c r="S3037">
        <v>1</v>
      </c>
    </row>
    <row r="3038" spans="1:19" x14ac:dyDescent="0.2">
      <c r="A3038" s="3" t="s">
        <v>54</v>
      </c>
      <c r="B3038" s="3" t="s">
        <v>55</v>
      </c>
      <c r="C3038">
        <v>25</v>
      </c>
      <c r="D3038">
        <v>10000</v>
      </c>
      <c r="E3038">
        <v>499</v>
      </c>
      <c r="F3038">
        <v>1</v>
      </c>
      <c r="G3038">
        <v>10000</v>
      </c>
      <c r="H3038">
        <v>1.3057440999999999E-2</v>
      </c>
      <c r="I3038">
        <v>10000</v>
      </c>
      <c r="J3038">
        <v>2696</v>
      </c>
      <c r="K3038">
        <v>7304</v>
      </c>
      <c r="L3038">
        <v>500</v>
      </c>
      <c r="M3038">
        <v>499</v>
      </c>
      <c r="N3038">
        <v>1</v>
      </c>
      <c r="O3038">
        <v>0</v>
      </c>
      <c r="P3038" s="3" t="s">
        <v>52</v>
      </c>
      <c r="Q3038">
        <v>50</v>
      </c>
      <c r="R3038">
        <v>0.999</v>
      </c>
      <c r="S3038">
        <v>1</v>
      </c>
    </row>
    <row r="3039" spans="1:19" x14ac:dyDescent="0.2">
      <c r="A3039" s="3" t="s">
        <v>54</v>
      </c>
      <c r="B3039" s="3" t="s">
        <v>55</v>
      </c>
      <c r="C3039">
        <v>34</v>
      </c>
      <c r="D3039">
        <v>12000</v>
      </c>
      <c r="E3039">
        <v>499</v>
      </c>
      <c r="F3039">
        <v>1</v>
      </c>
      <c r="G3039">
        <v>12000</v>
      </c>
      <c r="H3039">
        <v>1.305451E-2</v>
      </c>
      <c r="I3039">
        <v>12000</v>
      </c>
      <c r="J3039">
        <v>3592</v>
      </c>
      <c r="K3039">
        <v>8408</v>
      </c>
      <c r="L3039">
        <v>500</v>
      </c>
      <c r="M3039">
        <v>499</v>
      </c>
      <c r="N3039">
        <v>1</v>
      </c>
      <c r="O3039">
        <v>0</v>
      </c>
      <c r="P3039" s="3" t="s">
        <v>52</v>
      </c>
      <c r="Q3039">
        <v>50</v>
      </c>
      <c r="R3039">
        <v>0.999</v>
      </c>
      <c r="S3039">
        <v>1</v>
      </c>
    </row>
    <row r="3040" spans="1:19" x14ac:dyDescent="0.2">
      <c r="A3040" s="3" t="s">
        <v>54</v>
      </c>
      <c r="B3040" s="3" t="s">
        <v>55</v>
      </c>
      <c r="C3040">
        <v>32</v>
      </c>
      <c r="D3040">
        <v>12000</v>
      </c>
      <c r="E3040">
        <v>499</v>
      </c>
      <c r="F3040">
        <v>1</v>
      </c>
      <c r="G3040">
        <v>12000</v>
      </c>
      <c r="H3040">
        <v>1.3022069000000001E-2</v>
      </c>
      <c r="I3040">
        <v>12000</v>
      </c>
      <c r="J3040">
        <v>3617</v>
      </c>
      <c r="K3040">
        <v>8383</v>
      </c>
      <c r="L3040">
        <v>500</v>
      </c>
      <c r="M3040">
        <v>499</v>
      </c>
      <c r="N3040">
        <v>1</v>
      </c>
      <c r="O3040">
        <v>0</v>
      </c>
      <c r="P3040" s="3" t="s">
        <v>52</v>
      </c>
      <c r="Q3040">
        <v>50</v>
      </c>
      <c r="R3040">
        <v>0.999</v>
      </c>
      <c r="S3040">
        <v>1</v>
      </c>
    </row>
    <row r="3041" spans="1:19" x14ac:dyDescent="0.2">
      <c r="A3041" s="3" t="s">
        <v>54</v>
      </c>
      <c r="B3041" s="3" t="s">
        <v>55</v>
      </c>
      <c r="C3041">
        <v>45</v>
      </c>
      <c r="D3041">
        <v>11000</v>
      </c>
      <c r="E3041">
        <v>499</v>
      </c>
      <c r="F3041">
        <v>1</v>
      </c>
      <c r="G3041">
        <v>44062.122210792702</v>
      </c>
      <c r="H3041">
        <v>1.2892508E-2</v>
      </c>
      <c r="I3041">
        <v>11000</v>
      </c>
      <c r="J3041">
        <v>2782</v>
      </c>
      <c r="K3041">
        <v>8218</v>
      </c>
      <c r="L3041">
        <v>500</v>
      </c>
      <c r="M3041">
        <v>499</v>
      </c>
      <c r="N3041">
        <v>1</v>
      </c>
      <c r="O3041">
        <v>0</v>
      </c>
      <c r="P3041" s="3" t="s">
        <v>52</v>
      </c>
      <c r="Q3041">
        <v>50</v>
      </c>
      <c r="R3041">
        <v>0.999</v>
      </c>
      <c r="S3041">
        <v>0</v>
      </c>
    </row>
    <row r="3042" spans="1:19" x14ac:dyDescent="0.2">
      <c r="A3042" s="3" t="s">
        <v>54</v>
      </c>
      <c r="B3042" s="3" t="s">
        <v>55</v>
      </c>
      <c r="C3042">
        <v>1</v>
      </c>
      <c r="D3042">
        <v>12000</v>
      </c>
      <c r="E3042">
        <v>499</v>
      </c>
      <c r="F3042">
        <v>1</v>
      </c>
      <c r="G3042">
        <v>12000</v>
      </c>
      <c r="H3042">
        <v>1.2886181999999999E-2</v>
      </c>
      <c r="I3042">
        <v>12000</v>
      </c>
      <c r="J3042">
        <v>3591</v>
      </c>
      <c r="K3042">
        <v>8409</v>
      </c>
      <c r="L3042">
        <v>500</v>
      </c>
      <c r="M3042">
        <v>499</v>
      </c>
      <c r="N3042">
        <v>1</v>
      </c>
      <c r="O3042">
        <v>0</v>
      </c>
      <c r="P3042" s="3" t="s">
        <v>52</v>
      </c>
      <c r="Q3042">
        <v>50</v>
      </c>
      <c r="R3042">
        <v>0.999</v>
      </c>
      <c r="S3042">
        <v>1</v>
      </c>
    </row>
    <row r="3043" spans="1:19" x14ac:dyDescent="0.2">
      <c r="A3043" s="3" t="s">
        <v>54</v>
      </c>
      <c r="B3043" s="3" t="s">
        <v>55</v>
      </c>
      <c r="C3043">
        <v>1</v>
      </c>
      <c r="D3043">
        <v>10000</v>
      </c>
      <c r="E3043">
        <v>499</v>
      </c>
      <c r="F3043">
        <v>1</v>
      </c>
      <c r="G3043">
        <v>10000</v>
      </c>
      <c r="H3043">
        <v>1.2819560000000001E-2</v>
      </c>
      <c r="I3043">
        <v>10000</v>
      </c>
      <c r="J3043">
        <v>2663</v>
      </c>
      <c r="K3043">
        <v>7337</v>
      </c>
      <c r="L3043">
        <v>500</v>
      </c>
      <c r="M3043">
        <v>499</v>
      </c>
      <c r="N3043">
        <v>1</v>
      </c>
      <c r="O3043">
        <v>0</v>
      </c>
      <c r="P3043" s="3" t="s">
        <v>52</v>
      </c>
      <c r="Q3043">
        <v>50</v>
      </c>
      <c r="R3043">
        <v>0.999</v>
      </c>
      <c r="S3043">
        <v>1</v>
      </c>
    </row>
    <row r="3044" spans="1:19" x14ac:dyDescent="0.2">
      <c r="A3044" s="3" t="s">
        <v>54</v>
      </c>
      <c r="B3044" s="3" t="s">
        <v>55</v>
      </c>
      <c r="C3044">
        <v>9</v>
      </c>
      <c r="D3044">
        <v>10000</v>
      </c>
      <c r="E3044">
        <v>499</v>
      </c>
      <c r="F3044">
        <v>1</v>
      </c>
      <c r="G3044">
        <v>10000</v>
      </c>
      <c r="H3044">
        <v>1.2714069E-2</v>
      </c>
      <c r="I3044">
        <v>10000</v>
      </c>
      <c r="J3044">
        <v>2687</v>
      </c>
      <c r="K3044">
        <v>7313</v>
      </c>
      <c r="L3044">
        <v>500</v>
      </c>
      <c r="M3044">
        <v>499</v>
      </c>
      <c r="N3044">
        <v>1</v>
      </c>
      <c r="O3044">
        <v>0</v>
      </c>
      <c r="P3044" s="3" t="s">
        <v>52</v>
      </c>
      <c r="Q3044">
        <v>50</v>
      </c>
      <c r="R3044">
        <v>0.999</v>
      </c>
      <c r="S3044">
        <v>1</v>
      </c>
    </row>
    <row r="3045" spans="1:19" x14ac:dyDescent="0.2">
      <c r="A3045" s="3" t="s">
        <v>54</v>
      </c>
      <c r="B3045" s="3" t="s">
        <v>55</v>
      </c>
      <c r="C3045">
        <v>49</v>
      </c>
      <c r="D3045">
        <v>10000</v>
      </c>
      <c r="E3045">
        <v>499</v>
      </c>
      <c r="F3045">
        <v>1</v>
      </c>
      <c r="G3045">
        <v>10000</v>
      </c>
      <c r="H3045">
        <v>1.269613E-2</v>
      </c>
      <c r="I3045">
        <v>10000</v>
      </c>
      <c r="J3045">
        <v>2727</v>
      </c>
      <c r="K3045">
        <v>7273</v>
      </c>
      <c r="L3045">
        <v>500</v>
      </c>
      <c r="M3045">
        <v>499</v>
      </c>
      <c r="N3045">
        <v>1</v>
      </c>
      <c r="O3045">
        <v>0</v>
      </c>
      <c r="P3045" s="3" t="s">
        <v>52</v>
      </c>
      <c r="Q3045">
        <v>50</v>
      </c>
      <c r="R3045">
        <v>0.999</v>
      </c>
      <c r="S3045">
        <v>1</v>
      </c>
    </row>
    <row r="3046" spans="1:19" x14ac:dyDescent="0.2">
      <c r="A3046" s="3" t="s">
        <v>54</v>
      </c>
      <c r="B3046" s="3" t="s">
        <v>55</v>
      </c>
      <c r="C3046">
        <v>32</v>
      </c>
      <c r="D3046">
        <v>11000</v>
      </c>
      <c r="E3046">
        <v>499</v>
      </c>
      <c r="F3046">
        <v>1</v>
      </c>
      <c r="G3046">
        <v>11000</v>
      </c>
      <c r="H3046">
        <v>1.2675385000000001E-2</v>
      </c>
      <c r="I3046">
        <v>11000</v>
      </c>
      <c r="J3046">
        <v>2769</v>
      </c>
      <c r="K3046">
        <v>8231</v>
      </c>
      <c r="L3046">
        <v>500</v>
      </c>
      <c r="M3046">
        <v>499</v>
      </c>
      <c r="N3046">
        <v>1</v>
      </c>
      <c r="O3046">
        <v>0</v>
      </c>
      <c r="P3046" s="3" t="s">
        <v>52</v>
      </c>
      <c r="Q3046">
        <v>50</v>
      </c>
      <c r="R3046">
        <v>0.999</v>
      </c>
      <c r="S3046">
        <v>1</v>
      </c>
    </row>
    <row r="3047" spans="1:19" x14ac:dyDescent="0.2">
      <c r="A3047" s="3" t="s">
        <v>54</v>
      </c>
      <c r="B3047" s="3" t="s">
        <v>55</v>
      </c>
      <c r="C3047">
        <v>1</v>
      </c>
      <c r="D3047">
        <v>12000</v>
      </c>
      <c r="E3047">
        <v>499</v>
      </c>
      <c r="F3047">
        <v>1</v>
      </c>
      <c r="G3047">
        <v>50533.323552418398</v>
      </c>
      <c r="H3047">
        <v>1.2628848E-2</v>
      </c>
      <c r="I3047">
        <v>12000</v>
      </c>
      <c r="J3047">
        <v>3616</v>
      </c>
      <c r="K3047">
        <v>8384</v>
      </c>
      <c r="L3047">
        <v>500</v>
      </c>
      <c r="M3047">
        <v>499</v>
      </c>
      <c r="N3047">
        <v>1</v>
      </c>
      <c r="O3047">
        <v>0</v>
      </c>
      <c r="P3047" s="3" t="s">
        <v>52</v>
      </c>
      <c r="Q3047">
        <v>50</v>
      </c>
      <c r="R3047">
        <v>0.999</v>
      </c>
      <c r="S3047">
        <v>0</v>
      </c>
    </row>
    <row r="3048" spans="1:19" x14ac:dyDescent="0.2">
      <c r="A3048" s="3" t="s">
        <v>54</v>
      </c>
      <c r="B3048" s="3" t="s">
        <v>55</v>
      </c>
      <c r="C3048">
        <v>39</v>
      </c>
      <c r="D3048">
        <v>12000</v>
      </c>
      <c r="E3048">
        <v>499</v>
      </c>
      <c r="F3048">
        <v>1</v>
      </c>
      <c r="G3048">
        <v>50533.323552418398</v>
      </c>
      <c r="H3048">
        <v>1.2616802E-2</v>
      </c>
      <c r="I3048">
        <v>12000</v>
      </c>
      <c r="J3048">
        <v>3664</v>
      </c>
      <c r="K3048">
        <v>8336</v>
      </c>
      <c r="L3048">
        <v>500</v>
      </c>
      <c r="M3048">
        <v>499</v>
      </c>
      <c r="N3048">
        <v>1</v>
      </c>
      <c r="O3048">
        <v>0</v>
      </c>
      <c r="P3048" s="3" t="s">
        <v>52</v>
      </c>
      <c r="Q3048">
        <v>50</v>
      </c>
      <c r="R3048">
        <v>0.999</v>
      </c>
      <c r="S3048">
        <v>0</v>
      </c>
    </row>
    <row r="3049" spans="1:19" x14ac:dyDescent="0.2">
      <c r="A3049" s="3" t="s">
        <v>54</v>
      </c>
      <c r="B3049" s="3" t="s">
        <v>55</v>
      </c>
      <c r="C3049">
        <v>29</v>
      </c>
      <c r="D3049">
        <v>10000</v>
      </c>
      <c r="E3049">
        <v>499</v>
      </c>
      <c r="F3049">
        <v>1</v>
      </c>
      <c r="G3049">
        <v>10000</v>
      </c>
      <c r="H3049">
        <v>1.2603767E-2</v>
      </c>
      <c r="I3049">
        <v>10000</v>
      </c>
      <c r="J3049">
        <v>2704</v>
      </c>
      <c r="K3049">
        <v>7296</v>
      </c>
      <c r="L3049">
        <v>500</v>
      </c>
      <c r="M3049">
        <v>499</v>
      </c>
      <c r="N3049">
        <v>1</v>
      </c>
      <c r="O3049">
        <v>0</v>
      </c>
      <c r="P3049" s="3" t="s">
        <v>52</v>
      </c>
      <c r="Q3049">
        <v>50</v>
      </c>
      <c r="R3049">
        <v>0.999</v>
      </c>
      <c r="S3049">
        <v>1</v>
      </c>
    </row>
    <row r="3050" spans="1:19" x14ac:dyDescent="0.2">
      <c r="A3050" s="3" t="s">
        <v>54</v>
      </c>
      <c r="B3050" s="3" t="s">
        <v>55</v>
      </c>
      <c r="C3050">
        <v>19</v>
      </c>
      <c r="D3050">
        <v>11000</v>
      </c>
      <c r="E3050">
        <v>499</v>
      </c>
      <c r="F3050">
        <v>1</v>
      </c>
      <c r="G3050">
        <v>11000</v>
      </c>
      <c r="H3050">
        <v>1.2527318000000001E-2</v>
      </c>
      <c r="I3050">
        <v>11000</v>
      </c>
      <c r="J3050">
        <v>2771</v>
      </c>
      <c r="K3050">
        <v>8229</v>
      </c>
      <c r="L3050">
        <v>500</v>
      </c>
      <c r="M3050">
        <v>499</v>
      </c>
      <c r="N3050">
        <v>1</v>
      </c>
      <c r="O3050">
        <v>0</v>
      </c>
      <c r="P3050" s="3" t="s">
        <v>52</v>
      </c>
      <c r="Q3050">
        <v>50</v>
      </c>
      <c r="R3050">
        <v>0.999</v>
      </c>
      <c r="S3050">
        <v>1</v>
      </c>
    </row>
    <row r="3051" spans="1:19" x14ac:dyDescent="0.2">
      <c r="A3051" s="3" t="s">
        <v>54</v>
      </c>
      <c r="B3051" s="3" t="s">
        <v>55</v>
      </c>
      <c r="C3051">
        <v>6</v>
      </c>
      <c r="D3051">
        <v>12000</v>
      </c>
      <c r="E3051">
        <v>499</v>
      </c>
      <c r="F3051">
        <v>1</v>
      </c>
      <c r="G3051">
        <v>12000</v>
      </c>
      <c r="H3051">
        <v>1.2501577999999999E-2</v>
      </c>
      <c r="I3051">
        <v>12000</v>
      </c>
      <c r="J3051">
        <v>3577</v>
      </c>
      <c r="K3051">
        <v>8423</v>
      </c>
      <c r="L3051">
        <v>500</v>
      </c>
      <c r="M3051">
        <v>499</v>
      </c>
      <c r="N3051">
        <v>1</v>
      </c>
      <c r="O3051">
        <v>0</v>
      </c>
      <c r="P3051" s="3" t="s">
        <v>52</v>
      </c>
      <c r="Q3051">
        <v>50</v>
      </c>
      <c r="R3051">
        <v>0.999</v>
      </c>
      <c r="S3051">
        <v>1</v>
      </c>
    </row>
    <row r="3052" spans="1:19" x14ac:dyDescent="0.2">
      <c r="A3052" s="3" t="s">
        <v>54</v>
      </c>
      <c r="B3052" s="3" t="s">
        <v>55</v>
      </c>
      <c r="C3052">
        <v>4</v>
      </c>
      <c r="D3052">
        <v>11000</v>
      </c>
      <c r="E3052">
        <v>499</v>
      </c>
      <c r="F3052">
        <v>1</v>
      </c>
      <c r="G3052">
        <v>11000</v>
      </c>
      <c r="H3052">
        <v>1.2500285999999999E-2</v>
      </c>
      <c r="I3052">
        <v>11000</v>
      </c>
      <c r="J3052">
        <v>2793</v>
      </c>
      <c r="K3052">
        <v>8207</v>
      </c>
      <c r="L3052">
        <v>500</v>
      </c>
      <c r="M3052">
        <v>499</v>
      </c>
      <c r="N3052">
        <v>1</v>
      </c>
      <c r="O3052">
        <v>0</v>
      </c>
      <c r="P3052" s="3" t="s">
        <v>52</v>
      </c>
      <c r="Q3052">
        <v>50</v>
      </c>
      <c r="R3052">
        <v>0.999</v>
      </c>
      <c r="S3052">
        <v>1</v>
      </c>
    </row>
    <row r="3053" spans="1:19" x14ac:dyDescent="0.2">
      <c r="A3053" s="3" t="s">
        <v>54</v>
      </c>
      <c r="B3053" s="3" t="s">
        <v>55</v>
      </c>
      <c r="C3053">
        <v>28</v>
      </c>
      <c r="D3053">
        <v>11000</v>
      </c>
      <c r="E3053">
        <v>499</v>
      </c>
      <c r="F3053">
        <v>1</v>
      </c>
      <c r="G3053">
        <v>11000</v>
      </c>
      <c r="H3053">
        <v>1.2480339E-2</v>
      </c>
      <c r="I3053">
        <v>11000</v>
      </c>
      <c r="J3053">
        <v>2746</v>
      </c>
      <c r="K3053">
        <v>8254</v>
      </c>
      <c r="L3053">
        <v>500</v>
      </c>
      <c r="M3053">
        <v>499</v>
      </c>
      <c r="N3053">
        <v>1</v>
      </c>
      <c r="O3053">
        <v>0</v>
      </c>
      <c r="P3053" s="3" t="s">
        <v>52</v>
      </c>
      <c r="Q3053">
        <v>50</v>
      </c>
      <c r="R3053">
        <v>0.999</v>
      </c>
      <c r="S3053">
        <v>1</v>
      </c>
    </row>
    <row r="3054" spans="1:19" x14ac:dyDescent="0.2">
      <c r="A3054" s="3" t="s">
        <v>54</v>
      </c>
      <c r="B3054" s="3" t="s">
        <v>55</v>
      </c>
      <c r="C3054">
        <v>9</v>
      </c>
      <c r="D3054">
        <v>12000</v>
      </c>
      <c r="E3054">
        <v>499</v>
      </c>
      <c r="F3054">
        <v>1</v>
      </c>
      <c r="G3054">
        <v>12000</v>
      </c>
      <c r="H3054">
        <v>1.237385E-2</v>
      </c>
      <c r="I3054">
        <v>12000</v>
      </c>
      <c r="J3054">
        <v>3663</v>
      </c>
      <c r="K3054">
        <v>8337</v>
      </c>
      <c r="L3054">
        <v>500</v>
      </c>
      <c r="M3054">
        <v>499</v>
      </c>
      <c r="N3054">
        <v>1</v>
      </c>
      <c r="O3054">
        <v>0</v>
      </c>
      <c r="P3054" s="3" t="s">
        <v>52</v>
      </c>
      <c r="Q3054">
        <v>50</v>
      </c>
      <c r="R3054">
        <v>0.999</v>
      </c>
      <c r="S3054">
        <v>1</v>
      </c>
    </row>
    <row r="3055" spans="1:19" x14ac:dyDescent="0.2">
      <c r="A3055" s="3" t="s">
        <v>54</v>
      </c>
      <c r="B3055" s="3" t="s">
        <v>55</v>
      </c>
      <c r="C3055">
        <v>14</v>
      </c>
      <c r="D3055">
        <v>10000</v>
      </c>
      <c r="E3055">
        <v>499</v>
      </c>
      <c r="F3055">
        <v>1</v>
      </c>
      <c r="G3055">
        <v>39482.677260513999</v>
      </c>
      <c r="H3055">
        <v>1.2354398000000001E-2</v>
      </c>
      <c r="I3055">
        <v>10000</v>
      </c>
      <c r="J3055">
        <v>2695</v>
      </c>
      <c r="K3055">
        <v>7305</v>
      </c>
      <c r="L3055">
        <v>500</v>
      </c>
      <c r="M3055">
        <v>499</v>
      </c>
      <c r="N3055">
        <v>1</v>
      </c>
      <c r="O3055">
        <v>0</v>
      </c>
      <c r="P3055" s="3" t="s">
        <v>52</v>
      </c>
      <c r="Q3055">
        <v>50</v>
      </c>
      <c r="R3055">
        <v>0.999</v>
      </c>
      <c r="S3055">
        <v>0</v>
      </c>
    </row>
    <row r="3056" spans="1:19" x14ac:dyDescent="0.2">
      <c r="A3056" s="3" t="s">
        <v>54</v>
      </c>
      <c r="B3056" s="3" t="s">
        <v>55</v>
      </c>
      <c r="C3056">
        <v>10</v>
      </c>
      <c r="D3056">
        <v>11000</v>
      </c>
      <c r="E3056">
        <v>499</v>
      </c>
      <c r="F3056">
        <v>1</v>
      </c>
      <c r="G3056">
        <v>11000</v>
      </c>
      <c r="H3056">
        <v>1.2346660000000001E-2</v>
      </c>
      <c r="I3056">
        <v>11000</v>
      </c>
      <c r="J3056">
        <v>2756</v>
      </c>
      <c r="K3056">
        <v>8244</v>
      </c>
      <c r="L3056">
        <v>500</v>
      </c>
      <c r="M3056">
        <v>499</v>
      </c>
      <c r="N3056">
        <v>1</v>
      </c>
      <c r="O3056">
        <v>0</v>
      </c>
      <c r="P3056" s="3" t="s">
        <v>52</v>
      </c>
      <c r="Q3056">
        <v>50</v>
      </c>
      <c r="R3056">
        <v>0.999</v>
      </c>
      <c r="S3056">
        <v>1</v>
      </c>
    </row>
    <row r="3057" spans="1:19" x14ac:dyDescent="0.2">
      <c r="A3057" s="3" t="s">
        <v>54</v>
      </c>
      <c r="B3057" s="3" t="s">
        <v>55</v>
      </c>
      <c r="C3057">
        <v>44</v>
      </c>
      <c r="D3057">
        <v>10000</v>
      </c>
      <c r="E3057">
        <v>499</v>
      </c>
      <c r="F3057">
        <v>1</v>
      </c>
      <c r="G3057">
        <v>39482.677260513999</v>
      </c>
      <c r="H3057">
        <v>1.2340886000000001E-2</v>
      </c>
      <c r="I3057">
        <v>10000</v>
      </c>
      <c r="J3057">
        <v>2682</v>
      </c>
      <c r="K3057">
        <v>7318</v>
      </c>
      <c r="L3057">
        <v>500</v>
      </c>
      <c r="M3057">
        <v>499</v>
      </c>
      <c r="N3057">
        <v>1</v>
      </c>
      <c r="O3057">
        <v>0</v>
      </c>
      <c r="P3057" s="3" t="s">
        <v>52</v>
      </c>
      <c r="Q3057">
        <v>50</v>
      </c>
      <c r="R3057">
        <v>0.999</v>
      </c>
      <c r="S3057">
        <v>0</v>
      </c>
    </row>
    <row r="3058" spans="1:19" x14ac:dyDescent="0.2">
      <c r="A3058" s="3" t="s">
        <v>54</v>
      </c>
      <c r="B3058" s="3" t="s">
        <v>55</v>
      </c>
      <c r="C3058">
        <v>9</v>
      </c>
      <c r="D3058">
        <v>11000</v>
      </c>
      <c r="E3058">
        <v>499</v>
      </c>
      <c r="F3058">
        <v>1</v>
      </c>
      <c r="G3058">
        <v>11000</v>
      </c>
      <c r="H3058">
        <v>1.2310776000000001E-2</v>
      </c>
      <c r="I3058">
        <v>11000</v>
      </c>
      <c r="J3058">
        <v>2765</v>
      </c>
      <c r="K3058">
        <v>8235</v>
      </c>
      <c r="L3058">
        <v>500</v>
      </c>
      <c r="M3058">
        <v>499</v>
      </c>
      <c r="N3058">
        <v>1</v>
      </c>
      <c r="O3058">
        <v>0</v>
      </c>
      <c r="P3058" s="3" t="s">
        <v>52</v>
      </c>
      <c r="Q3058">
        <v>50</v>
      </c>
      <c r="R3058">
        <v>0.999</v>
      </c>
      <c r="S3058">
        <v>1</v>
      </c>
    </row>
    <row r="3059" spans="1:19" x14ac:dyDescent="0.2">
      <c r="A3059" s="3" t="s">
        <v>54</v>
      </c>
      <c r="B3059" s="3" t="s">
        <v>55</v>
      </c>
      <c r="C3059">
        <v>38</v>
      </c>
      <c r="D3059">
        <v>11000</v>
      </c>
      <c r="E3059">
        <v>499</v>
      </c>
      <c r="F3059">
        <v>1</v>
      </c>
      <c r="G3059">
        <v>44062.122210792702</v>
      </c>
      <c r="H3059">
        <v>1.2295586000000001E-2</v>
      </c>
      <c r="I3059">
        <v>11000</v>
      </c>
      <c r="J3059">
        <v>2765</v>
      </c>
      <c r="K3059">
        <v>8235</v>
      </c>
      <c r="L3059">
        <v>500</v>
      </c>
      <c r="M3059">
        <v>499</v>
      </c>
      <c r="N3059">
        <v>1</v>
      </c>
      <c r="O3059">
        <v>0</v>
      </c>
      <c r="P3059" s="3" t="s">
        <v>52</v>
      </c>
      <c r="Q3059">
        <v>50</v>
      </c>
      <c r="R3059">
        <v>0.999</v>
      </c>
      <c r="S3059">
        <v>0</v>
      </c>
    </row>
    <row r="3060" spans="1:19" x14ac:dyDescent="0.2">
      <c r="A3060" s="3" t="s">
        <v>54</v>
      </c>
      <c r="B3060" s="3" t="s">
        <v>55</v>
      </c>
      <c r="C3060">
        <v>18</v>
      </c>
      <c r="D3060">
        <v>11000</v>
      </c>
      <c r="E3060">
        <v>499</v>
      </c>
      <c r="F3060">
        <v>1</v>
      </c>
      <c r="G3060">
        <v>44062.122210792702</v>
      </c>
      <c r="H3060">
        <v>1.2288491E-2</v>
      </c>
      <c r="I3060">
        <v>11000</v>
      </c>
      <c r="J3060">
        <v>2764</v>
      </c>
      <c r="K3060">
        <v>8236</v>
      </c>
      <c r="L3060">
        <v>500</v>
      </c>
      <c r="M3060">
        <v>499</v>
      </c>
      <c r="N3060">
        <v>1</v>
      </c>
      <c r="O3060">
        <v>0</v>
      </c>
      <c r="P3060" s="3" t="s">
        <v>52</v>
      </c>
      <c r="Q3060">
        <v>50</v>
      </c>
      <c r="R3060">
        <v>0.999</v>
      </c>
      <c r="S3060">
        <v>0</v>
      </c>
    </row>
    <row r="3061" spans="1:19" x14ac:dyDescent="0.2">
      <c r="A3061" s="3" t="s">
        <v>54</v>
      </c>
      <c r="B3061" s="3" t="s">
        <v>55</v>
      </c>
      <c r="C3061">
        <v>2</v>
      </c>
      <c r="D3061">
        <v>10000</v>
      </c>
      <c r="E3061">
        <v>499</v>
      </c>
      <c r="F3061">
        <v>1</v>
      </c>
      <c r="G3061">
        <v>39482.677260513999</v>
      </c>
      <c r="H3061">
        <v>1.2270844E-2</v>
      </c>
      <c r="I3061">
        <v>10000</v>
      </c>
      <c r="J3061">
        <v>2721</v>
      </c>
      <c r="K3061">
        <v>7279</v>
      </c>
      <c r="L3061">
        <v>500</v>
      </c>
      <c r="M3061">
        <v>499</v>
      </c>
      <c r="N3061">
        <v>1</v>
      </c>
      <c r="O3061">
        <v>0</v>
      </c>
      <c r="P3061" s="3" t="s">
        <v>52</v>
      </c>
      <c r="Q3061">
        <v>50</v>
      </c>
      <c r="R3061">
        <v>0.999</v>
      </c>
      <c r="S3061">
        <v>0</v>
      </c>
    </row>
    <row r="3062" spans="1:19" x14ac:dyDescent="0.2">
      <c r="A3062" s="3" t="s">
        <v>54</v>
      </c>
      <c r="B3062" s="3" t="s">
        <v>55</v>
      </c>
      <c r="C3062">
        <v>13</v>
      </c>
      <c r="D3062">
        <v>10000</v>
      </c>
      <c r="E3062">
        <v>499</v>
      </c>
      <c r="F3062">
        <v>1</v>
      </c>
      <c r="G3062">
        <v>10000</v>
      </c>
      <c r="H3062">
        <v>1.2268441999999999E-2</v>
      </c>
      <c r="I3062">
        <v>10000</v>
      </c>
      <c r="J3062">
        <v>2688</v>
      </c>
      <c r="K3062">
        <v>7312</v>
      </c>
      <c r="L3062">
        <v>500</v>
      </c>
      <c r="M3062">
        <v>499</v>
      </c>
      <c r="N3062">
        <v>1</v>
      </c>
      <c r="O3062">
        <v>0</v>
      </c>
      <c r="P3062" s="3" t="s">
        <v>52</v>
      </c>
      <c r="Q3062">
        <v>50</v>
      </c>
      <c r="R3062">
        <v>0.999</v>
      </c>
      <c r="S3062">
        <v>1</v>
      </c>
    </row>
    <row r="3063" spans="1:19" x14ac:dyDescent="0.2">
      <c r="A3063" s="3" t="s">
        <v>54</v>
      </c>
      <c r="B3063" s="3" t="s">
        <v>55</v>
      </c>
      <c r="C3063">
        <v>10</v>
      </c>
      <c r="D3063">
        <v>10000</v>
      </c>
      <c r="E3063">
        <v>499</v>
      </c>
      <c r="F3063">
        <v>1</v>
      </c>
      <c r="G3063">
        <v>10000</v>
      </c>
      <c r="H3063">
        <v>1.2261631E-2</v>
      </c>
      <c r="I3063">
        <v>10000</v>
      </c>
      <c r="J3063">
        <v>2715</v>
      </c>
      <c r="K3063">
        <v>7285</v>
      </c>
      <c r="L3063">
        <v>500</v>
      </c>
      <c r="M3063">
        <v>499</v>
      </c>
      <c r="N3063">
        <v>1</v>
      </c>
      <c r="O3063">
        <v>0</v>
      </c>
      <c r="P3063" s="3" t="s">
        <v>52</v>
      </c>
      <c r="Q3063">
        <v>50</v>
      </c>
      <c r="R3063">
        <v>0.999</v>
      </c>
      <c r="S3063">
        <v>1</v>
      </c>
    </row>
    <row r="3064" spans="1:19" x14ac:dyDescent="0.2">
      <c r="A3064" s="3" t="s">
        <v>54</v>
      </c>
      <c r="B3064" s="3" t="s">
        <v>55</v>
      </c>
      <c r="C3064">
        <v>20</v>
      </c>
      <c r="D3064">
        <v>11000</v>
      </c>
      <c r="E3064">
        <v>499</v>
      </c>
      <c r="F3064">
        <v>1</v>
      </c>
      <c r="G3064">
        <v>11000</v>
      </c>
      <c r="H3064">
        <v>1.2246956999999999E-2</v>
      </c>
      <c r="I3064">
        <v>11000</v>
      </c>
      <c r="J3064">
        <v>2775</v>
      </c>
      <c r="K3064">
        <v>8225</v>
      </c>
      <c r="L3064">
        <v>500</v>
      </c>
      <c r="M3064">
        <v>499</v>
      </c>
      <c r="N3064">
        <v>1</v>
      </c>
      <c r="O3064">
        <v>0</v>
      </c>
      <c r="P3064" s="3" t="s">
        <v>52</v>
      </c>
      <c r="Q3064">
        <v>50</v>
      </c>
      <c r="R3064">
        <v>0.999</v>
      </c>
      <c r="S3064">
        <v>1</v>
      </c>
    </row>
    <row r="3065" spans="1:19" x14ac:dyDescent="0.2">
      <c r="A3065" s="3" t="s">
        <v>54</v>
      </c>
      <c r="B3065" s="3" t="s">
        <v>55</v>
      </c>
      <c r="C3065">
        <v>31</v>
      </c>
      <c r="D3065">
        <v>11000</v>
      </c>
      <c r="E3065">
        <v>499</v>
      </c>
      <c r="F3065">
        <v>1</v>
      </c>
      <c r="G3065">
        <v>44062.122210792702</v>
      </c>
      <c r="H3065">
        <v>1.2212387999999999E-2</v>
      </c>
      <c r="I3065">
        <v>11000</v>
      </c>
      <c r="J3065">
        <v>2733</v>
      </c>
      <c r="K3065">
        <v>8267</v>
      </c>
      <c r="L3065">
        <v>500</v>
      </c>
      <c r="M3065">
        <v>499</v>
      </c>
      <c r="N3065">
        <v>1</v>
      </c>
      <c r="O3065">
        <v>0</v>
      </c>
      <c r="P3065" s="3" t="s">
        <v>52</v>
      </c>
      <c r="Q3065">
        <v>50</v>
      </c>
      <c r="R3065">
        <v>0.999</v>
      </c>
      <c r="S3065">
        <v>0</v>
      </c>
    </row>
    <row r="3066" spans="1:19" x14ac:dyDescent="0.2">
      <c r="A3066" s="3" t="s">
        <v>54</v>
      </c>
      <c r="B3066" s="3" t="s">
        <v>55</v>
      </c>
      <c r="C3066">
        <v>41</v>
      </c>
      <c r="D3066">
        <v>11000</v>
      </c>
      <c r="E3066">
        <v>499</v>
      </c>
      <c r="F3066">
        <v>1</v>
      </c>
      <c r="G3066">
        <v>44062.122210792702</v>
      </c>
      <c r="H3066">
        <v>1.2208465999999999E-2</v>
      </c>
      <c r="I3066">
        <v>11000</v>
      </c>
      <c r="J3066">
        <v>2721</v>
      </c>
      <c r="K3066">
        <v>8279</v>
      </c>
      <c r="L3066">
        <v>500</v>
      </c>
      <c r="M3066">
        <v>499</v>
      </c>
      <c r="N3066">
        <v>1</v>
      </c>
      <c r="O3066">
        <v>0</v>
      </c>
      <c r="P3066" s="3" t="s">
        <v>52</v>
      </c>
      <c r="Q3066">
        <v>50</v>
      </c>
      <c r="R3066">
        <v>0.999</v>
      </c>
      <c r="S3066">
        <v>0</v>
      </c>
    </row>
    <row r="3067" spans="1:19" x14ac:dyDescent="0.2">
      <c r="A3067" s="3" t="s">
        <v>54</v>
      </c>
      <c r="B3067" s="3" t="s">
        <v>55</v>
      </c>
      <c r="C3067">
        <v>9</v>
      </c>
      <c r="D3067">
        <v>12000</v>
      </c>
      <c r="E3067">
        <v>499</v>
      </c>
      <c r="F3067">
        <v>1</v>
      </c>
      <c r="G3067">
        <v>50533.323552418398</v>
      </c>
      <c r="H3067">
        <v>1.218552E-2</v>
      </c>
      <c r="I3067">
        <v>12000</v>
      </c>
      <c r="J3067">
        <v>3658</v>
      </c>
      <c r="K3067">
        <v>8342</v>
      </c>
      <c r="L3067">
        <v>500</v>
      </c>
      <c r="M3067">
        <v>499</v>
      </c>
      <c r="N3067">
        <v>1</v>
      </c>
      <c r="O3067">
        <v>0</v>
      </c>
      <c r="P3067" s="3" t="s">
        <v>52</v>
      </c>
      <c r="Q3067">
        <v>50</v>
      </c>
      <c r="R3067">
        <v>0.999</v>
      </c>
      <c r="S3067">
        <v>0</v>
      </c>
    </row>
    <row r="3068" spans="1:19" x14ac:dyDescent="0.2">
      <c r="A3068" s="3" t="s">
        <v>54</v>
      </c>
      <c r="B3068" s="3" t="s">
        <v>55</v>
      </c>
      <c r="C3068">
        <v>34</v>
      </c>
      <c r="D3068">
        <v>11000</v>
      </c>
      <c r="E3068">
        <v>499</v>
      </c>
      <c r="F3068">
        <v>1</v>
      </c>
      <c r="G3068">
        <v>44062.122210792702</v>
      </c>
      <c r="H3068">
        <v>1.2177106E-2</v>
      </c>
      <c r="I3068">
        <v>11000</v>
      </c>
      <c r="J3068">
        <v>2779</v>
      </c>
      <c r="K3068">
        <v>8221</v>
      </c>
      <c r="L3068">
        <v>500</v>
      </c>
      <c r="M3068">
        <v>499</v>
      </c>
      <c r="N3068">
        <v>1</v>
      </c>
      <c r="O3068">
        <v>0</v>
      </c>
      <c r="P3068" s="3" t="s">
        <v>52</v>
      </c>
      <c r="Q3068">
        <v>50</v>
      </c>
      <c r="R3068">
        <v>0.999</v>
      </c>
      <c r="S3068">
        <v>0</v>
      </c>
    </row>
    <row r="3069" spans="1:19" x14ac:dyDescent="0.2">
      <c r="A3069" s="3" t="s">
        <v>54</v>
      </c>
      <c r="B3069" s="3" t="s">
        <v>55</v>
      </c>
      <c r="C3069">
        <v>45</v>
      </c>
      <c r="D3069">
        <v>10000</v>
      </c>
      <c r="E3069">
        <v>499</v>
      </c>
      <c r="F3069">
        <v>1</v>
      </c>
      <c r="G3069">
        <v>39482.677260513999</v>
      </c>
      <c r="H3069">
        <v>1.2154557E-2</v>
      </c>
      <c r="I3069">
        <v>10000</v>
      </c>
      <c r="J3069">
        <v>2701</v>
      </c>
      <c r="K3069">
        <v>7299</v>
      </c>
      <c r="L3069">
        <v>500</v>
      </c>
      <c r="M3069">
        <v>499</v>
      </c>
      <c r="N3069">
        <v>1</v>
      </c>
      <c r="O3069">
        <v>0</v>
      </c>
      <c r="P3069" s="3" t="s">
        <v>52</v>
      </c>
      <c r="Q3069">
        <v>50</v>
      </c>
      <c r="R3069">
        <v>0.999</v>
      </c>
      <c r="S3069">
        <v>0</v>
      </c>
    </row>
    <row r="3070" spans="1:19" x14ac:dyDescent="0.2">
      <c r="A3070" s="3" t="s">
        <v>54</v>
      </c>
      <c r="B3070" s="3" t="s">
        <v>55</v>
      </c>
      <c r="C3070">
        <v>8</v>
      </c>
      <c r="D3070">
        <v>11000</v>
      </c>
      <c r="E3070">
        <v>499</v>
      </c>
      <c r="F3070">
        <v>1</v>
      </c>
      <c r="G3070">
        <v>11000</v>
      </c>
      <c r="H3070">
        <v>1.213988E-2</v>
      </c>
      <c r="I3070">
        <v>11000</v>
      </c>
      <c r="J3070">
        <v>2727</v>
      </c>
      <c r="K3070">
        <v>8273</v>
      </c>
      <c r="L3070">
        <v>500</v>
      </c>
      <c r="M3070">
        <v>499</v>
      </c>
      <c r="N3070">
        <v>1</v>
      </c>
      <c r="O3070">
        <v>0</v>
      </c>
      <c r="P3070" s="3" t="s">
        <v>52</v>
      </c>
      <c r="Q3070">
        <v>50</v>
      </c>
      <c r="R3070">
        <v>0.999</v>
      </c>
      <c r="S3070">
        <v>1</v>
      </c>
    </row>
    <row r="3071" spans="1:19" x14ac:dyDescent="0.2">
      <c r="A3071" s="3" t="s">
        <v>54</v>
      </c>
      <c r="B3071" s="3" t="s">
        <v>55</v>
      </c>
      <c r="C3071">
        <v>12</v>
      </c>
      <c r="D3071">
        <v>12000</v>
      </c>
      <c r="E3071">
        <v>499</v>
      </c>
      <c r="F3071">
        <v>1</v>
      </c>
      <c r="G3071">
        <v>50533.323552418398</v>
      </c>
      <c r="H3071">
        <v>1.2125232E-2</v>
      </c>
      <c r="I3071">
        <v>12000</v>
      </c>
      <c r="J3071">
        <v>3609</v>
      </c>
      <c r="K3071">
        <v>8391</v>
      </c>
      <c r="L3071">
        <v>500</v>
      </c>
      <c r="M3071">
        <v>499</v>
      </c>
      <c r="N3071">
        <v>1</v>
      </c>
      <c r="O3071">
        <v>0</v>
      </c>
      <c r="P3071" s="3" t="s">
        <v>52</v>
      </c>
      <c r="Q3071">
        <v>50</v>
      </c>
      <c r="R3071">
        <v>0.999</v>
      </c>
      <c r="S3071">
        <v>0</v>
      </c>
    </row>
    <row r="3072" spans="1:19" x14ac:dyDescent="0.2">
      <c r="A3072" s="3" t="s">
        <v>54</v>
      </c>
      <c r="B3072" s="3" t="s">
        <v>55</v>
      </c>
      <c r="C3072">
        <v>37</v>
      </c>
      <c r="D3072">
        <v>11000</v>
      </c>
      <c r="E3072">
        <v>499</v>
      </c>
      <c r="F3072">
        <v>1</v>
      </c>
      <c r="G3072">
        <v>44062.122210792702</v>
      </c>
      <c r="H3072">
        <v>1.2125149999999999E-2</v>
      </c>
      <c r="I3072">
        <v>11000</v>
      </c>
      <c r="J3072">
        <v>2777</v>
      </c>
      <c r="K3072">
        <v>8223</v>
      </c>
      <c r="L3072">
        <v>500</v>
      </c>
      <c r="M3072">
        <v>499</v>
      </c>
      <c r="N3072">
        <v>1</v>
      </c>
      <c r="O3072">
        <v>0</v>
      </c>
      <c r="P3072" s="3" t="s">
        <v>52</v>
      </c>
      <c r="Q3072">
        <v>50</v>
      </c>
      <c r="R3072">
        <v>0.999</v>
      </c>
      <c r="S3072">
        <v>0</v>
      </c>
    </row>
    <row r="3073" spans="1:19" x14ac:dyDescent="0.2">
      <c r="A3073" s="3" t="s">
        <v>54</v>
      </c>
      <c r="B3073" s="3" t="s">
        <v>55</v>
      </c>
      <c r="C3073">
        <v>21</v>
      </c>
      <c r="D3073">
        <v>10000</v>
      </c>
      <c r="E3073">
        <v>499</v>
      </c>
      <c r="F3073">
        <v>1</v>
      </c>
      <c r="G3073">
        <v>10000</v>
      </c>
      <c r="H3073">
        <v>1.2124764999999999E-2</v>
      </c>
      <c r="I3073">
        <v>10000</v>
      </c>
      <c r="J3073">
        <v>2671</v>
      </c>
      <c r="K3073">
        <v>7329</v>
      </c>
      <c r="L3073">
        <v>500</v>
      </c>
      <c r="M3073">
        <v>499</v>
      </c>
      <c r="N3073">
        <v>1</v>
      </c>
      <c r="O3073">
        <v>0</v>
      </c>
      <c r="P3073" s="3" t="s">
        <v>52</v>
      </c>
      <c r="Q3073">
        <v>50</v>
      </c>
      <c r="R3073">
        <v>0.999</v>
      </c>
      <c r="S3073">
        <v>1</v>
      </c>
    </row>
    <row r="3074" spans="1:19" x14ac:dyDescent="0.2">
      <c r="A3074" s="3" t="s">
        <v>54</v>
      </c>
      <c r="B3074" s="3" t="s">
        <v>55</v>
      </c>
      <c r="C3074">
        <v>26</v>
      </c>
      <c r="D3074">
        <v>10000</v>
      </c>
      <c r="E3074">
        <v>499</v>
      </c>
      <c r="F3074">
        <v>1</v>
      </c>
      <c r="G3074">
        <v>10000</v>
      </c>
      <c r="H3074">
        <v>1.2099923E-2</v>
      </c>
      <c r="I3074">
        <v>10000</v>
      </c>
      <c r="J3074">
        <v>2711</v>
      </c>
      <c r="K3074">
        <v>7289</v>
      </c>
      <c r="L3074">
        <v>500</v>
      </c>
      <c r="M3074">
        <v>499</v>
      </c>
      <c r="N3074">
        <v>1</v>
      </c>
      <c r="O3074">
        <v>0</v>
      </c>
      <c r="P3074" s="3" t="s">
        <v>52</v>
      </c>
      <c r="Q3074">
        <v>50</v>
      </c>
      <c r="R3074">
        <v>0.999</v>
      </c>
      <c r="S3074">
        <v>1</v>
      </c>
    </row>
    <row r="3075" spans="1:19" x14ac:dyDescent="0.2">
      <c r="A3075" s="3" t="s">
        <v>54</v>
      </c>
      <c r="B3075" s="3" t="s">
        <v>55</v>
      </c>
      <c r="C3075">
        <v>16</v>
      </c>
      <c r="D3075">
        <v>10000</v>
      </c>
      <c r="E3075">
        <v>499</v>
      </c>
      <c r="F3075">
        <v>1</v>
      </c>
      <c r="G3075">
        <v>39482.677260513999</v>
      </c>
      <c r="H3075">
        <v>1.2098677E-2</v>
      </c>
      <c r="I3075">
        <v>10000</v>
      </c>
      <c r="J3075">
        <v>2683</v>
      </c>
      <c r="K3075">
        <v>7317</v>
      </c>
      <c r="L3075">
        <v>500</v>
      </c>
      <c r="M3075">
        <v>499</v>
      </c>
      <c r="N3075">
        <v>1</v>
      </c>
      <c r="O3075">
        <v>0</v>
      </c>
      <c r="P3075" s="3" t="s">
        <v>52</v>
      </c>
      <c r="Q3075">
        <v>50</v>
      </c>
      <c r="R3075">
        <v>0.999</v>
      </c>
      <c r="S3075">
        <v>0</v>
      </c>
    </row>
    <row r="3076" spans="1:19" x14ac:dyDescent="0.2">
      <c r="A3076" s="3" t="s">
        <v>54</v>
      </c>
      <c r="B3076" s="3" t="s">
        <v>55</v>
      </c>
      <c r="C3076">
        <v>25</v>
      </c>
      <c r="D3076">
        <v>12000</v>
      </c>
      <c r="E3076">
        <v>499</v>
      </c>
      <c r="F3076">
        <v>1</v>
      </c>
      <c r="G3076">
        <v>50533.323552418398</v>
      </c>
      <c r="H3076">
        <v>1.2074870999999999E-2</v>
      </c>
      <c r="I3076">
        <v>12000</v>
      </c>
      <c r="J3076">
        <v>3641</v>
      </c>
      <c r="K3076">
        <v>8359</v>
      </c>
      <c r="L3076">
        <v>500</v>
      </c>
      <c r="M3076">
        <v>499</v>
      </c>
      <c r="N3076">
        <v>1</v>
      </c>
      <c r="O3076">
        <v>0</v>
      </c>
      <c r="P3076" s="3" t="s">
        <v>52</v>
      </c>
      <c r="Q3076">
        <v>50</v>
      </c>
      <c r="R3076">
        <v>0.999</v>
      </c>
      <c r="S3076">
        <v>0</v>
      </c>
    </row>
    <row r="3077" spans="1:19" x14ac:dyDescent="0.2">
      <c r="A3077" s="3" t="s">
        <v>54</v>
      </c>
      <c r="B3077" s="3" t="s">
        <v>55</v>
      </c>
      <c r="C3077">
        <v>32</v>
      </c>
      <c r="D3077">
        <v>12000</v>
      </c>
      <c r="E3077">
        <v>499</v>
      </c>
      <c r="F3077">
        <v>1</v>
      </c>
      <c r="G3077">
        <v>50533.323552418398</v>
      </c>
      <c r="H3077">
        <v>1.2068436E-2</v>
      </c>
      <c r="I3077">
        <v>12000</v>
      </c>
      <c r="J3077">
        <v>3648</v>
      </c>
      <c r="K3077">
        <v>8352</v>
      </c>
      <c r="L3077">
        <v>500</v>
      </c>
      <c r="M3077">
        <v>499</v>
      </c>
      <c r="N3077">
        <v>1</v>
      </c>
      <c r="O3077">
        <v>0</v>
      </c>
      <c r="P3077" s="3" t="s">
        <v>52</v>
      </c>
      <c r="Q3077">
        <v>50</v>
      </c>
      <c r="R3077">
        <v>0.999</v>
      </c>
      <c r="S3077">
        <v>0</v>
      </c>
    </row>
    <row r="3078" spans="1:19" x14ac:dyDescent="0.2">
      <c r="A3078" s="3" t="s">
        <v>54</v>
      </c>
      <c r="B3078" s="3" t="s">
        <v>55</v>
      </c>
      <c r="C3078">
        <v>50</v>
      </c>
      <c r="D3078">
        <v>10000</v>
      </c>
      <c r="E3078">
        <v>499</v>
      </c>
      <c r="F3078">
        <v>1</v>
      </c>
      <c r="G3078">
        <v>10000</v>
      </c>
      <c r="H3078">
        <v>1.2067849E-2</v>
      </c>
      <c r="I3078">
        <v>10000</v>
      </c>
      <c r="J3078">
        <v>2680</v>
      </c>
      <c r="K3078">
        <v>7320</v>
      </c>
      <c r="L3078">
        <v>500</v>
      </c>
      <c r="M3078">
        <v>499</v>
      </c>
      <c r="N3078">
        <v>1</v>
      </c>
      <c r="O3078">
        <v>0</v>
      </c>
      <c r="P3078" s="3" t="s">
        <v>52</v>
      </c>
      <c r="Q3078">
        <v>50</v>
      </c>
      <c r="R3078">
        <v>0.999</v>
      </c>
      <c r="S3078">
        <v>1</v>
      </c>
    </row>
    <row r="3079" spans="1:19" x14ac:dyDescent="0.2">
      <c r="A3079" s="3" t="s">
        <v>54</v>
      </c>
      <c r="B3079" s="3" t="s">
        <v>55</v>
      </c>
      <c r="C3079">
        <v>43</v>
      </c>
      <c r="D3079">
        <v>10000</v>
      </c>
      <c r="E3079">
        <v>499</v>
      </c>
      <c r="F3079">
        <v>1</v>
      </c>
      <c r="G3079">
        <v>39482.677260513999</v>
      </c>
      <c r="H3079">
        <v>1.2062705999999999E-2</v>
      </c>
      <c r="I3079">
        <v>10000</v>
      </c>
      <c r="J3079">
        <v>2743</v>
      </c>
      <c r="K3079">
        <v>7257</v>
      </c>
      <c r="L3079">
        <v>500</v>
      </c>
      <c r="M3079">
        <v>499</v>
      </c>
      <c r="N3079">
        <v>1</v>
      </c>
      <c r="O3079">
        <v>0</v>
      </c>
      <c r="P3079" s="3" t="s">
        <v>52</v>
      </c>
      <c r="Q3079">
        <v>50</v>
      </c>
      <c r="R3079">
        <v>0.999</v>
      </c>
      <c r="S3079">
        <v>0</v>
      </c>
    </row>
    <row r="3080" spans="1:19" x14ac:dyDescent="0.2">
      <c r="A3080" s="3" t="s">
        <v>54</v>
      </c>
      <c r="B3080" s="3" t="s">
        <v>55</v>
      </c>
      <c r="C3080">
        <v>37</v>
      </c>
      <c r="D3080">
        <v>10000</v>
      </c>
      <c r="E3080">
        <v>499</v>
      </c>
      <c r="F3080">
        <v>1</v>
      </c>
      <c r="G3080">
        <v>39482.677260513999</v>
      </c>
      <c r="H3080">
        <v>1.2055961E-2</v>
      </c>
      <c r="I3080">
        <v>10000</v>
      </c>
      <c r="J3080">
        <v>2708</v>
      </c>
      <c r="K3080">
        <v>7292</v>
      </c>
      <c r="L3080">
        <v>500</v>
      </c>
      <c r="M3080">
        <v>499</v>
      </c>
      <c r="N3080">
        <v>1</v>
      </c>
      <c r="O3080">
        <v>0</v>
      </c>
      <c r="P3080" s="3" t="s">
        <v>52</v>
      </c>
      <c r="Q3080">
        <v>50</v>
      </c>
      <c r="R3080">
        <v>0.999</v>
      </c>
      <c r="S3080">
        <v>0</v>
      </c>
    </row>
    <row r="3081" spans="1:19" x14ac:dyDescent="0.2">
      <c r="A3081" s="3" t="s">
        <v>54</v>
      </c>
      <c r="B3081" s="3" t="s">
        <v>55</v>
      </c>
      <c r="C3081">
        <v>39</v>
      </c>
      <c r="D3081">
        <v>11000</v>
      </c>
      <c r="E3081">
        <v>499</v>
      </c>
      <c r="F3081">
        <v>1</v>
      </c>
      <c r="G3081">
        <v>44062.122210792702</v>
      </c>
      <c r="H3081">
        <v>1.2051569E-2</v>
      </c>
      <c r="I3081">
        <v>11000</v>
      </c>
      <c r="J3081">
        <v>2791</v>
      </c>
      <c r="K3081">
        <v>8209</v>
      </c>
      <c r="L3081">
        <v>500</v>
      </c>
      <c r="M3081">
        <v>499</v>
      </c>
      <c r="N3081">
        <v>1</v>
      </c>
      <c r="O3081">
        <v>0</v>
      </c>
      <c r="P3081" s="3" t="s">
        <v>52</v>
      </c>
      <c r="Q3081">
        <v>50</v>
      </c>
      <c r="R3081">
        <v>0.999</v>
      </c>
      <c r="S3081">
        <v>0</v>
      </c>
    </row>
    <row r="3082" spans="1:19" x14ac:dyDescent="0.2">
      <c r="A3082" s="3" t="s">
        <v>54</v>
      </c>
      <c r="B3082" s="3" t="s">
        <v>55</v>
      </c>
      <c r="C3082">
        <v>24</v>
      </c>
      <c r="D3082">
        <v>12000</v>
      </c>
      <c r="E3082">
        <v>499</v>
      </c>
      <c r="F3082">
        <v>1</v>
      </c>
      <c r="G3082">
        <v>50533.323552418398</v>
      </c>
      <c r="H3082">
        <v>1.2040963E-2</v>
      </c>
      <c r="I3082">
        <v>12000</v>
      </c>
      <c r="J3082">
        <v>3623</v>
      </c>
      <c r="K3082">
        <v>8377</v>
      </c>
      <c r="L3082">
        <v>500</v>
      </c>
      <c r="M3082">
        <v>499</v>
      </c>
      <c r="N3082">
        <v>1</v>
      </c>
      <c r="O3082">
        <v>0</v>
      </c>
      <c r="P3082" s="3" t="s">
        <v>52</v>
      </c>
      <c r="Q3082">
        <v>50</v>
      </c>
      <c r="R3082">
        <v>0.999</v>
      </c>
      <c r="S3082">
        <v>0</v>
      </c>
    </row>
    <row r="3083" spans="1:19" x14ac:dyDescent="0.2">
      <c r="A3083" s="3" t="s">
        <v>54</v>
      </c>
      <c r="B3083" s="3" t="s">
        <v>55</v>
      </c>
      <c r="C3083">
        <v>38</v>
      </c>
      <c r="D3083">
        <v>12000</v>
      </c>
      <c r="E3083">
        <v>499</v>
      </c>
      <c r="F3083">
        <v>1</v>
      </c>
      <c r="G3083">
        <v>50533.323552418398</v>
      </c>
      <c r="H3083">
        <v>1.2015672999999999E-2</v>
      </c>
      <c r="I3083">
        <v>12000</v>
      </c>
      <c r="J3083">
        <v>3608</v>
      </c>
      <c r="K3083">
        <v>8392</v>
      </c>
      <c r="L3083">
        <v>500</v>
      </c>
      <c r="M3083">
        <v>499</v>
      </c>
      <c r="N3083">
        <v>1</v>
      </c>
      <c r="O3083">
        <v>0</v>
      </c>
      <c r="P3083" s="3" t="s">
        <v>52</v>
      </c>
      <c r="Q3083">
        <v>50</v>
      </c>
      <c r="R3083">
        <v>0.999</v>
      </c>
      <c r="S3083">
        <v>0</v>
      </c>
    </row>
    <row r="3084" spans="1:19" x14ac:dyDescent="0.2">
      <c r="A3084" s="3" t="s">
        <v>54</v>
      </c>
      <c r="B3084" s="3" t="s">
        <v>55</v>
      </c>
      <c r="C3084">
        <v>5</v>
      </c>
      <c r="D3084">
        <v>12000</v>
      </c>
      <c r="E3084">
        <v>499</v>
      </c>
      <c r="F3084">
        <v>1</v>
      </c>
      <c r="G3084">
        <v>12000</v>
      </c>
      <c r="H3084">
        <v>1.2014545999999999E-2</v>
      </c>
      <c r="I3084">
        <v>12000</v>
      </c>
      <c r="J3084">
        <v>3596</v>
      </c>
      <c r="K3084">
        <v>8404</v>
      </c>
      <c r="L3084">
        <v>500</v>
      </c>
      <c r="M3084">
        <v>499</v>
      </c>
      <c r="N3084">
        <v>1</v>
      </c>
      <c r="O3084">
        <v>0</v>
      </c>
      <c r="P3084" s="3" t="s">
        <v>52</v>
      </c>
      <c r="Q3084">
        <v>50</v>
      </c>
      <c r="R3084">
        <v>0.999</v>
      </c>
      <c r="S3084">
        <v>1</v>
      </c>
    </row>
    <row r="3085" spans="1:19" x14ac:dyDescent="0.2">
      <c r="A3085" s="3" t="s">
        <v>54</v>
      </c>
      <c r="B3085" s="3" t="s">
        <v>55</v>
      </c>
      <c r="C3085">
        <v>49</v>
      </c>
      <c r="D3085">
        <v>12000</v>
      </c>
      <c r="E3085">
        <v>499</v>
      </c>
      <c r="F3085">
        <v>1</v>
      </c>
      <c r="G3085">
        <v>12000</v>
      </c>
      <c r="H3085">
        <v>1.2014535E-2</v>
      </c>
      <c r="I3085">
        <v>12000</v>
      </c>
      <c r="J3085">
        <v>3637</v>
      </c>
      <c r="K3085">
        <v>8363</v>
      </c>
      <c r="L3085">
        <v>500</v>
      </c>
      <c r="M3085">
        <v>499</v>
      </c>
      <c r="N3085">
        <v>1</v>
      </c>
      <c r="O3085">
        <v>0</v>
      </c>
      <c r="P3085" s="3" t="s">
        <v>52</v>
      </c>
      <c r="Q3085">
        <v>50</v>
      </c>
      <c r="R3085">
        <v>0.999</v>
      </c>
      <c r="S3085">
        <v>1</v>
      </c>
    </row>
    <row r="3086" spans="1:19" x14ac:dyDescent="0.2">
      <c r="A3086" s="3" t="s">
        <v>54</v>
      </c>
      <c r="B3086" s="3" t="s">
        <v>55</v>
      </c>
      <c r="C3086">
        <v>31</v>
      </c>
      <c r="D3086">
        <v>10000</v>
      </c>
      <c r="E3086">
        <v>499</v>
      </c>
      <c r="F3086">
        <v>1</v>
      </c>
      <c r="G3086">
        <v>10000</v>
      </c>
      <c r="H3086">
        <v>1.2011584E-2</v>
      </c>
      <c r="I3086">
        <v>10000</v>
      </c>
      <c r="J3086">
        <v>2709</v>
      </c>
      <c r="K3086">
        <v>7291</v>
      </c>
      <c r="L3086">
        <v>500</v>
      </c>
      <c r="M3086">
        <v>499</v>
      </c>
      <c r="N3086">
        <v>1</v>
      </c>
      <c r="O3086">
        <v>0</v>
      </c>
      <c r="P3086" s="3" t="s">
        <v>52</v>
      </c>
      <c r="Q3086">
        <v>50</v>
      </c>
      <c r="R3086">
        <v>0.999</v>
      </c>
      <c r="S3086">
        <v>1</v>
      </c>
    </row>
    <row r="3087" spans="1:19" x14ac:dyDescent="0.2">
      <c r="A3087" s="3" t="s">
        <v>54</v>
      </c>
      <c r="B3087" s="3" t="s">
        <v>55</v>
      </c>
      <c r="C3087">
        <v>42</v>
      </c>
      <c r="D3087">
        <v>12000</v>
      </c>
      <c r="E3087">
        <v>499</v>
      </c>
      <c r="F3087">
        <v>1</v>
      </c>
      <c r="G3087">
        <v>12000</v>
      </c>
      <c r="H3087">
        <v>1.2005735999999999E-2</v>
      </c>
      <c r="I3087">
        <v>12000</v>
      </c>
      <c r="J3087">
        <v>3604</v>
      </c>
      <c r="K3087">
        <v>8396</v>
      </c>
      <c r="L3087">
        <v>500</v>
      </c>
      <c r="M3087">
        <v>499</v>
      </c>
      <c r="N3087">
        <v>1</v>
      </c>
      <c r="O3087">
        <v>0</v>
      </c>
      <c r="P3087" s="3" t="s">
        <v>52</v>
      </c>
      <c r="Q3087">
        <v>50</v>
      </c>
      <c r="R3087">
        <v>0.999</v>
      </c>
      <c r="S3087">
        <v>1</v>
      </c>
    </row>
    <row r="3088" spans="1:19" x14ac:dyDescent="0.2">
      <c r="A3088" s="3" t="s">
        <v>54</v>
      </c>
      <c r="B3088" s="3" t="s">
        <v>55</v>
      </c>
      <c r="C3088">
        <v>37</v>
      </c>
      <c r="D3088">
        <v>12000</v>
      </c>
      <c r="E3088">
        <v>499</v>
      </c>
      <c r="F3088">
        <v>1</v>
      </c>
      <c r="G3088">
        <v>50533.323552418398</v>
      </c>
      <c r="H3088">
        <v>1.1997228E-2</v>
      </c>
      <c r="I3088">
        <v>12000</v>
      </c>
      <c r="J3088">
        <v>3677</v>
      </c>
      <c r="K3088">
        <v>8323</v>
      </c>
      <c r="L3088">
        <v>500</v>
      </c>
      <c r="M3088">
        <v>499</v>
      </c>
      <c r="N3088">
        <v>1</v>
      </c>
      <c r="O3088">
        <v>0</v>
      </c>
      <c r="P3088" s="3" t="s">
        <v>52</v>
      </c>
      <c r="Q3088">
        <v>50</v>
      </c>
      <c r="R3088">
        <v>0.999</v>
      </c>
      <c r="S3088">
        <v>0</v>
      </c>
    </row>
    <row r="3089" spans="1:19" x14ac:dyDescent="0.2">
      <c r="A3089" s="3" t="s">
        <v>54</v>
      </c>
      <c r="B3089" s="3" t="s">
        <v>55</v>
      </c>
      <c r="C3089">
        <v>5</v>
      </c>
      <c r="D3089">
        <v>10000</v>
      </c>
      <c r="E3089">
        <v>499</v>
      </c>
      <c r="F3089">
        <v>1</v>
      </c>
      <c r="G3089">
        <v>10000</v>
      </c>
      <c r="H3089">
        <v>1.1985450999999999E-2</v>
      </c>
      <c r="I3089">
        <v>10000</v>
      </c>
      <c r="J3089">
        <v>2707</v>
      </c>
      <c r="K3089">
        <v>7293</v>
      </c>
      <c r="L3089">
        <v>500</v>
      </c>
      <c r="M3089">
        <v>499</v>
      </c>
      <c r="N3089">
        <v>1</v>
      </c>
      <c r="O3089">
        <v>0</v>
      </c>
      <c r="P3089" s="3" t="s">
        <v>52</v>
      </c>
      <c r="Q3089">
        <v>50</v>
      </c>
      <c r="R3089">
        <v>0.999</v>
      </c>
      <c r="S3089">
        <v>1</v>
      </c>
    </row>
    <row r="3090" spans="1:19" x14ac:dyDescent="0.2">
      <c r="A3090" s="3" t="s">
        <v>54</v>
      </c>
      <c r="B3090" s="3" t="s">
        <v>55</v>
      </c>
      <c r="C3090">
        <v>36</v>
      </c>
      <c r="D3090">
        <v>10000</v>
      </c>
      <c r="E3090">
        <v>499</v>
      </c>
      <c r="F3090">
        <v>1</v>
      </c>
      <c r="G3090">
        <v>10000</v>
      </c>
      <c r="H3090">
        <v>1.1983213E-2</v>
      </c>
      <c r="I3090">
        <v>10000</v>
      </c>
      <c r="J3090">
        <v>2664</v>
      </c>
      <c r="K3090">
        <v>7336</v>
      </c>
      <c r="L3090">
        <v>500</v>
      </c>
      <c r="M3090">
        <v>499</v>
      </c>
      <c r="N3090">
        <v>1</v>
      </c>
      <c r="O3090">
        <v>0</v>
      </c>
      <c r="P3090" s="3" t="s">
        <v>52</v>
      </c>
      <c r="Q3090">
        <v>50</v>
      </c>
      <c r="R3090">
        <v>0.999</v>
      </c>
      <c r="S3090">
        <v>1</v>
      </c>
    </row>
    <row r="3091" spans="1:19" x14ac:dyDescent="0.2">
      <c r="A3091" s="3" t="s">
        <v>54</v>
      </c>
      <c r="B3091" s="3" t="s">
        <v>55</v>
      </c>
      <c r="C3091">
        <v>22</v>
      </c>
      <c r="D3091">
        <v>11000</v>
      </c>
      <c r="E3091">
        <v>499</v>
      </c>
      <c r="F3091">
        <v>1</v>
      </c>
      <c r="G3091">
        <v>44062.122210792702</v>
      </c>
      <c r="H3091">
        <v>1.1978063000000001E-2</v>
      </c>
      <c r="I3091">
        <v>11000</v>
      </c>
      <c r="J3091">
        <v>2743</v>
      </c>
      <c r="K3091">
        <v>8257</v>
      </c>
      <c r="L3091">
        <v>500</v>
      </c>
      <c r="M3091">
        <v>499</v>
      </c>
      <c r="N3091">
        <v>1</v>
      </c>
      <c r="O3091">
        <v>0</v>
      </c>
      <c r="P3091" s="3" t="s">
        <v>52</v>
      </c>
      <c r="Q3091">
        <v>50</v>
      </c>
      <c r="R3091">
        <v>0.999</v>
      </c>
      <c r="S3091">
        <v>0</v>
      </c>
    </row>
    <row r="3092" spans="1:19" x14ac:dyDescent="0.2">
      <c r="A3092" s="3" t="s">
        <v>54</v>
      </c>
      <c r="B3092" s="3" t="s">
        <v>55</v>
      </c>
      <c r="C3092">
        <v>12</v>
      </c>
      <c r="D3092">
        <v>11000</v>
      </c>
      <c r="E3092">
        <v>499</v>
      </c>
      <c r="F3092">
        <v>1</v>
      </c>
      <c r="G3092">
        <v>11000</v>
      </c>
      <c r="H3092">
        <v>1.1972488E-2</v>
      </c>
      <c r="I3092">
        <v>11000</v>
      </c>
      <c r="J3092">
        <v>2779</v>
      </c>
      <c r="K3092">
        <v>8221</v>
      </c>
      <c r="L3092">
        <v>500</v>
      </c>
      <c r="M3092">
        <v>499</v>
      </c>
      <c r="N3092">
        <v>1</v>
      </c>
      <c r="O3092">
        <v>0</v>
      </c>
      <c r="P3092" s="3" t="s">
        <v>52</v>
      </c>
      <c r="Q3092">
        <v>50</v>
      </c>
      <c r="R3092">
        <v>0.999</v>
      </c>
      <c r="S3092">
        <v>1</v>
      </c>
    </row>
    <row r="3093" spans="1:19" x14ac:dyDescent="0.2">
      <c r="A3093" s="3" t="s">
        <v>54</v>
      </c>
      <c r="B3093" s="3" t="s">
        <v>55</v>
      </c>
      <c r="C3093">
        <v>23</v>
      </c>
      <c r="D3093">
        <v>10000</v>
      </c>
      <c r="E3093">
        <v>499</v>
      </c>
      <c r="F3093">
        <v>1</v>
      </c>
      <c r="G3093">
        <v>10000</v>
      </c>
      <c r="H3093">
        <v>1.1961644E-2</v>
      </c>
      <c r="I3093">
        <v>10000</v>
      </c>
      <c r="J3093">
        <v>2697</v>
      </c>
      <c r="K3093">
        <v>7303</v>
      </c>
      <c r="L3093">
        <v>500</v>
      </c>
      <c r="M3093">
        <v>499</v>
      </c>
      <c r="N3093">
        <v>1</v>
      </c>
      <c r="O3093">
        <v>0</v>
      </c>
      <c r="P3093" s="3" t="s">
        <v>52</v>
      </c>
      <c r="Q3093">
        <v>50</v>
      </c>
      <c r="R3093">
        <v>0.999</v>
      </c>
      <c r="S3093">
        <v>1</v>
      </c>
    </row>
    <row r="3094" spans="1:19" x14ac:dyDescent="0.2">
      <c r="A3094" s="3" t="s">
        <v>54</v>
      </c>
      <c r="B3094" s="3" t="s">
        <v>55</v>
      </c>
      <c r="C3094">
        <v>36</v>
      </c>
      <c r="D3094">
        <v>11000</v>
      </c>
      <c r="E3094">
        <v>499</v>
      </c>
      <c r="F3094">
        <v>1</v>
      </c>
      <c r="G3094">
        <v>44062.122210792702</v>
      </c>
      <c r="H3094">
        <v>1.1961314000000001E-2</v>
      </c>
      <c r="I3094">
        <v>11000</v>
      </c>
      <c r="J3094">
        <v>2762</v>
      </c>
      <c r="K3094">
        <v>8238</v>
      </c>
      <c r="L3094">
        <v>500</v>
      </c>
      <c r="M3094">
        <v>499</v>
      </c>
      <c r="N3094">
        <v>1</v>
      </c>
      <c r="O3094">
        <v>0</v>
      </c>
      <c r="P3094" s="3" t="s">
        <v>52</v>
      </c>
      <c r="Q3094">
        <v>50</v>
      </c>
      <c r="R3094">
        <v>0.999</v>
      </c>
      <c r="S3094">
        <v>0</v>
      </c>
    </row>
    <row r="3095" spans="1:19" x14ac:dyDescent="0.2">
      <c r="A3095" s="3" t="s">
        <v>54</v>
      </c>
      <c r="B3095" s="3" t="s">
        <v>55</v>
      </c>
      <c r="C3095">
        <v>43</v>
      </c>
      <c r="D3095">
        <v>11000</v>
      </c>
      <c r="E3095">
        <v>499</v>
      </c>
      <c r="F3095">
        <v>1</v>
      </c>
      <c r="G3095">
        <v>11000</v>
      </c>
      <c r="H3095">
        <v>1.1954045E-2</v>
      </c>
      <c r="I3095">
        <v>11000</v>
      </c>
      <c r="J3095">
        <v>2772</v>
      </c>
      <c r="K3095">
        <v>8228</v>
      </c>
      <c r="L3095">
        <v>500</v>
      </c>
      <c r="M3095">
        <v>499</v>
      </c>
      <c r="N3095">
        <v>1</v>
      </c>
      <c r="O3095">
        <v>0</v>
      </c>
      <c r="P3095" s="3" t="s">
        <v>52</v>
      </c>
      <c r="Q3095">
        <v>50</v>
      </c>
      <c r="R3095">
        <v>0.999</v>
      </c>
      <c r="S3095">
        <v>1</v>
      </c>
    </row>
    <row r="3096" spans="1:19" x14ac:dyDescent="0.2">
      <c r="A3096" s="3" t="s">
        <v>54</v>
      </c>
      <c r="B3096" s="3" t="s">
        <v>55</v>
      </c>
      <c r="C3096">
        <v>18</v>
      </c>
      <c r="D3096">
        <v>12000</v>
      </c>
      <c r="E3096">
        <v>499</v>
      </c>
      <c r="F3096">
        <v>1</v>
      </c>
      <c r="G3096">
        <v>12000</v>
      </c>
      <c r="H3096">
        <v>1.1953559000000001E-2</v>
      </c>
      <c r="I3096">
        <v>12000</v>
      </c>
      <c r="J3096">
        <v>3683</v>
      </c>
      <c r="K3096">
        <v>8317</v>
      </c>
      <c r="L3096">
        <v>500</v>
      </c>
      <c r="M3096">
        <v>499</v>
      </c>
      <c r="N3096">
        <v>1</v>
      </c>
      <c r="O3096">
        <v>0</v>
      </c>
      <c r="P3096" s="3" t="s">
        <v>52</v>
      </c>
      <c r="Q3096">
        <v>50</v>
      </c>
      <c r="R3096">
        <v>0.999</v>
      </c>
      <c r="S3096">
        <v>1</v>
      </c>
    </row>
    <row r="3097" spans="1:19" x14ac:dyDescent="0.2">
      <c r="A3097" s="3" t="s">
        <v>54</v>
      </c>
      <c r="B3097" s="3" t="s">
        <v>55</v>
      </c>
      <c r="C3097">
        <v>32</v>
      </c>
      <c r="D3097">
        <v>11000</v>
      </c>
      <c r="E3097">
        <v>499</v>
      </c>
      <c r="F3097">
        <v>1</v>
      </c>
      <c r="G3097">
        <v>44062.122210792702</v>
      </c>
      <c r="H3097">
        <v>1.1949415999999999E-2</v>
      </c>
      <c r="I3097">
        <v>11000</v>
      </c>
      <c r="J3097">
        <v>2770</v>
      </c>
      <c r="K3097">
        <v>8230</v>
      </c>
      <c r="L3097">
        <v>500</v>
      </c>
      <c r="M3097">
        <v>499</v>
      </c>
      <c r="N3097">
        <v>1</v>
      </c>
      <c r="O3097">
        <v>0</v>
      </c>
      <c r="P3097" s="3" t="s">
        <v>52</v>
      </c>
      <c r="Q3097">
        <v>50</v>
      </c>
      <c r="R3097">
        <v>0.999</v>
      </c>
      <c r="S3097">
        <v>0</v>
      </c>
    </row>
    <row r="3098" spans="1:19" x14ac:dyDescent="0.2">
      <c r="A3098" s="3" t="s">
        <v>54</v>
      </c>
      <c r="B3098" s="3" t="s">
        <v>55</v>
      </c>
      <c r="C3098">
        <v>42</v>
      </c>
      <c r="D3098">
        <v>11000</v>
      </c>
      <c r="E3098">
        <v>499</v>
      </c>
      <c r="F3098">
        <v>1</v>
      </c>
      <c r="G3098">
        <v>11000</v>
      </c>
      <c r="H3098">
        <v>1.1945638999999999E-2</v>
      </c>
      <c r="I3098">
        <v>11000</v>
      </c>
      <c r="J3098">
        <v>2776</v>
      </c>
      <c r="K3098">
        <v>8224</v>
      </c>
      <c r="L3098">
        <v>500</v>
      </c>
      <c r="M3098">
        <v>499</v>
      </c>
      <c r="N3098">
        <v>1</v>
      </c>
      <c r="O3098">
        <v>0</v>
      </c>
      <c r="P3098" s="3" t="s">
        <v>52</v>
      </c>
      <c r="Q3098">
        <v>50</v>
      </c>
      <c r="R3098">
        <v>0.999</v>
      </c>
      <c r="S3098">
        <v>1</v>
      </c>
    </row>
    <row r="3099" spans="1:19" x14ac:dyDescent="0.2">
      <c r="A3099" s="3" t="s">
        <v>54</v>
      </c>
      <c r="B3099" s="3" t="s">
        <v>55</v>
      </c>
      <c r="C3099">
        <v>20</v>
      </c>
      <c r="D3099">
        <v>11000</v>
      </c>
      <c r="E3099">
        <v>499</v>
      </c>
      <c r="F3099">
        <v>1</v>
      </c>
      <c r="G3099">
        <v>44062.122210792702</v>
      </c>
      <c r="H3099">
        <v>1.1943577E-2</v>
      </c>
      <c r="I3099">
        <v>11000</v>
      </c>
      <c r="J3099">
        <v>2736</v>
      </c>
      <c r="K3099">
        <v>8264</v>
      </c>
      <c r="L3099">
        <v>500</v>
      </c>
      <c r="M3099">
        <v>499</v>
      </c>
      <c r="N3099">
        <v>1</v>
      </c>
      <c r="O3099">
        <v>0</v>
      </c>
      <c r="P3099" s="3" t="s">
        <v>52</v>
      </c>
      <c r="Q3099">
        <v>50</v>
      </c>
      <c r="R3099">
        <v>0.999</v>
      </c>
      <c r="S3099">
        <v>0</v>
      </c>
    </row>
    <row r="3100" spans="1:19" x14ac:dyDescent="0.2">
      <c r="A3100" s="3" t="s">
        <v>54</v>
      </c>
      <c r="B3100" s="3" t="s">
        <v>55</v>
      </c>
      <c r="C3100">
        <v>39</v>
      </c>
      <c r="D3100">
        <v>10000</v>
      </c>
      <c r="E3100">
        <v>499</v>
      </c>
      <c r="F3100">
        <v>1</v>
      </c>
      <c r="G3100">
        <v>39482.677260513999</v>
      </c>
      <c r="H3100">
        <v>1.1942118E-2</v>
      </c>
      <c r="I3100">
        <v>10000</v>
      </c>
      <c r="J3100">
        <v>2708</v>
      </c>
      <c r="K3100">
        <v>7292</v>
      </c>
      <c r="L3100">
        <v>500</v>
      </c>
      <c r="M3100">
        <v>499</v>
      </c>
      <c r="N3100">
        <v>1</v>
      </c>
      <c r="O3100">
        <v>0</v>
      </c>
      <c r="P3100" s="3" t="s">
        <v>52</v>
      </c>
      <c r="Q3100">
        <v>50</v>
      </c>
      <c r="R3100">
        <v>0.999</v>
      </c>
      <c r="S3100">
        <v>0</v>
      </c>
    </row>
    <row r="3101" spans="1:19" x14ac:dyDescent="0.2">
      <c r="A3101" s="3" t="s">
        <v>54</v>
      </c>
      <c r="B3101" s="3" t="s">
        <v>55</v>
      </c>
      <c r="C3101">
        <v>31</v>
      </c>
      <c r="D3101">
        <v>12000</v>
      </c>
      <c r="E3101">
        <v>499</v>
      </c>
      <c r="F3101">
        <v>1</v>
      </c>
      <c r="G3101">
        <v>50533.323552418398</v>
      </c>
      <c r="H3101">
        <v>1.1937857E-2</v>
      </c>
      <c r="I3101">
        <v>12000</v>
      </c>
      <c r="J3101">
        <v>3677</v>
      </c>
      <c r="K3101">
        <v>8323</v>
      </c>
      <c r="L3101">
        <v>500</v>
      </c>
      <c r="M3101">
        <v>499</v>
      </c>
      <c r="N3101">
        <v>1</v>
      </c>
      <c r="O3101">
        <v>0</v>
      </c>
      <c r="P3101" s="3" t="s">
        <v>52</v>
      </c>
      <c r="Q3101">
        <v>50</v>
      </c>
      <c r="R3101">
        <v>0.999</v>
      </c>
      <c r="S3101">
        <v>0</v>
      </c>
    </row>
    <row r="3102" spans="1:19" x14ac:dyDescent="0.2">
      <c r="A3102" s="3" t="s">
        <v>54</v>
      </c>
      <c r="B3102" s="3" t="s">
        <v>55</v>
      </c>
      <c r="C3102">
        <v>33</v>
      </c>
      <c r="D3102">
        <v>10000</v>
      </c>
      <c r="E3102">
        <v>499</v>
      </c>
      <c r="F3102">
        <v>1</v>
      </c>
      <c r="G3102">
        <v>10000</v>
      </c>
      <c r="H3102">
        <v>1.1926427999999999E-2</v>
      </c>
      <c r="I3102">
        <v>10000</v>
      </c>
      <c r="J3102">
        <v>2706</v>
      </c>
      <c r="K3102">
        <v>7294</v>
      </c>
      <c r="L3102">
        <v>499</v>
      </c>
      <c r="M3102">
        <v>498</v>
      </c>
      <c r="N3102">
        <v>1</v>
      </c>
      <c r="O3102">
        <v>0</v>
      </c>
      <c r="P3102" s="3" t="s">
        <v>52</v>
      </c>
      <c r="Q3102">
        <v>50</v>
      </c>
      <c r="R3102">
        <v>0.999</v>
      </c>
      <c r="S3102">
        <v>1</v>
      </c>
    </row>
    <row r="3103" spans="1:19" x14ac:dyDescent="0.2">
      <c r="A3103" s="3" t="s">
        <v>54</v>
      </c>
      <c r="B3103" s="3" t="s">
        <v>55</v>
      </c>
      <c r="C3103">
        <v>11</v>
      </c>
      <c r="D3103">
        <v>12000</v>
      </c>
      <c r="E3103">
        <v>499</v>
      </c>
      <c r="F3103">
        <v>1</v>
      </c>
      <c r="G3103">
        <v>12000</v>
      </c>
      <c r="H3103">
        <v>1.1923384E-2</v>
      </c>
      <c r="I3103">
        <v>12000</v>
      </c>
      <c r="J3103">
        <v>3631</v>
      </c>
      <c r="K3103">
        <v>8369</v>
      </c>
      <c r="L3103">
        <v>500</v>
      </c>
      <c r="M3103">
        <v>499</v>
      </c>
      <c r="N3103">
        <v>1</v>
      </c>
      <c r="O3103">
        <v>0</v>
      </c>
      <c r="P3103" s="3" t="s">
        <v>52</v>
      </c>
      <c r="Q3103">
        <v>50</v>
      </c>
      <c r="R3103">
        <v>0.999</v>
      </c>
      <c r="S3103">
        <v>1</v>
      </c>
    </row>
    <row r="3104" spans="1:19" x14ac:dyDescent="0.2">
      <c r="A3104" s="3" t="s">
        <v>54</v>
      </c>
      <c r="B3104" s="3" t="s">
        <v>55</v>
      </c>
      <c r="C3104">
        <v>33</v>
      </c>
      <c r="D3104">
        <v>10000</v>
      </c>
      <c r="E3104">
        <v>499</v>
      </c>
      <c r="F3104">
        <v>1</v>
      </c>
      <c r="G3104">
        <v>39482.677260513999</v>
      </c>
      <c r="H3104">
        <v>1.1920485999999999E-2</v>
      </c>
      <c r="I3104">
        <v>10000</v>
      </c>
      <c r="J3104">
        <v>2742</v>
      </c>
      <c r="K3104">
        <v>7258</v>
      </c>
      <c r="L3104">
        <v>500</v>
      </c>
      <c r="M3104">
        <v>499</v>
      </c>
      <c r="N3104">
        <v>1</v>
      </c>
      <c r="O3104">
        <v>0</v>
      </c>
      <c r="P3104" s="3" t="s">
        <v>52</v>
      </c>
      <c r="Q3104">
        <v>50</v>
      </c>
      <c r="R3104">
        <v>0.999</v>
      </c>
      <c r="S3104">
        <v>0</v>
      </c>
    </row>
    <row r="3105" spans="1:19" x14ac:dyDescent="0.2">
      <c r="A3105" s="3" t="s">
        <v>54</v>
      </c>
      <c r="B3105" s="3" t="s">
        <v>55</v>
      </c>
      <c r="C3105">
        <v>43</v>
      </c>
      <c r="D3105">
        <v>11000</v>
      </c>
      <c r="E3105">
        <v>499</v>
      </c>
      <c r="F3105">
        <v>1</v>
      </c>
      <c r="G3105">
        <v>44062.122210792702</v>
      </c>
      <c r="H3105">
        <v>1.1919525E-2</v>
      </c>
      <c r="I3105">
        <v>11000</v>
      </c>
      <c r="J3105">
        <v>2797</v>
      </c>
      <c r="K3105">
        <v>8203</v>
      </c>
      <c r="L3105">
        <v>500</v>
      </c>
      <c r="M3105">
        <v>499</v>
      </c>
      <c r="N3105">
        <v>1</v>
      </c>
      <c r="O3105">
        <v>0</v>
      </c>
      <c r="P3105" s="3" t="s">
        <v>52</v>
      </c>
      <c r="Q3105">
        <v>50</v>
      </c>
      <c r="R3105">
        <v>0.999</v>
      </c>
      <c r="S3105">
        <v>0</v>
      </c>
    </row>
    <row r="3106" spans="1:19" x14ac:dyDescent="0.2">
      <c r="A3106" s="3" t="s">
        <v>54</v>
      </c>
      <c r="B3106" s="3" t="s">
        <v>55</v>
      </c>
      <c r="C3106">
        <v>21</v>
      </c>
      <c r="D3106">
        <v>10000</v>
      </c>
      <c r="E3106">
        <v>499</v>
      </c>
      <c r="F3106">
        <v>1</v>
      </c>
      <c r="G3106">
        <v>39482.677260513999</v>
      </c>
      <c r="H3106">
        <v>1.1914877000000001E-2</v>
      </c>
      <c r="I3106">
        <v>10000</v>
      </c>
      <c r="J3106">
        <v>2690</v>
      </c>
      <c r="K3106">
        <v>7310</v>
      </c>
      <c r="L3106">
        <v>500</v>
      </c>
      <c r="M3106">
        <v>499</v>
      </c>
      <c r="N3106">
        <v>1</v>
      </c>
      <c r="O3106">
        <v>0</v>
      </c>
      <c r="P3106" s="3" t="s">
        <v>52</v>
      </c>
      <c r="Q3106">
        <v>50</v>
      </c>
      <c r="R3106">
        <v>0.999</v>
      </c>
      <c r="S3106">
        <v>0</v>
      </c>
    </row>
    <row r="3107" spans="1:19" x14ac:dyDescent="0.2">
      <c r="A3107" s="3" t="s">
        <v>54</v>
      </c>
      <c r="B3107" s="3" t="s">
        <v>55</v>
      </c>
      <c r="C3107">
        <v>11</v>
      </c>
      <c r="D3107">
        <v>10000</v>
      </c>
      <c r="E3107">
        <v>499</v>
      </c>
      <c r="F3107">
        <v>1</v>
      </c>
      <c r="G3107">
        <v>10000</v>
      </c>
      <c r="H3107">
        <v>1.1913483000000001E-2</v>
      </c>
      <c r="I3107">
        <v>10000</v>
      </c>
      <c r="J3107">
        <v>2693</v>
      </c>
      <c r="K3107">
        <v>7307</v>
      </c>
      <c r="L3107">
        <v>500</v>
      </c>
      <c r="M3107">
        <v>499</v>
      </c>
      <c r="N3107">
        <v>1</v>
      </c>
      <c r="O3107">
        <v>0</v>
      </c>
      <c r="P3107" s="3" t="s">
        <v>52</v>
      </c>
      <c r="Q3107">
        <v>50</v>
      </c>
      <c r="R3107">
        <v>0.999</v>
      </c>
      <c r="S3107">
        <v>1</v>
      </c>
    </row>
    <row r="3108" spans="1:19" x14ac:dyDescent="0.2">
      <c r="A3108" s="3" t="s">
        <v>54</v>
      </c>
      <c r="B3108" s="3" t="s">
        <v>55</v>
      </c>
      <c r="C3108">
        <v>20</v>
      </c>
      <c r="D3108">
        <v>10000</v>
      </c>
      <c r="E3108">
        <v>499</v>
      </c>
      <c r="F3108">
        <v>1</v>
      </c>
      <c r="G3108">
        <v>39482.677260513999</v>
      </c>
      <c r="H3108">
        <v>1.1909668999999999E-2</v>
      </c>
      <c r="I3108">
        <v>10000</v>
      </c>
      <c r="J3108">
        <v>2680</v>
      </c>
      <c r="K3108">
        <v>7320</v>
      </c>
      <c r="L3108">
        <v>500</v>
      </c>
      <c r="M3108">
        <v>499</v>
      </c>
      <c r="N3108">
        <v>1</v>
      </c>
      <c r="O3108">
        <v>0</v>
      </c>
      <c r="P3108" s="3" t="s">
        <v>52</v>
      </c>
      <c r="Q3108">
        <v>50</v>
      </c>
      <c r="R3108">
        <v>0.999</v>
      </c>
      <c r="S3108">
        <v>0</v>
      </c>
    </row>
    <row r="3109" spans="1:19" x14ac:dyDescent="0.2">
      <c r="A3109" s="3" t="s">
        <v>54</v>
      </c>
      <c r="B3109" s="3" t="s">
        <v>55</v>
      </c>
      <c r="C3109">
        <v>7</v>
      </c>
      <c r="D3109">
        <v>12000</v>
      </c>
      <c r="E3109">
        <v>499</v>
      </c>
      <c r="F3109">
        <v>1</v>
      </c>
      <c r="G3109">
        <v>12000</v>
      </c>
      <c r="H3109">
        <v>1.189977E-2</v>
      </c>
      <c r="I3109">
        <v>12000</v>
      </c>
      <c r="J3109">
        <v>3615</v>
      </c>
      <c r="K3109">
        <v>8385</v>
      </c>
      <c r="L3109">
        <v>500</v>
      </c>
      <c r="M3109">
        <v>499</v>
      </c>
      <c r="N3109">
        <v>1</v>
      </c>
      <c r="O3109">
        <v>0</v>
      </c>
      <c r="P3109" s="3" t="s">
        <v>52</v>
      </c>
      <c r="Q3109">
        <v>50</v>
      </c>
      <c r="R3109">
        <v>0.999</v>
      </c>
      <c r="S3109">
        <v>1</v>
      </c>
    </row>
    <row r="3110" spans="1:19" x14ac:dyDescent="0.2">
      <c r="A3110" s="3" t="s">
        <v>54</v>
      </c>
      <c r="B3110" s="3" t="s">
        <v>55</v>
      </c>
      <c r="C3110">
        <v>11</v>
      </c>
      <c r="D3110">
        <v>11000</v>
      </c>
      <c r="E3110">
        <v>499</v>
      </c>
      <c r="F3110">
        <v>1</v>
      </c>
      <c r="G3110">
        <v>44062.122210792702</v>
      </c>
      <c r="H3110">
        <v>1.1899448999999999E-2</v>
      </c>
      <c r="I3110">
        <v>11000</v>
      </c>
      <c r="J3110">
        <v>2796</v>
      </c>
      <c r="K3110">
        <v>8204</v>
      </c>
      <c r="L3110">
        <v>500</v>
      </c>
      <c r="M3110">
        <v>499</v>
      </c>
      <c r="N3110">
        <v>1</v>
      </c>
      <c r="O3110">
        <v>0</v>
      </c>
      <c r="P3110" s="3" t="s">
        <v>52</v>
      </c>
      <c r="Q3110">
        <v>50</v>
      </c>
      <c r="R3110">
        <v>0.999</v>
      </c>
      <c r="S3110">
        <v>0</v>
      </c>
    </row>
    <row r="3111" spans="1:19" x14ac:dyDescent="0.2">
      <c r="A3111" s="3" t="s">
        <v>54</v>
      </c>
      <c r="B3111" s="3" t="s">
        <v>55</v>
      </c>
      <c r="C3111">
        <v>29</v>
      </c>
      <c r="D3111">
        <v>12000</v>
      </c>
      <c r="E3111">
        <v>499</v>
      </c>
      <c r="F3111">
        <v>1</v>
      </c>
      <c r="G3111">
        <v>50533.323552418398</v>
      </c>
      <c r="H3111">
        <v>1.1887926E-2</v>
      </c>
      <c r="I3111">
        <v>12000</v>
      </c>
      <c r="J3111">
        <v>3622</v>
      </c>
      <c r="K3111">
        <v>8378</v>
      </c>
      <c r="L3111">
        <v>500</v>
      </c>
      <c r="M3111">
        <v>499</v>
      </c>
      <c r="N3111">
        <v>1</v>
      </c>
      <c r="O3111">
        <v>0</v>
      </c>
      <c r="P3111" s="3" t="s">
        <v>52</v>
      </c>
      <c r="Q3111">
        <v>50</v>
      </c>
      <c r="R3111">
        <v>0.999</v>
      </c>
      <c r="S3111">
        <v>0</v>
      </c>
    </row>
    <row r="3112" spans="1:19" x14ac:dyDescent="0.2">
      <c r="A3112" s="3" t="s">
        <v>54</v>
      </c>
      <c r="B3112" s="3" t="s">
        <v>55</v>
      </c>
      <c r="C3112">
        <v>12</v>
      </c>
      <c r="D3112">
        <v>11000</v>
      </c>
      <c r="E3112">
        <v>499</v>
      </c>
      <c r="F3112">
        <v>1</v>
      </c>
      <c r="G3112">
        <v>44062.122210792702</v>
      </c>
      <c r="H3112">
        <v>1.1881463E-2</v>
      </c>
      <c r="I3112">
        <v>11000</v>
      </c>
      <c r="J3112">
        <v>2776</v>
      </c>
      <c r="K3112">
        <v>8224</v>
      </c>
      <c r="L3112">
        <v>500</v>
      </c>
      <c r="M3112">
        <v>499</v>
      </c>
      <c r="N3112">
        <v>1</v>
      </c>
      <c r="O3112">
        <v>0</v>
      </c>
      <c r="P3112" s="3" t="s">
        <v>52</v>
      </c>
      <c r="Q3112">
        <v>50</v>
      </c>
      <c r="R3112">
        <v>0.999</v>
      </c>
      <c r="S3112">
        <v>0</v>
      </c>
    </row>
    <row r="3113" spans="1:19" x14ac:dyDescent="0.2">
      <c r="A3113" s="3" t="s">
        <v>54</v>
      </c>
      <c r="B3113" s="3" t="s">
        <v>55</v>
      </c>
      <c r="C3113">
        <v>27</v>
      </c>
      <c r="D3113">
        <v>11000</v>
      </c>
      <c r="E3113">
        <v>499</v>
      </c>
      <c r="F3113">
        <v>1</v>
      </c>
      <c r="G3113">
        <v>44062.122210792702</v>
      </c>
      <c r="H3113">
        <v>1.1874295E-2</v>
      </c>
      <c r="I3113">
        <v>11000</v>
      </c>
      <c r="J3113">
        <v>2798</v>
      </c>
      <c r="K3113">
        <v>8202</v>
      </c>
      <c r="L3113">
        <v>500</v>
      </c>
      <c r="M3113">
        <v>499</v>
      </c>
      <c r="N3113">
        <v>1</v>
      </c>
      <c r="O3113">
        <v>0</v>
      </c>
      <c r="P3113" s="3" t="s">
        <v>52</v>
      </c>
      <c r="Q3113">
        <v>50</v>
      </c>
      <c r="R3113">
        <v>0.999</v>
      </c>
      <c r="S3113">
        <v>0</v>
      </c>
    </row>
    <row r="3114" spans="1:19" x14ac:dyDescent="0.2">
      <c r="A3114" s="3" t="s">
        <v>54</v>
      </c>
      <c r="B3114" s="3" t="s">
        <v>55</v>
      </c>
      <c r="C3114">
        <v>7</v>
      </c>
      <c r="D3114">
        <v>10000</v>
      </c>
      <c r="E3114">
        <v>499</v>
      </c>
      <c r="F3114">
        <v>1</v>
      </c>
      <c r="G3114">
        <v>39482.677260513999</v>
      </c>
      <c r="H3114">
        <v>1.1871618E-2</v>
      </c>
      <c r="I3114">
        <v>10000</v>
      </c>
      <c r="J3114">
        <v>2763</v>
      </c>
      <c r="K3114">
        <v>7237</v>
      </c>
      <c r="L3114">
        <v>500</v>
      </c>
      <c r="M3114">
        <v>499</v>
      </c>
      <c r="N3114">
        <v>1</v>
      </c>
      <c r="O3114">
        <v>0</v>
      </c>
      <c r="P3114" s="3" t="s">
        <v>52</v>
      </c>
      <c r="Q3114">
        <v>50</v>
      </c>
      <c r="R3114">
        <v>0.999</v>
      </c>
      <c r="S3114">
        <v>0</v>
      </c>
    </row>
    <row r="3115" spans="1:19" x14ac:dyDescent="0.2">
      <c r="A3115" s="3" t="s">
        <v>54</v>
      </c>
      <c r="B3115" s="3" t="s">
        <v>55</v>
      </c>
      <c r="C3115">
        <v>22</v>
      </c>
      <c r="D3115">
        <v>10000</v>
      </c>
      <c r="E3115">
        <v>499</v>
      </c>
      <c r="F3115">
        <v>1</v>
      </c>
      <c r="G3115">
        <v>39482.677260513999</v>
      </c>
      <c r="H3115">
        <v>1.1863057E-2</v>
      </c>
      <c r="I3115">
        <v>10000</v>
      </c>
      <c r="J3115">
        <v>2683</v>
      </c>
      <c r="K3115">
        <v>7317</v>
      </c>
      <c r="L3115">
        <v>500</v>
      </c>
      <c r="M3115">
        <v>499</v>
      </c>
      <c r="N3115">
        <v>1</v>
      </c>
      <c r="O3115">
        <v>0</v>
      </c>
      <c r="P3115" s="3" t="s">
        <v>52</v>
      </c>
      <c r="Q3115">
        <v>50</v>
      </c>
      <c r="R3115">
        <v>0.999</v>
      </c>
      <c r="S3115">
        <v>0</v>
      </c>
    </row>
    <row r="3116" spans="1:19" x14ac:dyDescent="0.2">
      <c r="A3116" s="3" t="s">
        <v>54</v>
      </c>
      <c r="B3116" s="3" t="s">
        <v>55</v>
      </c>
      <c r="C3116">
        <v>14</v>
      </c>
      <c r="D3116">
        <v>11000</v>
      </c>
      <c r="E3116">
        <v>499</v>
      </c>
      <c r="F3116">
        <v>1</v>
      </c>
      <c r="G3116">
        <v>44062.122210792702</v>
      </c>
      <c r="H3116">
        <v>1.1861893E-2</v>
      </c>
      <c r="I3116">
        <v>11000</v>
      </c>
      <c r="J3116">
        <v>2790</v>
      </c>
      <c r="K3116">
        <v>8210</v>
      </c>
      <c r="L3116">
        <v>500</v>
      </c>
      <c r="M3116">
        <v>499</v>
      </c>
      <c r="N3116">
        <v>1</v>
      </c>
      <c r="O3116">
        <v>0</v>
      </c>
      <c r="P3116" s="3" t="s">
        <v>52</v>
      </c>
      <c r="Q3116">
        <v>50</v>
      </c>
      <c r="R3116">
        <v>0.999</v>
      </c>
      <c r="S3116">
        <v>0</v>
      </c>
    </row>
    <row r="3117" spans="1:19" x14ac:dyDescent="0.2">
      <c r="A3117" s="3" t="s">
        <v>54</v>
      </c>
      <c r="B3117" s="3" t="s">
        <v>55</v>
      </c>
      <c r="C3117">
        <v>17</v>
      </c>
      <c r="D3117">
        <v>10000</v>
      </c>
      <c r="E3117">
        <v>499</v>
      </c>
      <c r="F3117">
        <v>1</v>
      </c>
      <c r="G3117">
        <v>39482.677260513999</v>
      </c>
      <c r="H3117">
        <v>1.1845769000000001E-2</v>
      </c>
      <c r="I3117">
        <v>10000</v>
      </c>
      <c r="J3117">
        <v>2658</v>
      </c>
      <c r="K3117">
        <v>7342</v>
      </c>
      <c r="L3117">
        <v>500</v>
      </c>
      <c r="M3117">
        <v>499</v>
      </c>
      <c r="N3117">
        <v>1</v>
      </c>
      <c r="O3117">
        <v>0</v>
      </c>
      <c r="P3117" s="3" t="s">
        <v>52</v>
      </c>
      <c r="Q3117">
        <v>50</v>
      </c>
      <c r="R3117">
        <v>0.999</v>
      </c>
      <c r="S3117">
        <v>0</v>
      </c>
    </row>
    <row r="3118" spans="1:19" x14ac:dyDescent="0.2">
      <c r="A3118" s="3" t="s">
        <v>54</v>
      </c>
      <c r="B3118" s="3" t="s">
        <v>55</v>
      </c>
      <c r="C3118">
        <v>32</v>
      </c>
      <c r="D3118">
        <v>10000</v>
      </c>
      <c r="E3118">
        <v>499</v>
      </c>
      <c r="F3118">
        <v>1</v>
      </c>
      <c r="G3118">
        <v>10000</v>
      </c>
      <c r="H3118">
        <v>1.1844558999999999E-2</v>
      </c>
      <c r="I3118">
        <v>10000</v>
      </c>
      <c r="J3118">
        <v>2729</v>
      </c>
      <c r="K3118">
        <v>7271</v>
      </c>
      <c r="L3118">
        <v>500</v>
      </c>
      <c r="M3118">
        <v>499</v>
      </c>
      <c r="N3118">
        <v>1</v>
      </c>
      <c r="O3118">
        <v>0</v>
      </c>
      <c r="P3118" s="3" t="s">
        <v>52</v>
      </c>
      <c r="Q3118">
        <v>50</v>
      </c>
      <c r="R3118">
        <v>0.999</v>
      </c>
      <c r="S3118">
        <v>1</v>
      </c>
    </row>
    <row r="3119" spans="1:19" x14ac:dyDescent="0.2">
      <c r="A3119" s="3" t="s">
        <v>54</v>
      </c>
      <c r="B3119" s="3" t="s">
        <v>55</v>
      </c>
      <c r="C3119">
        <v>3</v>
      </c>
      <c r="D3119">
        <v>10000</v>
      </c>
      <c r="E3119">
        <v>499</v>
      </c>
      <c r="F3119">
        <v>1</v>
      </c>
      <c r="G3119">
        <v>39482.677260513999</v>
      </c>
      <c r="H3119">
        <v>1.1836391E-2</v>
      </c>
      <c r="I3119">
        <v>10000</v>
      </c>
      <c r="J3119">
        <v>2694</v>
      </c>
      <c r="K3119">
        <v>7306</v>
      </c>
      <c r="L3119">
        <v>500</v>
      </c>
      <c r="M3119">
        <v>499</v>
      </c>
      <c r="N3119">
        <v>1</v>
      </c>
      <c r="O3119">
        <v>0</v>
      </c>
      <c r="P3119" s="3" t="s">
        <v>52</v>
      </c>
      <c r="Q3119">
        <v>50</v>
      </c>
      <c r="R3119">
        <v>0.999</v>
      </c>
      <c r="S3119">
        <v>0</v>
      </c>
    </row>
    <row r="3120" spans="1:19" x14ac:dyDescent="0.2">
      <c r="A3120" s="3" t="s">
        <v>54</v>
      </c>
      <c r="B3120" s="3" t="s">
        <v>55</v>
      </c>
      <c r="C3120">
        <v>30</v>
      </c>
      <c r="D3120">
        <v>11000</v>
      </c>
      <c r="E3120">
        <v>499</v>
      </c>
      <c r="F3120">
        <v>1</v>
      </c>
      <c r="G3120">
        <v>44062.122210792702</v>
      </c>
      <c r="H3120">
        <v>1.1836153E-2</v>
      </c>
      <c r="I3120">
        <v>11000</v>
      </c>
      <c r="J3120">
        <v>2809</v>
      </c>
      <c r="K3120">
        <v>8191</v>
      </c>
      <c r="L3120">
        <v>500</v>
      </c>
      <c r="M3120">
        <v>499</v>
      </c>
      <c r="N3120">
        <v>1</v>
      </c>
      <c r="O3120">
        <v>0</v>
      </c>
      <c r="P3120" s="3" t="s">
        <v>52</v>
      </c>
      <c r="Q3120">
        <v>50</v>
      </c>
      <c r="R3120">
        <v>0.999</v>
      </c>
      <c r="S3120">
        <v>0</v>
      </c>
    </row>
    <row r="3121" spans="1:19" x14ac:dyDescent="0.2">
      <c r="A3121" s="3" t="s">
        <v>54</v>
      </c>
      <c r="B3121" s="3" t="s">
        <v>55</v>
      </c>
      <c r="C3121">
        <v>1</v>
      </c>
      <c r="D3121">
        <v>11000</v>
      </c>
      <c r="E3121">
        <v>499</v>
      </c>
      <c r="F3121">
        <v>1</v>
      </c>
      <c r="G3121">
        <v>11000</v>
      </c>
      <c r="H3121">
        <v>1.1834403E-2</v>
      </c>
      <c r="I3121">
        <v>11000</v>
      </c>
      <c r="J3121">
        <v>2736</v>
      </c>
      <c r="K3121">
        <v>8264</v>
      </c>
      <c r="L3121">
        <v>500</v>
      </c>
      <c r="M3121">
        <v>499</v>
      </c>
      <c r="N3121">
        <v>1</v>
      </c>
      <c r="O3121">
        <v>0</v>
      </c>
      <c r="P3121" s="3" t="s">
        <v>52</v>
      </c>
      <c r="Q3121">
        <v>50</v>
      </c>
      <c r="R3121">
        <v>0.999</v>
      </c>
      <c r="S3121">
        <v>1</v>
      </c>
    </row>
    <row r="3122" spans="1:19" x14ac:dyDescent="0.2">
      <c r="A3122" s="3" t="s">
        <v>54</v>
      </c>
      <c r="B3122" s="3" t="s">
        <v>55</v>
      </c>
      <c r="C3122">
        <v>38</v>
      </c>
      <c r="D3122">
        <v>10000</v>
      </c>
      <c r="E3122">
        <v>499</v>
      </c>
      <c r="F3122">
        <v>1</v>
      </c>
      <c r="G3122">
        <v>39482.677260513999</v>
      </c>
      <c r="H3122">
        <v>1.1834338999999999E-2</v>
      </c>
      <c r="I3122">
        <v>10000</v>
      </c>
      <c r="J3122">
        <v>2691</v>
      </c>
      <c r="K3122">
        <v>7309</v>
      </c>
      <c r="L3122">
        <v>500</v>
      </c>
      <c r="M3122">
        <v>499</v>
      </c>
      <c r="N3122">
        <v>1</v>
      </c>
      <c r="O3122">
        <v>0</v>
      </c>
      <c r="P3122" s="3" t="s">
        <v>52</v>
      </c>
      <c r="Q3122">
        <v>50</v>
      </c>
      <c r="R3122">
        <v>0.999</v>
      </c>
      <c r="S3122">
        <v>0</v>
      </c>
    </row>
    <row r="3123" spans="1:19" x14ac:dyDescent="0.2">
      <c r="A3123" s="3" t="s">
        <v>54</v>
      </c>
      <c r="B3123" s="3" t="s">
        <v>55</v>
      </c>
      <c r="C3123">
        <v>25</v>
      </c>
      <c r="D3123">
        <v>10000</v>
      </c>
      <c r="E3123">
        <v>499</v>
      </c>
      <c r="F3123">
        <v>1</v>
      </c>
      <c r="G3123">
        <v>39482.677260513999</v>
      </c>
      <c r="H3123">
        <v>1.1828269000000001E-2</v>
      </c>
      <c r="I3123">
        <v>10000</v>
      </c>
      <c r="J3123">
        <v>2665</v>
      </c>
      <c r="K3123">
        <v>7335</v>
      </c>
      <c r="L3123">
        <v>500</v>
      </c>
      <c r="M3123">
        <v>499</v>
      </c>
      <c r="N3123">
        <v>1</v>
      </c>
      <c r="O3123">
        <v>0</v>
      </c>
      <c r="P3123" s="3" t="s">
        <v>52</v>
      </c>
      <c r="Q3123">
        <v>50</v>
      </c>
      <c r="R3123">
        <v>0.999</v>
      </c>
      <c r="S3123">
        <v>0</v>
      </c>
    </row>
    <row r="3124" spans="1:19" x14ac:dyDescent="0.2">
      <c r="A3124" s="3" t="s">
        <v>54</v>
      </c>
      <c r="B3124" s="3" t="s">
        <v>55</v>
      </c>
      <c r="C3124">
        <v>35</v>
      </c>
      <c r="D3124">
        <v>10000</v>
      </c>
      <c r="E3124">
        <v>499</v>
      </c>
      <c r="F3124">
        <v>1</v>
      </c>
      <c r="G3124">
        <v>39482.677260513999</v>
      </c>
      <c r="H3124">
        <v>1.1827822999999999E-2</v>
      </c>
      <c r="I3124">
        <v>10000</v>
      </c>
      <c r="J3124">
        <v>2684</v>
      </c>
      <c r="K3124">
        <v>7316</v>
      </c>
      <c r="L3124">
        <v>500</v>
      </c>
      <c r="M3124">
        <v>499</v>
      </c>
      <c r="N3124">
        <v>1</v>
      </c>
      <c r="O3124">
        <v>0</v>
      </c>
      <c r="P3124" s="3" t="s">
        <v>52</v>
      </c>
      <c r="Q3124">
        <v>50</v>
      </c>
      <c r="R3124">
        <v>0.999</v>
      </c>
      <c r="S3124">
        <v>0</v>
      </c>
    </row>
    <row r="3125" spans="1:19" x14ac:dyDescent="0.2">
      <c r="A3125" s="3" t="s">
        <v>54</v>
      </c>
      <c r="B3125" s="3" t="s">
        <v>55</v>
      </c>
      <c r="C3125">
        <v>41</v>
      </c>
      <c r="D3125">
        <v>12000</v>
      </c>
      <c r="E3125">
        <v>499</v>
      </c>
      <c r="F3125">
        <v>1</v>
      </c>
      <c r="G3125">
        <v>12000</v>
      </c>
      <c r="H3125">
        <v>1.1826895E-2</v>
      </c>
      <c r="I3125">
        <v>12000</v>
      </c>
      <c r="J3125">
        <v>3538</v>
      </c>
      <c r="K3125">
        <v>8462</v>
      </c>
      <c r="L3125">
        <v>500</v>
      </c>
      <c r="M3125">
        <v>499</v>
      </c>
      <c r="N3125">
        <v>1</v>
      </c>
      <c r="O3125">
        <v>0</v>
      </c>
      <c r="P3125" s="3" t="s">
        <v>52</v>
      </c>
      <c r="Q3125">
        <v>50</v>
      </c>
      <c r="R3125">
        <v>0.999</v>
      </c>
      <c r="S3125">
        <v>1</v>
      </c>
    </row>
    <row r="3126" spans="1:19" x14ac:dyDescent="0.2">
      <c r="A3126" s="3" t="s">
        <v>54</v>
      </c>
      <c r="B3126" s="3" t="s">
        <v>55</v>
      </c>
      <c r="C3126">
        <v>25</v>
      </c>
      <c r="D3126">
        <v>11000</v>
      </c>
      <c r="E3126">
        <v>499</v>
      </c>
      <c r="F3126">
        <v>1</v>
      </c>
      <c r="G3126">
        <v>11000</v>
      </c>
      <c r="H3126">
        <v>1.1819892E-2</v>
      </c>
      <c r="I3126">
        <v>11000</v>
      </c>
      <c r="J3126">
        <v>2781</v>
      </c>
      <c r="K3126">
        <v>8219</v>
      </c>
      <c r="L3126">
        <v>500</v>
      </c>
      <c r="M3126">
        <v>499</v>
      </c>
      <c r="N3126">
        <v>1</v>
      </c>
      <c r="O3126">
        <v>0</v>
      </c>
      <c r="P3126" s="3" t="s">
        <v>52</v>
      </c>
      <c r="Q3126">
        <v>50</v>
      </c>
      <c r="R3126">
        <v>0.999</v>
      </c>
      <c r="S3126">
        <v>1</v>
      </c>
    </row>
    <row r="3127" spans="1:19" x14ac:dyDescent="0.2">
      <c r="A3127" s="3" t="s">
        <v>54</v>
      </c>
      <c r="B3127" s="3" t="s">
        <v>55</v>
      </c>
      <c r="C3127">
        <v>27</v>
      </c>
      <c r="D3127">
        <v>11000</v>
      </c>
      <c r="E3127">
        <v>499</v>
      </c>
      <c r="F3127">
        <v>1</v>
      </c>
      <c r="G3127">
        <v>11000</v>
      </c>
      <c r="H3127">
        <v>1.1814052E-2</v>
      </c>
      <c r="I3127">
        <v>11000</v>
      </c>
      <c r="J3127">
        <v>2760</v>
      </c>
      <c r="K3127">
        <v>8240</v>
      </c>
      <c r="L3127">
        <v>500</v>
      </c>
      <c r="M3127">
        <v>499</v>
      </c>
      <c r="N3127">
        <v>1</v>
      </c>
      <c r="O3127">
        <v>0</v>
      </c>
      <c r="P3127" s="3" t="s">
        <v>52</v>
      </c>
      <c r="Q3127">
        <v>50</v>
      </c>
      <c r="R3127">
        <v>0.999</v>
      </c>
      <c r="S3127">
        <v>1</v>
      </c>
    </row>
    <row r="3128" spans="1:19" x14ac:dyDescent="0.2">
      <c r="A3128" s="3" t="s">
        <v>54</v>
      </c>
      <c r="B3128" s="3" t="s">
        <v>55</v>
      </c>
      <c r="C3128">
        <v>26</v>
      </c>
      <c r="D3128">
        <v>10000</v>
      </c>
      <c r="E3128">
        <v>499</v>
      </c>
      <c r="F3128">
        <v>1</v>
      </c>
      <c r="G3128">
        <v>39482.677260513999</v>
      </c>
      <c r="H3128">
        <v>1.1811337999999999E-2</v>
      </c>
      <c r="I3128">
        <v>10000</v>
      </c>
      <c r="J3128">
        <v>2660</v>
      </c>
      <c r="K3128">
        <v>7340</v>
      </c>
      <c r="L3128">
        <v>500</v>
      </c>
      <c r="M3128">
        <v>499</v>
      </c>
      <c r="N3128">
        <v>1</v>
      </c>
      <c r="O3128">
        <v>0</v>
      </c>
      <c r="P3128" s="3" t="s">
        <v>52</v>
      </c>
      <c r="Q3128">
        <v>50</v>
      </c>
      <c r="R3128">
        <v>0.999</v>
      </c>
      <c r="S3128">
        <v>0</v>
      </c>
    </row>
    <row r="3129" spans="1:19" x14ac:dyDescent="0.2">
      <c r="A3129" s="3" t="s">
        <v>54</v>
      </c>
      <c r="B3129" s="3" t="s">
        <v>55</v>
      </c>
      <c r="C3129">
        <v>12</v>
      </c>
      <c r="D3129">
        <v>10000</v>
      </c>
      <c r="E3129">
        <v>499</v>
      </c>
      <c r="F3129">
        <v>1</v>
      </c>
      <c r="G3129">
        <v>10000</v>
      </c>
      <c r="H3129">
        <v>1.1808701E-2</v>
      </c>
      <c r="I3129">
        <v>10000</v>
      </c>
      <c r="J3129">
        <v>2721</v>
      </c>
      <c r="K3129">
        <v>7279</v>
      </c>
      <c r="L3129">
        <v>500</v>
      </c>
      <c r="M3129">
        <v>499</v>
      </c>
      <c r="N3129">
        <v>1</v>
      </c>
      <c r="O3129">
        <v>0</v>
      </c>
      <c r="P3129" s="3" t="s">
        <v>52</v>
      </c>
      <c r="Q3129">
        <v>50</v>
      </c>
      <c r="R3129">
        <v>0.999</v>
      </c>
      <c r="S3129">
        <v>1</v>
      </c>
    </row>
    <row r="3130" spans="1:19" x14ac:dyDescent="0.2">
      <c r="A3130" s="3" t="s">
        <v>54</v>
      </c>
      <c r="B3130" s="3" t="s">
        <v>55</v>
      </c>
      <c r="C3130">
        <v>29</v>
      </c>
      <c r="D3130">
        <v>10000</v>
      </c>
      <c r="E3130">
        <v>499</v>
      </c>
      <c r="F3130">
        <v>1</v>
      </c>
      <c r="G3130">
        <v>39482.677260513999</v>
      </c>
      <c r="H3130">
        <v>1.1801392000000001E-2</v>
      </c>
      <c r="I3130">
        <v>10000</v>
      </c>
      <c r="J3130">
        <v>2710</v>
      </c>
      <c r="K3130">
        <v>7290</v>
      </c>
      <c r="L3130">
        <v>500</v>
      </c>
      <c r="M3130">
        <v>499</v>
      </c>
      <c r="N3130">
        <v>1</v>
      </c>
      <c r="O3130">
        <v>0</v>
      </c>
      <c r="P3130" s="3" t="s">
        <v>52</v>
      </c>
      <c r="Q3130">
        <v>50</v>
      </c>
      <c r="R3130">
        <v>0.999</v>
      </c>
      <c r="S3130">
        <v>0</v>
      </c>
    </row>
    <row r="3131" spans="1:19" x14ac:dyDescent="0.2">
      <c r="A3131" s="3" t="s">
        <v>54</v>
      </c>
      <c r="B3131" s="3" t="s">
        <v>55</v>
      </c>
      <c r="C3131">
        <v>2</v>
      </c>
      <c r="D3131">
        <v>12000</v>
      </c>
      <c r="E3131">
        <v>499</v>
      </c>
      <c r="F3131">
        <v>1</v>
      </c>
      <c r="G3131">
        <v>50533.323552418398</v>
      </c>
      <c r="H3131">
        <v>1.1798174999999999E-2</v>
      </c>
      <c r="I3131">
        <v>12000</v>
      </c>
      <c r="J3131">
        <v>3594</v>
      </c>
      <c r="K3131">
        <v>8406</v>
      </c>
      <c r="L3131">
        <v>500</v>
      </c>
      <c r="M3131">
        <v>499</v>
      </c>
      <c r="N3131">
        <v>1</v>
      </c>
      <c r="O3131">
        <v>0</v>
      </c>
      <c r="P3131" s="3" t="s">
        <v>52</v>
      </c>
      <c r="Q3131">
        <v>50</v>
      </c>
      <c r="R3131">
        <v>0.999</v>
      </c>
      <c r="S3131">
        <v>0</v>
      </c>
    </row>
    <row r="3132" spans="1:19" x14ac:dyDescent="0.2">
      <c r="A3132" s="3" t="s">
        <v>54</v>
      </c>
      <c r="B3132" s="3" t="s">
        <v>55</v>
      </c>
      <c r="C3132">
        <v>33</v>
      </c>
      <c r="D3132">
        <v>11000</v>
      </c>
      <c r="E3132">
        <v>499</v>
      </c>
      <c r="F3132">
        <v>1</v>
      </c>
      <c r="G3132">
        <v>11000</v>
      </c>
      <c r="H3132">
        <v>1.1795498E-2</v>
      </c>
      <c r="I3132">
        <v>11000</v>
      </c>
      <c r="J3132">
        <v>2766</v>
      </c>
      <c r="K3132">
        <v>8234</v>
      </c>
      <c r="L3132">
        <v>500</v>
      </c>
      <c r="M3132">
        <v>499</v>
      </c>
      <c r="N3132">
        <v>1</v>
      </c>
      <c r="O3132">
        <v>0</v>
      </c>
      <c r="P3132" s="3" t="s">
        <v>52</v>
      </c>
      <c r="Q3132">
        <v>50</v>
      </c>
      <c r="R3132">
        <v>0.999</v>
      </c>
      <c r="S3132">
        <v>1</v>
      </c>
    </row>
    <row r="3133" spans="1:19" x14ac:dyDescent="0.2">
      <c r="A3133" s="3" t="s">
        <v>54</v>
      </c>
      <c r="B3133" s="3" t="s">
        <v>55</v>
      </c>
      <c r="C3133">
        <v>34</v>
      </c>
      <c r="D3133">
        <v>11000</v>
      </c>
      <c r="E3133">
        <v>499</v>
      </c>
      <c r="F3133">
        <v>1</v>
      </c>
      <c r="G3133">
        <v>11000</v>
      </c>
      <c r="H3133">
        <v>1.1794252E-2</v>
      </c>
      <c r="I3133">
        <v>11000</v>
      </c>
      <c r="J3133">
        <v>2744</v>
      </c>
      <c r="K3133">
        <v>8256</v>
      </c>
      <c r="L3133">
        <v>500</v>
      </c>
      <c r="M3133">
        <v>499</v>
      </c>
      <c r="N3133">
        <v>1</v>
      </c>
      <c r="O3133">
        <v>0</v>
      </c>
      <c r="P3133" s="3" t="s">
        <v>52</v>
      </c>
      <c r="Q3133">
        <v>50</v>
      </c>
      <c r="R3133">
        <v>0.999</v>
      </c>
      <c r="S3133">
        <v>1</v>
      </c>
    </row>
    <row r="3134" spans="1:19" x14ac:dyDescent="0.2">
      <c r="A3134" s="3" t="s">
        <v>54</v>
      </c>
      <c r="B3134" s="3" t="s">
        <v>55</v>
      </c>
      <c r="C3134">
        <v>50</v>
      </c>
      <c r="D3134">
        <v>11000</v>
      </c>
      <c r="E3134">
        <v>499</v>
      </c>
      <c r="F3134">
        <v>1</v>
      </c>
      <c r="G3134">
        <v>44062.122210792702</v>
      </c>
      <c r="H3134">
        <v>1.1788359E-2</v>
      </c>
      <c r="I3134">
        <v>11000</v>
      </c>
      <c r="J3134">
        <v>2766</v>
      </c>
      <c r="K3134">
        <v>8234</v>
      </c>
      <c r="L3134">
        <v>500</v>
      </c>
      <c r="M3134">
        <v>499</v>
      </c>
      <c r="N3134">
        <v>1</v>
      </c>
      <c r="O3134">
        <v>0</v>
      </c>
      <c r="P3134" s="3" t="s">
        <v>52</v>
      </c>
      <c r="Q3134">
        <v>50</v>
      </c>
      <c r="R3134">
        <v>0.999</v>
      </c>
      <c r="S3134">
        <v>0</v>
      </c>
    </row>
    <row r="3135" spans="1:19" x14ac:dyDescent="0.2">
      <c r="A3135" s="3" t="s">
        <v>54</v>
      </c>
      <c r="B3135" s="3" t="s">
        <v>55</v>
      </c>
      <c r="C3135">
        <v>31</v>
      </c>
      <c r="D3135">
        <v>10000</v>
      </c>
      <c r="E3135">
        <v>499</v>
      </c>
      <c r="F3135">
        <v>1</v>
      </c>
      <c r="G3135">
        <v>39482.677260513999</v>
      </c>
      <c r="H3135">
        <v>1.1777881E-2</v>
      </c>
      <c r="I3135">
        <v>10000</v>
      </c>
      <c r="J3135">
        <v>2729</v>
      </c>
      <c r="K3135">
        <v>7271</v>
      </c>
      <c r="L3135">
        <v>500</v>
      </c>
      <c r="M3135">
        <v>499</v>
      </c>
      <c r="N3135">
        <v>1</v>
      </c>
      <c r="O3135">
        <v>0</v>
      </c>
      <c r="P3135" s="3" t="s">
        <v>52</v>
      </c>
      <c r="Q3135">
        <v>50</v>
      </c>
      <c r="R3135">
        <v>0.999</v>
      </c>
      <c r="S3135">
        <v>0</v>
      </c>
    </row>
    <row r="3136" spans="1:19" x14ac:dyDescent="0.2">
      <c r="A3136" s="3" t="s">
        <v>54</v>
      </c>
      <c r="B3136" s="3" t="s">
        <v>55</v>
      </c>
      <c r="C3136">
        <v>26</v>
      </c>
      <c r="D3136">
        <v>12000</v>
      </c>
      <c r="E3136">
        <v>499</v>
      </c>
      <c r="F3136">
        <v>1</v>
      </c>
      <c r="G3136">
        <v>50533.323552418398</v>
      </c>
      <c r="H3136">
        <v>1.1774745E-2</v>
      </c>
      <c r="I3136">
        <v>12000</v>
      </c>
      <c r="J3136">
        <v>3660</v>
      </c>
      <c r="K3136">
        <v>8340</v>
      </c>
      <c r="L3136">
        <v>500</v>
      </c>
      <c r="M3136">
        <v>499</v>
      </c>
      <c r="N3136">
        <v>1</v>
      </c>
      <c r="O3136">
        <v>0</v>
      </c>
      <c r="P3136" s="3" t="s">
        <v>52</v>
      </c>
      <c r="Q3136">
        <v>50</v>
      </c>
      <c r="R3136">
        <v>0.999</v>
      </c>
      <c r="S3136">
        <v>0</v>
      </c>
    </row>
    <row r="3137" spans="1:19" x14ac:dyDescent="0.2">
      <c r="A3137" s="3" t="s">
        <v>54</v>
      </c>
      <c r="B3137" s="3" t="s">
        <v>55</v>
      </c>
      <c r="C3137">
        <v>23</v>
      </c>
      <c r="D3137">
        <v>12000</v>
      </c>
      <c r="E3137">
        <v>499</v>
      </c>
      <c r="F3137">
        <v>1</v>
      </c>
      <c r="G3137">
        <v>50533.323552418398</v>
      </c>
      <c r="H3137">
        <v>1.1774269E-2</v>
      </c>
      <c r="I3137">
        <v>12000</v>
      </c>
      <c r="J3137">
        <v>3672</v>
      </c>
      <c r="K3137">
        <v>8328</v>
      </c>
      <c r="L3137">
        <v>500</v>
      </c>
      <c r="M3137">
        <v>499</v>
      </c>
      <c r="N3137">
        <v>1</v>
      </c>
      <c r="O3137">
        <v>0</v>
      </c>
      <c r="P3137" s="3" t="s">
        <v>52</v>
      </c>
      <c r="Q3137">
        <v>50</v>
      </c>
      <c r="R3137">
        <v>0.999</v>
      </c>
      <c r="S3137">
        <v>0</v>
      </c>
    </row>
    <row r="3138" spans="1:19" x14ac:dyDescent="0.2">
      <c r="A3138" s="3" t="s">
        <v>54</v>
      </c>
      <c r="B3138" s="3" t="s">
        <v>55</v>
      </c>
      <c r="C3138">
        <v>40</v>
      </c>
      <c r="D3138">
        <v>10000</v>
      </c>
      <c r="E3138">
        <v>499</v>
      </c>
      <c r="F3138">
        <v>1</v>
      </c>
      <c r="G3138">
        <v>10000</v>
      </c>
      <c r="H3138">
        <v>1.1766403999999999E-2</v>
      </c>
      <c r="I3138">
        <v>10000</v>
      </c>
      <c r="J3138">
        <v>2663</v>
      </c>
      <c r="K3138">
        <v>7337</v>
      </c>
      <c r="L3138">
        <v>500</v>
      </c>
      <c r="M3138">
        <v>499</v>
      </c>
      <c r="N3138">
        <v>1</v>
      </c>
      <c r="O3138">
        <v>0</v>
      </c>
      <c r="P3138" s="3" t="s">
        <v>52</v>
      </c>
      <c r="Q3138">
        <v>50</v>
      </c>
      <c r="R3138">
        <v>0.999</v>
      </c>
      <c r="S3138">
        <v>1</v>
      </c>
    </row>
    <row r="3139" spans="1:19" x14ac:dyDescent="0.2">
      <c r="A3139" s="3" t="s">
        <v>54</v>
      </c>
      <c r="B3139" s="3" t="s">
        <v>55</v>
      </c>
      <c r="C3139">
        <v>42</v>
      </c>
      <c r="D3139">
        <v>10000</v>
      </c>
      <c r="E3139">
        <v>499</v>
      </c>
      <c r="F3139">
        <v>1</v>
      </c>
      <c r="G3139">
        <v>10000</v>
      </c>
      <c r="H3139">
        <v>1.1764939E-2</v>
      </c>
      <c r="I3139">
        <v>10000</v>
      </c>
      <c r="J3139">
        <v>2705</v>
      </c>
      <c r="K3139">
        <v>7295</v>
      </c>
      <c r="L3139">
        <v>500</v>
      </c>
      <c r="M3139">
        <v>499</v>
      </c>
      <c r="N3139">
        <v>1</v>
      </c>
      <c r="O3139">
        <v>0</v>
      </c>
      <c r="P3139" s="3" t="s">
        <v>52</v>
      </c>
      <c r="Q3139">
        <v>50</v>
      </c>
      <c r="R3139">
        <v>0.999</v>
      </c>
      <c r="S3139">
        <v>1</v>
      </c>
    </row>
    <row r="3140" spans="1:19" x14ac:dyDescent="0.2">
      <c r="A3140" s="3" t="s">
        <v>54</v>
      </c>
      <c r="B3140" s="3" t="s">
        <v>55</v>
      </c>
      <c r="C3140">
        <v>21</v>
      </c>
      <c r="D3140">
        <v>11000</v>
      </c>
      <c r="E3140">
        <v>499</v>
      </c>
      <c r="F3140">
        <v>1</v>
      </c>
      <c r="G3140">
        <v>44062.122210792702</v>
      </c>
      <c r="H3140">
        <v>1.1762684000000001E-2</v>
      </c>
      <c r="I3140">
        <v>11000</v>
      </c>
      <c r="J3140">
        <v>2775</v>
      </c>
      <c r="K3140">
        <v>8225</v>
      </c>
      <c r="L3140">
        <v>500</v>
      </c>
      <c r="M3140">
        <v>499</v>
      </c>
      <c r="N3140">
        <v>1</v>
      </c>
      <c r="O3140">
        <v>0</v>
      </c>
      <c r="P3140" s="3" t="s">
        <v>52</v>
      </c>
      <c r="Q3140">
        <v>50</v>
      </c>
      <c r="R3140">
        <v>0.999</v>
      </c>
      <c r="S3140">
        <v>0</v>
      </c>
    </row>
    <row r="3141" spans="1:19" x14ac:dyDescent="0.2">
      <c r="A3141" s="3" t="s">
        <v>54</v>
      </c>
      <c r="B3141" s="3" t="s">
        <v>55</v>
      </c>
      <c r="C3141">
        <v>8</v>
      </c>
      <c r="D3141">
        <v>11000</v>
      </c>
      <c r="E3141">
        <v>499</v>
      </c>
      <c r="F3141">
        <v>1</v>
      </c>
      <c r="G3141">
        <v>44062.122210792702</v>
      </c>
      <c r="H3141">
        <v>1.1762399E-2</v>
      </c>
      <c r="I3141">
        <v>11000</v>
      </c>
      <c r="J3141">
        <v>2785</v>
      </c>
      <c r="K3141">
        <v>8215</v>
      </c>
      <c r="L3141">
        <v>500</v>
      </c>
      <c r="M3141">
        <v>499</v>
      </c>
      <c r="N3141">
        <v>1</v>
      </c>
      <c r="O3141">
        <v>0</v>
      </c>
      <c r="P3141" s="3" t="s">
        <v>52</v>
      </c>
      <c r="Q3141">
        <v>50</v>
      </c>
      <c r="R3141">
        <v>0.999</v>
      </c>
      <c r="S3141">
        <v>0</v>
      </c>
    </row>
    <row r="3142" spans="1:19" x14ac:dyDescent="0.2">
      <c r="A3142" s="3" t="s">
        <v>54</v>
      </c>
      <c r="B3142" s="3" t="s">
        <v>55</v>
      </c>
      <c r="C3142">
        <v>11</v>
      </c>
      <c r="D3142">
        <v>12000</v>
      </c>
      <c r="E3142">
        <v>499</v>
      </c>
      <c r="F3142">
        <v>1</v>
      </c>
      <c r="G3142">
        <v>50533.323552418398</v>
      </c>
      <c r="H3142">
        <v>1.176172E-2</v>
      </c>
      <c r="I3142">
        <v>12000</v>
      </c>
      <c r="J3142">
        <v>3608</v>
      </c>
      <c r="K3142">
        <v>8392</v>
      </c>
      <c r="L3142">
        <v>500</v>
      </c>
      <c r="M3142">
        <v>499</v>
      </c>
      <c r="N3142">
        <v>1</v>
      </c>
      <c r="O3142">
        <v>0</v>
      </c>
      <c r="P3142" s="3" t="s">
        <v>52</v>
      </c>
      <c r="Q3142">
        <v>50</v>
      </c>
      <c r="R3142">
        <v>0.999</v>
      </c>
      <c r="S3142">
        <v>0</v>
      </c>
    </row>
    <row r="3143" spans="1:19" x14ac:dyDescent="0.2">
      <c r="A3143" s="3" t="s">
        <v>54</v>
      </c>
      <c r="B3143" s="3" t="s">
        <v>55</v>
      </c>
      <c r="C3143">
        <v>13</v>
      </c>
      <c r="D3143">
        <v>11000</v>
      </c>
      <c r="E3143">
        <v>499</v>
      </c>
      <c r="F3143">
        <v>1</v>
      </c>
      <c r="G3143">
        <v>44062.122210792702</v>
      </c>
      <c r="H3143">
        <v>1.1760517999999999E-2</v>
      </c>
      <c r="I3143">
        <v>11000</v>
      </c>
      <c r="J3143">
        <v>2787</v>
      </c>
      <c r="K3143">
        <v>8213</v>
      </c>
      <c r="L3143">
        <v>500</v>
      </c>
      <c r="M3143">
        <v>499</v>
      </c>
      <c r="N3143">
        <v>1</v>
      </c>
      <c r="O3143">
        <v>0</v>
      </c>
      <c r="P3143" s="3" t="s">
        <v>52</v>
      </c>
      <c r="Q3143">
        <v>50</v>
      </c>
      <c r="R3143">
        <v>0.999</v>
      </c>
      <c r="S3143">
        <v>0</v>
      </c>
    </row>
    <row r="3144" spans="1:19" x14ac:dyDescent="0.2">
      <c r="A3144" s="3" t="s">
        <v>54</v>
      </c>
      <c r="B3144" s="3" t="s">
        <v>55</v>
      </c>
      <c r="C3144">
        <v>18</v>
      </c>
      <c r="D3144">
        <v>10000</v>
      </c>
      <c r="E3144">
        <v>499</v>
      </c>
      <c r="F3144">
        <v>1</v>
      </c>
      <c r="G3144">
        <v>39482.677260513999</v>
      </c>
      <c r="H3144">
        <v>1.1760464999999999E-2</v>
      </c>
      <c r="I3144">
        <v>10000</v>
      </c>
      <c r="J3144">
        <v>2731</v>
      </c>
      <c r="K3144">
        <v>7269</v>
      </c>
      <c r="L3144">
        <v>500</v>
      </c>
      <c r="M3144">
        <v>499</v>
      </c>
      <c r="N3144">
        <v>1</v>
      </c>
      <c r="O3144">
        <v>0</v>
      </c>
      <c r="P3144" s="3" t="s">
        <v>52</v>
      </c>
      <c r="Q3144">
        <v>50</v>
      </c>
      <c r="R3144">
        <v>0.999</v>
      </c>
      <c r="S3144">
        <v>0</v>
      </c>
    </row>
    <row r="3145" spans="1:19" x14ac:dyDescent="0.2">
      <c r="A3145" s="3" t="s">
        <v>54</v>
      </c>
      <c r="B3145" s="3" t="s">
        <v>55</v>
      </c>
      <c r="C3145">
        <v>9</v>
      </c>
      <c r="D3145">
        <v>11000</v>
      </c>
      <c r="E3145">
        <v>499</v>
      </c>
      <c r="F3145">
        <v>1</v>
      </c>
      <c r="G3145">
        <v>44062.122210792702</v>
      </c>
      <c r="H3145">
        <v>1.1758897000000001E-2</v>
      </c>
      <c r="I3145">
        <v>11000</v>
      </c>
      <c r="J3145">
        <v>2755</v>
      </c>
      <c r="K3145">
        <v>8245</v>
      </c>
      <c r="L3145">
        <v>500</v>
      </c>
      <c r="M3145">
        <v>499</v>
      </c>
      <c r="N3145">
        <v>1</v>
      </c>
      <c r="O3145">
        <v>0</v>
      </c>
      <c r="P3145" s="3" t="s">
        <v>52</v>
      </c>
      <c r="Q3145">
        <v>50</v>
      </c>
      <c r="R3145">
        <v>0.999</v>
      </c>
      <c r="S3145">
        <v>0</v>
      </c>
    </row>
    <row r="3146" spans="1:19" x14ac:dyDescent="0.2">
      <c r="A3146" s="3" t="s">
        <v>54</v>
      </c>
      <c r="B3146" s="3" t="s">
        <v>55</v>
      </c>
      <c r="C3146">
        <v>9</v>
      </c>
      <c r="D3146">
        <v>10000</v>
      </c>
      <c r="E3146">
        <v>499</v>
      </c>
      <c r="F3146">
        <v>1</v>
      </c>
      <c r="G3146">
        <v>39482.677260513999</v>
      </c>
      <c r="H3146">
        <v>1.1754432E-2</v>
      </c>
      <c r="I3146">
        <v>10000</v>
      </c>
      <c r="J3146">
        <v>2704</v>
      </c>
      <c r="K3146">
        <v>7296</v>
      </c>
      <c r="L3146">
        <v>500</v>
      </c>
      <c r="M3146">
        <v>499</v>
      </c>
      <c r="N3146">
        <v>1</v>
      </c>
      <c r="O3146">
        <v>0</v>
      </c>
      <c r="P3146" s="3" t="s">
        <v>52</v>
      </c>
      <c r="Q3146">
        <v>50</v>
      </c>
      <c r="R3146">
        <v>0.999</v>
      </c>
      <c r="S3146">
        <v>0</v>
      </c>
    </row>
    <row r="3147" spans="1:19" x14ac:dyDescent="0.2">
      <c r="A3147" s="3" t="s">
        <v>54</v>
      </c>
      <c r="B3147" s="3" t="s">
        <v>55</v>
      </c>
      <c r="C3147">
        <v>13</v>
      </c>
      <c r="D3147">
        <v>10000</v>
      </c>
      <c r="E3147">
        <v>499</v>
      </c>
      <c r="F3147">
        <v>1</v>
      </c>
      <c r="G3147">
        <v>39482.677260513999</v>
      </c>
      <c r="H3147">
        <v>1.1753938E-2</v>
      </c>
      <c r="I3147">
        <v>10000</v>
      </c>
      <c r="J3147">
        <v>2744</v>
      </c>
      <c r="K3147">
        <v>7256</v>
      </c>
      <c r="L3147">
        <v>500</v>
      </c>
      <c r="M3147">
        <v>499</v>
      </c>
      <c r="N3147">
        <v>1</v>
      </c>
      <c r="O3147">
        <v>0</v>
      </c>
      <c r="P3147" s="3" t="s">
        <v>52</v>
      </c>
      <c r="Q3147">
        <v>50</v>
      </c>
      <c r="R3147">
        <v>0.999</v>
      </c>
      <c r="S3147">
        <v>0</v>
      </c>
    </row>
    <row r="3148" spans="1:19" x14ac:dyDescent="0.2">
      <c r="A3148" s="3" t="s">
        <v>54</v>
      </c>
      <c r="B3148" s="3" t="s">
        <v>55</v>
      </c>
      <c r="C3148">
        <v>14</v>
      </c>
      <c r="D3148">
        <v>10000</v>
      </c>
      <c r="E3148">
        <v>499</v>
      </c>
      <c r="F3148">
        <v>1</v>
      </c>
      <c r="G3148">
        <v>10000</v>
      </c>
      <c r="H3148">
        <v>1.1753463E-2</v>
      </c>
      <c r="I3148">
        <v>10000</v>
      </c>
      <c r="J3148">
        <v>2681</v>
      </c>
      <c r="K3148">
        <v>7319</v>
      </c>
      <c r="L3148">
        <v>500</v>
      </c>
      <c r="M3148">
        <v>499</v>
      </c>
      <c r="N3148">
        <v>1</v>
      </c>
      <c r="O3148">
        <v>0</v>
      </c>
      <c r="P3148" s="3" t="s">
        <v>52</v>
      </c>
      <c r="Q3148">
        <v>50</v>
      </c>
      <c r="R3148">
        <v>0.999</v>
      </c>
      <c r="S3148">
        <v>1</v>
      </c>
    </row>
    <row r="3149" spans="1:19" x14ac:dyDescent="0.2">
      <c r="A3149" s="3" t="s">
        <v>54</v>
      </c>
      <c r="B3149" s="3" t="s">
        <v>55</v>
      </c>
      <c r="C3149">
        <v>28</v>
      </c>
      <c r="D3149">
        <v>10000</v>
      </c>
      <c r="E3149">
        <v>499</v>
      </c>
      <c r="F3149">
        <v>1</v>
      </c>
      <c r="G3149">
        <v>10000</v>
      </c>
      <c r="H3149">
        <v>1.1752003E-2</v>
      </c>
      <c r="I3149">
        <v>10000</v>
      </c>
      <c r="J3149">
        <v>2673</v>
      </c>
      <c r="K3149">
        <v>7327</v>
      </c>
      <c r="L3149">
        <v>500</v>
      </c>
      <c r="M3149">
        <v>499</v>
      </c>
      <c r="N3149">
        <v>1</v>
      </c>
      <c r="O3149">
        <v>0</v>
      </c>
      <c r="P3149" s="3" t="s">
        <v>52</v>
      </c>
      <c r="Q3149">
        <v>50</v>
      </c>
      <c r="R3149">
        <v>0.999</v>
      </c>
      <c r="S3149">
        <v>1</v>
      </c>
    </row>
    <row r="3150" spans="1:19" x14ac:dyDescent="0.2">
      <c r="A3150" s="3" t="s">
        <v>54</v>
      </c>
      <c r="B3150" s="3" t="s">
        <v>55</v>
      </c>
      <c r="C3150">
        <v>19</v>
      </c>
      <c r="D3150">
        <v>10000</v>
      </c>
      <c r="E3150">
        <v>499</v>
      </c>
      <c r="F3150">
        <v>1</v>
      </c>
      <c r="G3150">
        <v>10000</v>
      </c>
      <c r="H3150">
        <v>1.1749041999999999E-2</v>
      </c>
      <c r="I3150">
        <v>10000</v>
      </c>
      <c r="J3150">
        <v>2696</v>
      </c>
      <c r="K3150">
        <v>7304</v>
      </c>
      <c r="L3150">
        <v>500</v>
      </c>
      <c r="M3150">
        <v>499</v>
      </c>
      <c r="N3150">
        <v>1</v>
      </c>
      <c r="O3150">
        <v>0</v>
      </c>
      <c r="P3150" s="3" t="s">
        <v>52</v>
      </c>
      <c r="Q3150">
        <v>50</v>
      </c>
      <c r="R3150">
        <v>0.999</v>
      </c>
      <c r="S3150">
        <v>1</v>
      </c>
    </row>
    <row r="3151" spans="1:19" x14ac:dyDescent="0.2">
      <c r="A3151" s="3" t="s">
        <v>54</v>
      </c>
      <c r="B3151" s="3" t="s">
        <v>55</v>
      </c>
      <c r="C3151">
        <v>41</v>
      </c>
      <c r="D3151">
        <v>11000</v>
      </c>
      <c r="E3151">
        <v>499</v>
      </c>
      <c r="F3151">
        <v>1</v>
      </c>
      <c r="G3151">
        <v>11000</v>
      </c>
      <c r="H3151">
        <v>1.1747209E-2</v>
      </c>
      <c r="I3151">
        <v>11000</v>
      </c>
      <c r="J3151">
        <v>2794</v>
      </c>
      <c r="K3151">
        <v>8206</v>
      </c>
      <c r="L3151">
        <v>500</v>
      </c>
      <c r="M3151">
        <v>499</v>
      </c>
      <c r="N3151">
        <v>1</v>
      </c>
      <c r="O3151">
        <v>0</v>
      </c>
      <c r="P3151" s="3" t="s">
        <v>52</v>
      </c>
      <c r="Q3151">
        <v>50</v>
      </c>
      <c r="R3151">
        <v>0.999</v>
      </c>
      <c r="S3151">
        <v>1</v>
      </c>
    </row>
    <row r="3152" spans="1:19" x14ac:dyDescent="0.2">
      <c r="A3152" s="3" t="s">
        <v>54</v>
      </c>
      <c r="B3152" s="3" t="s">
        <v>55</v>
      </c>
      <c r="C3152">
        <v>36</v>
      </c>
      <c r="D3152">
        <v>10000</v>
      </c>
      <c r="E3152">
        <v>499</v>
      </c>
      <c r="F3152">
        <v>1</v>
      </c>
      <c r="G3152">
        <v>39482.677260513999</v>
      </c>
      <c r="H3152">
        <v>1.1741178999999999E-2</v>
      </c>
      <c r="I3152">
        <v>10000</v>
      </c>
      <c r="J3152">
        <v>2687</v>
      </c>
      <c r="K3152">
        <v>7313</v>
      </c>
      <c r="L3152">
        <v>500</v>
      </c>
      <c r="M3152">
        <v>499</v>
      </c>
      <c r="N3152">
        <v>1</v>
      </c>
      <c r="O3152">
        <v>0</v>
      </c>
      <c r="P3152" s="3" t="s">
        <v>52</v>
      </c>
      <c r="Q3152">
        <v>50</v>
      </c>
      <c r="R3152">
        <v>0.999</v>
      </c>
      <c r="S3152">
        <v>0</v>
      </c>
    </row>
    <row r="3153" spans="1:19" x14ac:dyDescent="0.2">
      <c r="A3153" s="3" t="s">
        <v>54</v>
      </c>
      <c r="B3153" s="3" t="s">
        <v>55</v>
      </c>
      <c r="C3153">
        <v>10</v>
      </c>
      <c r="D3153">
        <v>10000</v>
      </c>
      <c r="E3153">
        <v>499</v>
      </c>
      <c r="F3153">
        <v>1</v>
      </c>
      <c r="G3153">
        <v>39482.677260513999</v>
      </c>
      <c r="H3153">
        <v>1.1727803E-2</v>
      </c>
      <c r="I3153">
        <v>10000</v>
      </c>
      <c r="J3153">
        <v>2718</v>
      </c>
      <c r="K3153">
        <v>7282</v>
      </c>
      <c r="L3153">
        <v>500</v>
      </c>
      <c r="M3153">
        <v>499</v>
      </c>
      <c r="N3153">
        <v>1</v>
      </c>
      <c r="O3153">
        <v>0</v>
      </c>
      <c r="P3153" s="3" t="s">
        <v>52</v>
      </c>
      <c r="Q3153">
        <v>50</v>
      </c>
      <c r="R3153">
        <v>0.999</v>
      </c>
      <c r="S3153">
        <v>0</v>
      </c>
    </row>
    <row r="3154" spans="1:19" x14ac:dyDescent="0.2">
      <c r="A3154" s="3" t="s">
        <v>54</v>
      </c>
      <c r="B3154" s="3" t="s">
        <v>55</v>
      </c>
      <c r="C3154">
        <v>12</v>
      </c>
      <c r="D3154">
        <v>10000</v>
      </c>
      <c r="E3154">
        <v>499</v>
      </c>
      <c r="F3154">
        <v>1</v>
      </c>
      <c r="G3154">
        <v>39482.677260513999</v>
      </c>
      <c r="H3154">
        <v>1.1725118E-2</v>
      </c>
      <c r="I3154">
        <v>10000</v>
      </c>
      <c r="J3154">
        <v>2672</v>
      </c>
      <c r="K3154">
        <v>7328</v>
      </c>
      <c r="L3154">
        <v>500</v>
      </c>
      <c r="M3154">
        <v>499</v>
      </c>
      <c r="N3154">
        <v>1</v>
      </c>
      <c r="O3154">
        <v>0</v>
      </c>
      <c r="P3154" s="3" t="s">
        <v>52</v>
      </c>
      <c r="Q3154">
        <v>50</v>
      </c>
      <c r="R3154">
        <v>0.999</v>
      </c>
      <c r="S3154">
        <v>0</v>
      </c>
    </row>
    <row r="3155" spans="1:19" x14ac:dyDescent="0.2">
      <c r="A3155" s="3" t="s">
        <v>54</v>
      </c>
      <c r="B3155" s="3" t="s">
        <v>55</v>
      </c>
      <c r="C3155">
        <v>18</v>
      </c>
      <c r="D3155">
        <v>12000</v>
      </c>
      <c r="E3155">
        <v>499</v>
      </c>
      <c r="F3155">
        <v>1</v>
      </c>
      <c r="G3155">
        <v>50533.323552418398</v>
      </c>
      <c r="H3155">
        <v>1.1723121E-2</v>
      </c>
      <c r="I3155">
        <v>12000</v>
      </c>
      <c r="J3155">
        <v>3618</v>
      </c>
      <c r="K3155">
        <v>8382</v>
      </c>
      <c r="L3155">
        <v>500</v>
      </c>
      <c r="M3155">
        <v>499</v>
      </c>
      <c r="N3155">
        <v>1</v>
      </c>
      <c r="O3155">
        <v>0</v>
      </c>
      <c r="P3155" s="3" t="s">
        <v>52</v>
      </c>
      <c r="Q3155">
        <v>50</v>
      </c>
      <c r="R3155">
        <v>0.999</v>
      </c>
      <c r="S3155">
        <v>0</v>
      </c>
    </row>
    <row r="3156" spans="1:19" x14ac:dyDescent="0.2">
      <c r="A3156" s="3" t="s">
        <v>54</v>
      </c>
      <c r="B3156" s="3" t="s">
        <v>55</v>
      </c>
      <c r="C3156">
        <v>3</v>
      </c>
      <c r="D3156">
        <v>11000</v>
      </c>
      <c r="E3156">
        <v>499</v>
      </c>
      <c r="F3156">
        <v>1</v>
      </c>
      <c r="G3156">
        <v>44062.122210792702</v>
      </c>
      <c r="H3156">
        <v>1.172102E-2</v>
      </c>
      <c r="I3156">
        <v>11000</v>
      </c>
      <c r="J3156">
        <v>2768</v>
      </c>
      <c r="K3156">
        <v>8232</v>
      </c>
      <c r="L3156">
        <v>500</v>
      </c>
      <c r="M3156">
        <v>499</v>
      </c>
      <c r="N3156">
        <v>1</v>
      </c>
      <c r="O3156">
        <v>0</v>
      </c>
      <c r="P3156" s="3" t="s">
        <v>52</v>
      </c>
      <c r="Q3156">
        <v>50</v>
      </c>
      <c r="R3156">
        <v>0.999</v>
      </c>
      <c r="S3156">
        <v>0</v>
      </c>
    </row>
    <row r="3157" spans="1:19" x14ac:dyDescent="0.2">
      <c r="A3157" s="3" t="s">
        <v>54</v>
      </c>
      <c r="B3157" s="3" t="s">
        <v>55</v>
      </c>
      <c r="C3157">
        <v>8</v>
      </c>
      <c r="D3157">
        <v>10000</v>
      </c>
      <c r="E3157">
        <v>499</v>
      </c>
      <c r="F3157">
        <v>1</v>
      </c>
      <c r="G3157">
        <v>39482.677260513999</v>
      </c>
      <c r="H3157">
        <v>1.1712320999999999E-2</v>
      </c>
      <c r="I3157">
        <v>10000</v>
      </c>
      <c r="J3157">
        <v>2698</v>
      </c>
      <c r="K3157">
        <v>7302</v>
      </c>
      <c r="L3157">
        <v>500</v>
      </c>
      <c r="M3157">
        <v>499</v>
      </c>
      <c r="N3157">
        <v>1</v>
      </c>
      <c r="O3157">
        <v>0</v>
      </c>
      <c r="P3157" s="3" t="s">
        <v>52</v>
      </c>
      <c r="Q3157">
        <v>50</v>
      </c>
      <c r="R3157">
        <v>0.999</v>
      </c>
      <c r="S3157">
        <v>0</v>
      </c>
    </row>
    <row r="3158" spans="1:19" x14ac:dyDescent="0.2">
      <c r="A3158" s="3" t="s">
        <v>54</v>
      </c>
      <c r="B3158" s="3" t="s">
        <v>55</v>
      </c>
      <c r="C3158">
        <v>33</v>
      </c>
      <c r="D3158">
        <v>11000</v>
      </c>
      <c r="E3158">
        <v>499</v>
      </c>
      <c r="F3158">
        <v>1</v>
      </c>
      <c r="G3158">
        <v>44062.122210792702</v>
      </c>
      <c r="H3158">
        <v>1.1710955E-2</v>
      </c>
      <c r="I3158">
        <v>11000</v>
      </c>
      <c r="J3158">
        <v>2773</v>
      </c>
      <c r="K3158">
        <v>8227</v>
      </c>
      <c r="L3158">
        <v>500</v>
      </c>
      <c r="M3158">
        <v>499</v>
      </c>
      <c r="N3158">
        <v>1</v>
      </c>
      <c r="O3158">
        <v>0</v>
      </c>
      <c r="P3158" s="3" t="s">
        <v>52</v>
      </c>
      <c r="Q3158">
        <v>50</v>
      </c>
      <c r="R3158">
        <v>0.999</v>
      </c>
      <c r="S3158">
        <v>0</v>
      </c>
    </row>
    <row r="3159" spans="1:19" x14ac:dyDescent="0.2">
      <c r="A3159" s="3" t="s">
        <v>54</v>
      </c>
      <c r="B3159" s="3" t="s">
        <v>55</v>
      </c>
      <c r="C3159">
        <v>11</v>
      </c>
      <c r="D3159">
        <v>10000</v>
      </c>
      <c r="E3159">
        <v>499</v>
      </c>
      <c r="F3159">
        <v>1</v>
      </c>
      <c r="G3159">
        <v>39482.677260513999</v>
      </c>
      <c r="H3159">
        <v>1.1708919999999999E-2</v>
      </c>
      <c r="I3159">
        <v>10000</v>
      </c>
      <c r="J3159">
        <v>2699</v>
      </c>
      <c r="K3159">
        <v>7301</v>
      </c>
      <c r="L3159">
        <v>500</v>
      </c>
      <c r="M3159">
        <v>499</v>
      </c>
      <c r="N3159">
        <v>1</v>
      </c>
      <c r="O3159">
        <v>0</v>
      </c>
      <c r="P3159" s="3" t="s">
        <v>52</v>
      </c>
      <c r="Q3159">
        <v>50</v>
      </c>
      <c r="R3159">
        <v>0.999</v>
      </c>
      <c r="S3159">
        <v>0</v>
      </c>
    </row>
    <row r="3160" spans="1:19" x14ac:dyDescent="0.2">
      <c r="A3160" s="3" t="s">
        <v>54</v>
      </c>
      <c r="B3160" s="3" t="s">
        <v>55</v>
      </c>
      <c r="C3160">
        <v>5</v>
      </c>
      <c r="D3160">
        <v>11000</v>
      </c>
      <c r="E3160">
        <v>499</v>
      </c>
      <c r="F3160">
        <v>1</v>
      </c>
      <c r="G3160">
        <v>11000</v>
      </c>
      <c r="H3160">
        <v>1.1703026E-2</v>
      </c>
      <c r="I3160">
        <v>11000</v>
      </c>
      <c r="J3160">
        <v>2761</v>
      </c>
      <c r="K3160">
        <v>8239</v>
      </c>
      <c r="L3160">
        <v>500</v>
      </c>
      <c r="M3160">
        <v>499</v>
      </c>
      <c r="N3160">
        <v>1</v>
      </c>
      <c r="O3160">
        <v>0</v>
      </c>
      <c r="P3160" s="3" t="s">
        <v>52</v>
      </c>
      <c r="Q3160">
        <v>50</v>
      </c>
      <c r="R3160">
        <v>0.999</v>
      </c>
      <c r="S3160">
        <v>1</v>
      </c>
    </row>
    <row r="3161" spans="1:19" x14ac:dyDescent="0.2">
      <c r="A3161" s="3" t="s">
        <v>54</v>
      </c>
      <c r="B3161" s="3" t="s">
        <v>55</v>
      </c>
      <c r="C3161">
        <v>16</v>
      </c>
      <c r="D3161">
        <v>11000</v>
      </c>
      <c r="E3161">
        <v>499</v>
      </c>
      <c r="F3161">
        <v>1</v>
      </c>
      <c r="G3161">
        <v>44062.122210792702</v>
      </c>
      <c r="H3161">
        <v>1.1699929E-2</v>
      </c>
      <c r="I3161">
        <v>11000</v>
      </c>
      <c r="J3161">
        <v>2753</v>
      </c>
      <c r="K3161">
        <v>8247</v>
      </c>
      <c r="L3161">
        <v>500</v>
      </c>
      <c r="M3161">
        <v>499</v>
      </c>
      <c r="N3161">
        <v>1</v>
      </c>
      <c r="O3161">
        <v>0</v>
      </c>
      <c r="P3161" s="3" t="s">
        <v>52</v>
      </c>
      <c r="Q3161">
        <v>50</v>
      </c>
      <c r="R3161">
        <v>0.999</v>
      </c>
      <c r="S3161">
        <v>0</v>
      </c>
    </row>
    <row r="3162" spans="1:19" x14ac:dyDescent="0.2">
      <c r="A3162" s="3" t="s">
        <v>54</v>
      </c>
      <c r="B3162" s="3" t="s">
        <v>55</v>
      </c>
      <c r="C3162">
        <v>33</v>
      </c>
      <c r="D3162">
        <v>12000</v>
      </c>
      <c r="E3162">
        <v>499</v>
      </c>
      <c r="F3162">
        <v>1</v>
      </c>
      <c r="G3162">
        <v>50533.323552418398</v>
      </c>
      <c r="H3162">
        <v>1.1698314E-2</v>
      </c>
      <c r="I3162">
        <v>12000</v>
      </c>
      <c r="J3162">
        <v>3646</v>
      </c>
      <c r="K3162">
        <v>8354</v>
      </c>
      <c r="L3162">
        <v>500</v>
      </c>
      <c r="M3162">
        <v>499</v>
      </c>
      <c r="N3162">
        <v>1</v>
      </c>
      <c r="O3162">
        <v>0</v>
      </c>
      <c r="P3162" s="3" t="s">
        <v>52</v>
      </c>
      <c r="Q3162">
        <v>50</v>
      </c>
      <c r="R3162">
        <v>0.999</v>
      </c>
      <c r="S3162">
        <v>0</v>
      </c>
    </row>
    <row r="3163" spans="1:19" x14ac:dyDescent="0.2">
      <c r="A3163" s="3" t="s">
        <v>54</v>
      </c>
      <c r="B3163" s="3" t="s">
        <v>55</v>
      </c>
      <c r="C3163">
        <v>50</v>
      </c>
      <c r="D3163">
        <v>10000</v>
      </c>
      <c r="E3163">
        <v>499</v>
      </c>
      <c r="F3163">
        <v>1</v>
      </c>
      <c r="G3163">
        <v>39482.677260513999</v>
      </c>
      <c r="H3163">
        <v>1.1697086000000001E-2</v>
      </c>
      <c r="I3163">
        <v>10000</v>
      </c>
      <c r="J3163">
        <v>2694</v>
      </c>
      <c r="K3163">
        <v>7306</v>
      </c>
      <c r="L3163">
        <v>500</v>
      </c>
      <c r="M3163">
        <v>499</v>
      </c>
      <c r="N3163">
        <v>1</v>
      </c>
      <c r="O3163">
        <v>0</v>
      </c>
      <c r="P3163" s="3" t="s">
        <v>52</v>
      </c>
      <c r="Q3163">
        <v>50</v>
      </c>
      <c r="R3163">
        <v>0.999</v>
      </c>
      <c r="S3163">
        <v>0</v>
      </c>
    </row>
    <row r="3164" spans="1:19" x14ac:dyDescent="0.2">
      <c r="A3164" s="3" t="s">
        <v>54</v>
      </c>
      <c r="B3164" s="3" t="s">
        <v>55</v>
      </c>
      <c r="C3164">
        <v>22</v>
      </c>
      <c r="D3164">
        <v>11000</v>
      </c>
      <c r="E3164">
        <v>499</v>
      </c>
      <c r="F3164">
        <v>1</v>
      </c>
      <c r="G3164">
        <v>11000</v>
      </c>
      <c r="H3164">
        <v>1.1696958E-2</v>
      </c>
      <c r="I3164">
        <v>11000</v>
      </c>
      <c r="J3164">
        <v>2716</v>
      </c>
      <c r="K3164">
        <v>8284</v>
      </c>
      <c r="L3164">
        <v>500</v>
      </c>
      <c r="M3164">
        <v>499</v>
      </c>
      <c r="N3164">
        <v>1</v>
      </c>
      <c r="O3164">
        <v>0</v>
      </c>
      <c r="P3164" s="3" t="s">
        <v>52</v>
      </c>
      <c r="Q3164">
        <v>50</v>
      </c>
      <c r="R3164">
        <v>0.999</v>
      </c>
      <c r="S3164">
        <v>1</v>
      </c>
    </row>
    <row r="3165" spans="1:19" x14ac:dyDescent="0.2">
      <c r="A3165" s="3" t="s">
        <v>54</v>
      </c>
      <c r="B3165" s="3" t="s">
        <v>55</v>
      </c>
      <c r="C3165">
        <v>15</v>
      </c>
      <c r="D3165">
        <v>11000</v>
      </c>
      <c r="E3165">
        <v>499</v>
      </c>
      <c r="F3165">
        <v>1</v>
      </c>
      <c r="G3165">
        <v>44062.122210792702</v>
      </c>
      <c r="H3165">
        <v>1.1696427000000001E-2</v>
      </c>
      <c r="I3165">
        <v>11000</v>
      </c>
      <c r="J3165">
        <v>2728</v>
      </c>
      <c r="K3165">
        <v>8272</v>
      </c>
      <c r="L3165">
        <v>500</v>
      </c>
      <c r="M3165">
        <v>499</v>
      </c>
      <c r="N3165">
        <v>1</v>
      </c>
      <c r="O3165">
        <v>0</v>
      </c>
      <c r="P3165" s="3" t="s">
        <v>52</v>
      </c>
      <c r="Q3165">
        <v>50</v>
      </c>
      <c r="R3165">
        <v>0.999</v>
      </c>
      <c r="S3165">
        <v>0</v>
      </c>
    </row>
    <row r="3166" spans="1:19" x14ac:dyDescent="0.2">
      <c r="A3166" s="3" t="s">
        <v>54</v>
      </c>
      <c r="B3166" s="3" t="s">
        <v>55</v>
      </c>
      <c r="C3166">
        <v>28</v>
      </c>
      <c r="D3166">
        <v>10000</v>
      </c>
      <c r="E3166">
        <v>499</v>
      </c>
      <c r="F3166">
        <v>1</v>
      </c>
      <c r="G3166">
        <v>39482.677260513999</v>
      </c>
      <c r="H3166">
        <v>1.1689972E-2</v>
      </c>
      <c r="I3166">
        <v>10000</v>
      </c>
      <c r="J3166">
        <v>2729</v>
      </c>
      <c r="K3166">
        <v>7271</v>
      </c>
      <c r="L3166">
        <v>500</v>
      </c>
      <c r="M3166">
        <v>499</v>
      </c>
      <c r="N3166">
        <v>1</v>
      </c>
      <c r="O3166">
        <v>0</v>
      </c>
      <c r="P3166" s="3" t="s">
        <v>52</v>
      </c>
      <c r="Q3166">
        <v>50</v>
      </c>
      <c r="R3166">
        <v>0.999</v>
      </c>
      <c r="S3166">
        <v>0</v>
      </c>
    </row>
    <row r="3167" spans="1:19" x14ac:dyDescent="0.2">
      <c r="A3167" s="3" t="s">
        <v>54</v>
      </c>
      <c r="B3167" s="3" t="s">
        <v>55</v>
      </c>
      <c r="C3167">
        <v>2</v>
      </c>
      <c r="D3167">
        <v>11000</v>
      </c>
      <c r="E3167">
        <v>499</v>
      </c>
      <c r="F3167">
        <v>1</v>
      </c>
      <c r="G3167">
        <v>44062.122210792702</v>
      </c>
      <c r="H3167">
        <v>1.1688982000000001E-2</v>
      </c>
      <c r="I3167">
        <v>11000</v>
      </c>
      <c r="J3167">
        <v>2744</v>
      </c>
      <c r="K3167">
        <v>8256</v>
      </c>
      <c r="L3167">
        <v>500</v>
      </c>
      <c r="M3167">
        <v>499</v>
      </c>
      <c r="N3167">
        <v>1</v>
      </c>
      <c r="O3167">
        <v>0</v>
      </c>
      <c r="P3167" s="3" t="s">
        <v>52</v>
      </c>
      <c r="Q3167">
        <v>50</v>
      </c>
      <c r="R3167">
        <v>0.999</v>
      </c>
      <c r="S3167">
        <v>0</v>
      </c>
    </row>
    <row r="3168" spans="1:19" x14ac:dyDescent="0.2">
      <c r="A3168" s="3" t="s">
        <v>54</v>
      </c>
      <c r="B3168" s="3" t="s">
        <v>55</v>
      </c>
      <c r="C3168">
        <v>47</v>
      </c>
      <c r="D3168">
        <v>11000</v>
      </c>
      <c r="E3168">
        <v>499</v>
      </c>
      <c r="F3168">
        <v>1</v>
      </c>
      <c r="G3168">
        <v>11000</v>
      </c>
      <c r="H3168">
        <v>1.1685572999999999E-2</v>
      </c>
      <c r="I3168">
        <v>11000</v>
      </c>
      <c r="J3168">
        <v>2784</v>
      </c>
      <c r="K3168">
        <v>8216</v>
      </c>
      <c r="L3168">
        <v>500</v>
      </c>
      <c r="M3168">
        <v>499</v>
      </c>
      <c r="N3168">
        <v>1</v>
      </c>
      <c r="O3168">
        <v>0</v>
      </c>
      <c r="P3168" s="3" t="s">
        <v>52</v>
      </c>
      <c r="Q3168">
        <v>50</v>
      </c>
      <c r="R3168">
        <v>0.999</v>
      </c>
      <c r="S3168">
        <v>1</v>
      </c>
    </row>
    <row r="3169" spans="1:19" x14ac:dyDescent="0.2">
      <c r="A3169" s="3" t="s">
        <v>54</v>
      </c>
      <c r="B3169" s="3" t="s">
        <v>55</v>
      </c>
      <c r="C3169">
        <v>10</v>
      </c>
      <c r="D3169">
        <v>12000</v>
      </c>
      <c r="E3169">
        <v>499</v>
      </c>
      <c r="F3169">
        <v>1</v>
      </c>
      <c r="G3169">
        <v>50533.323552418398</v>
      </c>
      <c r="H3169">
        <v>1.1683298999999999E-2</v>
      </c>
      <c r="I3169">
        <v>12000</v>
      </c>
      <c r="J3169">
        <v>3641</v>
      </c>
      <c r="K3169">
        <v>8359</v>
      </c>
      <c r="L3169">
        <v>500</v>
      </c>
      <c r="M3169">
        <v>499</v>
      </c>
      <c r="N3169">
        <v>1</v>
      </c>
      <c r="O3169">
        <v>0</v>
      </c>
      <c r="P3169" s="3" t="s">
        <v>52</v>
      </c>
      <c r="Q3169">
        <v>50</v>
      </c>
      <c r="R3169">
        <v>0.999</v>
      </c>
      <c r="S3169">
        <v>0</v>
      </c>
    </row>
    <row r="3170" spans="1:19" x14ac:dyDescent="0.2">
      <c r="A3170" s="3" t="s">
        <v>54</v>
      </c>
      <c r="B3170" s="3" t="s">
        <v>55</v>
      </c>
      <c r="C3170">
        <v>19</v>
      </c>
      <c r="D3170">
        <v>12000</v>
      </c>
      <c r="E3170">
        <v>499</v>
      </c>
      <c r="F3170">
        <v>1</v>
      </c>
      <c r="G3170">
        <v>12000</v>
      </c>
      <c r="H3170">
        <v>1.1682236E-2</v>
      </c>
      <c r="I3170">
        <v>12000</v>
      </c>
      <c r="J3170">
        <v>3652</v>
      </c>
      <c r="K3170">
        <v>8348</v>
      </c>
      <c r="L3170">
        <v>500</v>
      </c>
      <c r="M3170">
        <v>499</v>
      </c>
      <c r="N3170">
        <v>1</v>
      </c>
      <c r="O3170">
        <v>0</v>
      </c>
      <c r="P3170" s="3" t="s">
        <v>52</v>
      </c>
      <c r="Q3170">
        <v>50</v>
      </c>
      <c r="R3170">
        <v>0.999</v>
      </c>
      <c r="S3170">
        <v>1</v>
      </c>
    </row>
    <row r="3171" spans="1:19" x14ac:dyDescent="0.2">
      <c r="A3171" s="3" t="s">
        <v>54</v>
      </c>
      <c r="B3171" s="3" t="s">
        <v>55</v>
      </c>
      <c r="C3171">
        <v>46</v>
      </c>
      <c r="D3171">
        <v>12000</v>
      </c>
      <c r="E3171">
        <v>499</v>
      </c>
      <c r="F3171">
        <v>1</v>
      </c>
      <c r="G3171">
        <v>12000</v>
      </c>
      <c r="H3171">
        <v>1.1677991E-2</v>
      </c>
      <c r="I3171">
        <v>12000</v>
      </c>
      <c r="J3171">
        <v>3579</v>
      </c>
      <c r="K3171">
        <v>8421</v>
      </c>
      <c r="L3171">
        <v>500</v>
      </c>
      <c r="M3171">
        <v>499</v>
      </c>
      <c r="N3171">
        <v>1</v>
      </c>
      <c r="O3171">
        <v>0</v>
      </c>
      <c r="P3171" s="3" t="s">
        <v>52</v>
      </c>
      <c r="Q3171">
        <v>50</v>
      </c>
      <c r="R3171">
        <v>0.999</v>
      </c>
      <c r="S3171">
        <v>1</v>
      </c>
    </row>
    <row r="3172" spans="1:19" x14ac:dyDescent="0.2">
      <c r="A3172" s="3" t="s">
        <v>54</v>
      </c>
      <c r="B3172" s="3" t="s">
        <v>55</v>
      </c>
      <c r="C3172">
        <v>44</v>
      </c>
      <c r="D3172">
        <v>12000</v>
      </c>
      <c r="E3172">
        <v>499</v>
      </c>
      <c r="F3172">
        <v>1</v>
      </c>
      <c r="G3172">
        <v>50533.323552418398</v>
      </c>
      <c r="H3172">
        <v>1.1673683000000001E-2</v>
      </c>
      <c r="I3172">
        <v>12000</v>
      </c>
      <c r="J3172">
        <v>3610</v>
      </c>
      <c r="K3172">
        <v>8390</v>
      </c>
      <c r="L3172">
        <v>500</v>
      </c>
      <c r="M3172">
        <v>499</v>
      </c>
      <c r="N3172">
        <v>1</v>
      </c>
      <c r="O3172">
        <v>0</v>
      </c>
      <c r="P3172" s="3" t="s">
        <v>52</v>
      </c>
      <c r="Q3172">
        <v>50</v>
      </c>
      <c r="R3172">
        <v>0.999</v>
      </c>
      <c r="S3172">
        <v>0</v>
      </c>
    </row>
    <row r="3173" spans="1:19" x14ac:dyDescent="0.2">
      <c r="A3173" s="3" t="s">
        <v>54</v>
      </c>
      <c r="B3173" s="3" t="s">
        <v>55</v>
      </c>
      <c r="C3173">
        <v>20</v>
      </c>
      <c r="D3173">
        <v>12000</v>
      </c>
      <c r="E3173">
        <v>499</v>
      </c>
      <c r="F3173">
        <v>1</v>
      </c>
      <c r="G3173">
        <v>50533.323552418398</v>
      </c>
      <c r="H3173">
        <v>1.1669422E-2</v>
      </c>
      <c r="I3173">
        <v>12000</v>
      </c>
      <c r="J3173">
        <v>3609</v>
      </c>
      <c r="K3173">
        <v>8391</v>
      </c>
      <c r="L3173">
        <v>500</v>
      </c>
      <c r="M3173">
        <v>499</v>
      </c>
      <c r="N3173">
        <v>1</v>
      </c>
      <c r="O3173">
        <v>0</v>
      </c>
      <c r="P3173" s="3" t="s">
        <v>52</v>
      </c>
      <c r="Q3173">
        <v>50</v>
      </c>
      <c r="R3173">
        <v>0.999</v>
      </c>
      <c r="S3173">
        <v>0</v>
      </c>
    </row>
    <row r="3174" spans="1:19" x14ac:dyDescent="0.2">
      <c r="A3174" s="3" t="s">
        <v>54</v>
      </c>
      <c r="B3174" s="3" t="s">
        <v>55</v>
      </c>
      <c r="C3174">
        <v>35</v>
      </c>
      <c r="D3174">
        <v>10000</v>
      </c>
      <c r="E3174">
        <v>499</v>
      </c>
      <c r="F3174">
        <v>1</v>
      </c>
      <c r="G3174">
        <v>10000</v>
      </c>
      <c r="H3174">
        <v>1.1667396E-2</v>
      </c>
      <c r="I3174">
        <v>10000</v>
      </c>
      <c r="J3174">
        <v>2695</v>
      </c>
      <c r="K3174">
        <v>7305</v>
      </c>
      <c r="L3174">
        <v>500</v>
      </c>
      <c r="M3174">
        <v>499</v>
      </c>
      <c r="N3174">
        <v>1</v>
      </c>
      <c r="O3174">
        <v>0</v>
      </c>
      <c r="P3174" s="3" t="s">
        <v>52</v>
      </c>
      <c r="Q3174">
        <v>50</v>
      </c>
      <c r="R3174">
        <v>0.999</v>
      </c>
      <c r="S3174">
        <v>1</v>
      </c>
    </row>
    <row r="3175" spans="1:19" x14ac:dyDescent="0.2">
      <c r="A3175" s="3" t="s">
        <v>54</v>
      </c>
      <c r="B3175" s="3" t="s">
        <v>55</v>
      </c>
      <c r="C3175">
        <v>47</v>
      </c>
      <c r="D3175">
        <v>12000</v>
      </c>
      <c r="E3175">
        <v>499</v>
      </c>
      <c r="F3175">
        <v>1</v>
      </c>
      <c r="G3175">
        <v>50533.323552418398</v>
      </c>
      <c r="H3175">
        <v>1.166493E-2</v>
      </c>
      <c r="I3175">
        <v>12000</v>
      </c>
      <c r="J3175">
        <v>3653</v>
      </c>
      <c r="K3175">
        <v>8347</v>
      </c>
      <c r="L3175">
        <v>500</v>
      </c>
      <c r="M3175">
        <v>499</v>
      </c>
      <c r="N3175">
        <v>1</v>
      </c>
      <c r="O3175">
        <v>0</v>
      </c>
      <c r="P3175" s="3" t="s">
        <v>52</v>
      </c>
      <c r="Q3175">
        <v>50</v>
      </c>
      <c r="R3175">
        <v>0.999</v>
      </c>
      <c r="S3175">
        <v>0</v>
      </c>
    </row>
    <row r="3176" spans="1:19" x14ac:dyDescent="0.2">
      <c r="A3176" s="3" t="s">
        <v>54</v>
      </c>
      <c r="B3176" s="3" t="s">
        <v>55</v>
      </c>
      <c r="C3176">
        <v>47</v>
      </c>
      <c r="D3176">
        <v>10000</v>
      </c>
      <c r="E3176">
        <v>499</v>
      </c>
      <c r="F3176">
        <v>1</v>
      </c>
      <c r="G3176">
        <v>10000</v>
      </c>
      <c r="H3176">
        <v>1.1660436E-2</v>
      </c>
      <c r="I3176">
        <v>10000</v>
      </c>
      <c r="J3176">
        <v>2707</v>
      </c>
      <c r="K3176">
        <v>7293</v>
      </c>
      <c r="L3176">
        <v>500</v>
      </c>
      <c r="M3176">
        <v>499</v>
      </c>
      <c r="N3176">
        <v>1</v>
      </c>
      <c r="O3176">
        <v>0</v>
      </c>
      <c r="P3176" s="3" t="s">
        <v>52</v>
      </c>
      <c r="Q3176">
        <v>50</v>
      </c>
      <c r="R3176">
        <v>0.999</v>
      </c>
      <c r="S3176">
        <v>1</v>
      </c>
    </row>
    <row r="3177" spans="1:19" x14ac:dyDescent="0.2">
      <c r="A3177" s="3" t="s">
        <v>54</v>
      </c>
      <c r="B3177" s="3" t="s">
        <v>55</v>
      </c>
      <c r="C3177">
        <v>35</v>
      </c>
      <c r="D3177">
        <v>12000</v>
      </c>
      <c r="E3177">
        <v>499</v>
      </c>
      <c r="F3177">
        <v>1</v>
      </c>
      <c r="G3177">
        <v>50533.323552418398</v>
      </c>
      <c r="H3177">
        <v>1.1659676000000001E-2</v>
      </c>
      <c r="I3177">
        <v>12000</v>
      </c>
      <c r="J3177">
        <v>3625</v>
      </c>
      <c r="K3177">
        <v>8375</v>
      </c>
      <c r="L3177">
        <v>500</v>
      </c>
      <c r="M3177">
        <v>499</v>
      </c>
      <c r="N3177">
        <v>1</v>
      </c>
      <c r="O3177">
        <v>0</v>
      </c>
      <c r="P3177" s="3" t="s">
        <v>52</v>
      </c>
      <c r="Q3177">
        <v>50</v>
      </c>
      <c r="R3177">
        <v>0.999</v>
      </c>
      <c r="S3177">
        <v>0</v>
      </c>
    </row>
    <row r="3178" spans="1:19" x14ac:dyDescent="0.2">
      <c r="A3178" s="3" t="s">
        <v>54</v>
      </c>
      <c r="B3178" s="3" t="s">
        <v>55</v>
      </c>
      <c r="C3178">
        <v>30</v>
      </c>
      <c r="D3178">
        <v>10000</v>
      </c>
      <c r="E3178">
        <v>499</v>
      </c>
      <c r="F3178">
        <v>1</v>
      </c>
      <c r="G3178">
        <v>39482.677260513999</v>
      </c>
      <c r="H3178">
        <v>1.1658758999999999E-2</v>
      </c>
      <c r="I3178">
        <v>10000</v>
      </c>
      <c r="J3178">
        <v>2694</v>
      </c>
      <c r="K3178">
        <v>7306</v>
      </c>
      <c r="L3178">
        <v>500</v>
      </c>
      <c r="M3178">
        <v>499</v>
      </c>
      <c r="N3178">
        <v>1</v>
      </c>
      <c r="O3178">
        <v>0</v>
      </c>
      <c r="P3178" s="3" t="s">
        <v>52</v>
      </c>
      <c r="Q3178">
        <v>50</v>
      </c>
      <c r="R3178">
        <v>0.999</v>
      </c>
      <c r="S3178">
        <v>0</v>
      </c>
    </row>
    <row r="3179" spans="1:19" x14ac:dyDescent="0.2">
      <c r="A3179" s="3" t="s">
        <v>54</v>
      </c>
      <c r="B3179" s="3" t="s">
        <v>55</v>
      </c>
      <c r="C3179">
        <v>35</v>
      </c>
      <c r="D3179">
        <v>11000</v>
      </c>
      <c r="E3179">
        <v>499</v>
      </c>
      <c r="F3179">
        <v>1</v>
      </c>
      <c r="G3179">
        <v>44062.122210792702</v>
      </c>
      <c r="H3179">
        <v>1.1656981E-2</v>
      </c>
      <c r="I3179">
        <v>11000</v>
      </c>
      <c r="J3179">
        <v>2730</v>
      </c>
      <c r="K3179">
        <v>8270</v>
      </c>
      <c r="L3179">
        <v>500</v>
      </c>
      <c r="M3179">
        <v>499</v>
      </c>
      <c r="N3179">
        <v>1</v>
      </c>
      <c r="O3179">
        <v>0</v>
      </c>
      <c r="P3179" s="3" t="s">
        <v>52</v>
      </c>
      <c r="Q3179">
        <v>50</v>
      </c>
      <c r="R3179">
        <v>0.999</v>
      </c>
      <c r="S3179">
        <v>0</v>
      </c>
    </row>
    <row r="3180" spans="1:19" x14ac:dyDescent="0.2">
      <c r="A3180" s="3" t="s">
        <v>54</v>
      </c>
      <c r="B3180" s="3" t="s">
        <v>55</v>
      </c>
      <c r="C3180">
        <v>24</v>
      </c>
      <c r="D3180">
        <v>10000</v>
      </c>
      <c r="E3180">
        <v>499</v>
      </c>
      <c r="F3180">
        <v>1</v>
      </c>
      <c r="G3180">
        <v>39482.677260513999</v>
      </c>
      <c r="H3180">
        <v>1.1656753000000001E-2</v>
      </c>
      <c r="I3180">
        <v>10000</v>
      </c>
      <c r="J3180">
        <v>2673</v>
      </c>
      <c r="K3180">
        <v>7327</v>
      </c>
      <c r="L3180">
        <v>500</v>
      </c>
      <c r="M3180">
        <v>499</v>
      </c>
      <c r="N3180">
        <v>1</v>
      </c>
      <c r="O3180">
        <v>0</v>
      </c>
      <c r="P3180" s="3" t="s">
        <v>52</v>
      </c>
      <c r="Q3180">
        <v>50</v>
      </c>
      <c r="R3180">
        <v>0.999</v>
      </c>
      <c r="S3180">
        <v>0</v>
      </c>
    </row>
    <row r="3181" spans="1:19" x14ac:dyDescent="0.2">
      <c r="A3181" s="3" t="s">
        <v>54</v>
      </c>
      <c r="B3181" s="3" t="s">
        <v>55</v>
      </c>
      <c r="C3181">
        <v>15</v>
      </c>
      <c r="D3181">
        <v>12000</v>
      </c>
      <c r="E3181">
        <v>499</v>
      </c>
      <c r="F3181">
        <v>1</v>
      </c>
      <c r="G3181">
        <v>12000</v>
      </c>
      <c r="H3181">
        <v>1.1656201999999999E-2</v>
      </c>
      <c r="I3181">
        <v>12000</v>
      </c>
      <c r="J3181">
        <v>3672</v>
      </c>
      <c r="K3181">
        <v>8328</v>
      </c>
      <c r="L3181">
        <v>500</v>
      </c>
      <c r="M3181">
        <v>499</v>
      </c>
      <c r="N3181">
        <v>1</v>
      </c>
      <c r="O3181">
        <v>0</v>
      </c>
      <c r="P3181" s="3" t="s">
        <v>52</v>
      </c>
      <c r="Q3181">
        <v>50</v>
      </c>
      <c r="R3181">
        <v>0.999</v>
      </c>
      <c r="S3181">
        <v>1</v>
      </c>
    </row>
    <row r="3182" spans="1:19" x14ac:dyDescent="0.2">
      <c r="A3182" s="3" t="s">
        <v>54</v>
      </c>
      <c r="B3182" s="3" t="s">
        <v>55</v>
      </c>
      <c r="C3182">
        <v>25</v>
      </c>
      <c r="D3182">
        <v>11000</v>
      </c>
      <c r="E3182">
        <v>499</v>
      </c>
      <c r="F3182">
        <v>1</v>
      </c>
      <c r="G3182">
        <v>44062.122210792702</v>
      </c>
      <c r="H3182">
        <v>1.1652582999999999E-2</v>
      </c>
      <c r="I3182">
        <v>11000</v>
      </c>
      <c r="J3182">
        <v>2765</v>
      </c>
      <c r="K3182">
        <v>8235</v>
      </c>
      <c r="L3182">
        <v>500</v>
      </c>
      <c r="M3182">
        <v>499</v>
      </c>
      <c r="N3182">
        <v>1</v>
      </c>
      <c r="O3182">
        <v>0</v>
      </c>
      <c r="P3182" s="3" t="s">
        <v>52</v>
      </c>
      <c r="Q3182">
        <v>50</v>
      </c>
      <c r="R3182">
        <v>0.999</v>
      </c>
      <c r="S3182">
        <v>0</v>
      </c>
    </row>
    <row r="3183" spans="1:19" x14ac:dyDescent="0.2">
      <c r="A3183" s="3" t="s">
        <v>54</v>
      </c>
      <c r="B3183" s="3" t="s">
        <v>55</v>
      </c>
      <c r="C3183">
        <v>47</v>
      </c>
      <c r="D3183">
        <v>10000</v>
      </c>
      <c r="E3183">
        <v>499</v>
      </c>
      <c r="F3183">
        <v>1</v>
      </c>
      <c r="G3183">
        <v>39482.677260513999</v>
      </c>
      <c r="H3183">
        <v>1.1650344999999999E-2</v>
      </c>
      <c r="I3183">
        <v>10000</v>
      </c>
      <c r="J3183">
        <v>2700</v>
      </c>
      <c r="K3183">
        <v>7300</v>
      </c>
      <c r="L3183">
        <v>500</v>
      </c>
      <c r="M3183">
        <v>499</v>
      </c>
      <c r="N3183">
        <v>1</v>
      </c>
      <c r="O3183">
        <v>0</v>
      </c>
      <c r="P3183" s="3" t="s">
        <v>52</v>
      </c>
      <c r="Q3183">
        <v>50</v>
      </c>
      <c r="R3183">
        <v>0.999</v>
      </c>
      <c r="S3183">
        <v>0</v>
      </c>
    </row>
    <row r="3184" spans="1:19" x14ac:dyDescent="0.2">
      <c r="A3184" s="3" t="s">
        <v>54</v>
      </c>
      <c r="B3184" s="3" t="s">
        <v>55</v>
      </c>
      <c r="C3184">
        <v>28</v>
      </c>
      <c r="D3184">
        <v>12000</v>
      </c>
      <c r="E3184">
        <v>499</v>
      </c>
      <c r="F3184">
        <v>1</v>
      </c>
      <c r="G3184">
        <v>50533.323552418398</v>
      </c>
      <c r="H3184">
        <v>1.1648229E-2</v>
      </c>
      <c r="I3184">
        <v>12000</v>
      </c>
      <c r="J3184">
        <v>3597</v>
      </c>
      <c r="K3184">
        <v>8403</v>
      </c>
      <c r="L3184">
        <v>500</v>
      </c>
      <c r="M3184">
        <v>499</v>
      </c>
      <c r="N3184">
        <v>1</v>
      </c>
      <c r="O3184">
        <v>0</v>
      </c>
      <c r="P3184" s="3" t="s">
        <v>52</v>
      </c>
      <c r="Q3184">
        <v>50</v>
      </c>
      <c r="R3184">
        <v>0.999</v>
      </c>
      <c r="S3184">
        <v>0</v>
      </c>
    </row>
    <row r="3185" spans="1:19" x14ac:dyDescent="0.2">
      <c r="A3185" s="3" t="s">
        <v>54</v>
      </c>
      <c r="B3185" s="3" t="s">
        <v>55</v>
      </c>
      <c r="C3185">
        <v>30</v>
      </c>
      <c r="D3185">
        <v>12000</v>
      </c>
      <c r="E3185">
        <v>499</v>
      </c>
      <c r="F3185">
        <v>1</v>
      </c>
      <c r="G3185">
        <v>50533.323552418398</v>
      </c>
      <c r="H3185">
        <v>1.1647248000000001E-2</v>
      </c>
      <c r="I3185">
        <v>12000</v>
      </c>
      <c r="J3185">
        <v>3612</v>
      </c>
      <c r="K3185">
        <v>8388</v>
      </c>
      <c r="L3185">
        <v>500</v>
      </c>
      <c r="M3185">
        <v>499</v>
      </c>
      <c r="N3185">
        <v>1</v>
      </c>
      <c r="O3185">
        <v>0</v>
      </c>
      <c r="P3185" s="3" t="s">
        <v>52</v>
      </c>
      <c r="Q3185">
        <v>50</v>
      </c>
      <c r="R3185">
        <v>0.999</v>
      </c>
      <c r="S3185">
        <v>0</v>
      </c>
    </row>
    <row r="3186" spans="1:19" x14ac:dyDescent="0.2">
      <c r="A3186" s="3" t="s">
        <v>54</v>
      </c>
      <c r="B3186" s="3" t="s">
        <v>55</v>
      </c>
      <c r="C3186">
        <v>7</v>
      </c>
      <c r="D3186">
        <v>11000</v>
      </c>
      <c r="E3186">
        <v>499</v>
      </c>
      <c r="F3186">
        <v>1</v>
      </c>
      <c r="G3186">
        <v>44062.122210792702</v>
      </c>
      <c r="H3186">
        <v>1.1645121E-2</v>
      </c>
      <c r="I3186">
        <v>11000</v>
      </c>
      <c r="J3186">
        <v>2768</v>
      </c>
      <c r="K3186">
        <v>8232</v>
      </c>
      <c r="L3186">
        <v>500</v>
      </c>
      <c r="M3186">
        <v>499</v>
      </c>
      <c r="N3186">
        <v>1</v>
      </c>
      <c r="O3186">
        <v>0</v>
      </c>
      <c r="P3186" s="3" t="s">
        <v>52</v>
      </c>
      <c r="Q3186">
        <v>50</v>
      </c>
      <c r="R3186">
        <v>0.999</v>
      </c>
      <c r="S3186">
        <v>0</v>
      </c>
    </row>
    <row r="3187" spans="1:19" x14ac:dyDescent="0.2">
      <c r="A3187" s="3" t="s">
        <v>54</v>
      </c>
      <c r="B3187" s="3" t="s">
        <v>55</v>
      </c>
      <c r="C3187">
        <v>34</v>
      </c>
      <c r="D3187">
        <v>10000</v>
      </c>
      <c r="E3187">
        <v>499</v>
      </c>
      <c r="F3187">
        <v>1</v>
      </c>
      <c r="G3187">
        <v>39482.677260513999</v>
      </c>
      <c r="H3187">
        <v>1.1641564E-2</v>
      </c>
      <c r="I3187">
        <v>10000</v>
      </c>
      <c r="J3187">
        <v>2727</v>
      </c>
      <c r="K3187">
        <v>7273</v>
      </c>
      <c r="L3187">
        <v>500</v>
      </c>
      <c r="M3187">
        <v>499</v>
      </c>
      <c r="N3187">
        <v>1</v>
      </c>
      <c r="O3187">
        <v>0</v>
      </c>
      <c r="P3187" s="3" t="s">
        <v>52</v>
      </c>
      <c r="Q3187">
        <v>50</v>
      </c>
      <c r="R3187">
        <v>0.999</v>
      </c>
      <c r="S3187">
        <v>0</v>
      </c>
    </row>
    <row r="3188" spans="1:19" x14ac:dyDescent="0.2">
      <c r="A3188" s="3" t="s">
        <v>54</v>
      </c>
      <c r="B3188" s="3" t="s">
        <v>55</v>
      </c>
      <c r="C3188">
        <v>1</v>
      </c>
      <c r="D3188">
        <v>11000</v>
      </c>
      <c r="E3188">
        <v>499</v>
      </c>
      <c r="F3188">
        <v>1</v>
      </c>
      <c r="G3188">
        <v>44062.122210792702</v>
      </c>
      <c r="H3188">
        <v>1.1639584E-2</v>
      </c>
      <c r="I3188">
        <v>11000</v>
      </c>
      <c r="J3188">
        <v>2768</v>
      </c>
      <c r="K3188">
        <v>8232</v>
      </c>
      <c r="L3188">
        <v>500</v>
      </c>
      <c r="M3188">
        <v>499</v>
      </c>
      <c r="N3188">
        <v>1</v>
      </c>
      <c r="O3188">
        <v>0</v>
      </c>
      <c r="P3188" s="3" t="s">
        <v>52</v>
      </c>
      <c r="Q3188">
        <v>50</v>
      </c>
      <c r="R3188">
        <v>0.999</v>
      </c>
      <c r="S3188">
        <v>0</v>
      </c>
    </row>
    <row r="3189" spans="1:19" x14ac:dyDescent="0.2">
      <c r="A3189" s="3" t="s">
        <v>54</v>
      </c>
      <c r="B3189" s="3" t="s">
        <v>55</v>
      </c>
      <c r="C3189">
        <v>42</v>
      </c>
      <c r="D3189">
        <v>10000</v>
      </c>
      <c r="E3189">
        <v>499</v>
      </c>
      <c r="F3189">
        <v>1</v>
      </c>
      <c r="G3189">
        <v>39482.677260513999</v>
      </c>
      <c r="H3189">
        <v>1.1636514000000001E-2</v>
      </c>
      <c r="I3189">
        <v>10000</v>
      </c>
      <c r="J3189">
        <v>2682</v>
      </c>
      <c r="K3189">
        <v>7318</v>
      </c>
      <c r="L3189">
        <v>500</v>
      </c>
      <c r="M3189">
        <v>499</v>
      </c>
      <c r="N3189">
        <v>1</v>
      </c>
      <c r="O3189">
        <v>0</v>
      </c>
      <c r="P3189" s="3" t="s">
        <v>52</v>
      </c>
      <c r="Q3189">
        <v>50</v>
      </c>
      <c r="R3189">
        <v>0.999</v>
      </c>
      <c r="S3189">
        <v>0</v>
      </c>
    </row>
    <row r="3190" spans="1:19" x14ac:dyDescent="0.2">
      <c r="A3190" s="3" t="s">
        <v>54</v>
      </c>
      <c r="B3190" s="3" t="s">
        <v>55</v>
      </c>
      <c r="C3190">
        <v>48</v>
      </c>
      <c r="D3190">
        <v>11000</v>
      </c>
      <c r="E3190">
        <v>499</v>
      </c>
      <c r="F3190">
        <v>1</v>
      </c>
      <c r="G3190">
        <v>44062.122210792702</v>
      </c>
      <c r="H3190">
        <v>1.1635046E-2</v>
      </c>
      <c r="I3190">
        <v>11000</v>
      </c>
      <c r="J3190">
        <v>2740</v>
      </c>
      <c r="K3190">
        <v>8260</v>
      </c>
      <c r="L3190">
        <v>500</v>
      </c>
      <c r="M3190">
        <v>499</v>
      </c>
      <c r="N3190">
        <v>1</v>
      </c>
      <c r="O3190">
        <v>0</v>
      </c>
      <c r="P3190" s="3" t="s">
        <v>52</v>
      </c>
      <c r="Q3190">
        <v>50</v>
      </c>
      <c r="R3190">
        <v>0.999</v>
      </c>
      <c r="S3190">
        <v>0</v>
      </c>
    </row>
    <row r="3191" spans="1:19" x14ac:dyDescent="0.2">
      <c r="A3191" s="3" t="s">
        <v>54</v>
      </c>
      <c r="B3191" s="3" t="s">
        <v>55</v>
      </c>
      <c r="C3191">
        <v>41</v>
      </c>
      <c r="D3191">
        <v>10000</v>
      </c>
      <c r="E3191">
        <v>499</v>
      </c>
      <c r="F3191">
        <v>1</v>
      </c>
      <c r="G3191">
        <v>39482.677260513999</v>
      </c>
      <c r="H3191">
        <v>1.1631295999999999E-2</v>
      </c>
      <c r="I3191">
        <v>10000</v>
      </c>
      <c r="J3191">
        <v>2677</v>
      </c>
      <c r="K3191">
        <v>7323</v>
      </c>
      <c r="L3191">
        <v>500</v>
      </c>
      <c r="M3191">
        <v>499</v>
      </c>
      <c r="N3191">
        <v>1</v>
      </c>
      <c r="O3191">
        <v>0</v>
      </c>
      <c r="P3191" s="3" t="s">
        <v>52</v>
      </c>
      <c r="Q3191">
        <v>50</v>
      </c>
      <c r="R3191">
        <v>0.999</v>
      </c>
      <c r="S3191">
        <v>0</v>
      </c>
    </row>
    <row r="3192" spans="1:19" x14ac:dyDescent="0.2">
      <c r="A3192" s="3" t="s">
        <v>54</v>
      </c>
      <c r="B3192" s="3" t="s">
        <v>55</v>
      </c>
      <c r="C3192">
        <v>47</v>
      </c>
      <c r="D3192">
        <v>11000</v>
      </c>
      <c r="E3192">
        <v>499</v>
      </c>
      <c r="F3192">
        <v>1</v>
      </c>
      <c r="G3192">
        <v>44062.122210792702</v>
      </c>
      <c r="H3192">
        <v>1.1625092E-2</v>
      </c>
      <c r="I3192">
        <v>11000</v>
      </c>
      <c r="J3192">
        <v>2749</v>
      </c>
      <c r="K3192">
        <v>8251</v>
      </c>
      <c r="L3192">
        <v>500</v>
      </c>
      <c r="M3192">
        <v>499</v>
      </c>
      <c r="N3192">
        <v>1</v>
      </c>
      <c r="O3192">
        <v>0</v>
      </c>
      <c r="P3192" s="3" t="s">
        <v>52</v>
      </c>
      <c r="Q3192">
        <v>50</v>
      </c>
      <c r="R3192">
        <v>0.999</v>
      </c>
      <c r="S3192">
        <v>0</v>
      </c>
    </row>
    <row r="3193" spans="1:19" x14ac:dyDescent="0.2">
      <c r="A3193" s="3" t="s">
        <v>54</v>
      </c>
      <c r="B3193" s="3" t="s">
        <v>55</v>
      </c>
      <c r="C3193">
        <v>8</v>
      </c>
      <c r="D3193">
        <v>12000</v>
      </c>
      <c r="E3193">
        <v>499</v>
      </c>
      <c r="F3193">
        <v>1</v>
      </c>
      <c r="G3193">
        <v>50533.323552418398</v>
      </c>
      <c r="H3193">
        <v>1.1623919999999999E-2</v>
      </c>
      <c r="I3193">
        <v>12000</v>
      </c>
      <c r="J3193">
        <v>3639</v>
      </c>
      <c r="K3193">
        <v>8361</v>
      </c>
      <c r="L3193">
        <v>500</v>
      </c>
      <c r="M3193">
        <v>499</v>
      </c>
      <c r="N3193">
        <v>1</v>
      </c>
      <c r="O3193">
        <v>0</v>
      </c>
      <c r="P3193" s="3" t="s">
        <v>52</v>
      </c>
      <c r="Q3193">
        <v>50</v>
      </c>
      <c r="R3193">
        <v>0.999</v>
      </c>
      <c r="S3193">
        <v>0</v>
      </c>
    </row>
    <row r="3194" spans="1:19" x14ac:dyDescent="0.2">
      <c r="A3194" s="3" t="s">
        <v>54</v>
      </c>
      <c r="B3194" s="3" t="s">
        <v>55</v>
      </c>
      <c r="C3194">
        <v>26</v>
      </c>
      <c r="D3194">
        <v>11000</v>
      </c>
      <c r="E3194">
        <v>499</v>
      </c>
      <c r="F3194">
        <v>1</v>
      </c>
      <c r="G3194">
        <v>44062.122210792702</v>
      </c>
      <c r="H3194">
        <v>1.1623606E-2</v>
      </c>
      <c r="I3194">
        <v>11000</v>
      </c>
      <c r="J3194">
        <v>2771</v>
      </c>
      <c r="K3194">
        <v>8229</v>
      </c>
      <c r="L3194">
        <v>500</v>
      </c>
      <c r="M3194">
        <v>499</v>
      </c>
      <c r="N3194">
        <v>1</v>
      </c>
      <c r="O3194">
        <v>0</v>
      </c>
      <c r="P3194" s="3" t="s">
        <v>52</v>
      </c>
      <c r="Q3194">
        <v>50</v>
      </c>
      <c r="R3194">
        <v>0.999</v>
      </c>
      <c r="S3194">
        <v>0</v>
      </c>
    </row>
    <row r="3195" spans="1:19" x14ac:dyDescent="0.2">
      <c r="A3195" s="3" t="s">
        <v>54</v>
      </c>
      <c r="B3195" s="3" t="s">
        <v>55</v>
      </c>
      <c r="C3195">
        <v>3</v>
      </c>
      <c r="D3195">
        <v>11000</v>
      </c>
      <c r="E3195">
        <v>499</v>
      </c>
      <c r="F3195">
        <v>1</v>
      </c>
      <c r="G3195">
        <v>11000</v>
      </c>
      <c r="H3195">
        <v>1.1618758E-2</v>
      </c>
      <c r="I3195">
        <v>11000</v>
      </c>
      <c r="J3195">
        <v>2809</v>
      </c>
      <c r="K3195">
        <v>8191</v>
      </c>
      <c r="L3195">
        <v>500</v>
      </c>
      <c r="M3195">
        <v>499</v>
      </c>
      <c r="N3195">
        <v>1</v>
      </c>
      <c r="O3195">
        <v>0</v>
      </c>
      <c r="P3195" s="3" t="s">
        <v>52</v>
      </c>
      <c r="Q3195">
        <v>50</v>
      </c>
      <c r="R3195">
        <v>0.999</v>
      </c>
      <c r="S3195">
        <v>1</v>
      </c>
    </row>
    <row r="3196" spans="1:19" x14ac:dyDescent="0.2">
      <c r="A3196" s="3" t="s">
        <v>54</v>
      </c>
      <c r="B3196" s="3" t="s">
        <v>55</v>
      </c>
      <c r="C3196">
        <v>44</v>
      </c>
      <c r="D3196">
        <v>11000</v>
      </c>
      <c r="E3196">
        <v>499</v>
      </c>
      <c r="F3196">
        <v>1</v>
      </c>
      <c r="G3196">
        <v>44062.122210792702</v>
      </c>
      <c r="H3196">
        <v>1.1617511000000001E-2</v>
      </c>
      <c r="I3196">
        <v>11000</v>
      </c>
      <c r="J3196">
        <v>2752</v>
      </c>
      <c r="K3196">
        <v>8248</v>
      </c>
      <c r="L3196">
        <v>500</v>
      </c>
      <c r="M3196">
        <v>499</v>
      </c>
      <c r="N3196">
        <v>1</v>
      </c>
      <c r="O3196">
        <v>0</v>
      </c>
      <c r="P3196" s="3" t="s">
        <v>52</v>
      </c>
      <c r="Q3196">
        <v>50</v>
      </c>
      <c r="R3196">
        <v>0.999</v>
      </c>
      <c r="S3196">
        <v>0</v>
      </c>
    </row>
    <row r="3197" spans="1:19" x14ac:dyDescent="0.2">
      <c r="A3197" s="3" t="s">
        <v>54</v>
      </c>
      <c r="B3197" s="3" t="s">
        <v>55</v>
      </c>
      <c r="C3197">
        <v>49</v>
      </c>
      <c r="D3197">
        <v>10000</v>
      </c>
      <c r="E3197">
        <v>499</v>
      </c>
      <c r="F3197">
        <v>1</v>
      </c>
      <c r="G3197">
        <v>39482.677260513999</v>
      </c>
      <c r="H3197">
        <v>1.1617234000000001E-2</v>
      </c>
      <c r="I3197">
        <v>10000</v>
      </c>
      <c r="J3197">
        <v>2687</v>
      </c>
      <c r="K3197">
        <v>7313</v>
      </c>
      <c r="L3197">
        <v>500</v>
      </c>
      <c r="M3197">
        <v>499</v>
      </c>
      <c r="N3197">
        <v>1</v>
      </c>
      <c r="O3197">
        <v>0</v>
      </c>
      <c r="P3197" s="3" t="s">
        <v>52</v>
      </c>
      <c r="Q3197">
        <v>50</v>
      </c>
      <c r="R3197">
        <v>0.999</v>
      </c>
      <c r="S3197">
        <v>0</v>
      </c>
    </row>
    <row r="3198" spans="1:19" x14ac:dyDescent="0.2">
      <c r="A3198" s="3" t="s">
        <v>54</v>
      </c>
      <c r="B3198" s="3" t="s">
        <v>55</v>
      </c>
      <c r="C3198">
        <v>4</v>
      </c>
      <c r="D3198">
        <v>12000</v>
      </c>
      <c r="E3198">
        <v>499</v>
      </c>
      <c r="F3198">
        <v>1</v>
      </c>
      <c r="G3198">
        <v>50533.323552418398</v>
      </c>
      <c r="H3198">
        <v>1.1614238000000001E-2</v>
      </c>
      <c r="I3198">
        <v>12000</v>
      </c>
      <c r="J3198">
        <v>3610</v>
      </c>
      <c r="K3198">
        <v>8390</v>
      </c>
      <c r="L3198">
        <v>500</v>
      </c>
      <c r="M3198">
        <v>499</v>
      </c>
      <c r="N3198">
        <v>1</v>
      </c>
      <c r="O3198">
        <v>0</v>
      </c>
      <c r="P3198" s="3" t="s">
        <v>52</v>
      </c>
      <c r="Q3198">
        <v>50</v>
      </c>
      <c r="R3198">
        <v>0.999</v>
      </c>
      <c r="S3198">
        <v>0</v>
      </c>
    </row>
    <row r="3199" spans="1:19" x14ac:dyDescent="0.2">
      <c r="A3199" s="3" t="s">
        <v>54</v>
      </c>
      <c r="B3199" s="3" t="s">
        <v>55</v>
      </c>
      <c r="C3199">
        <v>28</v>
      </c>
      <c r="D3199">
        <v>11000</v>
      </c>
      <c r="E3199">
        <v>499</v>
      </c>
      <c r="F3199">
        <v>1</v>
      </c>
      <c r="G3199">
        <v>44062.122210792702</v>
      </c>
      <c r="H3199">
        <v>1.1612689000000001E-2</v>
      </c>
      <c r="I3199">
        <v>11000</v>
      </c>
      <c r="J3199">
        <v>2754</v>
      </c>
      <c r="K3199">
        <v>8246</v>
      </c>
      <c r="L3199">
        <v>500</v>
      </c>
      <c r="M3199">
        <v>499</v>
      </c>
      <c r="N3199">
        <v>1</v>
      </c>
      <c r="O3199">
        <v>0</v>
      </c>
      <c r="P3199" s="3" t="s">
        <v>52</v>
      </c>
      <c r="Q3199">
        <v>50</v>
      </c>
      <c r="R3199">
        <v>0.999</v>
      </c>
      <c r="S3199">
        <v>0</v>
      </c>
    </row>
    <row r="3200" spans="1:19" x14ac:dyDescent="0.2">
      <c r="A3200" s="3" t="s">
        <v>54</v>
      </c>
      <c r="B3200" s="3" t="s">
        <v>55</v>
      </c>
      <c r="C3200">
        <v>3</v>
      </c>
      <c r="D3200">
        <v>12000</v>
      </c>
      <c r="E3200">
        <v>499</v>
      </c>
      <c r="F3200">
        <v>1</v>
      </c>
      <c r="G3200">
        <v>50533.323552418398</v>
      </c>
      <c r="H3200">
        <v>1.1612137999999999E-2</v>
      </c>
      <c r="I3200">
        <v>12000</v>
      </c>
      <c r="J3200">
        <v>3650</v>
      </c>
      <c r="K3200">
        <v>8350</v>
      </c>
      <c r="L3200">
        <v>500</v>
      </c>
      <c r="M3200">
        <v>499</v>
      </c>
      <c r="N3200">
        <v>1</v>
      </c>
      <c r="O3200">
        <v>0</v>
      </c>
      <c r="P3200" s="3" t="s">
        <v>52</v>
      </c>
      <c r="Q3200">
        <v>50</v>
      </c>
      <c r="R3200">
        <v>0.999</v>
      </c>
      <c r="S3200">
        <v>0</v>
      </c>
    </row>
    <row r="3201" spans="1:19" x14ac:dyDescent="0.2">
      <c r="A3201" s="3" t="s">
        <v>54</v>
      </c>
      <c r="B3201" s="3" t="s">
        <v>55</v>
      </c>
      <c r="C3201">
        <v>50</v>
      </c>
      <c r="D3201">
        <v>11000</v>
      </c>
      <c r="E3201">
        <v>499</v>
      </c>
      <c r="F3201">
        <v>1</v>
      </c>
      <c r="G3201">
        <v>11000</v>
      </c>
      <c r="H3201">
        <v>1.1609582E-2</v>
      </c>
      <c r="I3201">
        <v>11000</v>
      </c>
      <c r="J3201">
        <v>2759</v>
      </c>
      <c r="K3201">
        <v>8241</v>
      </c>
      <c r="L3201">
        <v>500</v>
      </c>
      <c r="M3201">
        <v>499</v>
      </c>
      <c r="N3201">
        <v>1</v>
      </c>
      <c r="O3201">
        <v>0</v>
      </c>
      <c r="P3201" s="3" t="s">
        <v>52</v>
      </c>
      <c r="Q3201">
        <v>50</v>
      </c>
      <c r="R3201">
        <v>0.999</v>
      </c>
      <c r="S3201">
        <v>1</v>
      </c>
    </row>
    <row r="3202" spans="1:19" x14ac:dyDescent="0.2">
      <c r="A3202" s="3" t="s">
        <v>54</v>
      </c>
      <c r="B3202" s="3" t="s">
        <v>55</v>
      </c>
      <c r="C3202">
        <v>18</v>
      </c>
      <c r="D3202">
        <v>10000</v>
      </c>
      <c r="E3202">
        <v>499</v>
      </c>
      <c r="F3202">
        <v>1</v>
      </c>
      <c r="G3202">
        <v>10000</v>
      </c>
      <c r="H3202">
        <v>1.1609288000000001E-2</v>
      </c>
      <c r="I3202">
        <v>10000</v>
      </c>
      <c r="J3202">
        <v>2691</v>
      </c>
      <c r="K3202">
        <v>7309</v>
      </c>
      <c r="L3202">
        <v>500</v>
      </c>
      <c r="M3202">
        <v>499</v>
      </c>
      <c r="N3202">
        <v>1</v>
      </c>
      <c r="O3202">
        <v>0</v>
      </c>
      <c r="P3202" s="3" t="s">
        <v>52</v>
      </c>
      <c r="Q3202">
        <v>50</v>
      </c>
      <c r="R3202">
        <v>0.999</v>
      </c>
      <c r="S3202">
        <v>1</v>
      </c>
    </row>
    <row r="3203" spans="1:19" x14ac:dyDescent="0.2">
      <c r="A3203" s="3" t="s">
        <v>54</v>
      </c>
      <c r="B3203" s="3" t="s">
        <v>55</v>
      </c>
      <c r="C3203">
        <v>15</v>
      </c>
      <c r="D3203">
        <v>12000</v>
      </c>
      <c r="E3203">
        <v>499</v>
      </c>
      <c r="F3203">
        <v>1</v>
      </c>
      <c r="G3203">
        <v>50533.323552418398</v>
      </c>
      <c r="H3203">
        <v>1.1608967E-2</v>
      </c>
      <c r="I3203">
        <v>12000</v>
      </c>
      <c r="J3203">
        <v>3603</v>
      </c>
      <c r="K3203">
        <v>8397</v>
      </c>
      <c r="L3203">
        <v>500</v>
      </c>
      <c r="M3203">
        <v>499</v>
      </c>
      <c r="N3203">
        <v>1</v>
      </c>
      <c r="O3203">
        <v>0</v>
      </c>
      <c r="P3203" s="3" t="s">
        <v>52</v>
      </c>
      <c r="Q3203">
        <v>50</v>
      </c>
      <c r="R3203">
        <v>0.999</v>
      </c>
      <c r="S3203">
        <v>0</v>
      </c>
    </row>
    <row r="3204" spans="1:19" x14ac:dyDescent="0.2">
      <c r="A3204" s="3" t="s">
        <v>54</v>
      </c>
      <c r="B3204" s="3" t="s">
        <v>55</v>
      </c>
      <c r="C3204">
        <v>26</v>
      </c>
      <c r="D3204">
        <v>11000</v>
      </c>
      <c r="E3204">
        <v>499</v>
      </c>
      <c r="F3204">
        <v>1</v>
      </c>
      <c r="G3204">
        <v>11000</v>
      </c>
      <c r="H3204">
        <v>1.1601102E-2</v>
      </c>
      <c r="I3204">
        <v>11000</v>
      </c>
      <c r="J3204">
        <v>2776</v>
      </c>
      <c r="K3204">
        <v>8224</v>
      </c>
      <c r="L3204">
        <v>500</v>
      </c>
      <c r="M3204">
        <v>499</v>
      </c>
      <c r="N3204">
        <v>1</v>
      </c>
      <c r="O3204">
        <v>0</v>
      </c>
      <c r="P3204" s="3" t="s">
        <v>52</v>
      </c>
      <c r="Q3204">
        <v>50</v>
      </c>
      <c r="R3204">
        <v>0.999</v>
      </c>
      <c r="S3204">
        <v>1</v>
      </c>
    </row>
    <row r="3205" spans="1:19" x14ac:dyDescent="0.2">
      <c r="A3205" s="3" t="s">
        <v>54</v>
      </c>
      <c r="B3205" s="3" t="s">
        <v>55</v>
      </c>
      <c r="C3205">
        <v>41</v>
      </c>
      <c r="D3205">
        <v>10000</v>
      </c>
      <c r="E3205">
        <v>499</v>
      </c>
      <c r="F3205">
        <v>1</v>
      </c>
      <c r="G3205">
        <v>10000</v>
      </c>
      <c r="H3205">
        <v>1.1599764E-2</v>
      </c>
      <c r="I3205">
        <v>10000</v>
      </c>
      <c r="J3205">
        <v>2724</v>
      </c>
      <c r="K3205">
        <v>7276</v>
      </c>
      <c r="L3205">
        <v>500</v>
      </c>
      <c r="M3205">
        <v>499</v>
      </c>
      <c r="N3205">
        <v>1</v>
      </c>
      <c r="O3205">
        <v>0</v>
      </c>
      <c r="P3205" s="3" t="s">
        <v>52</v>
      </c>
      <c r="Q3205">
        <v>50</v>
      </c>
      <c r="R3205">
        <v>0.999</v>
      </c>
      <c r="S3205">
        <v>1</v>
      </c>
    </row>
    <row r="3206" spans="1:19" x14ac:dyDescent="0.2">
      <c r="A3206" s="3" t="s">
        <v>54</v>
      </c>
      <c r="B3206" s="3" t="s">
        <v>55</v>
      </c>
      <c r="C3206">
        <v>4</v>
      </c>
      <c r="D3206">
        <v>12000</v>
      </c>
      <c r="E3206">
        <v>499</v>
      </c>
      <c r="F3206">
        <v>1</v>
      </c>
      <c r="G3206">
        <v>12000</v>
      </c>
      <c r="H3206">
        <v>1.1598949000000001E-2</v>
      </c>
      <c r="I3206">
        <v>12000</v>
      </c>
      <c r="J3206">
        <v>3611</v>
      </c>
      <c r="K3206">
        <v>8389</v>
      </c>
      <c r="L3206">
        <v>500</v>
      </c>
      <c r="M3206">
        <v>499</v>
      </c>
      <c r="N3206">
        <v>1</v>
      </c>
      <c r="O3206">
        <v>0</v>
      </c>
      <c r="P3206" s="3" t="s">
        <v>52</v>
      </c>
      <c r="Q3206">
        <v>50</v>
      </c>
      <c r="R3206">
        <v>0.999</v>
      </c>
      <c r="S3206">
        <v>1</v>
      </c>
    </row>
    <row r="3207" spans="1:19" x14ac:dyDescent="0.2">
      <c r="A3207" s="3" t="s">
        <v>54</v>
      </c>
      <c r="B3207" s="3" t="s">
        <v>55</v>
      </c>
      <c r="C3207">
        <v>14</v>
      </c>
      <c r="D3207">
        <v>11000</v>
      </c>
      <c r="E3207">
        <v>499</v>
      </c>
      <c r="F3207">
        <v>1</v>
      </c>
      <c r="G3207">
        <v>11000</v>
      </c>
      <c r="H3207">
        <v>1.1598885E-2</v>
      </c>
      <c r="I3207">
        <v>11000</v>
      </c>
      <c r="J3207">
        <v>2786</v>
      </c>
      <c r="K3207">
        <v>8214</v>
      </c>
      <c r="L3207">
        <v>500</v>
      </c>
      <c r="M3207">
        <v>499</v>
      </c>
      <c r="N3207">
        <v>1</v>
      </c>
      <c r="O3207">
        <v>0</v>
      </c>
      <c r="P3207" s="3" t="s">
        <v>52</v>
      </c>
      <c r="Q3207">
        <v>50</v>
      </c>
      <c r="R3207">
        <v>0.999</v>
      </c>
      <c r="S3207">
        <v>1</v>
      </c>
    </row>
    <row r="3208" spans="1:19" x14ac:dyDescent="0.2">
      <c r="A3208" s="3" t="s">
        <v>54</v>
      </c>
      <c r="B3208" s="3" t="s">
        <v>55</v>
      </c>
      <c r="C3208">
        <v>48</v>
      </c>
      <c r="D3208">
        <v>12000</v>
      </c>
      <c r="E3208">
        <v>499</v>
      </c>
      <c r="F3208">
        <v>1</v>
      </c>
      <c r="G3208">
        <v>50533.323552418398</v>
      </c>
      <c r="H3208">
        <v>1.159486E-2</v>
      </c>
      <c r="I3208">
        <v>12000</v>
      </c>
      <c r="J3208">
        <v>3606</v>
      </c>
      <c r="K3208">
        <v>8394</v>
      </c>
      <c r="L3208">
        <v>500</v>
      </c>
      <c r="M3208">
        <v>499</v>
      </c>
      <c r="N3208">
        <v>1</v>
      </c>
      <c r="O3208">
        <v>0</v>
      </c>
      <c r="P3208" s="3" t="s">
        <v>52</v>
      </c>
      <c r="Q3208">
        <v>50</v>
      </c>
      <c r="R3208">
        <v>0.999</v>
      </c>
      <c r="S3208">
        <v>0</v>
      </c>
    </row>
    <row r="3209" spans="1:19" x14ac:dyDescent="0.2">
      <c r="A3209" s="3" t="s">
        <v>54</v>
      </c>
      <c r="B3209" s="3" t="s">
        <v>55</v>
      </c>
      <c r="C3209">
        <v>22</v>
      </c>
      <c r="D3209">
        <v>10000</v>
      </c>
      <c r="E3209">
        <v>499</v>
      </c>
      <c r="F3209">
        <v>1</v>
      </c>
      <c r="G3209">
        <v>10000</v>
      </c>
      <c r="H3209">
        <v>1.1594043E-2</v>
      </c>
      <c r="I3209">
        <v>10000</v>
      </c>
      <c r="J3209">
        <v>2713</v>
      </c>
      <c r="K3209">
        <v>7287</v>
      </c>
      <c r="L3209">
        <v>500</v>
      </c>
      <c r="M3209">
        <v>499</v>
      </c>
      <c r="N3209">
        <v>1</v>
      </c>
      <c r="O3209">
        <v>0</v>
      </c>
      <c r="P3209" s="3" t="s">
        <v>52</v>
      </c>
      <c r="Q3209">
        <v>50</v>
      </c>
      <c r="R3209">
        <v>0.999</v>
      </c>
      <c r="S3209">
        <v>1</v>
      </c>
    </row>
    <row r="3210" spans="1:19" x14ac:dyDescent="0.2">
      <c r="A3210" s="3" t="s">
        <v>54</v>
      </c>
      <c r="B3210" s="3" t="s">
        <v>55</v>
      </c>
      <c r="C3210">
        <v>27</v>
      </c>
      <c r="D3210">
        <v>12000</v>
      </c>
      <c r="E3210">
        <v>499</v>
      </c>
      <c r="F3210">
        <v>1</v>
      </c>
      <c r="G3210">
        <v>50533.323552418398</v>
      </c>
      <c r="H3210">
        <v>1.1593467E-2</v>
      </c>
      <c r="I3210">
        <v>12000</v>
      </c>
      <c r="J3210">
        <v>3640</v>
      </c>
      <c r="K3210">
        <v>8360</v>
      </c>
      <c r="L3210">
        <v>500</v>
      </c>
      <c r="M3210">
        <v>499</v>
      </c>
      <c r="N3210">
        <v>1</v>
      </c>
      <c r="O3210">
        <v>0</v>
      </c>
      <c r="P3210" s="3" t="s">
        <v>52</v>
      </c>
      <c r="Q3210">
        <v>50</v>
      </c>
      <c r="R3210">
        <v>0.999</v>
      </c>
      <c r="S3210">
        <v>0</v>
      </c>
    </row>
    <row r="3211" spans="1:19" x14ac:dyDescent="0.2">
      <c r="A3211" s="3" t="s">
        <v>54</v>
      </c>
      <c r="B3211" s="3" t="s">
        <v>55</v>
      </c>
      <c r="C3211">
        <v>23</v>
      </c>
      <c r="D3211">
        <v>10000</v>
      </c>
      <c r="E3211">
        <v>499</v>
      </c>
      <c r="F3211">
        <v>1</v>
      </c>
      <c r="G3211">
        <v>39482.677260513999</v>
      </c>
      <c r="H3211">
        <v>1.1592521999999999E-2</v>
      </c>
      <c r="I3211">
        <v>10000</v>
      </c>
      <c r="J3211">
        <v>2675</v>
      </c>
      <c r="K3211">
        <v>7325</v>
      </c>
      <c r="L3211">
        <v>500</v>
      </c>
      <c r="M3211">
        <v>499</v>
      </c>
      <c r="N3211">
        <v>1</v>
      </c>
      <c r="O3211">
        <v>0</v>
      </c>
      <c r="P3211" s="3" t="s">
        <v>52</v>
      </c>
      <c r="Q3211">
        <v>50</v>
      </c>
      <c r="R3211">
        <v>0.999</v>
      </c>
      <c r="S3211">
        <v>0</v>
      </c>
    </row>
    <row r="3212" spans="1:19" x14ac:dyDescent="0.2">
      <c r="A3212" s="3" t="s">
        <v>54</v>
      </c>
      <c r="B3212" s="3" t="s">
        <v>55</v>
      </c>
      <c r="C3212">
        <v>20</v>
      </c>
      <c r="D3212">
        <v>10000</v>
      </c>
      <c r="E3212">
        <v>499</v>
      </c>
      <c r="F3212">
        <v>1</v>
      </c>
      <c r="G3212">
        <v>10000</v>
      </c>
      <c r="H3212">
        <v>1.158825E-2</v>
      </c>
      <c r="I3212">
        <v>10000</v>
      </c>
      <c r="J3212">
        <v>2676</v>
      </c>
      <c r="K3212">
        <v>7324</v>
      </c>
      <c r="L3212">
        <v>500</v>
      </c>
      <c r="M3212">
        <v>499</v>
      </c>
      <c r="N3212">
        <v>1</v>
      </c>
      <c r="O3212">
        <v>0</v>
      </c>
      <c r="P3212" s="3" t="s">
        <v>52</v>
      </c>
      <c r="Q3212">
        <v>50</v>
      </c>
      <c r="R3212">
        <v>0.999</v>
      </c>
      <c r="S3212">
        <v>1</v>
      </c>
    </row>
    <row r="3213" spans="1:19" x14ac:dyDescent="0.2">
      <c r="A3213" s="3" t="s">
        <v>54</v>
      </c>
      <c r="B3213" s="3" t="s">
        <v>55</v>
      </c>
      <c r="C3213">
        <v>40</v>
      </c>
      <c r="D3213">
        <v>10000</v>
      </c>
      <c r="E3213">
        <v>499</v>
      </c>
      <c r="F3213">
        <v>1</v>
      </c>
      <c r="G3213">
        <v>39482.677260513999</v>
      </c>
      <c r="H3213">
        <v>1.158671E-2</v>
      </c>
      <c r="I3213">
        <v>10000</v>
      </c>
      <c r="J3213">
        <v>2670</v>
      </c>
      <c r="K3213">
        <v>7330</v>
      </c>
      <c r="L3213">
        <v>500</v>
      </c>
      <c r="M3213">
        <v>499</v>
      </c>
      <c r="N3213">
        <v>1</v>
      </c>
      <c r="O3213">
        <v>0</v>
      </c>
      <c r="P3213" s="3" t="s">
        <v>52</v>
      </c>
      <c r="Q3213">
        <v>50</v>
      </c>
      <c r="R3213">
        <v>0.999</v>
      </c>
      <c r="S3213">
        <v>0</v>
      </c>
    </row>
    <row r="3214" spans="1:19" x14ac:dyDescent="0.2">
      <c r="A3214" s="3" t="s">
        <v>54</v>
      </c>
      <c r="B3214" s="3" t="s">
        <v>55</v>
      </c>
      <c r="C3214">
        <v>5</v>
      </c>
      <c r="D3214">
        <v>12000</v>
      </c>
      <c r="E3214">
        <v>499</v>
      </c>
      <c r="F3214">
        <v>1</v>
      </c>
      <c r="G3214">
        <v>50533.323552418398</v>
      </c>
      <c r="H3214">
        <v>1.1585006E-2</v>
      </c>
      <c r="I3214">
        <v>12000</v>
      </c>
      <c r="J3214">
        <v>3627</v>
      </c>
      <c r="K3214">
        <v>8373</v>
      </c>
      <c r="L3214">
        <v>500</v>
      </c>
      <c r="M3214">
        <v>499</v>
      </c>
      <c r="N3214">
        <v>1</v>
      </c>
      <c r="O3214">
        <v>0</v>
      </c>
      <c r="P3214" s="3" t="s">
        <v>52</v>
      </c>
      <c r="Q3214">
        <v>50</v>
      </c>
      <c r="R3214">
        <v>0.999</v>
      </c>
      <c r="S3214">
        <v>0</v>
      </c>
    </row>
    <row r="3215" spans="1:19" x14ac:dyDescent="0.2">
      <c r="A3215" s="3" t="s">
        <v>54</v>
      </c>
      <c r="B3215" s="3" t="s">
        <v>55</v>
      </c>
      <c r="C3215">
        <v>27</v>
      </c>
      <c r="D3215">
        <v>10000</v>
      </c>
      <c r="E3215">
        <v>499</v>
      </c>
      <c r="F3215">
        <v>1</v>
      </c>
      <c r="G3215">
        <v>39482.677260513999</v>
      </c>
      <c r="H3215">
        <v>1.1582202E-2</v>
      </c>
      <c r="I3215">
        <v>10000</v>
      </c>
      <c r="J3215">
        <v>2693</v>
      </c>
      <c r="K3215">
        <v>7307</v>
      </c>
      <c r="L3215">
        <v>500</v>
      </c>
      <c r="M3215">
        <v>499</v>
      </c>
      <c r="N3215">
        <v>1</v>
      </c>
      <c r="O3215">
        <v>0</v>
      </c>
      <c r="P3215" s="3" t="s">
        <v>52</v>
      </c>
      <c r="Q3215">
        <v>50</v>
      </c>
      <c r="R3215">
        <v>0.999</v>
      </c>
      <c r="S3215">
        <v>0</v>
      </c>
    </row>
    <row r="3216" spans="1:19" x14ac:dyDescent="0.2">
      <c r="A3216" s="3" t="s">
        <v>54</v>
      </c>
      <c r="B3216" s="3" t="s">
        <v>55</v>
      </c>
      <c r="C3216">
        <v>23</v>
      </c>
      <c r="D3216">
        <v>11000</v>
      </c>
      <c r="E3216">
        <v>499</v>
      </c>
      <c r="F3216">
        <v>1</v>
      </c>
      <c r="G3216">
        <v>44062.122210792702</v>
      </c>
      <c r="H3216">
        <v>1.1581292E-2</v>
      </c>
      <c r="I3216">
        <v>11000</v>
      </c>
      <c r="J3216">
        <v>2731</v>
      </c>
      <c r="K3216">
        <v>8269</v>
      </c>
      <c r="L3216">
        <v>500</v>
      </c>
      <c r="M3216">
        <v>499</v>
      </c>
      <c r="N3216">
        <v>1</v>
      </c>
      <c r="O3216">
        <v>0</v>
      </c>
      <c r="P3216" s="3" t="s">
        <v>52</v>
      </c>
      <c r="Q3216">
        <v>50</v>
      </c>
      <c r="R3216">
        <v>0.999</v>
      </c>
      <c r="S3216">
        <v>0</v>
      </c>
    </row>
    <row r="3217" spans="1:19" x14ac:dyDescent="0.2">
      <c r="A3217" s="3" t="s">
        <v>54</v>
      </c>
      <c r="B3217" s="3" t="s">
        <v>55</v>
      </c>
      <c r="C3217">
        <v>41</v>
      </c>
      <c r="D3217">
        <v>12000</v>
      </c>
      <c r="E3217">
        <v>499</v>
      </c>
      <c r="F3217">
        <v>1</v>
      </c>
      <c r="G3217">
        <v>50533.323552418398</v>
      </c>
      <c r="H3217">
        <v>1.158033E-2</v>
      </c>
      <c r="I3217">
        <v>12000</v>
      </c>
      <c r="J3217">
        <v>3618</v>
      </c>
      <c r="K3217">
        <v>8382</v>
      </c>
      <c r="L3217">
        <v>500</v>
      </c>
      <c r="M3217">
        <v>499</v>
      </c>
      <c r="N3217">
        <v>1</v>
      </c>
      <c r="O3217">
        <v>0</v>
      </c>
      <c r="P3217" s="3" t="s">
        <v>52</v>
      </c>
      <c r="Q3217">
        <v>50</v>
      </c>
      <c r="R3217">
        <v>0.999</v>
      </c>
      <c r="S3217">
        <v>0</v>
      </c>
    </row>
    <row r="3218" spans="1:19" x14ac:dyDescent="0.2">
      <c r="A3218" s="3" t="s">
        <v>54</v>
      </c>
      <c r="B3218" s="3" t="s">
        <v>55</v>
      </c>
      <c r="C3218">
        <v>42</v>
      </c>
      <c r="D3218">
        <v>12000</v>
      </c>
      <c r="E3218">
        <v>499</v>
      </c>
      <c r="F3218">
        <v>1</v>
      </c>
      <c r="G3218">
        <v>50533.323552418398</v>
      </c>
      <c r="H3218">
        <v>1.1576784E-2</v>
      </c>
      <c r="I3218">
        <v>12000</v>
      </c>
      <c r="J3218">
        <v>3645</v>
      </c>
      <c r="K3218">
        <v>8355</v>
      </c>
      <c r="L3218">
        <v>500</v>
      </c>
      <c r="M3218">
        <v>499</v>
      </c>
      <c r="N3218">
        <v>1</v>
      </c>
      <c r="O3218">
        <v>0</v>
      </c>
      <c r="P3218" s="3" t="s">
        <v>52</v>
      </c>
      <c r="Q3218">
        <v>50</v>
      </c>
      <c r="R3218">
        <v>0.999</v>
      </c>
      <c r="S3218">
        <v>0</v>
      </c>
    </row>
    <row r="3219" spans="1:19" x14ac:dyDescent="0.2">
      <c r="A3219" s="3" t="s">
        <v>54</v>
      </c>
      <c r="B3219" s="3" t="s">
        <v>55</v>
      </c>
      <c r="C3219">
        <v>34</v>
      </c>
      <c r="D3219">
        <v>12000</v>
      </c>
      <c r="E3219">
        <v>499</v>
      </c>
      <c r="F3219">
        <v>1</v>
      </c>
      <c r="G3219">
        <v>50533.323552418398</v>
      </c>
      <c r="H3219">
        <v>1.1576416000000001E-2</v>
      </c>
      <c r="I3219">
        <v>12000</v>
      </c>
      <c r="J3219">
        <v>3622</v>
      </c>
      <c r="K3219">
        <v>8378</v>
      </c>
      <c r="L3219">
        <v>500</v>
      </c>
      <c r="M3219">
        <v>499</v>
      </c>
      <c r="N3219">
        <v>1</v>
      </c>
      <c r="O3219">
        <v>0</v>
      </c>
      <c r="P3219" s="3" t="s">
        <v>52</v>
      </c>
      <c r="Q3219">
        <v>50</v>
      </c>
      <c r="R3219">
        <v>0.999</v>
      </c>
      <c r="S3219">
        <v>0</v>
      </c>
    </row>
    <row r="3220" spans="1:19" x14ac:dyDescent="0.2">
      <c r="A3220" s="3" t="s">
        <v>54</v>
      </c>
      <c r="B3220" s="3" t="s">
        <v>55</v>
      </c>
      <c r="C3220">
        <v>27</v>
      </c>
      <c r="D3220">
        <v>12000</v>
      </c>
      <c r="E3220">
        <v>499</v>
      </c>
      <c r="F3220">
        <v>1</v>
      </c>
      <c r="G3220">
        <v>12000</v>
      </c>
      <c r="H3220">
        <v>1.1573795E-2</v>
      </c>
      <c r="I3220">
        <v>12000</v>
      </c>
      <c r="J3220">
        <v>3583</v>
      </c>
      <c r="K3220">
        <v>8417</v>
      </c>
      <c r="L3220">
        <v>500</v>
      </c>
      <c r="M3220">
        <v>499</v>
      </c>
      <c r="N3220">
        <v>1</v>
      </c>
      <c r="O3220">
        <v>0</v>
      </c>
      <c r="P3220" s="3" t="s">
        <v>52</v>
      </c>
      <c r="Q3220">
        <v>50</v>
      </c>
      <c r="R3220">
        <v>0.999</v>
      </c>
      <c r="S3220">
        <v>1</v>
      </c>
    </row>
    <row r="3221" spans="1:19" x14ac:dyDescent="0.2">
      <c r="A3221" s="3" t="s">
        <v>54</v>
      </c>
      <c r="B3221" s="3" t="s">
        <v>55</v>
      </c>
      <c r="C3221">
        <v>17</v>
      </c>
      <c r="D3221">
        <v>12000</v>
      </c>
      <c r="E3221">
        <v>499</v>
      </c>
      <c r="F3221">
        <v>1</v>
      </c>
      <c r="G3221">
        <v>12000</v>
      </c>
      <c r="H3221">
        <v>1.1573373E-2</v>
      </c>
      <c r="I3221">
        <v>12000</v>
      </c>
      <c r="J3221">
        <v>3619</v>
      </c>
      <c r="K3221">
        <v>8381</v>
      </c>
      <c r="L3221">
        <v>500</v>
      </c>
      <c r="M3221">
        <v>499</v>
      </c>
      <c r="N3221">
        <v>1</v>
      </c>
      <c r="O3221">
        <v>0</v>
      </c>
      <c r="P3221" s="3" t="s">
        <v>52</v>
      </c>
      <c r="Q3221">
        <v>50</v>
      </c>
      <c r="R3221">
        <v>0.999</v>
      </c>
      <c r="S3221">
        <v>1</v>
      </c>
    </row>
    <row r="3222" spans="1:19" x14ac:dyDescent="0.2">
      <c r="A3222" s="3" t="s">
        <v>54</v>
      </c>
      <c r="B3222" s="3" t="s">
        <v>55</v>
      </c>
      <c r="C3222">
        <v>50</v>
      </c>
      <c r="D3222">
        <v>12000</v>
      </c>
      <c r="E3222">
        <v>499</v>
      </c>
      <c r="F3222">
        <v>1</v>
      </c>
      <c r="G3222">
        <v>50533.323552418398</v>
      </c>
      <c r="H3222">
        <v>1.1571596E-2</v>
      </c>
      <c r="I3222">
        <v>11999</v>
      </c>
      <c r="J3222">
        <v>3640</v>
      </c>
      <c r="K3222">
        <v>8359</v>
      </c>
      <c r="L3222">
        <v>500</v>
      </c>
      <c r="M3222">
        <v>499</v>
      </c>
      <c r="N3222">
        <v>1</v>
      </c>
      <c r="O3222">
        <v>7.3776818157999999</v>
      </c>
      <c r="P3222" s="3" t="s">
        <v>52</v>
      </c>
      <c r="Q3222">
        <v>50</v>
      </c>
      <c r="R3222">
        <v>0.999</v>
      </c>
      <c r="S3222">
        <v>0</v>
      </c>
    </row>
    <row r="3223" spans="1:19" x14ac:dyDescent="0.2">
      <c r="A3223" s="3" t="s">
        <v>54</v>
      </c>
      <c r="B3223" s="3" t="s">
        <v>55</v>
      </c>
      <c r="C3223">
        <v>29</v>
      </c>
      <c r="D3223">
        <v>11000</v>
      </c>
      <c r="E3223">
        <v>499</v>
      </c>
      <c r="F3223">
        <v>1</v>
      </c>
      <c r="G3223">
        <v>11000</v>
      </c>
      <c r="H3223">
        <v>1.1569944E-2</v>
      </c>
      <c r="I3223">
        <v>11000</v>
      </c>
      <c r="J3223">
        <v>2752</v>
      </c>
      <c r="K3223">
        <v>8248</v>
      </c>
      <c r="L3223">
        <v>500</v>
      </c>
      <c r="M3223">
        <v>499</v>
      </c>
      <c r="N3223">
        <v>1</v>
      </c>
      <c r="O3223">
        <v>0</v>
      </c>
      <c r="P3223" s="3" t="s">
        <v>52</v>
      </c>
      <c r="Q3223">
        <v>50</v>
      </c>
      <c r="R3223">
        <v>0.999</v>
      </c>
      <c r="S3223">
        <v>1</v>
      </c>
    </row>
    <row r="3224" spans="1:19" x14ac:dyDescent="0.2">
      <c r="A3224" s="3" t="s">
        <v>54</v>
      </c>
      <c r="B3224" s="3" t="s">
        <v>55</v>
      </c>
      <c r="C3224">
        <v>49</v>
      </c>
      <c r="D3224">
        <v>12000</v>
      </c>
      <c r="E3224">
        <v>499</v>
      </c>
      <c r="F3224">
        <v>1</v>
      </c>
      <c r="G3224">
        <v>50533.323552418398</v>
      </c>
      <c r="H3224">
        <v>1.1567086000000001E-2</v>
      </c>
      <c r="I3224">
        <v>12000</v>
      </c>
      <c r="J3224">
        <v>3585</v>
      </c>
      <c r="K3224">
        <v>8415</v>
      </c>
      <c r="L3224">
        <v>500</v>
      </c>
      <c r="M3224">
        <v>499</v>
      </c>
      <c r="N3224">
        <v>1</v>
      </c>
      <c r="O3224">
        <v>0</v>
      </c>
      <c r="P3224" s="3" t="s">
        <v>52</v>
      </c>
      <c r="Q3224">
        <v>50</v>
      </c>
      <c r="R3224">
        <v>0.999</v>
      </c>
      <c r="S3224">
        <v>0</v>
      </c>
    </row>
    <row r="3225" spans="1:19" x14ac:dyDescent="0.2">
      <c r="A3225" s="3" t="s">
        <v>54</v>
      </c>
      <c r="B3225" s="3" t="s">
        <v>55</v>
      </c>
      <c r="C3225">
        <v>6</v>
      </c>
      <c r="D3225">
        <v>11000</v>
      </c>
      <c r="E3225">
        <v>499</v>
      </c>
      <c r="F3225">
        <v>1</v>
      </c>
      <c r="G3225">
        <v>11000</v>
      </c>
      <c r="H3225">
        <v>1.1565903000000001E-2</v>
      </c>
      <c r="I3225">
        <v>11000</v>
      </c>
      <c r="J3225">
        <v>2763</v>
      </c>
      <c r="K3225">
        <v>8237</v>
      </c>
      <c r="L3225">
        <v>500</v>
      </c>
      <c r="M3225">
        <v>499</v>
      </c>
      <c r="N3225">
        <v>1</v>
      </c>
      <c r="O3225">
        <v>0</v>
      </c>
      <c r="P3225" s="3" t="s">
        <v>52</v>
      </c>
      <c r="Q3225">
        <v>50</v>
      </c>
      <c r="R3225">
        <v>0.999</v>
      </c>
      <c r="S3225">
        <v>1</v>
      </c>
    </row>
    <row r="3226" spans="1:19" x14ac:dyDescent="0.2">
      <c r="A3226" s="3" t="s">
        <v>54</v>
      </c>
      <c r="B3226" s="3" t="s">
        <v>55</v>
      </c>
      <c r="C3226">
        <v>24</v>
      </c>
      <c r="D3226">
        <v>11000</v>
      </c>
      <c r="E3226">
        <v>499</v>
      </c>
      <c r="F3226">
        <v>1</v>
      </c>
      <c r="G3226">
        <v>44062.122210792702</v>
      </c>
      <c r="H3226">
        <v>1.1558083E-2</v>
      </c>
      <c r="I3226">
        <v>11000</v>
      </c>
      <c r="J3226">
        <v>2800</v>
      </c>
      <c r="K3226">
        <v>8200</v>
      </c>
      <c r="L3226">
        <v>500</v>
      </c>
      <c r="M3226">
        <v>499</v>
      </c>
      <c r="N3226">
        <v>1</v>
      </c>
      <c r="O3226">
        <v>0</v>
      </c>
      <c r="P3226" s="3" t="s">
        <v>52</v>
      </c>
      <c r="Q3226">
        <v>50</v>
      </c>
      <c r="R3226">
        <v>0.999</v>
      </c>
      <c r="S3226">
        <v>0</v>
      </c>
    </row>
    <row r="3227" spans="1:19" x14ac:dyDescent="0.2">
      <c r="A3227" s="3" t="s">
        <v>54</v>
      </c>
      <c r="B3227" s="3" t="s">
        <v>55</v>
      </c>
      <c r="C3227">
        <v>40</v>
      </c>
      <c r="D3227">
        <v>12000</v>
      </c>
      <c r="E3227">
        <v>499</v>
      </c>
      <c r="F3227">
        <v>1</v>
      </c>
      <c r="G3227">
        <v>50533.323552418398</v>
      </c>
      <c r="H3227">
        <v>1.1556682E-2</v>
      </c>
      <c r="I3227">
        <v>12000</v>
      </c>
      <c r="J3227">
        <v>3578</v>
      </c>
      <c r="K3227">
        <v>8422</v>
      </c>
      <c r="L3227">
        <v>499</v>
      </c>
      <c r="M3227">
        <v>498</v>
      </c>
      <c r="N3227">
        <v>1</v>
      </c>
      <c r="O3227">
        <v>0</v>
      </c>
      <c r="P3227" s="3" t="s">
        <v>52</v>
      </c>
      <c r="Q3227">
        <v>50</v>
      </c>
      <c r="R3227">
        <v>0.999</v>
      </c>
      <c r="S3227">
        <v>0</v>
      </c>
    </row>
    <row r="3228" spans="1:19" x14ac:dyDescent="0.2">
      <c r="A3228" s="3" t="s">
        <v>54</v>
      </c>
      <c r="B3228" s="3" t="s">
        <v>55</v>
      </c>
      <c r="C3228">
        <v>19</v>
      </c>
      <c r="D3228">
        <v>10000</v>
      </c>
      <c r="E3228">
        <v>499</v>
      </c>
      <c r="F3228">
        <v>1</v>
      </c>
      <c r="G3228">
        <v>39482.677260513999</v>
      </c>
      <c r="H3228">
        <v>1.1556653E-2</v>
      </c>
      <c r="I3228">
        <v>10000</v>
      </c>
      <c r="J3228">
        <v>2689</v>
      </c>
      <c r="K3228">
        <v>7311</v>
      </c>
      <c r="L3228">
        <v>500</v>
      </c>
      <c r="M3228">
        <v>499</v>
      </c>
      <c r="N3228">
        <v>1</v>
      </c>
      <c r="O3228">
        <v>0</v>
      </c>
      <c r="P3228" s="3" t="s">
        <v>52</v>
      </c>
      <c r="Q3228">
        <v>50</v>
      </c>
      <c r="R3228">
        <v>0.999</v>
      </c>
      <c r="S3228">
        <v>0</v>
      </c>
    </row>
    <row r="3229" spans="1:19" x14ac:dyDescent="0.2">
      <c r="A3229" s="3" t="s">
        <v>54</v>
      </c>
      <c r="B3229" s="3" t="s">
        <v>55</v>
      </c>
      <c r="C3229">
        <v>13</v>
      </c>
      <c r="D3229">
        <v>12000</v>
      </c>
      <c r="E3229">
        <v>499</v>
      </c>
      <c r="F3229">
        <v>1</v>
      </c>
      <c r="G3229">
        <v>50533.323552418398</v>
      </c>
      <c r="H3229">
        <v>1.1555872999999999E-2</v>
      </c>
      <c r="I3229">
        <v>12000</v>
      </c>
      <c r="J3229">
        <v>3651</v>
      </c>
      <c r="K3229">
        <v>8349</v>
      </c>
      <c r="L3229">
        <v>500</v>
      </c>
      <c r="M3229">
        <v>499</v>
      </c>
      <c r="N3229">
        <v>1</v>
      </c>
      <c r="O3229">
        <v>0</v>
      </c>
      <c r="P3229" s="3" t="s">
        <v>52</v>
      </c>
      <c r="Q3229">
        <v>50</v>
      </c>
      <c r="R3229">
        <v>0.999</v>
      </c>
      <c r="S3229">
        <v>0</v>
      </c>
    </row>
    <row r="3230" spans="1:19" x14ac:dyDescent="0.2">
      <c r="A3230" s="3" t="s">
        <v>54</v>
      </c>
      <c r="B3230" s="3" t="s">
        <v>55</v>
      </c>
      <c r="C3230">
        <v>5</v>
      </c>
      <c r="D3230">
        <v>11000</v>
      </c>
      <c r="E3230">
        <v>499</v>
      </c>
      <c r="F3230">
        <v>1</v>
      </c>
      <c r="G3230">
        <v>44062.122210792702</v>
      </c>
      <c r="H3230">
        <v>1.1555030000000001E-2</v>
      </c>
      <c r="I3230">
        <v>11000</v>
      </c>
      <c r="J3230">
        <v>2764</v>
      </c>
      <c r="K3230">
        <v>8236</v>
      </c>
      <c r="L3230">
        <v>500</v>
      </c>
      <c r="M3230">
        <v>499</v>
      </c>
      <c r="N3230">
        <v>1</v>
      </c>
      <c r="O3230">
        <v>0</v>
      </c>
      <c r="P3230" s="3" t="s">
        <v>52</v>
      </c>
      <c r="Q3230">
        <v>50</v>
      </c>
      <c r="R3230">
        <v>0.999</v>
      </c>
      <c r="S3230">
        <v>0</v>
      </c>
    </row>
    <row r="3231" spans="1:19" x14ac:dyDescent="0.2">
      <c r="A3231" s="3" t="s">
        <v>54</v>
      </c>
      <c r="B3231" s="3" t="s">
        <v>55</v>
      </c>
      <c r="C3231">
        <v>4</v>
      </c>
      <c r="D3231">
        <v>11000</v>
      </c>
      <c r="E3231">
        <v>499</v>
      </c>
      <c r="F3231">
        <v>1</v>
      </c>
      <c r="G3231">
        <v>44062.122210792702</v>
      </c>
      <c r="H3231">
        <v>1.1551987E-2</v>
      </c>
      <c r="I3231">
        <v>11000</v>
      </c>
      <c r="J3231">
        <v>2739</v>
      </c>
      <c r="K3231">
        <v>8261</v>
      </c>
      <c r="L3231">
        <v>500</v>
      </c>
      <c r="M3231">
        <v>499</v>
      </c>
      <c r="N3231">
        <v>1</v>
      </c>
      <c r="O3231">
        <v>0</v>
      </c>
      <c r="P3231" s="3" t="s">
        <v>52</v>
      </c>
      <c r="Q3231">
        <v>50</v>
      </c>
      <c r="R3231">
        <v>0.999</v>
      </c>
      <c r="S3231">
        <v>0</v>
      </c>
    </row>
    <row r="3232" spans="1:19" x14ac:dyDescent="0.2">
      <c r="A3232" s="3" t="s">
        <v>54</v>
      </c>
      <c r="B3232" s="3" t="s">
        <v>55</v>
      </c>
      <c r="C3232">
        <v>49</v>
      </c>
      <c r="D3232">
        <v>11000</v>
      </c>
      <c r="E3232">
        <v>499</v>
      </c>
      <c r="F3232">
        <v>1</v>
      </c>
      <c r="G3232">
        <v>44062.122210792702</v>
      </c>
      <c r="H3232">
        <v>1.1550374E-2</v>
      </c>
      <c r="I3232">
        <v>11000</v>
      </c>
      <c r="J3232">
        <v>2774</v>
      </c>
      <c r="K3232">
        <v>8226</v>
      </c>
      <c r="L3232">
        <v>500</v>
      </c>
      <c r="M3232">
        <v>499</v>
      </c>
      <c r="N3232">
        <v>1</v>
      </c>
      <c r="O3232">
        <v>0</v>
      </c>
      <c r="P3232" s="3" t="s">
        <v>52</v>
      </c>
      <c r="Q3232">
        <v>50</v>
      </c>
      <c r="R3232">
        <v>0.999</v>
      </c>
      <c r="S3232">
        <v>0</v>
      </c>
    </row>
    <row r="3233" spans="1:19" x14ac:dyDescent="0.2">
      <c r="A3233" s="3" t="s">
        <v>54</v>
      </c>
      <c r="B3233" s="3" t="s">
        <v>55</v>
      </c>
      <c r="C3233">
        <v>24</v>
      </c>
      <c r="D3233">
        <v>10000</v>
      </c>
      <c r="E3233">
        <v>499</v>
      </c>
      <c r="F3233">
        <v>1</v>
      </c>
      <c r="G3233">
        <v>10000</v>
      </c>
      <c r="H3233">
        <v>1.1548083000000001E-2</v>
      </c>
      <c r="I3233">
        <v>10000</v>
      </c>
      <c r="J3233">
        <v>2648</v>
      </c>
      <c r="K3233">
        <v>7352</v>
      </c>
      <c r="L3233">
        <v>500</v>
      </c>
      <c r="M3233">
        <v>499</v>
      </c>
      <c r="N3233">
        <v>1</v>
      </c>
      <c r="O3233">
        <v>0</v>
      </c>
      <c r="P3233" s="3" t="s">
        <v>52</v>
      </c>
      <c r="Q3233">
        <v>50</v>
      </c>
      <c r="R3233">
        <v>0.999</v>
      </c>
      <c r="S3233">
        <v>1</v>
      </c>
    </row>
    <row r="3234" spans="1:19" x14ac:dyDescent="0.2">
      <c r="A3234" s="3" t="s">
        <v>54</v>
      </c>
      <c r="B3234" s="3" t="s">
        <v>55</v>
      </c>
      <c r="C3234">
        <v>25</v>
      </c>
      <c r="D3234">
        <v>12000</v>
      </c>
      <c r="E3234">
        <v>499</v>
      </c>
      <c r="F3234">
        <v>1</v>
      </c>
      <c r="G3234">
        <v>12000</v>
      </c>
      <c r="H3234">
        <v>1.1546928E-2</v>
      </c>
      <c r="I3234">
        <v>12000</v>
      </c>
      <c r="J3234">
        <v>3671</v>
      </c>
      <c r="K3234">
        <v>8329</v>
      </c>
      <c r="L3234">
        <v>500</v>
      </c>
      <c r="M3234">
        <v>499</v>
      </c>
      <c r="N3234">
        <v>1</v>
      </c>
      <c r="O3234">
        <v>0</v>
      </c>
      <c r="P3234" s="3" t="s">
        <v>52</v>
      </c>
      <c r="Q3234">
        <v>50</v>
      </c>
      <c r="R3234">
        <v>0.999</v>
      </c>
      <c r="S3234">
        <v>1</v>
      </c>
    </row>
    <row r="3235" spans="1:19" x14ac:dyDescent="0.2">
      <c r="A3235" s="3" t="s">
        <v>54</v>
      </c>
      <c r="B3235" s="3" t="s">
        <v>55</v>
      </c>
      <c r="C3235">
        <v>6</v>
      </c>
      <c r="D3235">
        <v>12000</v>
      </c>
      <c r="E3235">
        <v>499</v>
      </c>
      <c r="F3235">
        <v>1</v>
      </c>
      <c r="G3235">
        <v>50533.323552418398</v>
      </c>
      <c r="H3235">
        <v>1.1546415000000001E-2</v>
      </c>
      <c r="I3235">
        <v>12000</v>
      </c>
      <c r="J3235">
        <v>3628</v>
      </c>
      <c r="K3235">
        <v>8372</v>
      </c>
      <c r="L3235">
        <v>500</v>
      </c>
      <c r="M3235">
        <v>499</v>
      </c>
      <c r="N3235">
        <v>1</v>
      </c>
      <c r="O3235">
        <v>0</v>
      </c>
      <c r="P3235" s="3" t="s">
        <v>52</v>
      </c>
      <c r="Q3235">
        <v>50</v>
      </c>
      <c r="R3235">
        <v>0.999</v>
      </c>
      <c r="S3235">
        <v>0</v>
      </c>
    </row>
    <row r="3236" spans="1:19" x14ac:dyDescent="0.2">
      <c r="A3236" s="3" t="s">
        <v>54</v>
      </c>
      <c r="B3236" s="3" t="s">
        <v>55</v>
      </c>
      <c r="C3236">
        <v>46</v>
      </c>
      <c r="D3236">
        <v>10000</v>
      </c>
      <c r="E3236">
        <v>499</v>
      </c>
      <c r="F3236">
        <v>1</v>
      </c>
      <c r="G3236">
        <v>39482.677260513999</v>
      </c>
      <c r="H3236">
        <v>1.1544387999999999E-2</v>
      </c>
      <c r="I3236">
        <v>10000</v>
      </c>
      <c r="J3236">
        <v>2700</v>
      </c>
      <c r="K3236">
        <v>7300</v>
      </c>
      <c r="L3236">
        <v>500</v>
      </c>
      <c r="M3236">
        <v>499</v>
      </c>
      <c r="N3236">
        <v>1</v>
      </c>
      <c r="O3236">
        <v>0</v>
      </c>
      <c r="P3236" s="3" t="s">
        <v>52</v>
      </c>
      <c r="Q3236">
        <v>50</v>
      </c>
      <c r="R3236">
        <v>0.999</v>
      </c>
      <c r="S3236">
        <v>0</v>
      </c>
    </row>
    <row r="3237" spans="1:19" x14ac:dyDescent="0.2">
      <c r="A3237" s="3" t="s">
        <v>54</v>
      </c>
      <c r="B3237" s="3" t="s">
        <v>55</v>
      </c>
      <c r="C3237">
        <v>46</v>
      </c>
      <c r="D3237">
        <v>11000</v>
      </c>
      <c r="E3237">
        <v>499</v>
      </c>
      <c r="F3237">
        <v>1</v>
      </c>
      <c r="G3237">
        <v>44062.122210792702</v>
      </c>
      <c r="H3237">
        <v>1.1540978E-2</v>
      </c>
      <c r="I3237">
        <v>11000</v>
      </c>
      <c r="J3237">
        <v>2802</v>
      </c>
      <c r="K3237">
        <v>8198</v>
      </c>
      <c r="L3237">
        <v>500</v>
      </c>
      <c r="M3237">
        <v>499</v>
      </c>
      <c r="N3237">
        <v>1</v>
      </c>
      <c r="O3237">
        <v>0</v>
      </c>
      <c r="P3237" s="3" t="s">
        <v>52</v>
      </c>
      <c r="Q3237">
        <v>50</v>
      </c>
      <c r="R3237">
        <v>0.999</v>
      </c>
      <c r="S3237">
        <v>0</v>
      </c>
    </row>
    <row r="3238" spans="1:19" x14ac:dyDescent="0.2">
      <c r="A3238" s="3" t="s">
        <v>54</v>
      </c>
      <c r="B3238" s="3" t="s">
        <v>55</v>
      </c>
      <c r="C3238">
        <v>43</v>
      </c>
      <c r="D3238">
        <v>12000</v>
      </c>
      <c r="E3238">
        <v>499</v>
      </c>
      <c r="F3238">
        <v>1</v>
      </c>
      <c r="G3238">
        <v>50533.323552418398</v>
      </c>
      <c r="H3238">
        <v>1.1529978E-2</v>
      </c>
      <c r="I3238">
        <v>12000</v>
      </c>
      <c r="J3238">
        <v>3591</v>
      </c>
      <c r="K3238">
        <v>8409</v>
      </c>
      <c r="L3238">
        <v>500</v>
      </c>
      <c r="M3238">
        <v>499</v>
      </c>
      <c r="N3238">
        <v>1</v>
      </c>
      <c r="O3238">
        <v>0</v>
      </c>
      <c r="P3238" s="3" t="s">
        <v>52</v>
      </c>
      <c r="Q3238">
        <v>50</v>
      </c>
      <c r="R3238">
        <v>0.999</v>
      </c>
      <c r="S3238">
        <v>0</v>
      </c>
    </row>
    <row r="3239" spans="1:19" x14ac:dyDescent="0.2">
      <c r="A3239" s="3" t="s">
        <v>54</v>
      </c>
      <c r="B3239" s="3" t="s">
        <v>55</v>
      </c>
      <c r="C3239">
        <v>48</v>
      </c>
      <c r="D3239">
        <v>11000</v>
      </c>
      <c r="E3239">
        <v>499</v>
      </c>
      <c r="F3239">
        <v>1</v>
      </c>
      <c r="G3239">
        <v>11000</v>
      </c>
      <c r="H3239">
        <v>1.1512728E-2</v>
      </c>
      <c r="I3239">
        <v>11000</v>
      </c>
      <c r="J3239">
        <v>2773</v>
      </c>
      <c r="K3239">
        <v>8227</v>
      </c>
      <c r="L3239">
        <v>500</v>
      </c>
      <c r="M3239">
        <v>499</v>
      </c>
      <c r="N3239">
        <v>1</v>
      </c>
      <c r="O3239">
        <v>0</v>
      </c>
      <c r="P3239" s="3" t="s">
        <v>52</v>
      </c>
      <c r="Q3239">
        <v>50</v>
      </c>
      <c r="R3239">
        <v>0.999</v>
      </c>
      <c r="S3239">
        <v>1</v>
      </c>
    </row>
    <row r="3240" spans="1:19" x14ac:dyDescent="0.2">
      <c r="A3240" s="3" t="s">
        <v>54</v>
      </c>
      <c r="B3240" s="3" t="s">
        <v>55</v>
      </c>
      <c r="C3240">
        <v>17</v>
      </c>
      <c r="D3240">
        <v>11000</v>
      </c>
      <c r="E3240">
        <v>499</v>
      </c>
      <c r="F3240">
        <v>1</v>
      </c>
      <c r="G3240">
        <v>44062.122210792702</v>
      </c>
      <c r="H3240">
        <v>1.1506651E-2</v>
      </c>
      <c r="I3240">
        <v>11000</v>
      </c>
      <c r="J3240">
        <v>2795</v>
      </c>
      <c r="K3240">
        <v>8205</v>
      </c>
      <c r="L3240">
        <v>500</v>
      </c>
      <c r="M3240">
        <v>499</v>
      </c>
      <c r="N3240">
        <v>1</v>
      </c>
      <c r="O3240">
        <v>0</v>
      </c>
      <c r="P3240" s="3" t="s">
        <v>52</v>
      </c>
      <c r="Q3240">
        <v>50</v>
      </c>
      <c r="R3240">
        <v>0.999</v>
      </c>
      <c r="S3240">
        <v>0</v>
      </c>
    </row>
    <row r="3241" spans="1:19" x14ac:dyDescent="0.2">
      <c r="A3241" s="3" t="s">
        <v>54</v>
      </c>
      <c r="B3241" s="3" t="s">
        <v>55</v>
      </c>
      <c r="C3241">
        <v>21</v>
      </c>
      <c r="D3241">
        <v>12000</v>
      </c>
      <c r="E3241">
        <v>499</v>
      </c>
      <c r="F3241">
        <v>1</v>
      </c>
      <c r="G3241">
        <v>50533.323552418398</v>
      </c>
      <c r="H3241">
        <v>1.1506392000000001E-2</v>
      </c>
      <c r="I3241">
        <v>12000</v>
      </c>
      <c r="J3241">
        <v>3658</v>
      </c>
      <c r="K3241">
        <v>8342</v>
      </c>
      <c r="L3241">
        <v>500</v>
      </c>
      <c r="M3241">
        <v>499</v>
      </c>
      <c r="N3241">
        <v>1</v>
      </c>
      <c r="O3241">
        <v>0</v>
      </c>
      <c r="P3241" s="3" t="s">
        <v>52</v>
      </c>
      <c r="Q3241">
        <v>50</v>
      </c>
      <c r="R3241">
        <v>0.999</v>
      </c>
      <c r="S3241">
        <v>0</v>
      </c>
    </row>
    <row r="3242" spans="1:19" x14ac:dyDescent="0.2">
      <c r="A3242" s="3" t="s">
        <v>54</v>
      </c>
      <c r="B3242" s="3" t="s">
        <v>55</v>
      </c>
      <c r="C3242">
        <v>46</v>
      </c>
      <c r="D3242">
        <v>11000</v>
      </c>
      <c r="E3242">
        <v>499</v>
      </c>
      <c r="F3242">
        <v>1</v>
      </c>
      <c r="G3242">
        <v>11000</v>
      </c>
      <c r="H3242">
        <v>1.1499784000000001E-2</v>
      </c>
      <c r="I3242">
        <v>11000</v>
      </c>
      <c r="J3242">
        <v>2740</v>
      </c>
      <c r="K3242">
        <v>8260</v>
      </c>
      <c r="L3242">
        <v>500</v>
      </c>
      <c r="M3242">
        <v>499</v>
      </c>
      <c r="N3242">
        <v>1</v>
      </c>
      <c r="O3242">
        <v>0</v>
      </c>
      <c r="P3242" s="3" t="s">
        <v>52</v>
      </c>
      <c r="Q3242">
        <v>50</v>
      </c>
      <c r="R3242">
        <v>0.999</v>
      </c>
      <c r="S3242">
        <v>1</v>
      </c>
    </row>
    <row r="3243" spans="1:19" x14ac:dyDescent="0.2">
      <c r="A3243" s="3" t="s">
        <v>54</v>
      </c>
      <c r="B3243" s="3" t="s">
        <v>55</v>
      </c>
      <c r="C3243">
        <v>16</v>
      </c>
      <c r="D3243">
        <v>10000</v>
      </c>
      <c r="E3243">
        <v>499</v>
      </c>
      <c r="F3243">
        <v>1</v>
      </c>
      <c r="G3243">
        <v>10000</v>
      </c>
      <c r="H3243">
        <v>1.1497649E-2</v>
      </c>
      <c r="I3243">
        <v>10000</v>
      </c>
      <c r="J3243">
        <v>2704</v>
      </c>
      <c r="K3243">
        <v>7296</v>
      </c>
      <c r="L3243">
        <v>500</v>
      </c>
      <c r="M3243">
        <v>499</v>
      </c>
      <c r="N3243">
        <v>1</v>
      </c>
      <c r="O3243">
        <v>0</v>
      </c>
      <c r="P3243" s="3" t="s">
        <v>52</v>
      </c>
      <c r="Q3243">
        <v>50</v>
      </c>
      <c r="R3243">
        <v>0.999</v>
      </c>
      <c r="S3243">
        <v>1</v>
      </c>
    </row>
    <row r="3244" spans="1:19" x14ac:dyDescent="0.2">
      <c r="A3244" s="3" t="s">
        <v>54</v>
      </c>
      <c r="B3244" s="3" t="s">
        <v>55</v>
      </c>
      <c r="C3244">
        <v>45</v>
      </c>
      <c r="D3244">
        <v>11000</v>
      </c>
      <c r="E3244">
        <v>499</v>
      </c>
      <c r="F3244">
        <v>1</v>
      </c>
      <c r="G3244">
        <v>11000</v>
      </c>
      <c r="H3244">
        <v>1.1496950000000001E-2</v>
      </c>
      <c r="I3244">
        <v>11000</v>
      </c>
      <c r="J3244">
        <v>2738</v>
      </c>
      <c r="K3244">
        <v>8262</v>
      </c>
      <c r="L3244">
        <v>500</v>
      </c>
      <c r="M3244">
        <v>499</v>
      </c>
      <c r="N3244">
        <v>1</v>
      </c>
      <c r="O3244">
        <v>0</v>
      </c>
      <c r="P3244" s="3" t="s">
        <v>52</v>
      </c>
      <c r="Q3244">
        <v>50</v>
      </c>
      <c r="R3244">
        <v>0.999</v>
      </c>
      <c r="S3244">
        <v>1</v>
      </c>
    </row>
    <row r="3245" spans="1:19" x14ac:dyDescent="0.2">
      <c r="A3245" s="3" t="s">
        <v>54</v>
      </c>
      <c r="B3245" s="3" t="s">
        <v>55</v>
      </c>
      <c r="C3245">
        <v>42</v>
      </c>
      <c r="D3245">
        <v>11000</v>
      </c>
      <c r="E3245">
        <v>499</v>
      </c>
      <c r="F3245">
        <v>1</v>
      </c>
      <c r="G3245">
        <v>44062.122210792702</v>
      </c>
      <c r="H3245">
        <v>1.1492871999999999E-2</v>
      </c>
      <c r="I3245">
        <v>11000</v>
      </c>
      <c r="J3245">
        <v>2753</v>
      </c>
      <c r="K3245">
        <v>8247</v>
      </c>
      <c r="L3245">
        <v>500</v>
      </c>
      <c r="M3245">
        <v>499</v>
      </c>
      <c r="N3245">
        <v>1</v>
      </c>
      <c r="O3245">
        <v>0</v>
      </c>
      <c r="P3245" s="3" t="s">
        <v>52</v>
      </c>
      <c r="Q3245">
        <v>50</v>
      </c>
      <c r="R3245">
        <v>0.999</v>
      </c>
      <c r="S3245">
        <v>0</v>
      </c>
    </row>
    <row r="3246" spans="1:19" x14ac:dyDescent="0.2">
      <c r="A3246" s="3" t="s">
        <v>54</v>
      </c>
      <c r="B3246" s="3" t="s">
        <v>55</v>
      </c>
      <c r="C3246">
        <v>12</v>
      </c>
      <c r="D3246">
        <v>12000</v>
      </c>
      <c r="E3246">
        <v>499</v>
      </c>
      <c r="F3246">
        <v>1</v>
      </c>
      <c r="G3246">
        <v>12000</v>
      </c>
      <c r="H3246">
        <v>1.1490808E-2</v>
      </c>
      <c r="I3246">
        <v>12000</v>
      </c>
      <c r="J3246">
        <v>3624</v>
      </c>
      <c r="K3246">
        <v>8376</v>
      </c>
      <c r="L3246">
        <v>500</v>
      </c>
      <c r="M3246">
        <v>499</v>
      </c>
      <c r="N3246">
        <v>1</v>
      </c>
      <c r="O3246">
        <v>0</v>
      </c>
      <c r="P3246" s="3" t="s">
        <v>52</v>
      </c>
      <c r="Q3246">
        <v>50</v>
      </c>
      <c r="R3246">
        <v>0.999</v>
      </c>
      <c r="S3246">
        <v>1</v>
      </c>
    </row>
    <row r="3247" spans="1:19" x14ac:dyDescent="0.2">
      <c r="A3247" s="3" t="s">
        <v>54</v>
      </c>
      <c r="B3247" s="3" t="s">
        <v>55</v>
      </c>
      <c r="C3247">
        <v>30</v>
      </c>
      <c r="D3247">
        <v>12000</v>
      </c>
      <c r="E3247">
        <v>499</v>
      </c>
      <c r="F3247">
        <v>1</v>
      </c>
      <c r="G3247">
        <v>12000</v>
      </c>
      <c r="H3247">
        <v>1.1488198E-2</v>
      </c>
      <c r="I3247">
        <v>12000</v>
      </c>
      <c r="J3247">
        <v>3640</v>
      </c>
      <c r="K3247">
        <v>8360</v>
      </c>
      <c r="L3247">
        <v>500</v>
      </c>
      <c r="M3247">
        <v>499</v>
      </c>
      <c r="N3247">
        <v>1</v>
      </c>
      <c r="O3247">
        <v>0</v>
      </c>
      <c r="P3247" s="3" t="s">
        <v>52</v>
      </c>
      <c r="Q3247">
        <v>50</v>
      </c>
      <c r="R3247">
        <v>0.999</v>
      </c>
      <c r="S3247">
        <v>1</v>
      </c>
    </row>
    <row r="3248" spans="1:19" x14ac:dyDescent="0.2">
      <c r="A3248" s="3" t="s">
        <v>54</v>
      </c>
      <c r="B3248" s="3" t="s">
        <v>55</v>
      </c>
      <c r="C3248">
        <v>15</v>
      </c>
      <c r="D3248">
        <v>10000</v>
      </c>
      <c r="E3248">
        <v>499</v>
      </c>
      <c r="F3248">
        <v>1</v>
      </c>
      <c r="G3248">
        <v>10000</v>
      </c>
      <c r="H3248">
        <v>1.1483732999999999E-2</v>
      </c>
      <c r="I3248">
        <v>10000</v>
      </c>
      <c r="J3248">
        <v>2727</v>
      </c>
      <c r="K3248">
        <v>7273</v>
      </c>
      <c r="L3248">
        <v>500</v>
      </c>
      <c r="M3248">
        <v>499</v>
      </c>
      <c r="N3248">
        <v>1</v>
      </c>
      <c r="O3248">
        <v>0</v>
      </c>
      <c r="P3248" s="3" t="s">
        <v>52</v>
      </c>
      <c r="Q3248">
        <v>50</v>
      </c>
      <c r="R3248">
        <v>0.999</v>
      </c>
      <c r="S3248">
        <v>1</v>
      </c>
    </row>
    <row r="3249" spans="1:19" x14ac:dyDescent="0.2">
      <c r="A3249" s="3" t="s">
        <v>54</v>
      </c>
      <c r="B3249" s="3" t="s">
        <v>55</v>
      </c>
      <c r="C3249">
        <v>30</v>
      </c>
      <c r="D3249">
        <v>10000</v>
      </c>
      <c r="E3249">
        <v>499</v>
      </c>
      <c r="F3249">
        <v>1</v>
      </c>
      <c r="G3249">
        <v>10000</v>
      </c>
      <c r="H3249">
        <v>1.1476234E-2</v>
      </c>
      <c r="I3249">
        <v>10000</v>
      </c>
      <c r="J3249">
        <v>2696</v>
      </c>
      <c r="K3249">
        <v>7304</v>
      </c>
      <c r="L3249">
        <v>500</v>
      </c>
      <c r="M3249">
        <v>499</v>
      </c>
      <c r="N3249">
        <v>1</v>
      </c>
      <c r="O3249">
        <v>0</v>
      </c>
      <c r="P3249" s="3" t="s">
        <v>52</v>
      </c>
      <c r="Q3249">
        <v>50</v>
      </c>
      <c r="R3249">
        <v>0.999</v>
      </c>
      <c r="S3249">
        <v>1</v>
      </c>
    </row>
    <row r="3250" spans="1:19" x14ac:dyDescent="0.2">
      <c r="A3250" s="3" t="s">
        <v>54</v>
      </c>
      <c r="B3250" s="3" t="s">
        <v>55</v>
      </c>
      <c r="C3250">
        <v>30</v>
      </c>
      <c r="D3250">
        <v>11000</v>
      </c>
      <c r="E3250">
        <v>499</v>
      </c>
      <c r="F3250">
        <v>1</v>
      </c>
      <c r="G3250">
        <v>11000</v>
      </c>
      <c r="H3250">
        <v>1.1472136000000001E-2</v>
      </c>
      <c r="I3250">
        <v>11000</v>
      </c>
      <c r="J3250">
        <v>2747</v>
      </c>
      <c r="K3250">
        <v>8253</v>
      </c>
      <c r="L3250">
        <v>500</v>
      </c>
      <c r="M3250">
        <v>499</v>
      </c>
      <c r="N3250">
        <v>1</v>
      </c>
      <c r="O3250">
        <v>0</v>
      </c>
      <c r="P3250" s="3" t="s">
        <v>52</v>
      </c>
      <c r="Q3250">
        <v>50</v>
      </c>
      <c r="R3250">
        <v>0.999</v>
      </c>
      <c r="S3250">
        <v>1</v>
      </c>
    </row>
    <row r="3251" spans="1:19" x14ac:dyDescent="0.2">
      <c r="A3251" s="3" t="s">
        <v>54</v>
      </c>
      <c r="B3251" s="3" t="s">
        <v>55</v>
      </c>
      <c r="C3251">
        <v>7</v>
      </c>
      <c r="D3251">
        <v>10000</v>
      </c>
      <c r="E3251">
        <v>499</v>
      </c>
      <c r="F3251">
        <v>1</v>
      </c>
      <c r="G3251">
        <v>10000</v>
      </c>
      <c r="H3251">
        <v>1.1471945000000001E-2</v>
      </c>
      <c r="I3251">
        <v>10000</v>
      </c>
      <c r="J3251">
        <v>2717</v>
      </c>
      <c r="K3251">
        <v>7283</v>
      </c>
      <c r="L3251">
        <v>500</v>
      </c>
      <c r="M3251">
        <v>499</v>
      </c>
      <c r="N3251">
        <v>1</v>
      </c>
      <c r="O3251">
        <v>0</v>
      </c>
      <c r="P3251" s="3" t="s">
        <v>52</v>
      </c>
      <c r="Q3251">
        <v>50</v>
      </c>
      <c r="R3251">
        <v>0.999</v>
      </c>
      <c r="S3251">
        <v>1</v>
      </c>
    </row>
    <row r="3252" spans="1:19" x14ac:dyDescent="0.2">
      <c r="A3252" s="3" t="s">
        <v>54</v>
      </c>
      <c r="B3252" s="3" t="s">
        <v>55</v>
      </c>
      <c r="C3252">
        <v>37</v>
      </c>
      <c r="D3252">
        <v>12000</v>
      </c>
      <c r="E3252">
        <v>499</v>
      </c>
      <c r="F3252">
        <v>1</v>
      </c>
      <c r="G3252">
        <v>12000</v>
      </c>
      <c r="H3252">
        <v>1.1469780000000001E-2</v>
      </c>
      <c r="I3252">
        <v>12000</v>
      </c>
      <c r="J3252">
        <v>3652</v>
      </c>
      <c r="K3252">
        <v>8348</v>
      </c>
      <c r="L3252">
        <v>500</v>
      </c>
      <c r="M3252">
        <v>499</v>
      </c>
      <c r="N3252">
        <v>1</v>
      </c>
      <c r="O3252">
        <v>0</v>
      </c>
      <c r="P3252" s="3" t="s">
        <v>52</v>
      </c>
      <c r="Q3252">
        <v>50</v>
      </c>
      <c r="R3252">
        <v>0.999</v>
      </c>
      <c r="S3252">
        <v>1</v>
      </c>
    </row>
    <row r="3253" spans="1:19" x14ac:dyDescent="0.2">
      <c r="A3253" s="3" t="s">
        <v>54</v>
      </c>
      <c r="B3253" s="3" t="s">
        <v>55</v>
      </c>
      <c r="C3253">
        <v>16</v>
      </c>
      <c r="D3253">
        <v>11000</v>
      </c>
      <c r="E3253">
        <v>499</v>
      </c>
      <c r="F3253">
        <v>1</v>
      </c>
      <c r="G3253">
        <v>11000</v>
      </c>
      <c r="H3253">
        <v>1.1459184000000001E-2</v>
      </c>
      <c r="I3253">
        <v>11000</v>
      </c>
      <c r="J3253">
        <v>2750</v>
      </c>
      <c r="K3253">
        <v>8250</v>
      </c>
      <c r="L3253">
        <v>500</v>
      </c>
      <c r="M3253">
        <v>499</v>
      </c>
      <c r="N3253">
        <v>1</v>
      </c>
      <c r="O3253">
        <v>0</v>
      </c>
      <c r="P3253" s="3" t="s">
        <v>52</v>
      </c>
      <c r="Q3253">
        <v>50</v>
      </c>
      <c r="R3253">
        <v>0.999</v>
      </c>
      <c r="S3253">
        <v>1</v>
      </c>
    </row>
    <row r="3254" spans="1:19" x14ac:dyDescent="0.2">
      <c r="A3254" s="3" t="s">
        <v>54</v>
      </c>
      <c r="B3254" s="3" t="s">
        <v>55</v>
      </c>
      <c r="C3254">
        <v>29</v>
      </c>
      <c r="D3254">
        <v>11000</v>
      </c>
      <c r="E3254">
        <v>499</v>
      </c>
      <c r="F3254">
        <v>1</v>
      </c>
      <c r="G3254">
        <v>44062.122210792702</v>
      </c>
      <c r="H3254">
        <v>1.1457490000000001E-2</v>
      </c>
      <c r="I3254">
        <v>11000</v>
      </c>
      <c r="J3254">
        <v>2782</v>
      </c>
      <c r="K3254">
        <v>8218</v>
      </c>
      <c r="L3254">
        <v>500</v>
      </c>
      <c r="M3254">
        <v>499</v>
      </c>
      <c r="N3254">
        <v>1</v>
      </c>
      <c r="O3254">
        <v>0</v>
      </c>
      <c r="P3254" s="3" t="s">
        <v>52</v>
      </c>
      <c r="Q3254">
        <v>50</v>
      </c>
      <c r="R3254">
        <v>0.999</v>
      </c>
      <c r="S3254">
        <v>0</v>
      </c>
    </row>
    <row r="3255" spans="1:19" x14ac:dyDescent="0.2">
      <c r="A3255" s="3" t="s">
        <v>54</v>
      </c>
      <c r="B3255" s="3" t="s">
        <v>55</v>
      </c>
      <c r="C3255">
        <v>16</v>
      </c>
      <c r="D3255">
        <v>12000</v>
      </c>
      <c r="E3255">
        <v>499</v>
      </c>
      <c r="F3255">
        <v>1</v>
      </c>
      <c r="G3255">
        <v>50533.323552418398</v>
      </c>
      <c r="H3255">
        <v>1.1451823E-2</v>
      </c>
      <c r="I3255">
        <v>12000</v>
      </c>
      <c r="J3255">
        <v>3576</v>
      </c>
      <c r="K3255">
        <v>8424</v>
      </c>
      <c r="L3255">
        <v>500</v>
      </c>
      <c r="M3255">
        <v>499</v>
      </c>
      <c r="N3255">
        <v>1</v>
      </c>
      <c r="O3255">
        <v>0</v>
      </c>
      <c r="P3255" s="3" t="s">
        <v>52</v>
      </c>
      <c r="Q3255">
        <v>50</v>
      </c>
      <c r="R3255">
        <v>0.999</v>
      </c>
      <c r="S3255">
        <v>0</v>
      </c>
    </row>
    <row r="3256" spans="1:19" x14ac:dyDescent="0.2">
      <c r="A3256" s="3" t="s">
        <v>54</v>
      </c>
      <c r="B3256" s="3" t="s">
        <v>55</v>
      </c>
      <c r="C3256">
        <v>6</v>
      </c>
      <c r="D3256">
        <v>11000</v>
      </c>
      <c r="E3256">
        <v>499</v>
      </c>
      <c r="F3256">
        <v>1</v>
      </c>
      <c r="G3256">
        <v>44062.122210792702</v>
      </c>
      <c r="H3256">
        <v>1.1450082E-2</v>
      </c>
      <c r="I3256">
        <v>11000</v>
      </c>
      <c r="J3256">
        <v>2773</v>
      </c>
      <c r="K3256">
        <v>8227</v>
      </c>
      <c r="L3256">
        <v>500</v>
      </c>
      <c r="M3256">
        <v>499</v>
      </c>
      <c r="N3256">
        <v>1</v>
      </c>
      <c r="O3256">
        <v>0</v>
      </c>
      <c r="P3256" s="3" t="s">
        <v>52</v>
      </c>
      <c r="Q3256">
        <v>50</v>
      </c>
      <c r="R3256">
        <v>0.999</v>
      </c>
      <c r="S3256">
        <v>0</v>
      </c>
    </row>
    <row r="3257" spans="1:19" x14ac:dyDescent="0.2">
      <c r="A3257" s="3" t="s">
        <v>54</v>
      </c>
      <c r="B3257" s="3" t="s">
        <v>55</v>
      </c>
      <c r="C3257">
        <v>36</v>
      </c>
      <c r="D3257">
        <v>12000</v>
      </c>
      <c r="E3257">
        <v>499</v>
      </c>
      <c r="F3257">
        <v>1</v>
      </c>
      <c r="G3257">
        <v>12000</v>
      </c>
      <c r="H3257">
        <v>1.1447818E-2</v>
      </c>
      <c r="I3257">
        <v>12000</v>
      </c>
      <c r="J3257">
        <v>3595</v>
      </c>
      <c r="K3257">
        <v>8405</v>
      </c>
      <c r="L3257">
        <v>500</v>
      </c>
      <c r="M3257">
        <v>499</v>
      </c>
      <c r="N3257">
        <v>1</v>
      </c>
      <c r="O3257">
        <v>0</v>
      </c>
      <c r="P3257" s="3" t="s">
        <v>52</v>
      </c>
      <c r="Q3257">
        <v>50</v>
      </c>
      <c r="R3257">
        <v>0.999</v>
      </c>
      <c r="S3257">
        <v>1</v>
      </c>
    </row>
    <row r="3258" spans="1:19" x14ac:dyDescent="0.2">
      <c r="A3258" s="3" t="s">
        <v>54</v>
      </c>
      <c r="B3258" s="3" t="s">
        <v>55</v>
      </c>
      <c r="C3258">
        <v>24</v>
      </c>
      <c r="D3258">
        <v>12000</v>
      </c>
      <c r="E3258">
        <v>499</v>
      </c>
      <c r="F3258">
        <v>1</v>
      </c>
      <c r="G3258">
        <v>12000</v>
      </c>
      <c r="H3258">
        <v>1.1447057E-2</v>
      </c>
      <c r="I3258">
        <v>12000</v>
      </c>
      <c r="J3258">
        <v>3645</v>
      </c>
      <c r="K3258">
        <v>8355</v>
      </c>
      <c r="L3258">
        <v>500</v>
      </c>
      <c r="M3258">
        <v>499</v>
      </c>
      <c r="N3258">
        <v>1</v>
      </c>
      <c r="O3258">
        <v>0</v>
      </c>
      <c r="P3258" s="3" t="s">
        <v>52</v>
      </c>
      <c r="Q3258">
        <v>50</v>
      </c>
      <c r="R3258">
        <v>0.999</v>
      </c>
      <c r="S3258">
        <v>1</v>
      </c>
    </row>
    <row r="3259" spans="1:19" x14ac:dyDescent="0.2">
      <c r="A3259" s="3" t="s">
        <v>54</v>
      </c>
      <c r="B3259" s="3" t="s">
        <v>55</v>
      </c>
      <c r="C3259">
        <v>19</v>
      </c>
      <c r="D3259">
        <v>12000</v>
      </c>
      <c r="E3259">
        <v>499</v>
      </c>
      <c r="F3259">
        <v>1</v>
      </c>
      <c r="G3259">
        <v>50533.323552418398</v>
      </c>
      <c r="H3259">
        <v>1.1446543999999999E-2</v>
      </c>
      <c r="I3259">
        <v>12000</v>
      </c>
      <c r="J3259">
        <v>3579</v>
      </c>
      <c r="K3259">
        <v>8421</v>
      </c>
      <c r="L3259">
        <v>500</v>
      </c>
      <c r="M3259">
        <v>499</v>
      </c>
      <c r="N3259">
        <v>1</v>
      </c>
      <c r="O3259">
        <v>0</v>
      </c>
      <c r="P3259" s="3" t="s">
        <v>52</v>
      </c>
      <c r="Q3259">
        <v>50</v>
      </c>
      <c r="R3259">
        <v>0.999</v>
      </c>
      <c r="S3259">
        <v>0</v>
      </c>
    </row>
    <row r="3260" spans="1:19" x14ac:dyDescent="0.2">
      <c r="A3260" s="3" t="s">
        <v>54</v>
      </c>
      <c r="B3260" s="3" t="s">
        <v>55</v>
      </c>
      <c r="C3260">
        <v>22</v>
      </c>
      <c r="D3260">
        <v>12000</v>
      </c>
      <c r="E3260">
        <v>499</v>
      </c>
      <c r="F3260">
        <v>1</v>
      </c>
      <c r="G3260">
        <v>50533.323552418398</v>
      </c>
      <c r="H3260">
        <v>1.1438678000000001E-2</v>
      </c>
      <c r="I3260">
        <v>12000</v>
      </c>
      <c r="J3260">
        <v>3627</v>
      </c>
      <c r="K3260">
        <v>8373</v>
      </c>
      <c r="L3260">
        <v>500</v>
      </c>
      <c r="M3260">
        <v>499</v>
      </c>
      <c r="N3260">
        <v>1</v>
      </c>
      <c r="O3260">
        <v>0</v>
      </c>
      <c r="P3260" s="3" t="s">
        <v>52</v>
      </c>
      <c r="Q3260">
        <v>50</v>
      </c>
      <c r="R3260">
        <v>0.999</v>
      </c>
      <c r="S3260">
        <v>0</v>
      </c>
    </row>
    <row r="3261" spans="1:19" x14ac:dyDescent="0.2">
      <c r="A3261" s="3" t="s">
        <v>54</v>
      </c>
      <c r="B3261" s="3" t="s">
        <v>55</v>
      </c>
      <c r="C3261">
        <v>32</v>
      </c>
      <c r="D3261">
        <v>10000</v>
      </c>
      <c r="E3261">
        <v>499</v>
      </c>
      <c r="F3261">
        <v>1</v>
      </c>
      <c r="G3261">
        <v>39482.677260513999</v>
      </c>
      <c r="H3261">
        <v>1.1436597999999999E-2</v>
      </c>
      <c r="I3261">
        <v>10000</v>
      </c>
      <c r="J3261">
        <v>2691</v>
      </c>
      <c r="K3261">
        <v>7309</v>
      </c>
      <c r="L3261">
        <v>500</v>
      </c>
      <c r="M3261">
        <v>499</v>
      </c>
      <c r="N3261">
        <v>1</v>
      </c>
      <c r="O3261">
        <v>0</v>
      </c>
      <c r="P3261" s="3" t="s">
        <v>52</v>
      </c>
      <c r="Q3261">
        <v>50</v>
      </c>
      <c r="R3261">
        <v>0.999</v>
      </c>
      <c r="S3261">
        <v>0</v>
      </c>
    </row>
    <row r="3262" spans="1:19" x14ac:dyDescent="0.2">
      <c r="A3262" s="3" t="s">
        <v>54</v>
      </c>
      <c r="B3262" s="3" t="s">
        <v>55</v>
      </c>
      <c r="C3262">
        <v>33</v>
      </c>
      <c r="D3262">
        <v>12000</v>
      </c>
      <c r="E3262">
        <v>499</v>
      </c>
      <c r="F3262">
        <v>1</v>
      </c>
      <c r="G3262">
        <v>12000</v>
      </c>
      <c r="H3262">
        <v>1.1435911E-2</v>
      </c>
      <c r="I3262">
        <v>12000</v>
      </c>
      <c r="J3262">
        <v>3613</v>
      </c>
      <c r="K3262">
        <v>8387</v>
      </c>
      <c r="L3262">
        <v>500</v>
      </c>
      <c r="M3262">
        <v>499</v>
      </c>
      <c r="N3262">
        <v>1</v>
      </c>
      <c r="O3262">
        <v>0</v>
      </c>
      <c r="P3262" s="3" t="s">
        <v>52</v>
      </c>
      <c r="Q3262">
        <v>50</v>
      </c>
      <c r="R3262">
        <v>0.999</v>
      </c>
      <c r="S3262">
        <v>1</v>
      </c>
    </row>
    <row r="3263" spans="1:19" x14ac:dyDescent="0.2">
      <c r="A3263" s="3" t="s">
        <v>54</v>
      </c>
      <c r="B3263" s="3" t="s">
        <v>55</v>
      </c>
      <c r="C3263">
        <v>6</v>
      </c>
      <c r="D3263">
        <v>10000</v>
      </c>
      <c r="E3263">
        <v>499</v>
      </c>
      <c r="F3263">
        <v>1</v>
      </c>
      <c r="G3263">
        <v>10000</v>
      </c>
      <c r="H3263">
        <v>1.1430622E-2</v>
      </c>
      <c r="I3263">
        <v>10000</v>
      </c>
      <c r="J3263">
        <v>2670</v>
      </c>
      <c r="K3263">
        <v>7330</v>
      </c>
      <c r="L3263">
        <v>500</v>
      </c>
      <c r="M3263">
        <v>499</v>
      </c>
      <c r="N3263">
        <v>1</v>
      </c>
      <c r="O3263">
        <v>0</v>
      </c>
      <c r="P3263" s="3" t="s">
        <v>52</v>
      </c>
      <c r="Q3263">
        <v>50</v>
      </c>
      <c r="R3263">
        <v>0.999</v>
      </c>
      <c r="S3263">
        <v>1</v>
      </c>
    </row>
    <row r="3264" spans="1:19" x14ac:dyDescent="0.2">
      <c r="A3264" s="3" t="s">
        <v>54</v>
      </c>
      <c r="B3264" s="3" t="s">
        <v>55</v>
      </c>
      <c r="C3264">
        <v>28</v>
      </c>
      <c r="D3264">
        <v>12000</v>
      </c>
      <c r="E3264">
        <v>499</v>
      </c>
      <c r="F3264">
        <v>1</v>
      </c>
      <c r="G3264">
        <v>12000</v>
      </c>
      <c r="H3264">
        <v>1.1430180999999999E-2</v>
      </c>
      <c r="I3264">
        <v>12000</v>
      </c>
      <c r="J3264">
        <v>3617</v>
      </c>
      <c r="K3264">
        <v>8383</v>
      </c>
      <c r="L3264">
        <v>500</v>
      </c>
      <c r="M3264">
        <v>499</v>
      </c>
      <c r="N3264">
        <v>1</v>
      </c>
      <c r="O3264">
        <v>0</v>
      </c>
      <c r="P3264" s="3" t="s">
        <v>52</v>
      </c>
      <c r="Q3264">
        <v>50</v>
      </c>
      <c r="R3264">
        <v>0.999</v>
      </c>
      <c r="S3264">
        <v>1</v>
      </c>
    </row>
    <row r="3265" spans="1:19" x14ac:dyDescent="0.2">
      <c r="A3265" s="3" t="s">
        <v>54</v>
      </c>
      <c r="B3265" s="3" t="s">
        <v>55</v>
      </c>
      <c r="C3265">
        <v>14</v>
      </c>
      <c r="D3265">
        <v>12000</v>
      </c>
      <c r="E3265">
        <v>499</v>
      </c>
      <c r="F3265">
        <v>1</v>
      </c>
      <c r="G3265">
        <v>50533.323552418398</v>
      </c>
      <c r="H3265">
        <v>1.1429320999999999E-2</v>
      </c>
      <c r="I3265">
        <v>12000</v>
      </c>
      <c r="J3265">
        <v>3616</v>
      </c>
      <c r="K3265">
        <v>8384</v>
      </c>
      <c r="L3265">
        <v>500</v>
      </c>
      <c r="M3265">
        <v>499</v>
      </c>
      <c r="N3265">
        <v>1</v>
      </c>
      <c r="O3265">
        <v>0</v>
      </c>
      <c r="P3265" s="3" t="s">
        <v>52</v>
      </c>
      <c r="Q3265">
        <v>50</v>
      </c>
      <c r="R3265">
        <v>0.999</v>
      </c>
      <c r="S3265">
        <v>0</v>
      </c>
    </row>
    <row r="3266" spans="1:19" x14ac:dyDescent="0.2">
      <c r="A3266" s="3" t="s">
        <v>54</v>
      </c>
      <c r="B3266" s="3" t="s">
        <v>55</v>
      </c>
      <c r="C3266">
        <v>35</v>
      </c>
      <c r="D3266">
        <v>11000</v>
      </c>
      <c r="E3266">
        <v>499</v>
      </c>
      <c r="F3266">
        <v>1</v>
      </c>
      <c r="G3266">
        <v>11000</v>
      </c>
      <c r="H3266">
        <v>1.1422966999999999E-2</v>
      </c>
      <c r="I3266">
        <v>11000</v>
      </c>
      <c r="J3266">
        <v>2764</v>
      </c>
      <c r="K3266">
        <v>8236</v>
      </c>
      <c r="L3266">
        <v>500</v>
      </c>
      <c r="M3266">
        <v>499</v>
      </c>
      <c r="N3266">
        <v>1</v>
      </c>
      <c r="O3266">
        <v>0</v>
      </c>
      <c r="P3266" s="3" t="s">
        <v>52</v>
      </c>
      <c r="Q3266">
        <v>50</v>
      </c>
      <c r="R3266">
        <v>0.999</v>
      </c>
      <c r="S3266">
        <v>1</v>
      </c>
    </row>
    <row r="3267" spans="1:19" x14ac:dyDescent="0.2">
      <c r="A3267" s="3" t="s">
        <v>54</v>
      </c>
      <c r="B3267" s="3" t="s">
        <v>55</v>
      </c>
      <c r="C3267">
        <v>49</v>
      </c>
      <c r="D3267">
        <v>11000</v>
      </c>
      <c r="E3267">
        <v>499</v>
      </c>
      <c r="F3267">
        <v>1</v>
      </c>
      <c r="G3267">
        <v>11000</v>
      </c>
      <c r="H3267">
        <v>1.1421198E-2</v>
      </c>
      <c r="I3267">
        <v>11000</v>
      </c>
      <c r="J3267">
        <v>2768</v>
      </c>
      <c r="K3267">
        <v>8232</v>
      </c>
      <c r="L3267">
        <v>500</v>
      </c>
      <c r="M3267">
        <v>499</v>
      </c>
      <c r="N3267">
        <v>1</v>
      </c>
      <c r="O3267">
        <v>0</v>
      </c>
      <c r="P3267" s="3" t="s">
        <v>52</v>
      </c>
      <c r="Q3267">
        <v>50</v>
      </c>
      <c r="R3267">
        <v>0.999</v>
      </c>
      <c r="S3267">
        <v>1</v>
      </c>
    </row>
    <row r="3268" spans="1:19" x14ac:dyDescent="0.2">
      <c r="A3268" s="3" t="s">
        <v>54</v>
      </c>
      <c r="B3268" s="3" t="s">
        <v>55</v>
      </c>
      <c r="C3268">
        <v>7</v>
      </c>
      <c r="D3268">
        <v>12000</v>
      </c>
      <c r="E3268">
        <v>499</v>
      </c>
      <c r="F3268">
        <v>1</v>
      </c>
      <c r="G3268">
        <v>50533.323552418398</v>
      </c>
      <c r="H3268">
        <v>1.1419511E-2</v>
      </c>
      <c r="I3268">
        <v>12000</v>
      </c>
      <c r="J3268">
        <v>3653</v>
      </c>
      <c r="K3268">
        <v>8347</v>
      </c>
      <c r="L3268">
        <v>500</v>
      </c>
      <c r="M3268">
        <v>499</v>
      </c>
      <c r="N3268">
        <v>1</v>
      </c>
      <c r="O3268">
        <v>0</v>
      </c>
      <c r="P3268" s="3" t="s">
        <v>52</v>
      </c>
      <c r="Q3268">
        <v>50</v>
      </c>
      <c r="R3268">
        <v>0.999</v>
      </c>
      <c r="S3268">
        <v>0</v>
      </c>
    </row>
    <row r="3269" spans="1:19" x14ac:dyDescent="0.2">
      <c r="A3269" s="3" t="s">
        <v>54</v>
      </c>
      <c r="B3269" s="3" t="s">
        <v>55</v>
      </c>
      <c r="C3269">
        <v>10</v>
      </c>
      <c r="D3269">
        <v>12000</v>
      </c>
      <c r="E3269">
        <v>499</v>
      </c>
      <c r="F3269">
        <v>1</v>
      </c>
      <c r="G3269">
        <v>12000</v>
      </c>
      <c r="H3269">
        <v>1.1413003999999999E-2</v>
      </c>
      <c r="I3269">
        <v>12000</v>
      </c>
      <c r="J3269">
        <v>3642</v>
      </c>
      <c r="K3269">
        <v>8358</v>
      </c>
      <c r="L3269">
        <v>500</v>
      </c>
      <c r="M3269">
        <v>499</v>
      </c>
      <c r="N3269">
        <v>1</v>
      </c>
      <c r="O3269">
        <v>0</v>
      </c>
      <c r="P3269" s="3" t="s">
        <v>52</v>
      </c>
      <c r="Q3269">
        <v>50</v>
      </c>
      <c r="R3269">
        <v>0.999</v>
      </c>
      <c r="S3269">
        <v>1</v>
      </c>
    </row>
    <row r="3270" spans="1:19" x14ac:dyDescent="0.2">
      <c r="A3270" s="3" t="s">
        <v>54</v>
      </c>
      <c r="B3270" s="3" t="s">
        <v>55</v>
      </c>
      <c r="C3270">
        <v>3</v>
      </c>
      <c r="D3270">
        <v>12000</v>
      </c>
      <c r="E3270">
        <v>499</v>
      </c>
      <c r="F3270">
        <v>1</v>
      </c>
      <c r="G3270">
        <v>12000</v>
      </c>
      <c r="H3270">
        <v>1.1409483E-2</v>
      </c>
      <c r="I3270">
        <v>12000</v>
      </c>
      <c r="J3270">
        <v>3582</v>
      </c>
      <c r="K3270">
        <v>8418</v>
      </c>
      <c r="L3270">
        <v>500</v>
      </c>
      <c r="M3270">
        <v>499</v>
      </c>
      <c r="N3270">
        <v>1</v>
      </c>
      <c r="O3270">
        <v>0</v>
      </c>
      <c r="P3270" s="3" t="s">
        <v>52</v>
      </c>
      <c r="Q3270">
        <v>50</v>
      </c>
      <c r="R3270">
        <v>0.999</v>
      </c>
      <c r="S3270">
        <v>1</v>
      </c>
    </row>
    <row r="3271" spans="1:19" x14ac:dyDescent="0.2">
      <c r="A3271" s="3" t="s">
        <v>54</v>
      </c>
      <c r="B3271" s="3" t="s">
        <v>55</v>
      </c>
      <c r="C3271">
        <v>39</v>
      </c>
      <c r="D3271">
        <v>11000</v>
      </c>
      <c r="E3271">
        <v>499</v>
      </c>
      <c r="F3271">
        <v>1</v>
      </c>
      <c r="G3271">
        <v>11000</v>
      </c>
      <c r="H3271">
        <v>1.1405376E-2</v>
      </c>
      <c r="I3271">
        <v>11000</v>
      </c>
      <c r="J3271">
        <v>2802</v>
      </c>
      <c r="K3271">
        <v>8198</v>
      </c>
      <c r="L3271">
        <v>500</v>
      </c>
      <c r="M3271">
        <v>499</v>
      </c>
      <c r="N3271">
        <v>1</v>
      </c>
      <c r="O3271">
        <v>0</v>
      </c>
      <c r="P3271" s="3" t="s">
        <v>52</v>
      </c>
      <c r="Q3271">
        <v>50</v>
      </c>
      <c r="R3271">
        <v>0.999</v>
      </c>
      <c r="S3271">
        <v>1</v>
      </c>
    </row>
    <row r="3272" spans="1:19" x14ac:dyDescent="0.2">
      <c r="A3272" s="3" t="s">
        <v>54</v>
      </c>
      <c r="B3272" s="3" t="s">
        <v>55</v>
      </c>
      <c r="C3272">
        <v>29</v>
      </c>
      <c r="D3272">
        <v>12000</v>
      </c>
      <c r="E3272">
        <v>499</v>
      </c>
      <c r="F3272">
        <v>1</v>
      </c>
      <c r="G3272">
        <v>12000</v>
      </c>
      <c r="H3272">
        <v>1.1394019E-2</v>
      </c>
      <c r="I3272">
        <v>12000</v>
      </c>
      <c r="J3272">
        <v>3626</v>
      </c>
      <c r="K3272">
        <v>8374</v>
      </c>
      <c r="L3272">
        <v>500</v>
      </c>
      <c r="M3272">
        <v>499</v>
      </c>
      <c r="N3272">
        <v>1</v>
      </c>
      <c r="O3272">
        <v>0</v>
      </c>
      <c r="P3272" s="3" t="s">
        <v>52</v>
      </c>
      <c r="Q3272">
        <v>50</v>
      </c>
      <c r="R3272">
        <v>0.999</v>
      </c>
      <c r="S3272">
        <v>1</v>
      </c>
    </row>
    <row r="3273" spans="1:19" x14ac:dyDescent="0.2">
      <c r="A3273" s="3" t="s">
        <v>54</v>
      </c>
      <c r="B3273" s="3" t="s">
        <v>55</v>
      </c>
      <c r="C3273">
        <v>24</v>
      </c>
      <c r="D3273">
        <v>11000</v>
      </c>
      <c r="E3273">
        <v>499</v>
      </c>
      <c r="F3273">
        <v>1</v>
      </c>
      <c r="G3273">
        <v>11000</v>
      </c>
      <c r="H3273">
        <v>1.1390242E-2</v>
      </c>
      <c r="I3273">
        <v>11000</v>
      </c>
      <c r="J3273">
        <v>2772</v>
      </c>
      <c r="K3273">
        <v>8228</v>
      </c>
      <c r="L3273">
        <v>500</v>
      </c>
      <c r="M3273">
        <v>499</v>
      </c>
      <c r="N3273">
        <v>1</v>
      </c>
      <c r="O3273">
        <v>0</v>
      </c>
      <c r="P3273" s="3" t="s">
        <v>52</v>
      </c>
      <c r="Q3273">
        <v>50</v>
      </c>
      <c r="R3273">
        <v>0.999</v>
      </c>
      <c r="S3273">
        <v>1</v>
      </c>
    </row>
    <row r="3274" spans="1:19" x14ac:dyDescent="0.2">
      <c r="A3274" s="3" t="s">
        <v>54</v>
      </c>
      <c r="B3274" s="3" t="s">
        <v>55</v>
      </c>
      <c r="C3274">
        <v>31</v>
      </c>
      <c r="D3274">
        <v>11000</v>
      </c>
      <c r="E3274">
        <v>499</v>
      </c>
      <c r="F3274">
        <v>1</v>
      </c>
      <c r="G3274">
        <v>11000</v>
      </c>
      <c r="H3274">
        <v>1.1383394E-2</v>
      </c>
      <c r="I3274">
        <v>11000</v>
      </c>
      <c r="J3274">
        <v>2812</v>
      </c>
      <c r="K3274">
        <v>8188</v>
      </c>
      <c r="L3274">
        <v>500</v>
      </c>
      <c r="M3274">
        <v>499</v>
      </c>
      <c r="N3274">
        <v>1</v>
      </c>
      <c r="O3274">
        <v>0</v>
      </c>
      <c r="P3274" s="3" t="s">
        <v>52</v>
      </c>
      <c r="Q3274">
        <v>50</v>
      </c>
      <c r="R3274">
        <v>0.999</v>
      </c>
      <c r="S3274">
        <v>1</v>
      </c>
    </row>
    <row r="3275" spans="1:19" x14ac:dyDescent="0.2">
      <c r="A3275" s="3" t="s">
        <v>54</v>
      </c>
      <c r="B3275" s="3" t="s">
        <v>55</v>
      </c>
      <c r="C3275">
        <v>2</v>
      </c>
      <c r="D3275">
        <v>11000</v>
      </c>
      <c r="E3275">
        <v>499</v>
      </c>
      <c r="F3275">
        <v>1</v>
      </c>
      <c r="G3275">
        <v>11000</v>
      </c>
      <c r="H3275">
        <v>1.1380405999999999E-2</v>
      </c>
      <c r="I3275">
        <v>11000</v>
      </c>
      <c r="J3275">
        <v>2749</v>
      </c>
      <c r="K3275">
        <v>8251</v>
      </c>
      <c r="L3275">
        <v>500</v>
      </c>
      <c r="M3275">
        <v>499</v>
      </c>
      <c r="N3275">
        <v>1</v>
      </c>
      <c r="O3275">
        <v>0</v>
      </c>
      <c r="P3275" s="3" t="s">
        <v>52</v>
      </c>
      <c r="Q3275">
        <v>50</v>
      </c>
      <c r="R3275">
        <v>0.999</v>
      </c>
      <c r="S3275">
        <v>1</v>
      </c>
    </row>
    <row r="3276" spans="1:19" x14ac:dyDescent="0.2">
      <c r="A3276" s="3" t="s">
        <v>54</v>
      </c>
      <c r="B3276" s="3" t="s">
        <v>55</v>
      </c>
      <c r="C3276">
        <v>43</v>
      </c>
      <c r="D3276">
        <v>10000</v>
      </c>
      <c r="E3276">
        <v>499</v>
      </c>
      <c r="F3276">
        <v>1</v>
      </c>
      <c r="G3276">
        <v>10000</v>
      </c>
      <c r="H3276">
        <v>1.1380029999999999E-2</v>
      </c>
      <c r="I3276">
        <v>10000</v>
      </c>
      <c r="J3276">
        <v>2672</v>
      </c>
      <c r="K3276">
        <v>7328</v>
      </c>
      <c r="L3276">
        <v>500</v>
      </c>
      <c r="M3276">
        <v>499</v>
      </c>
      <c r="N3276">
        <v>1</v>
      </c>
      <c r="O3276">
        <v>0</v>
      </c>
      <c r="P3276" s="3" t="s">
        <v>52</v>
      </c>
      <c r="Q3276">
        <v>50</v>
      </c>
      <c r="R3276">
        <v>0.999</v>
      </c>
      <c r="S3276">
        <v>1</v>
      </c>
    </row>
    <row r="3277" spans="1:19" x14ac:dyDescent="0.2">
      <c r="A3277" s="3" t="s">
        <v>54</v>
      </c>
      <c r="B3277" s="3" t="s">
        <v>55</v>
      </c>
      <c r="C3277">
        <v>44</v>
      </c>
      <c r="D3277">
        <v>11000</v>
      </c>
      <c r="E3277">
        <v>499</v>
      </c>
      <c r="F3277">
        <v>1</v>
      </c>
      <c r="G3277">
        <v>11000</v>
      </c>
      <c r="H3277">
        <v>1.1376437E-2</v>
      </c>
      <c r="I3277">
        <v>11000</v>
      </c>
      <c r="J3277">
        <v>2772</v>
      </c>
      <c r="K3277">
        <v>8228</v>
      </c>
      <c r="L3277">
        <v>500</v>
      </c>
      <c r="M3277">
        <v>499</v>
      </c>
      <c r="N3277">
        <v>1</v>
      </c>
      <c r="O3277">
        <v>0</v>
      </c>
      <c r="P3277" s="3" t="s">
        <v>52</v>
      </c>
      <c r="Q3277">
        <v>50</v>
      </c>
      <c r="R3277">
        <v>0.999</v>
      </c>
      <c r="S3277">
        <v>1</v>
      </c>
    </row>
    <row r="3278" spans="1:19" x14ac:dyDescent="0.2">
      <c r="A3278" s="3" t="s">
        <v>54</v>
      </c>
      <c r="B3278" s="3" t="s">
        <v>55</v>
      </c>
      <c r="C3278">
        <v>21</v>
      </c>
      <c r="D3278">
        <v>12000</v>
      </c>
      <c r="E3278">
        <v>499</v>
      </c>
      <c r="F3278">
        <v>1</v>
      </c>
      <c r="G3278">
        <v>12000</v>
      </c>
      <c r="H3278">
        <v>1.1372623E-2</v>
      </c>
      <c r="I3278">
        <v>12000</v>
      </c>
      <c r="J3278">
        <v>3666</v>
      </c>
      <c r="K3278">
        <v>8334</v>
      </c>
      <c r="L3278">
        <v>500</v>
      </c>
      <c r="M3278">
        <v>499</v>
      </c>
      <c r="N3278">
        <v>1</v>
      </c>
      <c r="O3278">
        <v>0</v>
      </c>
      <c r="P3278" s="3" t="s">
        <v>52</v>
      </c>
      <c r="Q3278">
        <v>50</v>
      </c>
      <c r="R3278">
        <v>0.999</v>
      </c>
      <c r="S3278">
        <v>1</v>
      </c>
    </row>
    <row r="3279" spans="1:19" x14ac:dyDescent="0.2">
      <c r="A3279" s="3" t="s">
        <v>54</v>
      </c>
      <c r="B3279" s="3" t="s">
        <v>55</v>
      </c>
      <c r="C3279">
        <v>46</v>
      </c>
      <c r="D3279">
        <v>12000</v>
      </c>
      <c r="E3279">
        <v>499</v>
      </c>
      <c r="F3279">
        <v>1</v>
      </c>
      <c r="G3279">
        <v>50533.323552418398</v>
      </c>
      <c r="H3279">
        <v>1.1369884E-2</v>
      </c>
      <c r="I3279">
        <v>12000</v>
      </c>
      <c r="J3279">
        <v>3581</v>
      </c>
      <c r="K3279">
        <v>8419</v>
      </c>
      <c r="L3279">
        <v>500</v>
      </c>
      <c r="M3279">
        <v>499</v>
      </c>
      <c r="N3279">
        <v>1</v>
      </c>
      <c r="O3279">
        <v>0</v>
      </c>
      <c r="P3279" s="3" t="s">
        <v>52</v>
      </c>
      <c r="Q3279">
        <v>50</v>
      </c>
      <c r="R3279">
        <v>0.999</v>
      </c>
      <c r="S3279">
        <v>0</v>
      </c>
    </row>
    <row r="3280" spans="1:19" x14ac:dyDescent="0.2">
      <c r="A3280" s="3" t="s">
        <v>54</v>
      </c>
      <c r="B3280" s="3" t="s">
        <v>55</v>
      </c>
      <c r="C3280">
        <v>45</v>
      </c>
      <c r="D3280">
        <v>12000</v>
      </c>
      <c r="E3280">
        <v>499</v>
      </c>
      <c r="F3280">
        <v>1</v>
      </c>
      <c r="G3280">
        <v>50533.323552418398</v>
      </c>
      <c r="H3280">
        <v>1.1359012999999999E-2</v>
      </c>
      <c r="I3280">
        <v>12000</v>
      </c>
      <c r="J3280">
        <v>3652</v>
      </c>
      <c r="K3280">
        <v>8348</v>
      </c>
      <c r="L3280">
        <v>500</v>
      </c>
      <c r="M3280">
        <v>499</v>
      </c>
      <c r="N3280">
        <v>1</v>
      </c>
      <c r="O3280">
        <v>0</v>
      </c>
      <c r="P3280" s="3" t="s">
        <v>52</v>
      </c>
      <c r="Q3280">
        <v>50</v>
      </c>
      <c r="R3280">
        <v>0.999</v>
      </c>
      <c r="S3280">
        <v>0</v>
      </c>
    </row>
    <row r="3281" spans="1:19" x14ac:dyDescent="0.2">
      <c r="A3281" s="3" t="s">
        <v>54</v>
      </c>
      <c r="B3281" s="3" t="s">
        <v>55</v>
      </c>
      <c r="C3281">
        <v>13</v>
      </c>
      <c r="D3281">
        <v>11000</v>
      </c>
      <c r="E3281">
        <v>499</v>
      </c>
      <c r="F3281">
        <v>1</v>
      </c>
      <c r="G3281">
        <v>11000</v>
      </c>
      <c r="H3281">
        <v>1.1350588E-2</v>
      </c>
      <c r="I3281">
        <v>11000</v>
      </c>
      <c r="J3281">
        <v>2801</v>
      </c>
      <c r="K3281">
        <v>8199</v>
      </c>
      <c r="L3281">
        <v>500</v>
      </c>
      <c r="M3281">
        <v>499</v>
      </c>
      <c r="N3281">
        <v>1</v>
      </c>
      <c r="O3281">
        <v>0</v>
      </c>
      <c r="P3281" s="3" t="s">
        <v>52</v>
      </c>
      <c r="Q3281">
        <v>50</v>
      </c>
      <c r="R3281">
        <v>0.999</v>
      </c>
      <c r="S3281">
        <v>1</v>
      </c>
    </row>
    <row r="3282" spans="1:19" x14ac:dyDescent="0.2">
      <c r="A3282" s="3" t="s">
        <v>54</v>
      </c>
      <c r="B3282" s="3" t="s">
        <v>55</v>
      </c>
      <c r="C3282">
        <v>22</v>
      </c>
      <c r="D3282">
        <v>12000</v>
      </c>
      <c r="E3282">
        <v>499</v>
      </c>
      <c r="F3282">
        <v>1</v>
      </c>
      <c r="G3282">
        <v>12000</v>
      </c>
      <c r="H3282">
        <v>1.1337524999999999E-2</v>
      </c>
      <c r="I3282">
        <v>12000</v>
      </c>
      <c r="J3282">
        <v>3663</v>
      </c>
      <c r="K3282">
        <v>8337</v>
      </c>
      <c r="L3282">
        <v>500</v>
      </c>
      <c r="M3282">
        <v>499</v>
      </c>
      <c r="N3282">
        <v>1</v>
      </c>
      <c r="O3282">
        <v>0</v>
      </c>
      <c r="P3282" s="3" t="s">
        <v>52</v>
      </c>
      <c r="Q3282">
        <v>50</v>
      </c>
      <c r="R3282">
        <v>0.999</v>
      </c>
      <c r="S3282">
        <v>1</v>
      </c>
    </row>
    <row r="3283" spans="1:19" x14ac:dyDescent="0.2">
      <c r="A3283" s="3" t="s">
        <v>54</v>
      </c>
      <c r="B3283" s="3" t="s">
        <v>55</v>
      </c>
      <c r="C3283">
        <v>44</v>
      </c>
      <c r="D3283">
        <v>12000</v>
      </c>
      <c r="E3283">
        <v>499</v>
      </c>
      <c r="F3283">
        <v>1</v>
      </c>
      <c r="G3283">
        <v>12000</v>
      </c>
      <c r="H3283">
        <v>1.1335158999999999E-2</v>
      </c>
      <c r="I3283">
        <v>12000</v>
      </c>
      <c r="J3283">
        <v>3630</v>
      </c>
      <c r="K3283">
        <v>8370</v>
      </c>
      <c r="L3283">
        <v>500</v>
      </c>
      <c r="M3283">
        <v>499</v>
      </c>
      <c r="N3283">
        <v>1</v>
      </c>
      <c r="O3283">
        <v>0</v>
      </c>
      <c r="P3283" s="3" t="s">
        <v>52</v>
      </c>
      <c r="Q3283">
        <v>50</v>
      </c>
      <c r="R3283">
        <v>0.999</v>
      </c>
      <c r="S3283">
        <v>1</v>
      </c>
    </row>
    <row r="3284" spans="1:19" x14ac:dyDescent="0.2">
      <c r="A3284" s="3" t="s">
        <v>54</v>
      </c>
      <c r="B3284" s="3" t="s">
        <v>55</v>
      </c>
      <c r="C3284">
        <v>16</v>
      </c>
      <c r="D3284">
        <v>12000</v>
      </c>
      <c r="E3284">
        <v>499</v>
      </c>
      <c r="F3284">
        <v>1</v>
      </c>
      <c r="G3284">
        <v>12000</v>
      </c>
      <c r="H3284">
        <v>1.1322877E-2</v>
      </c>
      <c r="I3284">
        <v>12000</v>
      </c>
      <c r="J3284">
        <v>3655</v>
      </c>
      <c r="K3284">
        <v>8345</v>
      </c>
      <c r="L3284">
        <v>500</v>
      </c>
      <c r="M3284">
        <v>499</v>
      </c>
      <c r="N3284">
        <v>1</v>
      </c>
      <c r="O3284">
        <v>0</v>
      </c>
      <c r="P3284" s="3" t="s">
        <v>52</v>
      </c>
      <c r="Q3284">
        <v>50</v>
      </c>
      <c r="R3284">
        <v>0.999</v>
      </c>
      <c r="S3284">
        <v>1</v>
      </c>
    </row>
    <row r="3285" spans="1:19" x14ac:dyDescent="0.2">
      <c r="A3285" s="3" t="s">
        <v>54</v>
      </c>
      <c r="B3285" s="3" t="s">
        <v>55</v>
      </c>
      <c r="C3285">
        <v>20</v>
      </c>
      <c r="D3285">
        <v>12000</v>
      </c>
      <c r="E3285">
        <v>499</v>
      </c>
      <c r="F3285">
        <v>1</v>
      </c>
      <c r="G3285">
        <v>12000</v>
      </c>
      <c r="H3285">
        <v>1.1312077E-2</v>
      </c>
      <c r="I3285">
        <v>12000</v>
      </c>
      <c r="J3285">
        <v>3643</v>
      </c>
      <c r="K3285">
        <v>8357</v>
      </c>
      <c r="L3285">
        <v>500</v>
      </c>
      <c r="M3285">
        <v>499</v>
      </c>
      <c r="N3285">
        <v>1</v>
      </c>
      <c r="O3285">
        <v>0</v>
      </c>
      <c r="P3285" s="3" t="s">
        <v>52</v>
      </c>
      <c r="Q3285">
        <v>50</v>
      </c>
      <c r="R3285">
        <v>0.999</v>
      </c>
      <c r="S3285">
        <v>1</v>
      </c>
    </row>
    <row r="3286" spans="1:19" x14ac:dyDescent="0.2">
      <c r="A3286" s="3" t="s">
        <v>54</v>
      </c>
      <c r="B3286" s="3" t="s">
        <v>55</v>
      </c>
      <c r="C3286">
        <v>26</v>
      </c>
      <c r="D3286">
        <v>12000</v>
      </c>
      <c r="E3286">
        <v>499</v>
      </c>
      <c r="F3286">
        <v>1</v>
      </c>
      <c r="G3286">
        <v>12000</v>
      </c>
      <c r="H3286">
        <v>1.1302169000000001E-2</v>
      </c>
      <c r="I3286">
        <v>12000</v>
      </c>
      <c r="J3286">
        <v>3602</v>
      </c>
      <c r="K3286">
        <v>8398</v>
      </c>
      <c r="L3286">
        <v>500</v>
      </c>
      <c r="M3286">
        <v>499</v>
      </c>
      <c r="N3286">
        <v>1</v>
      </c>
      <c r="O3286">
        <v>0</v>
      </c>
      <c r="P3286" s="3" t="s">
        <v>52</v>
      </c>
      <c r="Q3286">
        <v>50</v>
      </c>
      <c r="R3286">
        <v>0.999</v>
      </c>
      <c r="S3286">
        <v>1</v>
      </c>
    </row>
    <row r="3287" spans="1:19" x14ac:dyDescent="0.2">
      <c r="A3287" s="3" t="s">
        <v>54</v>
      </c>
      <c r="B3287" s="3" t="s">
        <v>55</v>
      </c>
      <c r="C3287">
        <v>13</v>
      </c>
      <c r="D3287">
        <v>12000</v>
      </c>
      <c r="E3287">
        <v>499</v>
      </c>
      <c r="F3287">
        <v>1</v>
      </c>
      <c r="G3287">
        <v>12000</v>
      </c>
      <c r="H3287">
        <v>1.1299767E-2</v>
      </c>
      <c r="I3287">
        <v>12000</v>
      </c>
      <c r="J3287">
        <v>3656</v>
      </c>
      <c r="K3287">
        <v>8344</v>
      </c>
      <c r="L3287">
        <v>500</v>
      </c>
      <c r="M3287">
        <v>499</v>
      </c>
      <c r="N3287">
        <v>1</v>
      </c>
      <c r="O3287">
        <v>0</v>
      </c>
      <c r="P3287" s="3" t="s">
        <v>52</v>
      </c>
      <c r="Q3287">
        <v>50</v>
      </c>
      <c r="R3287">
        <v>0.999</v>
      </c>
      <c r="S3287">
        <v>1</v>
      </c>
    </row>
    <row r="3288" spans="1:19" x14ac:dyDescent="0.2">
      <c r="A3288" s="3" t="s">
        <v>54</v>
      </c>
      <c r="B3288" s="3" t="s">
        <v>55</v>
      </c>
      <c r="C3288">
        <v>8</v>
      </c>
      <c r="D3288">
        <v>10000</v>
      </c>
      <c r="E3288">
        <v>499</v>
      </c>
      <c r="F3288">
        <v>1</v>
      </c>
      <c r="G3288">
        <v>10000</v>
      </c>
      <c r="H3288">
        <v>1.1298163999999999E-2</v>
      </c>
      <c r="I3288">
        <v>10000</v>
      </c>
      <c r="J3288">
        <v>2694</v>
      </c>
      <c r="K3288">
        <v>7306</v>
      </c>
      <c r="L3288">
        <v>500</v>
      </c>
      <c r="M3288">
        <v>499</v>
      </c>
      <c r="N3288">
        <v>1</v>
      </c>
      <c r="O3288">
        <v>0</v>
      </c>
      <c r="P3288" s="3" t="s">
        <v>52</v>
      </c>
      <c r="Q3288">
        <v>50</v>
      </c>
      <c r="R3288">
        <v>0.999</v>
      </c>
      <c r="S3288">
        <v>1</v>
      </c>
    </row>
    <row r="3289" spans="1:19" x14ac:dyDescent="0.2">
      <c r="A3289" s="3" t="s">
        <v>54</v>
      </c>
      <c r="B3289" s="3" t="s">
        <v>55</v>
      </c>
      <c r="C3289">
        <v>2</v>
      </c>
      <c r="D3289">
        <v>12000</v>
      </c>
      <c r="E3289">
        <v>499</v>
      </c>
      <c r="F3289">
        <v>1</v>
      </c>
      <c r="G3289">
        <v>12000</v>
      </c>
      <c r="H3289">
        <v>1.1278088E-2</v>
      </c>
      <c r="I3289">
        <v>12000</v>
      </c>
      <c r="J3289">
        <v>3686</v>
      </c>
      <c r="K3289">
        <v>8314</v>
      </c>
      <c r="L3289">
        <v>500</v>
      </c>
      <c r="M3289">
        <v>499</v>
      </c>
      <c r="N3289">
        <v>1</v>
      </c>
      <c r="O3289">
        <v>0</v>
      </c>
      <c r="P3289" s="3" t="s">
        <v>52</v>
      </c>
      <c r="Q3289">
        <v>50</v>
      </c>
      <c r="R3289">
        <v>0.999</v>
      </c>
      <c r="S3289">
        <v>1</v>
      </c>
    </row>
    <row r="3290" spans="1:19" x14ac:dyDescent="0.2">
      <c r="A3290" s="3" t="s">
        <v>54</v>
      </c>
      <c r="B3290" s="3" t="s">
        <v>55</v>
      </c>
      <c r="C3290">
        <v>48</v>
      </c>
      <c r="D3290">
        <v>12000</v>
      </c>
      <c r="E3290">
        <v>499</v>
      </c>
      <c r="F3290">
        <v>1</v>
      </c>
      <c r="G3290">
        <v>12000</v>
      </c>
      <c r="H3290">
        <v>1.1276806E-2</v>
      </c>
      <c r="I3290">
        <v>11999</v>
      </c>
      <c r="J3290">
        <v>3570</v>
      </c>
      <c r="K3290">
        <v>8429</v>
      </c>
      <c r="L3290">
        <v>500</v>
      </c>
      <c r="M3290">
        <v>499</v>
      </c>
      <c r="N3290">
        <v>1</v>
      </c>
      <c r="O3290">
        <v>1</v>
      </c>
      <c r="P3290" s="3" t="s">
        <v>52</v>
      </c>
      <c r="Q3290">
        <v>50</v>
      </c>
      <c r="R3290">
        <v>0.999</v>
      </c>
      <c r="S3290">
        <v>1</v>
      </c>
    </row>
    <row r="3291" spans="1:19" x14ac:dyDescent="0.2">
      <c r="A3291" s="3" t="s">
        <v>54</v>
      </c>
      <c r="B3291" s="3" t="s">
        <v>55</v>
      </c>
      <c r="C3291">
        <v>17</v>
      </c>
      <c r="D3291">
        <v>10000</v>
      </c>
      <c r="E3291">
        <v>499</v>
      </c>
      <c r="F3291">
        <v>1</v>
      </c>
      <c r="G3291">
        <v>10000</v>
      </c>
      <c r="H3291">
        <v>1.1248325E-2</v>
      </c>
      <c r="I3291">
        <v>10000</v>
      </c>
      <c r="J3291">
        <v>2689</v>
      </c>
      <c r="K3291">
        <v>7311</v>
      </c>
      <c r="L3291">
        <v>500</v>
      </c>
      <c r="M3291">
        <v>499</v>
      </c>
      <c r="N3291">
        <v>1</v>
      </c>
      <c r="O3291">
        <v>0</v>
      </c>
      <c r="P3291" s="3" t="s">
        <v>52</v>
      </c>
      <c r="Q3291">
        <v>50</v>
      </c>
      <c r="R3291">
        <v>0.999</v>
      </c>
      <c r="S3291">
        <v>1</v>
      </c>
    </row>
    <row r="3292" spans="1:19" x14ac:dyDescent="0.2">
      <c r="A3292" s="3" t="s">
        <v>54</v>
      </c>
      <c r="B3292" s="3" t="s">
        <v>55</v>
      </c>
      <c r="C3292">
        <v>23</v>
      </c>
      <c r="D3292">
        <v>12000</v>
      </c>
      <c r="E3292">
        <v>499</v>
      </c>
      <c r="F3292">
        <v>1</v>
      </c>
      <c r="G3292">
        <v>12000</v>
      </c>
      <c r="H3292">
        <v>1.1242795999999999E-2</v>
      </c>
      <c r="I3292">
        <v>12000</v>
      </c>
      <c r="J3292">
        <v>3626</v>
      </c>
      <c r="K3292">
        <v>8374</v>
      </c>
      <c r="L3292">
        <v>500</v>
      </c>
      <c r="M3292">
        <v>499</v>
      </c>
      <c r="N3292">
        <v>1</v>
      </c>
      <c r="O3292">
        <v>0</v>
      </c>
      <c r="P3292" s="3" t="s">
        <v>52</v>
      </c>
      <c r="Q3292">
        <v>50</v>
      </c>
      <c r="R3292">
        <v>0.999</v>
      </c>
      <c r="S3292">
        <v>1</v>
      </c>
    </row>
    <row r="3293" spans="1:19" x14ac:dyDescent="0.2">
      <c r="A3293" s="3" t="s">
        <v>54</v>
      </c>
      <c r="B3293" s="3" t="s">
        <v>55</v>
      </c>
      <c r="C3293">
        <v>40</v>
      </c>
      <c r="D3293">
        <v>11000</v>
      </c>
      <c r="E3293">
        <v>499</v>
      </c>
      <c r="F3293">
        <v>1</v>
      </c>
      <c r="G3293">
        <v>11000</v>
      </c>
      <c r="H3293">
        <v>1.1241861000000001E-2</v>
      </c>
      <c r="I3293">
        <v>11000</v>
      </c>
      <c r="J3293">
        <v>2765</v>
      </c>
      <c r="K3293">
        <v>8235</v>
      </c>
      <c r="L3293">
        <v>500</v>
      </c>
      <c r="M3293">
        <v>499</v>
      </c>
      <c r="N3293">
        <v>1</v>
      </c>
      <c r="O3293">
        <v>0</v>
      </c>
      <c r="P3293" s="3" t="s">
        <v>52</v>
      </c>
      <c r="Q3293">
        <v>50</v>
      </c>
      <c r="R3293">
        <v>0.999</v>
      </c>
      <c r="S3293">
        <v>1</v>
      </c>
    </row>
    <row r="3294" spans="1:19" x14ac:dyDescent="0.2">
      <c r="A3294" s="3" t="s">
        <v>54</v>
      </c>
      <c r="B3294" s="3" t="s">
        <v>55</v>
      </c>
      <c r="C3294">
        <v>4</v>
      </c>
      <c r="D3294">
        <v>10000</v>
      </c>
      <c r="E3294">
        <v>499</v>
      </c>
      <c r="F3294">
        <v>1</v>
      </c>
      <c r="G3294">
        <v>10000</v>
      </c>
      <c r="H3294">
        <v>1.1240945E-2</v>
      </c>
      <c r="I3294">
        <v>10000</v>
      </c>
      <c r="J3294">
        <v>2707</v>
      </c>
      <c r="K3294">
        <v>7293</v>
      </c>
      <c r="L3294">
        <v>500</v>
      </c>
      <c r="M3294">
        <v>499</v>
      </c>
      <c r="N3294">
        <v>1</v>
      </c>
      <c r="O3294">
        <v>0</v>
      </c>
      <c r="P3294" s="3" t="s">
        <v>52</v>
      </c>
      <c r="Q3294">
        <v>50</v>
      </c>
      <c r="R3294">
        <v>0.999</v>
      </c>
      <c r="S3294">
        <v>1</v>
      </c>
    </row>
    <row r="3295" spans="1:19" x14ac:dyDescent="0.2">
      <c r="A3295" s="3" t="s">
        <v>54</v>
      </c>
      <c r="B3295" s="3" t="s">
        <v>55</v>
      </c>
      <c r="C3295">
        <v>36</v>
      </c>
      <c r="D3295">
        <v>11000</v>
      </c>
      <c r="E3295">
        <v>499</v>
      </c>
      <c r="F3295">
        <v>1</v>
      </c>
      <c r="G3295">
        <v>11000</v>
      </c>
      <c r="H3295">
        <v>1.1220374E-2</v>
      </c>
      <c r="I3295">
        <v>11000</v>
      </c>
      <c r="J3295">
        <v>2776</v>
      </c>
      <c r="K3295">
        <v>8224</v>
      </c>
      <c r="L3295">
        <v>500</v>
      </c>
      <c r="M3295">
        <v>499</v>
      </c>
      <c r="N3295">
        <v>1</v>
      </c>
      <c r="O3295">
        <v>0</v>
      </c>
      <c r="P3295" s="3" t="s">
        <v>52</v>
      </c>
      <c r="Q3295">
        <v>50</v>
      </c>
      <c r="R3295">
        <v>0.999</v>
      </c>
      <c r="S3295">
        <v>1</v>
      </c>
    </row>
    <row r="3296" spans="1:19" x14ac:dyDescent="0.2">
      <c r="A3296" s="3" t="s">
        <v>54</v>
      </c>
      <c r="B3296" s="3" t="s">
        <v>55</v>
      </c>
      <c r="C3296">
        <v>39</v>
      </c>
      <c r="D3296">
        <v>12000</v>
      </c>
      <c r="E3296">
        <v>499</v>
      </c>
      <c r="F3296">
        <v>1</v>
      </c>
      <c r="G3296">
        <v>12000</v>
      </c>
      <c r="H3296">
        <v>1.1207999999999999E-2</v>
      </c>
      <c r="I3296">
        <v>12000</v>
      </c>
      <c r="J3296">
        <v>3635</v>
      </c>
      <c r="K3296">
        <v>8365</v>
      </c>
      <c r="L3296">
        <v>500</v>
      </c>
      <c r="M3296">
        <v>499</v>
      </c>
      <c r="N3296">
        <v>1</v>
      </c>
      <c r="O3296">
        <v>0</v>
      </c>
      <c r="P3296" s="3" t="s">
        <v>52</v>
      </c>
      <c r="Q3296">
        <v>50</v>
      </c>
      <c r="R3296">
        <v>0.999</v>
      </c>
      <c r="S3296">
        <v>1</v>
      </c>
    </row>
    <row r="3297" spans="1:19" x14ac:dyDescent="0.2">
      <c r="A3297" s="3" t="s">
        <v>54</v>
      </c>
      <c r="B3297" s="3" t="s">
        <v>55</v>
      </c>
      <c r="C3297">
        <v>38</v>
      </c>
      <c r="D3297">
        <v>12000</v>
      </c>
      <c r="E3297">
        <v>499</v>
      </c>
      <c r="F3297">
        <v>1</v>
      </c>
      <c r="G3297">
        <v>12000</v>
      </c>
      <c r="H3297">
        <v>1.1198055E-2</v>
      </c>
      <c r="I3297">
        <v>12000</v>
      </c>
      <c r="J3297">
        <v>3645</v>
      </c>
      <c r="K3297">
        <v>8355</v>
      </c>
      <c r="L3297">
        <v>500</v>
      </c>
      <c r="M3297">
        <v>499</v>
      </c>
      <c r="N3297">
        <v>1</v>
      </c>
      <c r="O3297">
        <v>0</v>
      </c>
      <c r="P3297" s="3" t="s">
        <v>52</v>
      </c>
      <c r="Q3297">
        <v>50</v>
      </c>
      <c r="R3297">
        <v>0.999</v>
      </c>
      <c r="S3297">
        <v>1</v>
      </c>
    </row>
    <row r="3298" spans="1:19" x14ac:dyDescent="0.2">
      <c r="A3298" s="3" t="s">
        <v>54</v>
      </c>
      <c r="B3298" s="3" t="s">
        <v>55</v>
      </c>
      <c r="C3298">
        <v>38</v>
      </c>
      <c r="D3298">
        <v>11000</v>
      </c>
      <c r="E3298">
        <v>499</v>
      </c>
      <c r="F3298">
        <v>1</v>
      </c>
      <c r="G3298">
        <v>11000</v>
      </c>
      <c r="H3298">
        <v>1.117841E-2</v>
      </c>
      <c r="I3298">
        <v>11000</v>
      </c>
      <c r="J3298">
        <v>2697</v>
      </c>
      <c r="K3298">
        <v>8303</v>
      </c>
      <c r="L3298">
        <v>500</v>
      </c>
      <c r="M3298">
        <v>499</v>
      </c>
      <c r="N3298">
        <v>1</v>
      </c>
      <c r="O3298">
        <v>0</v>
      </c>
      <c r="P3298" s="3" t="s">
        <v>52</v>
      </c>
      <c r="Q3298">
        <v>50</v>
      </c>
      <c r="R3298">
        <v>0.999</v>
      </c>
      <c r="S3298">
        <v>1</v>
      </c>
    </row>
    <row r="3299" spans="1:19" x14ac:dyDescent="0.2">
      <c r="A3299" s="3" t="s">
        <v>54</v>
      </c>
      <c r="B3299" s="3" t="s">
        <v>55</v>
      </c>
      <c r="C3299">
        <v>31</v>
      </c>
      <c r="D3299">
        <v>12000</v>
      </c>
      <c r="E3299">
        <v>499</v>
      </c>
      <c r="F3299">
        <v>1</v>
      </c>
      <c r="G3299">
        <v>12000</v>
      </c>
      <c r="H3299">
        <v>1.1175302999999999E-2</v>
      </c>
      <c r="I3299">
        <v>12000</v>
      </c>
      <c r="J3299">
        <v>3564</v>
      </c>
      <c r="K3299">
        <v>8436</v>
      </c>
      <c r="L3299">
        <v>500</v>
      </c>
      <c r="M3299">
        <v>499</v>
      </c>
      <c r="N3299">
        <v>1</v>
      </c>
      <c r="O3299">
        <v>0</v>
      </c>
      <c r="P3299" s="3" t="s">
        <v>52</v>
      </c>
      <c r="Q3299">
        <v>50</v>
      </c>
      <c r="R3299">
        <v>0.999</v>
      </c>
      <c r="S3299">
        <v>1</v>
      </c>
    </row>
    <row r="3300" spans="1:19" x14ac:dyDescent="0.2">
      <c r="A3300" s="3" t="s">
        <v>54</v>
      </c>
      <c r="B3300" s="3" t="s">
        <v>55</v>
      </c>
      <c r="C3300">
        <v>37</v>
      </c>
      <c r="D3300">
        <v>11000</v>
      </c>
      <c r="E3300">
        <v>499</v>
      </c>
      <c r="F3300">
        <v>1</v>
      </c>
      <c r="G3300">
        <v>11000</v>
      </c>
      <c r="H3300">
        <v>1.1094701E-2</v>
      </c>
      <c r="I3300">
        <v>11000</v>
      </c>
      <c r="J3300">
        <v>2786</v>
      </c>
      <c r="K3300">
        <v>8214</v>
      </c>
      <c r="L3300">
        <v>500</v>
      </c>
      <c r="M3300">
        <v>499</v>
      </c>
      <c r="N3300">
        <v>1</v>
      </c>
      <c r="O3300">
        <v>0</v>
      </c>
      <c r="P3300" s="3" t="s">
        <v>52</v>
      </c>
      <c r="Q3300">
        <v>50</v>
      </c>
      <c r="R3300">
        <v>0.999</v>
      </c>
      <c r="S3300">
        <v>1</v>
      </c>
    </row>
    <row r="3301" spans="1:19" x14ac:dyDescent="0.2">
      <c r="A3301" s="3" t="s">
        <v>54</v>
      </c>
      <c r="B3301" s="3" t="s">
        <v>55</v>
      </c>
      <c r="C3301">
        <v>35</v>
      </c>
      <c r="D3301">
        <v>12000</v>
      </c>
      <c r="E3301">
        <v>499</v>
      </c>
      <c r="F3301">
        <v>1</v>
      </c>
      <c r="G3301">
        <v>12000</v>
      </c>
      <c r="H3301">
        <v>1.1043403E-2</v>
      </c>
      <c r="I3301">
        <v>12000</v>
      </c>
      <c r="J3301">
        <v>3644</v>
      </c>
      <c r="K3301">
        <v>8356</v>
      </c>
      <c r="L3301">
        <v>500</v>
      </c>
      <c r="M3301">
        <v>499</v>
      </c>
      <c r="N3301">
        <v>1</v>
      </c>
      <c r="O3301">
        <v>0</v>
      </c>
      <c r="P3301" s="3" t="s">
        <v>52</v>
      </c>
      <c r="Q3301">
        <v>50</v>
      </c>
      <c r="R3301">
        <v>0.999</v>
      </c>
      <c r="S3301">
        <v>1</v>
      </c>
    </row>
  </sheetData>
  <phoneticPr fontId="10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097E3-AB0F-4A4D-8DEA-B2ABA55F2897}">
  <sheetPr codeName="Planilha4"/>
  <dimension ref="A1:Z36"/>
  <sheetViews>
    <sheetView zoomScaleNormal="100" workbookViewId="0">
      <selection activeCell="B4" sqref="B4"/>
    </sheetView>
  </sheetViews>
  <sheetFormatPr defaultColWidth="10.1640625" defaultRowHeight="15.75" x14ac:dyDescent="0.2"/>
  <cols>
    <col min="1" max="1" width="32.1640625" style="58" bestFit="1" customWidth="1"/>
    <col min="2" max="2" width="50.83203125" style="62" customWidth="1"/>
    <col min="3" max="3" width="75.83203125" style="2" customWidth="1"/>
    <col min="4" max="4" width="2.1640625" style="1" bestFit="1" customWidth="1"/>
    <col min="5" max="5" width="28" bestFit="1" customWidth="1"/>
    <col min="6" max="6" width="9.1640625" bestFit="1" customWidth="1"/>
    <col min="7" max="7" width="40.5" bestFit="1" customWidth="1"/>
    <col min="8" max="8" width="11.6640625" bestFit="1" customWidth="1"/>
    <col min="9" max="9" width="40.5" bestFit="1" customWidth="1"/>
    <col min="10" max="10" width="12.6640625" bestFit="1" customWidth="1"/>
    <col min="11" max="11" width="16.6640625" bestFit="1" customWidth="1"/>
    <col min="12" max="13" width="16.33203125" bestFit="1" customWidth="1"/>
    <col min="14" max="15" width="16" bestFit="1" customWidth="1"/>
    <col min="16" max="16" width="5.1640625" bestFit="1" customWidth="1"/>
    <col min="17" max="17" width="16.6640625" bestFit="1" customWidth="1"/>
    <col min="18" max="18" width="17.83203125" bestFit="1" customWidth="1"/>
    <col min="19" max="21" width="16.6640625" bestFit="1" customWidth="1"/>
    <col min="27" max="16384" width="10.1640625" style="1"/>
  </cols>
  <sheetData>
    <row r="1" spans="1:4" ht="50.1" customHeight="1" x14ac:dyDescent="0.2">
      <c r="A1" s="95"/>
      <c r="B1" s="95"/>
      <c r="C1" s="95"/>
      <c r="D1" s="1" t="s">
        <v>66</v>
      </c>
    </row>
    <row r="2" spans="1:4" x14ac:dyDescent="0.2">
      <c r="A2" s="58" t="s">
        <v>57</v>
      </c>
      <c r="B2" s="62" t="s">
        <v>58</v>
      </c>
      <c r="C2" s="60" t="s">
        <v>68</v>
      </c>
    </row>
    <row r="3" spans="1:4" x14ac:dyDescent="0.2">
      <c r="A3" s="58" t="s">
        <v>59</v>
      </c>
      <c r="B3" s="62" t="s">
        <v>117</v>
      </c>
      <c r="C3" s="60" t="s">
        <v>69</v>
      </c>
    </row>
    <row r="4" spans="1:4" ht="63" x14ac:dyDescent="0.2">
      <c r="A4" s="58" t="s">
        <v>70</v>
      </c>
      <c r="B4" s="62" t="s">
        <v>71</v>
      </c>
      <c r="C4" s="2" t="s">
        <v>73</v>
      </c>
    </row>
    <row r="5" spans="1:4" x14ac:dyDescent="0.2">
      <c r="A5" s="58" t="s">
        <v>72</v>
      </c>
      <c r="B5" s="62" t="s">
        <v>113</v>
      </c>
      <c r="C5" s="2" t="s">
        <v>74</v>
      </c>
    </row>
    <row r="6" spans="1:4" ht="47.25" x14ac:dyDescent="0.2">
      <c r="A6" s="58" t="s">
        <v>75</v>
      </c>
      <c r="B6" s="62" t="s">
        <v>76</v>
      </c>
      <c r="C6" s="2" t="s">
        <v>77</v>
      </c>
    </row>
    <row r="7" spans="1:4" x14ac:dyDescent="0.2">
      <c r="A7" s="58" t="s">
        <v>60</v>
      </c>
      <c r="B7" s="63">
        <v>0.95</v>
      </c>
      <c r="C7" s="2" t="s">
        <v>78</v>
      </c>
    </row>
    <row r="8" spans="1:4" x14ac:dyDescent="0.2">
      <c r="A8" s="58" t="s">
        <v>61</v>
      </c>
      <c r="B8" s="62">
        <v>50</v>
      </c>
      <c r="C8" s="2" t="s">
        <v>79</v>
      </c>
    </row>
    <row r="9" spans="1:4" x14ac:dyDescent="0.2">
      <c r="A9" s="58" t="s">
        <v>80</v>
      </c>
      <c r="B9" s="62" t="s">
        <v>98</v>
      </c>
      <c r="C9" s="2" t="s">
        <v>81</v>
      </c>
    </row>
    <row r="10" spans="1:4" x14ac:dyDescent="0.2">
      <c r="A10" s="58" t="s">
        <v>82</v>
      </c>
      <c r="B10" s="62" t="s">
        <v>63</v>
      </c>
      <c r="C10" s="2" t="s">
        <v>83</v>
      </c>
    </row>
    <row r="11" spans="1:4" x14ac:dyDescent="0.2">
      <c r="A11" s="58" t="s">
        <v>84</v>
      </c>
      <c r="B11" s="62">
        <v>3</v>
      </c>
      <c r="C11" s="2" t="s">
        <v>85</v>
      </c>
    </row>
    <row r="12" spans="1:4" ht="50.1" customHeight="1" x14ac:dyDescent="0.2">
      <c r="A12" s="59"/>
      <c r="B12" s="64"/>
      <c r="C12" s="61"/>
      <c r="D12" s="8"/>
    </row>
    <row r="13" spans="1:4" x14ac:dyDescent="0.2">
      <c r="A13" s="59" t="s">
        <v>86</v>
      </c>
      <c r="B13" s="64" t="s">
        <v>87</v>
      </c>
      <c r="C13" s="61"/>
      <c r="D13" s="8"/>
    </row>
    <row r="14" spans="1:4" x14ac:dyDescent="0.2">
      <c r="A14" s="59" t="s">
        <v>2</v>
      </c>
      <c r="B14" s="64" t="s">
        <v>62</v>
      </c>
      <c r="C14" s="61"/>
      <c r="D14" s="8"/>
    </row>
    <row r="15" spans="1:4" x14ac:dyDescent="0.2">
      <c r="A15" s="59" t="s">
        <v>21</v>
      </c>
      <c r="B15" s="64" t="s">
        <v>62</v>
      </c>
      <c r="C15" s="61"/>
      <c r="D15" s="8"/>
    </row>
    <row r="16" spans="1:4" x14ac:dyDescent="0.2">
      <c r="A16" s="59" t="s">
        <v>22</v>
      </c>
      <c r="B16" s="64" t="s">
        <v>62</v>
      </c>
      <c r="C16" s="61"/>
      <c r="D16" s="8"/>
    </row>
    <row r="17" spans="1:3" x14ac:dyDescent="0.2">
      <c r="A17" s="59" t="s">
        <v>23</v>
      </c>
      <c r="B17" s="64" t="s">
        <v>62</v>
      </c>
    </row>
    <row r="18" spans="1:3" x14ac:dyDescent="0.2">
      <c r="A18" s="59" t="s">
        <v>24</v>
      </c>
      <c r="B18" s="64" t="s">
        <v>62</v>
      </c>
    </row>
    <row r="19" spans="1:3" x14ac:dyDescent="0.2">
      <c r="A19" s="58" t="s">
        <v>25</v>
      </c>
      <c r="B19" s="64" t="s">
        <v>62</v>
      </c>
    </row>
    <row r="20" spans="1:3" ht="50.1" customHeight="1" x14ac:dyDescent="0.2"/>
    <row r="21" spans="1:3" ht="50.1" customHeight="1" x14ac:dyDescent="0.2">
      <c r="A21" s="58" t="s">
        <v>88</v>
      </c>
      <c r="B21" s="62" t="s">
        <v>89</v>
      </c>
      <c r="C21" s="1" t="s">
        <v>90</v>
      </c>
    </row>
    <row r="22" spans="1:3" ht="50.1" customHeight="1" x14ac:dyDescent="0.2">
      <c r="A22" s="58" t="s">
        <v>91</v>
      </c>
      <c r="B22" s="62" t="s">
        <v>12</v>
      </c>
      <c r="C22" s="2" t="s">
        <v>92</v>
      </c>
    </row>
    <row r="23" spans="1:3" ht="50.1" customHeight="1" x14ac:dyDescent="0.2">
      <c r="A23" s="58" t="s">
        <v>93</v>
      </c>
      <c r="B23" s="62" t="s">
        <v>20</v>
      </c>
      <c r="C23" s="2" t="s">
        <v>92</v>
      </c>
    </row>
    <row r="24" spans="1:3" ht="50.1" customHeight="1" x14ac:dyDescent="0.2">
      <c r="A24" s="58" t="s">
        <v>94</v>
      </c>
      <c r="B24" s="62" t="s">
        <v>56</v>
      </c>
      <c r="C24" s="2" t="s">
        <v>92</v>
      </c>
    </row>
    <row r="25" spans="1:3" x14ac:dyDescent="0.2">
      <c r="A25" s="58" t="s">
        <v>95</v>
      </c>
      <c r="B25" s="62" t="s">
        <v>53</v>
      </c>
      <c r="C25" s="2" t="s">
        <v>96</v>
      </c>
    </row>
    <row r="26" spans="1:3" x14ac:dyDescent="0.2">
      <c r="A26" s="58" t="s">
        <v>64</v>
      </c>
      <c r="B26" s="62" t="s">
        <v>67</v>
      </c>
      <c r="C26" s="2" t="s">
        <v>62</v>
      </c>
    </row>
    <row r="27" spans="1:3" x14ac:dyDescent="0.2">
      <c r="A27" s="58" t="s">
        <v>65</v>
      </c>
      <c r="B27" s="62" t="s">
        <v>35</v>
      </c>
      <c r="C27" s="2" t="s">
        <v>62</v>
      </c>
    </row>
    <row r="28" spans="1:3" x14ac:dyDescent="0.2">
      <c r="A28" s="58" t="s">
        <v>97</v>
      </c>
      <c r="B28" s="62" t="s">
        <v>42</v>
      </c>
      <c r="C28" s="2" t="s">
        <v>62</v>
      </c>
    </row>
    <row r="36" spans="3:3" x14ac:dyDescent="0.2">
      <c r="C36" s="65"/>
    </row>
  </sheetData>
  <sortState xmlns:xlrd2="http://schemas.microsoft.com/office/spreadsheetml/2017/richdata2" ref="D2:K16">
    <sortCondition ref="D2:D16"/>
    <sortCondition ref="E2:E16"/>
  </sortState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rarResumo">
                <anchor mov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2</xdr:col>
                    <xdr:colOff>4295775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9DC7-A32F-4AD1-8DA0-6AEE150088DD}">
  <sheetPr codeName="Planilha8"/>
  <dimension ref="A1:H232"/>
  <sheetViews>
    <sheetView topLeftCell="A190" workbookViewId="0">
      <selection activeCell="A198" sqref="A198:H232"/>
    </sheetView>
  </sheetViews>
  <sheetFormatPr defaultRowHeight="12.75" x14ac:dyDescent="0.2"/>
  <cols>
    <col min="1" max="1" width="35.33203125" bestFit="1" customWidth="1"/>
    <col min="2" max="2" width="36.83203125" bestFit="1" customWidth="1"/>
    <col min="3" max="3" width="3.1640625" bestFit="1" customWidth="1"/>
    <col min="4" max="4" width="14.83203125" bestFit="1" customWidth="1"/>
    <col min="5" max="5" width="12.6640625" bestFit="1" customWidth="1"/>
    <col min="6" max="6" width="11.6640625" bestFit="1" customWidth="1"/>
    <col min="7" max="8" width="14.83203125" bestFit="1" customWidth="1"/>
  </cols>
  <sheetData>
    <row r="1" spans="1:8" ht="13.5" thickBot="1" x14ac:dyDescent="0.25">
      <c r="A1" s="68" t="s">
        <v>110</v>
      </c>
    </row>
    <row r="2" spans="1:8" x14ac:dyDescent="0.2">
      <c r="A2" s="69" t="s">
        <v>12</v>
      </c>
      <c r="B2" s="69" t="s">
        <v>20</v>
      </c>
      <c r="C2" s="69" t="s">
        <v>2</v>
      </c>
      <c r="D2" s="69" t="s">
        <v>21</v>
      </c>
      <c r="E2" s="69" t="s">
        <v>22</v>
      </c>
      <c r="F2" s="69" t="s">
        <v>23</v>
      </c>
      <c r="G2" s="69" t="s">
        <v>24</v>
      </c>
      <c r="H2" s="69" t="s">
        <v>25</v>
      </c>
    </row>
    <row r="3" spans="1:8" x14ac:dyDescent="0.2">
      <c r="A3">
        <v>12000</v>
      </c>
      <c r="B3" t="s">
        <v>46</v>
      </c>
      <c r="C3" s="66">
        <v>1</v>
      </c>
      <c r="D3" s="67">
        <v>1</v>
      </c>
      <c r="E3" s="67">
        <v>0</v>
      </c>
      <c r="F3" s="67">
        <v>0</v>
      </c>
      <c r="G3" s="67">
        <v>1</v>
      </c>
      <c r="H3" s="67">
        <v>1</v>
      </c>
    </row>
    <row r="4" spans="1:8" x14ac:dyDescent="0.2">
      <c r="A4">
        <v>12000</v>
      </c>
      <c r="B4" t="s">
        <v>50</v>
      </c>
      <c r="C4" s="66">
        <v>50</v>
      </c>
      <c r="D4" s="67">
        <v>0.23299833333333328</v>
      </c>
      <c r="E4" s="67">
        <v>2.3407008321200554E-3</v>
      </c>
      <c r="F4" s="67">
        <v>3.3102508622421715E-4</v>
      </c>
      <c r="G4" s="67">
        <v>0.23233311351718852</v>
      </c>
      <c r="H4" s="67">
        <v>0.23366355314947804</v>
      </c>
    </row>
    <row r="5" spans="1:8" x14ac:dyDescent="0.2">
      <c r="A5">
        <v>12000</v>
      </c>
      <c r="B5" t="s">
        <v>52</v>
      </c>
      <c r="C5" s="66">
        <v>50</v>
      </c>
      <c r="D5" s="67">
        <v>0.99094000000000004</v>
      </c>
      <c r="E5" s="67">
        <v>1.4543351412063968E-3</v>
      </c>
      <c r="F5" s="67">
        <v>2.0567404809298766E-4</v>
      </c>
      <c r="G5" s="67">
        <v>0.99052668252603226</v>
      </c>
      <c r="H5" s="67">
        <v>0.99135331747396782</v>
      </c>
    </row>
    <row r="6" spans="1:8" x14ac:dyDescent="0.2">
      <c r="A6">
        <v>12000</v>
      </c>
      <c r="B6" t="s">
        <v>51</v>
      </c>
      <c r="C6" s="66">
        <v>1</v>
      </c>
      <c r="D6" s="67">
        <v>0.96466666666666667</v>
      </c>
      <c r="E6" s="67">
        <v>0</v>
      </c>
      <c r="F6" s="67">
        <v>0</v>
      </c>
      <c r="G6" s="67">
        <v>0.96466666666666667</v>
      </c>
      <c r="H6" s="67">
        <v>0.96466666666666667</v>
      </c>
    </row>
    <row r="7" spans="1:8" x14ac:dyDescent="0.2">
      <c r="A7">
        <v>12000</v>
      </c>
      <c r="B7" t="s">
        <v>99</v>
      </c>
      <c r="C7" s="66">
        <v>50</v>
      </c>
      <c r="D7" s="67">
        <v>0.99998833333333326</v>
      </c>
      <c r="E7" s="67">
        <v>2.9209152729485581E-5</v>
      </c>
      <c r="F7" s="67">
        <v>4.1307979935465617E-6</v>
      </c>
      <c r="G7" s="67">
        <v>0.9999800321839758</v>
      </c>
      <c r="H7" s="67">
        <v>0.99999663448269072</v>
      </c>
    </row>
    <row r="8" spans="1:8" x14ac:dyDescent="0.2">
      <c r="A8">
        <v>12000</v>
      </c>
      <c r="B8" t="s">
        <v>100</v>
      </c>
      <c r="C8" s="66">
        <v>50</v>
      </c>
      <c r="D8" s="67">
        <v>0.99999666666666653</v>
      </c>
      <c r="E8" s="67">
        <v>1.6495721976844632E-5</v>
      </c>
      <c r="F8" s="67">
        <v>2.33284737407896E-6</v>
      </c>
      <c r="G8" s="67">
        <v>0.99999197863435163</v>
      </c>
      <c r="H8" s="67">
        <v>1.0000013546989814</v>
      </c>
    </row>
    <row r="9" spans="1:8" x14ac:dyDescent="0.2">
      <c r="A9">
        <v>12000</v>
      </c>
      <c r="B9" t="s">
        <v>101</v>
      </c>
      <c r="C9" s="66">
        <v>50</v>
      </c>
      <c r="D9" s="67">
        <v>0.99058833333333352</v>
      </c>
      <c r="E9" s="67">
        <v>1.1427839758324742E-3</v>
      </c>
      <c r="F9" s="67">
        <v>1.6161405974849321E-4</v>
      </c>
      <c r="G9" s="67">
        <v>0.99026355772089103</v>
      </c>
      <c r="H9" s="67">
        <v>0.990913108945776</v>
      </c>
    </row>
    <row r="10" spans="1:8" x14ac:dyDescent="0.2">
      <c r="A10">
        <v>14000</v>
      </c>
      <c r="B10" t="s">
        <v>46</v>
      </c>
      <c r="C10" s="66">
        <v>1</v>
      </c>
      <c r="D10" s="67">
        <v>0.99328571428571433</v>
      </c>
      <c r="E10" s="67">
        <v>0</v>
      </c>
      <c r="F10" s="67">
        <v>0</v>
      </c>
      <c r="G10" s="67">
        <v>0.99328571428571433</v>
      </c>
      <c r="H10" s="67">
        <v>0.99328571428571433</v>
      </c>
    </row>
    <row r="11" spans="1:8" x14ac:dyDescent="0.2">
      <c r="A11">
        <v>14000</v>
      </c>
      <c r="B11" t="s">
        <v>50</v>
      </c>
      <c r="C11" s="66">
        <v>50</v>
      </c>
      <c r="D11" s="67">
        <v>0.20402571428571428</v>
      </c>
      <c r="E11" s="67">
        <v>1.5685608606865195E-3</v>
      </c>
      <c r="F11" s="67">
        <v>2.2182800425904909E-4</v>
      </c>
      <c r="G11" s="67">
        <v>0.20357993422145348</v>
      </c>
      <c r="H11" s="67">
        <v>0.20447149434997508</v>
      </c>
    </row>
    <row r="12" spans="1:8" x14ac:dyDescent="0.2">
      <c r="A12">
        <v>14000</v>
      </c>
      <c r="B12" t="s">
        <v>52</v>
      </c>
      <c r="C12" s="66">
        <v>50</v>
      </c>
      <c r="D12" s="67">
        <v>0.84999142857142829</v>
      </c>
      <c r="E12" s="67">
        <v>1.5770268685958426E-3</v>
      </c>
      <c r="F12" s="67">
        <v>2.2302527857950133E-4</v>
      </c>
      <c r="G12" s="67">
        <v>0.8495432424943411</v>
      </c>
      <c r="H12" s="67">
        <v>0.85043961464851547</v>
      </c>
    </row>
    <row r="13" spans="1:8" x14ac:dyDescent="0.2">
      <c r="A13">
        <v>14000</v>
      </c>
      <c r="B13" t="s">
        <v>51</v>
      </c>
      <c r="C13" s="66">
        <v>1</v>
      </c>
      <c r="D13" s="67">
        <v>0.85764285714285715</v>
      </c>
      <c r="E13" s="67">
        <v>0</v>
      </c>
      <c r="F13" s="67">
        <v>0</v>
      </c>
      <c r="G13" s="67">
        <v>0.85764285714285715</v>
      </c>
      <c r="H13" s="67">
        <v>0.85764285714285715</v>
      </c>
    </row>
    <row r="14" spans="1:8" x14ac:dyDescent="0.2">
      <c r="A14">
        <v>14000</v>
      </c>
      <c r="B14" t="s">
        <v>99</v>
      </c>
      <c r="C14" s="66">
        <v>50</v>
      </c>
      <c r="D14" s="67">
        <v>0.93869428571428581</v>
      </c>
      <c r="E14" s="67">
        <v>1.0880671145725549E-3</v>
      </c>
      <c r="F14" s="67">
        <v>1.5387592702006673E-4</v>
      </c>
      <c r="G14" s="67">
        <v>0.93838506046175596</v>
      </c>
      <c r="H14" s="67">
        <v>0.93900351096681567</v>
      </c>
    </row>
    <row r="15" spans="1:8" x14ac:dyDescent="0.2">
      <c r="A15">
        <v>14000</v>
      </c>
      <c r="B15" t="s">
        <v>100</v>
      </c>
      <c r="C15" s="66">
        <v>50</v>
      </c>
      <c r="D15" s="67">
        <v>0.93930000000000002</v>
      </c>
      <c r="E15" s="67">
        <v>1.0882546618689744E-3</v>
      </c>
      <c r="F15" s="67">
        <v>1.5390245021308502E-4</v>
      </c>
      <c r="G15" s="67">
        <v>0.93899072144711826</v>
      </c>
      <c r="H15" s="67">
        <v>0.93960927855288179</v>
      </c>
    </row>
    <row r="16" spans="1:8" x14ac:dyDescent="0.2">
      <c r="A16">
        <v>14000</v>
      </c>
      <c r="B16" t="s">
        <v>101</v>
      </c>
      <c r="C16" s="66">
        <v>50</v>
      </c>
      <c r="D16" s="67">
        <v>0.91830571428571417</v>
      </c>
      <c r="E16" s="67">
        <v>1.1332541152051061E-3</v>
      </c>
      <c r="F16" s="67">
        <v>1.6026633393381829E-4</v>
      </c>
      <c r="G16" s="67">
        <v>0.91798364702969526</v>
      </c>
      <c r="H16" s="67">
        <v>0.91862778154173308</v>
      </c>
    </row>
    <row r="17" spans="1:8" x14ac:dyDescent="0.2">
      <c r="A17">
        <v>16000</v>
      </c>
      <c r="B17" t="s">
        <v>46</v>
      </c>
      <c r="C17" s="66">
        <v>1</v>
      </c>
      <c r="D17" s="67">
        <v>0.92918750000000006</v>
      </c>
      <c r="E17" s="67">
        <v>0</v>
      </c>
      <c r="F17" s="67">
        <v>0</v>
      </c>
      <c r="G17" s="67">
        <v>0.92918750000000006</v>
      </c>
      <c r="H17" s="67">
        <v>0.92918750000000006</v>
      </c>
    </row>
    <row r="18" spans="1:8" x14ac:dyDescent="0.2">
      <c r="A18">
        <v>16000</v>
      </c>
      <c r="B18" t="s">
        <v>50</v>
      </c>
      <c r="C18" s="66">
        <v>50</v>
      </c>
      <c r="D18" s="67">
        <v>0.18474999999999997</v>
      </c>
      <c r="E18" s="67">
        <v>1.5995854054684762E-3</v>
      </c>
      <c r="F18" s="67">
        <v>2.2621553745875853E-4</v>
      </c>
      <c r="G18" s="67">
        <v>0.18429540285766896</v>
      </c>
      <c r="H18" s="67">
        <v>0.18520459714233098</v>
      </c>
    </row>
    <row r="19" spans="1:8" x14ac:dyDescent="0.2">
      <c r="A19">
        <v>16000</v>
      </c>
      <c r="B19" t="s">
        <v>52</v>
      </c>
      <c r="C19" s="66">
        <v>50</v>
      </c>
      <c r="D19" s="67">
        <v>0.75058625000000023</v>
      </c>
      <c r="E19" s="67">
        <v>1.3228087628070746E-3</v>
      </c>
      <c r="F19" s="67">
        <v>1.8707340927877396E-4</v>
      </c>
      <c r="G19" s="67">
        <v>0.7502103119091883</v>
      </c>
      <c r="H19" s="67">
        <v>0.75096218809081217</v>
      </c>
    </row>
    <row r="20" spans="1:8" x14ac:dyDescent="0.2">
      <c r="A20">
        <v>16000</v>
      </c>
      <c r="B20" t="s">
        <v>51</v>
      </c>
      <c r="C20" s="66">
        <v>1</v>
      </c>
      <c r="D20" s="67">
        <v>0.77212499999999995</v>
      </c>
      <c r="E20" s="67">
        <v>0</v>
      </c>
      <c r="F20" s="67">
        <v>0</v>
      </c>
      <c r="G20" s="67">
        <v>0.77212499999999995</v>
      </c>
      <c r="H20" s="67">
        <v>0.77212499999999995</v>
      </c>
    </row>
    <row r="21" spans="1:8" x14ac:dyDescent="0.2">
      <c r="A21">
        <v>16000</v>
      </c>
      <c r="B21" t="s">
        <v>99</v>
      </c>
      <c r="C21" s="66">
        <v>50</v>
      </c>
      <c r="D21" s="67">
        <v>0.87970000000000004</v>
      </c>
      <c r="E21" s="67">
        <v>1.177353266562644E-3</v>
      </c>
      <c r="F21" s="67">
        <v>1.665028957277157E-4</v>
      </c>
      <c r="G21" s="67">
        <v>0.87936539990383533</v>
      </c>
      <c r="H21" s="67">
        <v>0.88003460009616474</v>
      </c>
    </row>
    <row r="22" spans="1:8" x14ac:dyDescent="0.2">
      <c r="A22">
        <v>16000</v>
      </c>
      <c r="B22" t="s">
        <v>100</v>
      </c>
      <c r="C22" s="66">
        <v>50</v>
      </c>
      <c r="D22" s="67">
        <v>0.87979499999999999</v>
      </c>
      <c r="E22" s="67">
        <v>1.0794373298064121E-3</v>
      </c>
      <c r="F22" s="67">
        <v>1.5265549115440276E-4</v>
      </c>
      <c r="G22" s="67">
        <v>0.87948822730516429</v>
      </c>
      <c r="H22" s="67">
        <v>0.88010177269483569</v>
      </c>
    </row>
    <row r="23" spans="1:8" x14ac:dyDescent="0.2">
      <c r="A23">
        <v>16000</v>
      </c>
      <c r="B23" t="s">
        <v>101</v>
      </c>
      <c r="C23" s="66">
        <v>50</v>
      </c>
      <c r="D23" s="67">
        <v>0.86311000000000004</v>
      </c>
      <c r="E23" s="67">
        <v>1.0111432708996891E-3</v>
      </c>
      <c r="F23" s="67">
        <v>1.4299725272086327E-4</v>
      </c>
      <c r="G23" s="67">
        <v>0.86282263626195466</v>
      </c>
      <c r="H23" s="67">
        <v>0.86339736373804543</v>
      </c>
    </row>
    <row r="24" spans="1:8" x14ac:dyDescent="0.2">
      <c r="A24">
        <v>18000</v>
      </c>
      <c r="B24" t="s">
        <v>46</v>
      </c>
      <c r="C24" s="66">
        <v>1</v>
      </c>
      <c r="D24" s="67">
        <v>0.86355555555555552</v>
      </c>
      <c r="E24" s="67">
        <v>0</v>
      </c>
      <c r="F24" s="67">
        <v>0</v>
      </c>
      <c r="G24" s="67">
        <v>0.86355555555555552</v>
      </c>
      <c r="H24" s="67">
        <v>0.86355555555555552</v>
      </c>
    </row>
    <row r="25" spans="1:8" x14ac:dyDescent="0.2">
      <c r="A25">
        <v>18000</v>
      </c>
      <c r="B25" t="s">
        <v>50</v>
      </c>
      <c r="C25" s="66">
        <v>50</v>
      </c>
      <c r="D25" s="67">
        <v>0.1645777777777778</v>
      </c>
      <c r="E25" s="67">
        <v>1.4628601052659605E-3</v>
      </c>
      <c r="F25" s="67">
        <v>2.0687966007216547E-4</v>
      </c>
      <c r="G25" s="67">
        <v>0.16416203753583106</v>
      </c>
      <c r="H25" s="67">
        <v>0.16499351801972453</v>
      </c>
    </row>
    <row r="26" spans="1:8" x14ac:dyDescent="0.2">
      <c r="A26">
        <v>18000</v>
      </c>
      <c r="B26" t="s">
        <v>52</v>
      </c>
      <c r="C26" s="66">
        <v>50</v>
      </c>
      <c r="D26" s="67">
        <v>0.66413333333333324</v>
      </c>
      <c r="E26" s="67">
        <v>1.3347498144863465E-3</v>
      </c>
      <c r="F26" s="67">
        <v>1.8876212900215638E-4</v>
      </c>
      <c r="G26" s="67">
        <v>0.66375400163318277</v>
      </c>
      <c r="H26" s="67">
        <v>0.66451266503348372</v>
      </c>
    </row>
    <row r="27" spans="1:8" x14ac:dyDescent="0.2">
      <c r="A27">
        <v>18000</v>
      </c>
      <c r="B27" t="s">
        <v>51</v>
      </c>
      <c r="C27" s="66">
        <v>1</v>
      </c>
      <c r="D27" s="67">
        <v>0.72211111111111115</v>
      </c>
      <c r="E27" s="67">
        <v>0</v>
      </c>
      <c r="F27" s="67">
        <v>0</v>
      </c>
      <c r="G27" s="67">
        <v>0.72211111111111115</v>
      </c>
      <c r="H27" s="67">
        <v>0.72211111111111115</v>
      </c>
    </row>
    <row r="28" spans="1:8" x14ac:dyDescent="0.2">
      <c r="A28">
        <v>18000</v>
      </c>
      <c r="B28" t="s">
        <v>99</v>
      </c>
      <c r="C28" s="66">
        <v>50</v>
      </c>
      <c r="D28" s="67">
        <v>0.82889111111111125</v>
      </c>
      <c r="E28" s="67">
        <v>1.0248831579884275E-3</v>
      </c>
      <c r="F28" s="67">
        <v>1.4494036618750017E-4</v>
      </c>
      <c r="G28" s="67">
        <v>0.82859984254036045</v>
      </c>
      <c r="H28" s="67">
        <v>0.82918237968186204</v>
      </c>
    </row>
    <row r="29" spans="1:8" x14ac:dyDescent="0.2">
      <c r="A29">
        <v>18000</v>
      </c>
      <c r="B29" t="s">
        <v>100</v>
      </c>
      <c r="C29" s="66">
        <v>50</v>
      </c>
      <c r="D29" s="67">
        <v>0.82919555555555557</v>
      </c>
      <c r="E29" s="67">
        <v>1.1617291045986811E-3</v>
      </c>
      <c r="F29" s="67">
        <v>1.6429330555270066E-4</v>
      </c>
      <c r="G29" s="67">
        <v>0.82886539579709073</v>
      </c>
      <c r="H29" s="67">
        <v>0.82952571531402042</v>
      </c>
    </row>
    <row r="30" spans="1:8" x14ac:dyDescent="0.2">
      <c r="A30">
        <v>18000</v>
      </c>
      <c r="B30" t="s">
        <v>101</v>
      </c>
      <c r="C30" s="66">
        <v>50</v>
      </c>
      <c r="D30" s="67">
        <v>0.80316777777777792</v>
      </c>
      <c r="E30" s="67">
        <v>1.3475475330174732E-3</v>
      </c>
      <c r="F30" s="67">
        <v>1.9057199971357167E-4</v>
      </c>
      <c r="G30" s="67">
        <v>0.80278480900626337</v>
      </c>
      <c r="H30" s="67">
        <v>0.80355074654929248</v>
      </c>
    </row>
    <row r="31" spans="1:8" x14ac:dyDescent="0.2">
      <c r="A31">
        <v>20000</v>
      </c>
      <c r="B31" t="s">
        <v>46</v>
      </c>
      <c r="C31" s="66">
        <v>1</v>
      </c>
      <c r="D31" s="67">
        <v>0.82520000000000004</v>
      </c>
      <c r="E31" s="67">
        <v>0</v>
      </c>
      <c r="F31" s="67">
        <v>0</v>
      </c>
      <c r="G31" s="67">
        <v>0.82520000000000004</v>
      </c>
      <c r="H31" s="67">
        <v>0.82520000000000004</v>
      </c>
    </row>
    <row r="32" spans="1:8" x14ac:dyDescent="0.2">
      <c r="A32">
        <v>20000</v>
      </c>
      <c r="B32" t="s">
        <v>50</v>
      </c>
      <c r="C32" s="66">
        <v>50</v>
      </c>
      <c r="D32" s="67">
        <v>0.15027699999999997</v>
      </c>
      <c r="E32" s="67">
        <v>1.3961758996835411E-3</v>
      </c>
      <c r="F32" s="67">
        <v>1.9744908927909216E-4</v>
      </c>
      <c r="G32" s="67">
        <v>0.149880211199591</v>
      </c>
      <c r="H32" s="67">
        <v>0.15067378880040894</v>
      </c>
    </row>
    <row r="33" spans="1:8" x14ac:dyDescent="0.2">
      <c r="A33">
        <v>20000</v>
      </c>
      <c r="B33" t="s">
        <v>52</v>
      </c>
      <c r="C33" s="66">
        <v>50</v>
      </c>
      <c r="D33" s="67">
        <v>0.59749200000000002</v>
      </c>
      <c r="E33" s="67">
        <v>1.1609004246352786E-3</v>
      </c>
      <c r="F33" s="67">
        <v>1.641761125083896E-4</v>
      </c>
      <c r="G33" s="67">
        <v>0.59716207574977498</v>
      </c>
      <c r="H33" s="67">
        <v>0.59782192425022507</v>
      </c>
    </row>
    <row r="34" spans="1:8" x14ac:dyDescent="0.2">
      <c r="A34">
        <v>20000</v>
      </c>
      <c r="B34" t="s">
        <v>51</v>
      </c>
      <c r="C34" s="66">
        <v>1</v>
      </c>
      <c r="D34" s="67">
        <v>0.63890000000000002</v>
      </c>
      <c r="E34" s="67">
        <v>0</v>
      </c>
      <c r="F34" s="67">
        <v>0</v>
      </c>
      <c r="G34" s="67">
        <v>0.63890000000000002</v>
      </c>
      <c r="H34" s="67">
        <v>0.63890000000000002</v>
      </c>
    </row>
    <row r="35" spans="1:8" x14ac:dyDescent="0.2">
      <c r="A35">
        <v>20000</v>
      </c>
      <c r="B35" t="s">
        <v>99</v>
      </c>
      <c r="C35" s="66">
        <v>50</v>
      </c>
      <c r="D35" s="67">
        <v>0.77625899999999992</v>
      </c>
      <c r="E35" s="67">
        <v>9.853876270332477E-4</v>
      </c>
      <c r="F35" s="67">
        <v>1.3935485463450599E-4</v>
      </c>
      <c r="G35" s="67">
        <v>0.7759789559349527</v>
      </c>
      <c r="H35" s="67">
        <v>0.77653904406504715</v>
      </c>
    </row>
    <row r="36" spans="1:8" x14ac:dyDescent="0.2">
      <c r="A36">
        <v>20000</v>
      </c>
      <c r="B36" t="s">
        <v>100</v>
      </c>
      <c r="C36" s="66">
        <v>50</v>
      </c>
      <c r="D36" s="67">
        <v>0.77618700000000018</v>
      </c>
      <c r="E36" s="67">
        <v>1.3562331537559959E-3</v>
      </c>
      <c r="F36" s="67">
        <v>1.9180033197817645E-4</v>
      </c>
      <c r="G36" s="67">
        <v>0.77580156280238366</v>
      </c>
      <c r="H36" s="67">
        <v>0.77657243719761671</v>
      </c>
    </row>
    <row r="37" spans="1:8" ht="13.5" thickBot="1" x14ac:dyDescent="0.25">
      <c r="A37" s="70">
        <v>20000</v>
      </c>
      <c r="B37" s="70" t="s">
        <v>101</v>
      </c>
      <c r="C37" s="71">
        <v>50</v>
      </c>
      <c r="D37" s="72">
        <v>0.75088200000000027</v>
      </c>
      <c r="E37" s="72">
        <v>1.0028917372950545E-3</v>
      </c>
      <c r="F37" s="72">
        <v>1.4183030964745814E-4</v>
      </c>
      <c r="G37" s="72">
        <v>0.75059698132185837</v>
      </c>
      <c r="H37" s="72">
        <v>0.75116701867814217</v>
      </c>
    </row>
    <row r="40" spans="1:8" ht="13.5" thickBot="1" x14ac:dyDescent="0.25">
      <c r="A40" s="68" t="s">
        <v>114</v>
      </c>
    </row>
    <row r="41" spans="1:8" x14ac:dyDescent="0.2">
      <c r="A41" s="69" t="s">
        <v>12</v>
      </c>
      <c r="B41" s="69" t="s">
        <v>20</v>
      </c>
      <c r="C41" s="69" t="s">
        <v>2</v>
      </c>
      <c r="D41" s="69" t="s">
        <v>21</v>
      </c>
      <c r="E41" s="69" t="s">
        <v>22</v>
      </c>
      <c r="F41" s="69" t="s">
        <v>23</v>
      </c>
      <c r="G41" s="69" t="s">
        <v>24</v>
      </c>
      <c r="H41" s="69" t="s">
        <v>25</v>
      </c>
    </row>
    <row r="42" spans="1:8" x14ac:dyDescent="0.2">
      <c r="A42">
        <v>12000</v>
      </c>
      <c r="B42" t="s">
        <v>46</v>
      </c>
      <c r="C42" s="66">
        <v>1</v>
      </c>
      <c r="D42" s="67">
        <v>1</v>
      </c>
      <c r="E42" s="67">
        <v>0</v>
      </c>
      <c r="F42" s="67">
        <v>0</v>
      </c>
      <c r="G42" s="67">
        <v>1</v>
      </c>
      <c r="H42" s="67">
        <v>1</v>
      </c>
    </row>
    <row r="43" spans="1:8" x14ac:dyDescent="0.2">
      <c r="A43">
        <v>12000</v>
      </c>
      <c r="B43" t="s">
        <v>50</v>
      </c>
      <c r="C43" s="66">
        <v>50</v>
      </c>
      <c r="D43" s="67">
        <v>0.23283000000000001</v>
      </c>
      <c r="E43" s="67">
        <v>2.1767791222213556E-3</v>
      </c>
      <c r="F43" s="67">
        <v>3.0784305569360422E-4</v>
      </c>
      <c r="G43" s="67">
        <v>0.23221136621835595</v>
      </c>
      <c r="H43" s="67">
        <v>0.23344863378164407</v>
      </c>
    </row>
    <row r="44" spans="1:8" x14ac:dyDescent="0.2">
      <c r="A44">
        <v>12000</v>
      </c>
      <c r="B44" t="s">
        <v>52</v>
      </c>
      <c r="C44" s="66">
        <v>50</v>
      </c>
      <c r="D44" s="67">
        <v>0.99079333333333319</v>
      </c>
      <c r="E44" s="67">
        <v>1.4449693795843916E-3</v>
      </c>
      <c r="F44" s="67">
        <v>2.0434952938220834E-4</v>
      </c>
      <c r="G44" s="67">
        <v>0.99038267757936771</v>
      </c>
      <c r="H44" s="67">
        <v>0.99120398908729868</v>
      </c>
    </row>
    <row r="45" spans="1:8" x14ac:dyDescent="0.2">
      <c r="A45">
        <v>12000</v>
      </c>
      <c r="B45" t="s">
        <v>51</v>
      </c>
      <c r="C45" s="66">
        <v>1</v>
      </c>
      <c r="D45" s="67">
        <v>0.98883333333333334</v>
      </c>
      <c r="E45" s="67">
        <v>0</v>
      </c>
      <c r="F45" s="67">
        <v>0</v>
      </c>
      <c r="G45" s="67">
        <v>0.98883333333333334</v>
      </c>
      <c r="H45" s="67">
        <v>0.98883333333333334</v>
      </c>
    </row>
    <row r="46" spans="1:8" x14ac:dyDescent="0.2">
      <c r="A46">
        <v>12000</v>
      </c>
      <c r="B46" t="s">
        <v>99</v>
      </c>
      <c r="C46" s="66">
        <v>50</v>
      </c>
      <c r="D46" s="67">
        <v>0.99998666666666647</v>
      </c>
      <c r="E46" s="67">
        <v>3.0860669992414995E-5</v>
      </c>
      <c r="F46" s="67">
        <v>4.3643578047193681E-6</v>
      </c>
      <c r="G46" s="67">
        <v>0.99997789616129618</v>
      </c>
      <c r="H46" s="67">
        <v>0.99999543717203676</v>
      </c>
    </row>
    <row r="47" spans="1:8" x14ac:dyDescent="0.2">
      <c r="A47">
        <v>12000</v>
      </c>
      <c r="B47" t="s">
        <v>100</v>
      </c>
      <c r="C47" s="66">
        <v>50</v>
      </c>
      <c r="D47" s="67">
        <v>0.99999833333333332</v>
      </c>
      <c r="E47" s="67">
        <v>1.1785113019774493E-5</v>
      </c>
      <c r="F47" s="67">
        <v>1.6666666666664829E-6</v>
      </c>
      <c r="G47" s="67">
        <v>0.99999498404127141</v>
      </c>
      <c r="H47" s="67">
        <v>1.0000016826253952</v>
      </c>
    </row>
    <row r="48" spans="1:8" x14ac:dyDescent="0.2">
      <c r="A48">
        <v>12000</v>
      </c>
      <c r="B48" t="s">
        <v>101</v>
      </c>
      <c r="C48" s="66">
        <v>50</v>
      </c>
      <c r="D48" s="67">
        <v>0.99999833333333332</v>
      </c>
      <c r="E48" s="67">
        <v>1.1785113019774486E-5</v>
      </c>
      <c r="F48" s="67">
        <v>1.666666666666482E-6</v>
      </c>
      <c r="G48" s="67">
        <v>0.99999498404127141</v>
      </c>
      <c r="H48" s="67">
        <v>1.0000016826253952</v>
      </c>
    </row>
    <row r="49" spans="1:8" x14ac:dyDescent="0.2">
      <c r="A49">
        <v>14000</v>
      </c>
      <c r="B49" t="s">
        <v>46</v>
      </c>
      <c r="C49" s="66">
        <v>1</v>
      </c>
      <c r="D49" s="67">
        <v>0.99414285714285711</v>
      </c>
      <c r="E49" s="67">
        <v>0</v>
      </c>
      <c r="F49" s="67">
        <v>0</v>
      </c>
      <c r="G49" s="67">
        <v>0.99414285714285711</v>
      </c>
      <c r="H49" s="67">
        <v>0.99414285714285711</v>
      </c>
    </row>
    <row r="50" spans="1:8" x14ac:dyDescent="0.2">
      <c r="A50">
        <v>14000</v>
      </c>
      <c r="B50" t="s">
        <v>50</v>
      </c>
      <c r="C50" s="66">
        <v>50</v>
      </c>
      <c r="D50" s="67">
        <v>0.20415000000000003</v>
      </c>
      <c r="E50" s="67">
        <v>1.7348889446145437E-3</v>
      </c>
      <c r="F50" s="67">
        <v>2.4535034746850327E-4</v>
      </c>
      <c r="G50" s="67">
        <v>0.20365695001730627</v>
      </c>
      <c r="H50" s="67">
        <v>0.20464304998269378</v>
      </c>
    </row>
    <row r="51" spans="1:8" x14ac:dyDescent="0.2">
      <c r="A51">
        <v>14000</v>
      </c>
      <c r="B51" t="s">
        <v>52</v>
      </c>
      <c r="C51" s="66">
        <v>50</v>
      </c>
      <c r="D51" s="67">
        <v>0.84971999999999992</v>
      </c>
      <c r="E51" s="67">
        <v>1.4964792778622772E-3</v>
      </c>
      <c r="F51" s="67">
        <v>2.1163412905631277E-4</v>
      </c>
      <c r="G51" s="67">
        <v>0.84929470529491691</v>
      </c>
      <c r="H51" s="67">
        <v>0.85014529470508293</v>
      </c>
    </row>
    <row r="52" spans="1:8" x14ac:dyDescent="0.2">
      <c r="A52">
        <v>14000</v>
      </c>
      <c r="B52" t="s">
        <v>51</v>
      </c>
      <c r="C52" s="66">
        <v>1</v>
      </c>
      <c r="D52" s="67">
        <v>0.90792857142857142</v>
      </c>
      <c r="E52" s="67">
        <v>0</v>
      </c>
      <c r="F52" s="67">
        <v>0</v>
      </c>
      <c r="G52" s="67">
        <v>0.90792857142857142</v>
      </c>
      <c r="H52" s="67">
        <v>0.90792857142857142</v>
      </c>
    </row>
    <row r="53" spans="1:8" x14ac:dyDescent="0.2">
      <c r="A53">
        <v>14000</v>
      </c>
      <c r="B53" t="s">
        <v>99</v>
      </c>
      <c r="C53" s="66">
        <v>50</v>
      </c>
      <c r="D53" s="67">
        <v>0.94924857142857144</v>
      </c>
      <c r="E53" s="67">
        <v>9.409070742900118E-4</v>
      </c>
      <c r="F53" s="67">
        <v>1.330643545393724E-4</v>
      </c>
      <c r="G53" s="67">
        <v>0.94898116859674453</v>
      </c>
      <c r="H53" s="67">
        <v>0.94951597426039835</v>
      </c>
    </row>
    <row r="54" spans="1:8" x14ac:dyDescent="0.2">
      <c r="A54">
        <v>14000</v>
      </c>
      <c r="B54" t="s">
        <v>100</v>
      </c>
      <c r="C54" s="66">
        <v>50</v>
      </c>
      <c r="D54" s="67">
        <v>0.94951285714285771</v>
      </c>
      <c r="E54" s="67">
        <v>9.0347217675888064E-4</v>
      </c>
      <c r="F54" s="67">
        <v>1.2777026055991512E-4</v>
      </c>
      <c r="G54" s="67">
        <v>0.94925609319119497</v>
      </c>
      <c r="H54" s="67">
        <v>0.94976962109452046</v>
      </c>
    </row>
    <row r="55" spans="1:8" x14ac:dyDescent="0.2">
      <c r="A55">
        <v>14000</v>
      </c>
      <c r="B55" t="s">
        <v>101</v>
      </c>
      <c r="C55" s="66">
        <v>50</v>
      </c>
      <c r="D55" s="67">
        <v>0.93092428571428554</v>
      </c>
      <c r="E55" s="67">
        <v>9.0332464738630814E-4</v>
      </c>
      <c r="F55" s="67">
        <v>1.2774939675596107E-4</v>
      </c>
      <c r="G55" s="67">
        <v>0.93066756369000658</v>
      </c>
      <c r="H55" s="67">
        <v>0.93118100773856449</v>
      </c>
    </row>
    <row r="56" spans="1:8" x14ac:dyDescent="0.2">
      <c r="A56">
        <v>16000</v>
      </c>
      <c r="B56" t="s">
        <v>46</v>
      </c>
      <c r="C56" s="66">
        <v>1</v>
      </c>
      <c r="D56" s="67">
        <v>0.950125</v>
      </c>
      <c r="E56" s="67">
        <v>0</v>
      </c>
      <c r="F56" s="67">
        <v>0</v>
      </c>
      <c r="G56" s="67">
        <v>0.950125</v>
      </c>
      <c r="H56" s="67">
        <v>0.950125</v>
      </c>
    </row>
    <row r="57" spans="1:8" x14ac:dyDescent="0.2">
      <c r="A57">
        <v>16000</v>
      </c>
      <c r="B57" t="s">
        <v>50</v>
      </c>
      <c r="C57" s="66">
        <v>50</v>
      </c>
      <c r="D57" s="67">
        <v>0.18505874999999999</v>
      </c>
      <c r="E57" s="67">
        <v>1.6196640217549262E-3</v>
      </c>
      <c r="F57" s="67">
        <v>2.2905508260535684E-4</v>
      </c>
      <c r="G57" s="67">
        <v>0.18459844657805768</v>
      </c>
      <c r="H57" s="67">
        <v>0.1855190534219423</v>
      </c>
    </row>
    <row r="58" spans="1:8" x14ac:dyDescent="0.2">
      <c r="A58">
        <v>16000</v>
      </c>
      <c r="B58" t="s">
        <v>52</v>
      </c>
      <c r="C58" s="66">
        <v>50</v>
      </c>
      <c r="D58" s="67">
        <v>0.75027500000000003</v>
      </c>
      <c r="E58" s="67">
        <v>1.3229359163525307E-3</v>
      </c>
      <c r="F58" s="67">
        <v>1.8709139150562272E-4</v>
      </c>
      <c r="G58" s="67">
        <v>0.7498990257725503</v>
      </c>
      <c r="H58" s="67">
        <v>0.75065097422744975</v>
      </c>
    </row>
    <row r="59" spans="1:8" x14ac:dyDescent="0.2">
      <c r="A59">
        <v>16000</v>
      </c>
      <c r="B59" t="s">
        <v>51</v>
      </c>
      <c r="C59" s="66">
        <v>1</v>
      </c>
      <c r="D59" s="67">
        <v>0.84112500000000001</v>
      </c>
      <c r="E59" s="67">
        <v>0</v>
      </c>
      <c r="F59" s="67">
        <v>0</v>
      </c>
      <c r="G59" s="67">
        <v>0.84112500000000001</v>
      </c>
      <c r="H59" s="67">
        <v>0.84112500000000001</v>
      </c>
    </row>
    <row r="60" spans="1:8" x14ac:dyDescent="0.2">
      <c r="A60">
        <v>16000</v>
      </c>
      <c r="B60" t="s">
        <v>99</v>
      </c>
      <c r="C60" s="66">
        <v>50</v>
      </c>
      <c r="D60" s="67">
        <v>0.89686999999999972</v>
      </c>
      <c r="E60" s="67">
        <v>8.1820407488795879E-4</v>
      </c>
      <c r="F60" s="67">
        <v>1.1571152994954828E-4</v>
      </c>
      <c r="G60" s="67">
        <v>0.89663746897476282</v>
      </c>
      <c r="H60" s="67">
        <v>0.89710253102523663</v>
      </c>
    </row>
    <row r="61" spans="1:8" x14ac:dyDescent="0.2">
      <c r="A61">
        <v>16000</v>
      </c>
      <c r="B61" t="s">
        <v>100</v>
      </c>
      <c r="C61" s="66">
        <v>50</v>
      </c>
      <c r="D61" s="67">
        <v>0.89706124999999981</v>
      </c>
      <c r="E61" s="67">
        <v>8.7777348345987954E-4</v>
      </c>
      <c r="F61" s="67">
        <v>1.2413591650004373E-4</v>
      </c>
      <c r="G61" s="67">
        <v>0.89681178953616303</v>
      </c>
      <c r="H61" s="67">
        <v>0.89731071046383659</v>
      </c>
    </row>
    <row r="62" spans="1:8" x14ac:dyDescent="0.2">
      <c r="A62">
        <v>16000</v>
      </c>
      <c r="B62" t="s">
        <v>101</v>
      </c>
      <c r="C62" s="66">
        <v>50</v>
      </c>
      <c r="D62" s="67">
        <v>0.87288999999999972</v>
      </c>
      <c r="E62" s="67">
        <v>1.0580684895466108E-3</v>
      </c>
      <c r="F62" s="67">
        <v>1.4963348078364324E-4</v>
      </c>
      <c r="G62" s="67">
        <v>0.87258930026237147</v>
      </c>
      <c r="H62" s="67">
        <v>0.87319069973762797</v>
      </c>
    </row>
    <row r="63" spans="1:8" x14ac:dyDescent="0.2">
      <c r="A63">
        <v>18000</v>
      </c>
      <c r="B63" t="s">
        <v>46</v>
      </c>
      <c r="C63" s="66">
        <v>1</v>
      </c>
      <c r="D63" s="67">
        <v>0.90205555555555561</v>
      </c>
      <c r="E63" s="67">
        <v>0</v>
      </c>
      <c r="F63" s="67">
        <v>0</v>
      </c>
      <c r="G63" s="67">
        <v>0.90205555555555561</v>
      </c>
      <c r="H63" s="67">
        <v>0.90205555555555561</v>
      </c>
    </row>
    <row r="64" spans="1:8" x14ac:dyDescent="0.2">
      <c r="A64">
        <v>18000</v>
      </c>
      <c r="B64" t="s">
        <v>50</v>
      </c>
      <c r="C64" s="66">
        <v>50</v>
      </c>
      <c r="D64" s="67">
        <v>0.16452888888888889</v>
      </c>
      <c r="E64" s="67">
        <v>1.4565271722066036E-3</v>
      </c>
      <c r="F64" s="67">
        <v>2.0598404808995111E-4</v>
      </c>
      <c r="G64" s="67">
        <v>0.16411494844660368</v>
      </c>
      <c r="H64" s="67">
        <v>0.1649428293311741</v>
      </c>
    </row>
    <row r="65" spans="1:8" x14ac:dyDescent="0.2">
      <c r="A65">
        <v>18000</v>
      </c>
      <c r="B65" t="s">
        <v>52</v>
      </c>
      <c r="C65" s="66">
        <v>50</v>
      </c>
      <c r="D65" s="67">
        <v>0.66456111111111138</v>
      </c>
      <c r="E65" s="67">
        <v>1.1224618634593491E-3</v>
      </c>
      <c r="F65" s="67">
        <v>1.5874007905507888E-4</v>
      </c>
      <c r="G65" s="67">
        <v>0.66424211097910235</v>
      </c>
      <c r="H65" s="67">
        <v>0.66488011124312041</v>
      </c>
    </row>
    <row r="66" spans="1:8" x14ac:dyDescent="0.2">
      <c r="A66">
        <v>18000</v>
      </c>
      <c r="B66" t="s">
        <v>51</v>
      </c>
      <c r="C66" s="66">
        <v>1</v>
      </c>
      <c r="D66" s="67">
        <v>0.78494444444444444</v>
      </c>
      <c r="E66" s="67">
        <v>0</v>
      </c>
      <c r="F66" s="67">
        <v>0</v>
      </c>
      <c r="G66" s="67">
        <v>0.78494444444444444</v>
      </c>
      <c r="H66" s="67">
        <v>0.78494444444444444</v>
      </c>
    </row>
    <row r="67" spans="1:8" x14ac:dyDescent="0.2">
      <c r="A67">
        <v>18000</v>
      </c>
      <c r="B67" t="s">
        <v>99</v>
      </c>
      <c r="C67" s="66">
        <v>50</v>
      </c>
      <c r="D67" s="67">
        <v>0.84508222222222218</v>
      </c>
      <c r="E67" s="67">
        <v>9.191449354951991E-4</v>
      </c>
      <c r="F67" s="67">
        <v>1.2998672335638541E-4</v>
      </c>
      <c r="G67" s="67">
        <v>0.8448210041218096</v>
      </c>
      <c r="H67" s="67">
        <v>0.84534344032263475</v>
      </c>
    </row>
    <row r="68" spans="1:8" x14ac:dyDescent="0.2">
      <c r="A68">
        <v>18000</v>
      </c>
      <c r="B68" t="s">
        <v>100</v>
      </c>
      <c r="C68" s="66">
        <v>50</v>
      </c>
      <c r="D68" s="67">
        <v>0.84514333333333314</v>
      </c>
      <c r="E68" s="67">
        <v>9.387308834025663E-4</v>
      </c>
      <c r="F68" s="67">
        <v>1.3275659467263857E-4</v>
      </c>
      <c r="G68" s="67">
        <v>0.84487654896811337</v>
      </c>
      <c r="H68" s="67">
        <v>0.8454101176985529</v>
      </c>
    </row>
    <row r="69" spans="1:8" x14ac:dyDescent="0.2">
      <c r="A69">
        <v>18000</v>
      </c>
      <c r="B69" t="s">
        <v>101</v>
      </c>
      <c r="C69" s="66">
        <v>50</v>
      </c>
      <c r="D69" s="67">
        <v>0.82127555555555587</v>
      </c>
      <c r="E69" s="67">
        <v>8.6525846405833618E-4</v>
      </c>
      <c r="F69" s="67">
        <v>1.2236602548294122E-4</v>
      </c>
      <c r="G69" s="67">
        <v>0.82102965182087939</v>
      </c>
      <c r="H69" s="67">
        <v>0.82152145929023235</v>
      </c>
    </row>
    <row r="70" spans="1:8" x14ac:dyDescent="0.2">
      <c r="A70">
        <v>20000</v>
      </c>
      <c r="B70" t="s">
        <v>46</v>
      </c>
      <c r="C70" s="66">
        <v>1</v>
      </c>
      <c r="D70" s="67">
        <v>0.85829999999999995</v>
      </c>
      <c r="E70" s="67">
        <v>0</v>
      </c>
      <c r="F70" s="67">
        <v>0</v>
      </c>
      <c r="G70" s="67">
        <v>0.85829999999999995</v>
      </c>
      <c r="H70" s="67">
        <v>0.85829999999999995</v>
      </c>
    </row>
    <row r="71" spans="1:8" x14ac:dyDescent="0.2">
      <c r="A71">
        <v>20000</v>
      </c>
      <c r="B71" t="s">
        <v>50</v>
      </c>
      <c r="C71" s="66">
        <v>50</v>
      </c>
      <c r="D71" s="67">
        <v>0.14985499999999999</v>
      </c>
      <c r="E71" s="67">
        <v>1.3510105816894008E-3</v>
      </c>
      <c r="F71" s="67">
        <v>1.9106174875347146E-4</v>
      </c>
      <c r="G71" s="67">
        <v>0.14947104704094241</v>
      </c>
      <c r="H71" s="67">
        <v>0.15023895295905756</v>
      </c>
    </row>
    <row r="72" spans="1:8" x14ac:dyDescent="0.2">
      <c r="A72">
        <v>20000</v>
      </c>
      <c r="B72" t="s">
        <v>52</v>
      </c>
      <c r="C72" s="66">
        <v>50</v>
      </c>
      <c r="D72" s="67">
        <v>0.59751500000000002</v>
      </c>
      <c r="E72" s="67">
        <v>1.0730107365801741E-3</v>
      </c>
      <c r="F72" s="67">
        <v>1.5174663362436266E-4</v>
      </c>
      <c r="G72" s="67">
        <v>0.59721005372275082</v>
      </c>
      <c r="H72" s="67">
        <v>0.59781994627724921</v>
      </c>
    </row>
    <row r="73" spans="1:8" x14ac:dyDescent="0.2">
      <c r="A73">
        <v>20000</v>
      </c>
      <c r="B73" t="s">
        <v>51</v>
      </c>
      <c r="C73" s="66">
        <v>1</v>
      </c>
      <c r="D73" s="67">
        <v>0.73714999999999997</v>
      </c>
      <c r="E73" s="67">
        <v>0</v>
      </c>
      <c r="F73" s="67">
        <v>0</v>
      </c>
      <c r="G73" s="67">
        <v>0.73714999999999997</v>
      </c>
      <c r="H73" s="67">
        <v>0.73714999999999997</v>
      </c>
    </row>
    <row r="74" spans="1:8" x14ac:dyDescent="0.2">
      <c r="A74">
        <v>20000</v>
      </c>
      <c r="B74" t="s">
        <v>99</v>
      </c>
      <c r="C74" s="66">
        <v>50</v>
      </c>
      <c r="D74" s="67">
        <v>0.7994159999999999</v>
      </c>
      <c r="E74" s="67">
        <v>1.1064486302709993E-3</v>
      </c>
      <c r="F74" s="67">
        <v>1.5647546589983815E-4</v>
      </c>
      <c r="G74" s="67">
        <v>0.79910155077850931</v>
      </c>
      <c r="H74" s="67">
        <v>0.7997304492214905</v>
      </c>
    </row>
    <row r="75" spans="1:8" x14ac:dyDescent="0.2">
      <c r="A75">
        <v>20000</v>
      </c>
      <c r="B75" t="s">
        <v>100</v>
      </c>
      <c r="C75" s="66">
        <v>50</v>
      </c>
      <c r="D75" s="67">
        <v>0.79933500000000013</v>
      </c>
      <c r="E75" s="67">
        <v>9.4497867376865227E-4</v>
      </c>
      <c r="F75" s="67">
        <v>1.3364016565969684E-4</v>
      </c>
      <c r="G75" s="67">
        <v>0.79906644003240457</v>
      </c>
      <c r="H75" s="67">
        <v>0.79960355996759569</v>
      </c>
    </row>
    <row r="76" spans="1:8" ht="13.5" thickBot="1" x14ac:dyDescent="0.25">
      <c r="A76" s="70">
        <v>20000</v>
      </c>
      <c r="B76" s="70" t="s">
        <v>101</v>
      </c>
      <c r="C76" s="71">
        <v>50</v>
      </c>
      <c r="D76" s="72">
        <v>0.77721100000000021</v>
      </c>
      <c r="E76" s="72">
        <v>1.1027928367632423E-3</v>
      </c>
      <c r="F76" s="72">
        <v>1.559584586238476E-4</v>
      </c>
      <c r="G76" s="72">
        <v>0.77689758974352885</v>
      </c>
      <c r="H76" s="72">
        <v>0.77752441025647157</v>
      </c>
    </row>
    <row r="79" spans="1:8" ht="13.5" thickBot="1" x14ac:dyDescent="0.25">
      <c r="A79" s="68" t="s">
        <v>111</v>
      </c>
    </row>
    <row r="80" spans="1:8" x14ac:dyDescent="0.2">
      <c r="A80" s="69" t="s">
        <v>12</v>
      </c>
      <c r="B80" s="69" t="s">
        <v>20</v>
      </c>
      <c r="C80" s="69" t="s">
        <v>2</v>
      </c>
      <c r="D80" s="69" t="s">
        <v>21</v>
      </c>
      <c r="E80" s="69" t="s">
        <v>22</v>
      </c>
      <c r="F80" s="69" t="s">
        <v>23</v>
      </c>
      <c r="G80" s="69" t="s">
        <v>24</v>
      </c>
      <c r="H80" s="69" t="s">
        <v>25</v>
      </c>
    </row>
    <row r="81" spans="1:8" x14ac:dyDescent="0.2">
      <c r="A81">
        <v>12000</v>
      </c>
      <c r="B81" t="s">
        <v>46</v>
      </c>
      <c r="C81" s="66">
        <v>1</v>
      </c>
      <c r="D81" s="67">
        <v>1204.496572664</v>
      </c>
      <c r="E81" s="67">
        <v>0</v>
      </c>
      <c r="F81" s="67">
        <v>0</v>
      </c>
      <c r="G81" s="67">
        <v>1204.496572664</v>
      </c>
      <c r="H81" s="67">
        <v>1204.496572664</v>
      </c>
    </row>
    <row r="82" spans="1:8" x14ac:dyDescent="0.2">
      <c r="A82">
        <v>12000</v>
      </c>
      <c r="B82" t="s">
        <v>50</v>
      </c>
      <c r="C82" s="66">
        <v>50</v>
      </c>
      <c r="D82" s="67">
        <v>2.6259475999999994E-4</v>
      </c>
      <c r="E82" s="67">
        <v>1.6221653927553321E-5</v>
      </c>
      <c r="F82" s="67">
        <v>2.2940882988468689E-6</v>
      </c>
      <c r="G82" s="67">
        <v>2.5798461696284935E-4</v>
      </c>
      <c r="H82" s="67">
        <v>2.6720490303715053E-4</v>
      </c>
    </row>
    <row r="83" spans="1:8" x14ac:dyDescent="0.2">
      <c r="A83">
        <v>12000</v>
      </c>
      <c r="B83" t="s">
        <v>52</v>
      </c>
      <c r="C83" s="66">
        <v>50</v>
      </c>
      <c r="D83" s="67">
        <v>8.7941886000000001E-4</v>
      </c>
      <c r="E83" s="67">
        <v>5.9767744811712291E-5</v>
      </c>
      <c r="F83" s="67">
        <v>8.4524355305177697E-6</v>
      </c>
      <c r="G83" s="67">
        <v>8.6243305486444015E-4</v>
      </c>
      <c r="H83" s="67">
        <v>8.9640466513555986E-4</v>
      </c>
    </row>
    <row r="84" spans="1:8" x14ac:dyDescent="0.2">
      <c r="A84">
        <v>12000</v>
      </c>
      <c r="B84" t="s">
        <v>51</v>
      </c>
      <c r="C84" s="66">
        <v>1</v>
      </c>
      <c r="D84" s="67">
        <v>1.0328809E-2</v>
      </c>
      <c r="E84" s="67">
        <v>0</v>
      </c>
      <c r="F84" s="67">
        <v>0</v>
      </c>
      <c r="G84" s="67">
        <v>1.0328809E-2</v>
      </c>
      <c r="H84" s="67">
        <v>1.0328809E-2</v>
      </c>
    </row>
    <row r="85" spans="1:8" x14ac:dyDescent="0.2">
      <c r="A85">
        <v>12000</v>
      </c>
      <c r="B85" t="s">
        <v>99</v>
      </c>
      <c r="C85" s="66">
        <v>50</v>
      </c>
      <c r="D85" s="67">
        <v>1.4422178859999997E-2</v>
      </c>
      <c r="E85" s="67">
        <v>4.5062825027451353E-4</v>
      </c>
      <c r="F85" s="67">
        <v>6.3728458312667437E-5</v>
      </c>
      <c r="G85" s="67">
        <v>1.4294111728274437E-2</v>
      </c>
      <c r="H85" s="67">
        <v>1.4550245991725557E-2</v>
      </c>
    </row>
    <row r="86" spans="1:8" x14ac:dyDescent="0.2">
      <c r="A86">
        <v>12000</v>
      </c>
      <c r="B86" t="s">
        <v>100</v>
      </c>
      <c r="C86" s="66">
        <v>50</v>
      </c>
      <c r="D86" s="67">
        <v>1.1815234460000004E-2</v>
      </c>
      <c r="E86" s="67">
        <v>5.6973491528440753E-4</v>
      </c>
      <c r="F86" s="67">
        <v>8.0572684415269549E-5</v>
      </c>
      <c r="G86" s="67">
        <v>1.1653317588610049E-2</v>
      </c>
      <c r="H86" s="67">
        <v>1.1977151331389959E-2</v>
      </c>
    </row>
    <row r="87" spans="1:8" x14ac:dyDescent="0.2">
      <c r="A87">
        <v>12000</v>
      </c>
      <c r="B87" t="s">
        <v>101</v>
      </c>
      <c r="C87" s="66">
        <v>50</v>
      </c>
      <c r="D87" s="67">
        <v>2.6481127679999997E-2</v>
      </c>
      <c r="E87" s="67">
        <v>2.0113919130165417E-3</v>
      </c>
      <c r="F87" s="67">
        <v>2.8445377226355578E-4</v>
      </c>
      <c r="G87" s="67">
        <v>2.5909496423151157E-2</v>
      </c>
      <c r="H87" s="67">
        <v>2.7052758936848838E-2</v>
      </c>
    </row>
    <row r="88" spans="1:8" x14ac:dyDescent="0.2">
      <c r="A88">
        <v>14000</v>
      </c>
      <c r="B88" t="s">
        <v>46</v>
      </c>
      <c r="C88" s="66">
        <v>1</v>
      </c>
      <c r="D88" s="67">
        <v>3603.2720461459999</v>
      </c>
      <c r="E88" s="67">
        <v>0</v>
      </c>
      <c r="F88" s="67">
        <v>0</v>
      </c>
      <c r="G88" s="67">
        <v>3603.2720461459999</v>
      </c>
      <c r="H88" s="67">
        <v>3603.2720461459999</v>
      </c>
    </row>
    <row r="89" spans="1:8" x14ac:dyDescent="0.2">
      <c r="A89">
        <v>14000</v>
      </c>
      <c r="B89" t="s">
        <v>50</v>
      </c>
      <c r="C89" s="66">
        <v>50</v>
      </c>
      <c r="D89" s="67">
        <v>2.8507099999999991E-4</v>
      </c>
      <c r="E89" s="67">
        <v>1.7002331933698786E-5</v>
      </c>
      <c r="F89" s="67">
        <v>2.4044928412605992E-6</v>
      </c>
      <c r="G89" s="67">
        <v>2.8023899072834808E-4</v>
      </c>
      <c r="H89" s="67">
        <v>2.8990300927165174E-4</v>
      </c>
    </row>
    <row r="90" spans="1:8" x14ac:dyDescent="0.2">
      <c r="A90">
        <v>14000</v>
      </c>
      <c r="B90" t="s">
        <v>52</v>
      </c>
      <c r="C90" s="66">
        <v>50</v>
      </c>
      <c r="D90" s="67">
        <v>8.9806171999999974E-4</v>
      </c>
      <c r="E90" s="67">
        <v>3.1552810041450141E-5</v>
      </c>
      <c r="F90" s="67">
        <v>4.462241189160077E-6</v>
      </c>
      <c r="G90" s="67">
        <v>8.890945106041655E-4</v>
      </c>
      <c r="H90" s="67">
        <v>9.0702892939583399E-4</v>
      </c>
    </row>
    <row r="91" spans="1:8" x14ac:dyDescent="0.2">
      <c r="A91">
        <v>14000</v>
      </c>
      <c r="B91" t="s">
        <v>51</v>
      </c>
      <c r="C91" s="66">
        <v>1</v>
      </c>
      <c r="D91" s="67">
        <v>1.1523316E-2</v>
      </c>
      <c r="E91" s="67">
        <v>0</v>
      </c>
      <c r="F91" s="67">
        <v>0</v>
      </c>
      <c r="G91" s="67">
        <v>1.1523316E-2</v>
      </c>
      <c r="H91" s="67">
        <v>1.1523316E-2</v>
      </c>
    </row>
    <row r="92" spans="1:8" x14ac:dyDescent="0.2">
      <c r="A92">
        <v>14000</v>
      </c>
      <c r="B92" t="s">
        <v>99</v>
      </c>
      <c r="C92" s="66">
        <v>50</v>
      </c>
      <c r="D92" s="67">
        <v>0.12701005606000002</v>
      </c>
      <c r="E92" s="67">
        <v>5.2878241587214665E-3</v>
      </c>
      <c r="F92" s="67">
        <v>7.4781126407079998E-4</v>
      </c>
      <c r="G92" s="67">
        <v>0.12550727306167703</v>
      </c>
      <c r="H92" s="67">
        <v>0.128512839058323</v>
      </c>
    </row>
    <row r="93" spans="1:8" x14ac:dyDescent="0.2">
      <c r="A93">
        <v>14000</v>
      </c>
      <c r="B93" t="s">
        <v>100</v>
      </c>
      <c r="C93" s="66">
        <v>50</v>
      </c>
      <c r="D93" s="67">
        <v>0.18486613263999999</v>
      </c>
      <c r="E93" s="67">
        <v>0.41481009642555494</v>
      </c>
      <c r="F93" s="67">
        <v>5.8663006417431107E-2</v>
      </c>
      <c r="G93" s="67">
        <v>6.6978407607976811E-2</v>
      </c>
      <c r="H93" s="67">
        <v>0.30275385767202317</v>
      </c>
    </row>
    <row r="94" spans="1:8" x14ac:dyDescent="0.2">
      <c r="A94">
        <v>14000</v>
      </c>
      <c r="B94" t="s">
        <v>101</v>
      </c>
      <c r="C94" s="66">
        <v>50</v>
      </c>
      <c r="D94" s="67">
        <v>4.4140204500000009E-2</v>
      </c>
      <c r="E94" s="67">
        <v>3.0172287937497723E-3</v>
      </c>
      <c r="F94" s="67">
        <v>4.2670058809035421E-4</v>
      </c>
      <c r="G94" s="67">
        <v>4.3282717564505149E-2</v>
      </c>
      <c r="H94" s="67">
        <v>4.4997691435494869E-2</v>
      </c>
    </row>
    <row r="95" spans="1:8" x14ac:dyDescent="0.2">
      <c r="A95">
        <v>16000</v>
      </c>
      <c r="B95" t="s">
        <v>46</v>
      </c>
      <c r="C95" s="66">
        <v>1</v>
      </c>
      <c r="D95" s="67">
        <v>3601.9673100230002</v>
      </c>
      <c r="E95" s="67">
        <v>0</v>
      </c>
      <c r="F95" s="67">
        <v>0</v>
      </c>
      <c r="G95" s="67">
        <v>3601.9673100230002</v>
      </c>
      <c r="H95" s="67">
        <v>3601.9673100230002</v>
      </c>
    </row>
    <row r="96" spans="1:8" x14ac:dyDescent="0.2">
      <c r="A96">
        <v>16000</v>
      </c>
      <c r="B96" t="s">
        <v>50</v>
      </c>
      <c r="C96" s="66">
        <v>50</v>
      </c>
      <c r="D96" s="67">
        <v>3.0819274000000002E-4</v>
      </c>
      <c r="E96" s="67">
        <v>1.1142039792019175E-5</v>
      </c>
      <c r="F96" s="67">
        <v>1.5757223786374216E-6</v>
      </c>
      <c r="G96" s="67">
        <v>3.0502620732729988E-4</v>
      </c>
      <c r="H96" s="67">
        <v>3.1135927267270016E-4</v>
      </c>
    </row>
    <row r="97" spans="1:8" x14ac:dyDescent="0.2">
      <c r="A97">
        <v>16000</v>
      </c>
      <c r="B97" t="s">
        <v>52</v>
      </c>
      <c r="C97" s="66">
        <v>50</v>
      </c>
      <c r="D97" s="67">
        <v>9.3532613999999976E-4</v>
      </c>
      <c r="E97" s="67">
        <v>2.1819855789016321E-5</v>
      </c>
      <c r="F97" s="67">
        <v>3.0857935985851973E-6</v>
      </c>
      <c r="G97" s="67">
        <v>9.2912500559739098E-4</v>
      </c>
      <c r="H97" s="67">
        <v>9.4152727440260855E-4</v>
      </c>
    </row>
    <row r="98" spans="1:8" x14ac:dyDescent="0.2">
      <c r="A98">
        <v>16000</v>
      </c>
      <c r="B98" t="s">
        <v>51</v>
      </c>
      <c r="C98" s="66">
        <v>1</v>
      </c>
      <c r="D98" s="67">
        <v>1.5095737E-2</v>
      </c>
      <c r="E98" s="67">
        <v>0</v>
      </c>
      <c r="F98" s="67">
        <v>0</v>
      </c>
      <c r="G98" s="67">
        <v>1.5095737E-2</v>
      </c>
      <c r="H98" s="67">
        <v>1.5095737E-2</v>
      </c>
    </row>
    <row r="99" spans="1:8" x14ac:dyDescent="0.2">
      <c r="A99">
        <v>16000</v>
      </c>
      <c r="B99" t="s">
        <v>99</v>
      </c>
      <c r="C99" s="66">
        <v>50</v>
      </c>
      <c r="D99" s="67">
        <v>0.26486634385999996</v>
      </c>
      <c r="E99" s="67">
        <v>6.2168725972121886E-3</v>
      </c>
      <c r="F99" s="67">
        <v>8.7919855425231243E-4</v>
      </c>
      <c r="G99" s="67">
        <v>0.26309952821685467</v>
      </c>
      <c r="H99" s="67">
        <v>0.26663315950314526</v>
      </c>
    </row>
    <row r="100" spans="1:8" x14ac:dyDescent="0.2">
      <c r="A100">
        <v>16000</v>
      </c>
      <c r="B100" t="s">
        <v>100</v>
      </c>
      <c r="C100" s="66">
        <v>50</v>
      </c>
      <c r="D100" s="67">
        <v>0.26254204687999999</v>
      </c>
      <c r="E100" s="67">
        <v>7.1584250894067463E-3</v>
      </c>
      <c r="F100" s="67">
        <v>1.0123541846670855E-3</v>
      </c>
      <c r="G100" s="67">
        <v>0.26050764497928885</v>
      </c>
      <c r="H100" s="67">
        <v>0.26457644878071113</v>
      </c>
    </row>
    <row r="101" spans="1:8" x14ac:dyDescent="0.2">
      <c r="A101">
        <v>16000</v>
      </c>
      <c r="B101" t="s">
        <v>101</v>
      </c>
      <c r="C101" s="66">
        <v>50</v>
      </c>
      <c r="D101" s="67">
        <v>6.0259759980000008E-2</v>
      </c>
      <c r="E101" s="67">
        <v>2.4854853818535015E-3</v>
      </c>
      <c r="F101" s="67">
        <v>3.5150071360972928E-4</v>
      </c>
      <c r="G101" s="67">
        <v>5.9553392850096643E-2</v>
      </c>
      <c r="H101" s="67">
        <v>6.0966127109903373E-2</v>
      </c>
    </row>
    <row r="102" spans="1:8" x14ac:dyDescent="0.2">
      <c r="A102">
        <v>18000</v>
      </c>
      <c r="B102" t="s">
        <v>46</v>
      </c>
      <c r="C102" s="66">
        <v>1</v>
      </c>
      <c r="D102" s="67">
        <v>3603.5849273949998</v>
      </c>
      <c r="E102" s="67">
        <v>0</v>
      </c>
      <c r="F102" s="67">
        <v>0</v>
      </c>
      <c r="G102" s="67">
        <v>3603.5849273949998</v>
      </c>
      <c r="H102" s="67">
        <v>3603.5849273949998</v>
      </c>
    </row>
    <row r="103" spans="1:8" x14ac:dyDescent="0.2">
      <c r="A103">
        <v>18000</v>
      </c>
      <c r="B103" t="s">
        <v>50</v>
      </c>
      <c r="C103" s="66">
        <v>50</v>
      </c>
      <c r="D103" s="67">
        <v>3.2911139999999996E-4</v>
      </c>
      <c r="E103" s="67">
        <v>1.2957997347788977E-5</v>
      </c>
      <c r="F103" s="67">
        <v>1.8325375590437766E-6</v>
      </c>
      <c r="G103" s="67">
        <v>3.2542877790023631E-4</v>
      </c>
      <c r="H103" s="67">
        <v>3.3279402209976361E-4</v>
      </c>
    </row>
    <row r="104" spans="1:8" x14ac:dyDescent="0.2">
      <c r="A104">
        <v>18000</v>
      </c>
      <c r="B104" t="s">
        <v>52</v>
      </c>
      <c r="C104" s="66">
        <v>50</v>
      </c>
      <c r="D104" s="67">
        <v>9.6847839999999975E-4</v>
      </c>
      <c r="E104" s="67">
        <v>3.1919521898112458E-5</v>
      </c>
      <c r="F104" s="67">
        <v>4.5141020772775637E-6</v>
      </c>
      <c r="G104" s="67">
        <v>9.5940697224762908E-4</v>
      </c>
      <c r="H104" s="67">
        <v>9.7754982775237042E-4</v>
      </c>
    </row>
    <row r="105" spans="1:8" x14ac:dyDescent="0.2">
      <c r="A105">
        <v>18000</v>
      </c>
      <c r="B105" t="s">
        <v>51</v>
      </c>
      <c r="C105" s="66">
        <v>1</v>
      </c>
      <c r="D105" s="67">
        <v>1.3893559E-2</v>
      </c>
      <c r="E105" s="67">
        <v>0</v>
      </c>
      <c r="F105" s="67">
        <v>0</v>
      </c>
      <c r="G105" s="67">
        <v>1.3893559E-2</v>
      </c>
      <c r="H105" s="67">
        <v>1.3893559E-2</v>
      </c>
    </row>
    <row r="106" spans="1:8" x14ac:dyDescent="0.2">
      <c r="A106">
        <v>18000</v>
      </c>
      <c r="B106" t="s">
        <v>99</v>
      </c>
      <c r="C106" s="66">
        <v>50</v>
      </c>
      <c r="D106" s="67">
        <v>0.42487687310000005</v>
      </c>
      <c r="E106" s="67">
        <v>1.0494936050388568E-2</v>
      </c>
      <c r="F106" s="67">
        <v>1.4842080898697836E-3</v>
      </c>
      <c r="G106" s="67">
        <v>0.42189424527585084</v>
      </c>
      <c r="H106" s="67">
        <v>0.42785950092414926</v>
      </c>
    </row>
    <row r="107" spans="1:8" x14ac:dyDescent="0.2">
      <c r="A107">
        <v>18000</v>
      </c>
      <c r="B107" t="s">
        <v>100</v>
      </c>
      <c r="C107" s="66">
        <v>50</v>
      </c>
      <c r="D107" s="67">
        <v>0.47402019070000007</v>
      </c>
      <c r="E107" s="67">
        <v>0.41395567134523015</v>
      </c>
      <c r="F107" s="67">
        <v>5.8542172463768402E-2</v>
      </c>
      <c r="G107" s="67">
        <v>0.35637529058906187</v>
      </c>
      <c r="H107" s="67">
        <v>0.59166509081093821</v>
      </c>
    </row>
    <row r="108" spans="1:8" x14ac:dyDescent="0.2">
      <c r="A108">
        <v>18000</v>
      </c>
      <c r="B108" t="s">
        <v>101</v>
      </c>
      <c r="C108" s="66">
        <v>50</v>
      </c>
      <c r="D108" s="67">
        <v>8.1735643699999971E-2</v>
      </c>
      <c r="E108" s="67">
        <v>4.9082093846904862E-3</v>
      </c>
      <c r="F108" s="67">
        <v>6.9412562787961893E-4</v>
      </c>
      <c r="G108" s="67">
        <v>8.034074602675631E-2</v>
      </c>
      <c r="H108" s="67">
        <v>8.3130541373243633E-2</v>
      </c>
    </row>
    <row r="109" spans="1:8" x14ac:dyDescent="0.2">
      <c r="A109">
        <v>20000</v>
      </c>
      <c r="B109" t="s">
        <v>46</v>
      </c>
      <c r="C109" s="66">
        <v>1</v>
      </c>
      <c r="D109" s="67">
        <v>3605.4832893190001</v>
      </c>
      <c r="E109" s="67">
        <v>0</v>
      </c>
      <c r="F109" s="67">
        <v>0</v>
      </c>
      <c r="G109" s="67">
        <v>3605.4832893190001</v>
      </c>
      <c r="H109" s="67">
        <v>3605.4832893190001</v>
      </c>
    </row>
    <row r="110" spans="1:8" x14ac:dyDescent="0.2">
      <c r="A110">
        <v>20000</v>
      </c>
      <c r="B110" t="s">
        <v>50</v>
      </c>
      <c r="C110" s="66">
        <v>50</v>
      </c>
      <c r="D110" s="67">
        <v>3.6474121999999996E-4</v>
      </c>
      <c r="E110" s="67">
        <v>2.7340931862573338E-5</v>
      </c>
      <c r="F110" s="67">
        <v>3.86659166479699E-6</v>
      </c>
      <c r="G110" s="67">
        <v>3.5697101313833361E-4</v>
      </c>
      <c r="H110" s="67">
        <v>3.7251142686166631E-4</v>
      </c>
    </row>
    <row r="111" spans="1:8" x14ac:dyDescent="0.2">
      <c r="A111">
        <v>20000</v>
      </c>
      <c r="B111" t="s">
        <v>52</v>
      </c>
      <c r="C111" s="66">
        <v>50</v>
      </c>
      <c r="D111" s="67">
        <v>1.0390595599999999E-3</v>
      </c>
      <c r="E111" s="67">
        <v>8.3670060258369465E-5</v>
      </c>
      <c r="F111" s="67">
        <v>1.1832733398196021E-5</v>
      </c>
      <c r="G111" s="67">
        <v>1.0152807919754331E-3</v>
      </c>
      <c r="H111" s="67">
        <v>1.0628383280245667E-3</v>
      </c>
    </row>
    <row r="112" spans="1:8" x14ac:dyDescent="0.2">
      <c r="A112">
        <v>20000</v>
      </c>
      <c r="B112" t="s">
        <v>51</v>
      </c>
      <c r="C112" s="66">
        <v>1</v>
      </c>
      <c r="D112" s="67">
        <v>1.8628309999999999E-2</v>
      </c>
      <c r="E112" s="67">
        <v>0</v>
      </c>
      <c r="F112" s="67">
        <v>0</v>
      </c>
      <c r="G112" s="67">
        <v>1.8628309999999999E-2</v>
      </c>
      <c r="H112" s="67">
        <v>1.8628309999999999E-2</v>
      </c>
    </row>
    <row r="113" spans="1:8" x14ac:dyDescent="0.2">
      <c r="A113">
        <v>20000</v>
      </c>
      <c r="B113" t="s">
        <v>99</v>
      </c>
      <c r="C113" s="66">
        <v>50</v>
      </c>
      <c r="D113" s="67">
        <v>0.53910295436</v>
      </c>
      <c r="E113" s="67">
        <v>2.0238661123009708E-2</v>
      </c>
      <c r="F113" s="67">
        <v>2.8621789044433422E-3</v>
      </c>
      <c r="G113" s="67">
        <v>0.53335119050939694</v>
      </c>
      <c r="H113" s="67">
        <v>0.54485471821060305</v>
      </c>
    </row>
    <row r="114" spans="1:8" x14ac:dyDescent="0.2">
      <c r="A114">
        <v>20000</v>
      </c>
      <c r="B114" t="s">
        <v>100</v>
      </c>
      <c r="C114" s="66">
        <v>50</v>
      </c>
      <c r="D114" s="67">
        <v>0.59055713170000002</v>
      </c>
      <c r="E114" s="67">
        <v>0.41562115350576662</v>
      </c>
      <c r="F114" s="67">
        <v>5.8777707209700519E-2</v>
      </c>
      <c r="G114" s="67">
        <v>0.47243890679615314</v>
      </c>
      <c r="H114" s="67">
        <v>0.70867535660384695</v>
      </c>
    </row>
    <row r="115" spans="1:8" ht="13.5" thickBot="1" x14ac:dyDescent="0.25">
      <c r="A115" s="70">
        <v>20000</v>
      </c>
      <c r="B115" s="70" t="s">
        <v>101</v>
      </c>
      <c r="C115" s="71">
        <v>50</v>
      </c>
      <c r="D115" s="72">
        <v>8.523751907999999E-2</v>
      </c>
      <c r="E115" s="72">
        <v>5.4741550483953559E-3</v>
      </c>
      <c r="F115" s="72">
        <v>7.7416243119738585E-4</v>
      </c>
      <c r="G115" s="72">
        <v>8.3681781428749949E-2</v>
      </c>
      <c r="H115" s="72">
        <v>8.6793256731250032E-2</v>
      </c>
    </row>
    <row r="118" spans="1:8" ht="13.5" thickBot="1" x14ac:dyDescent="0.25">
      <c r="A118" s="68" t="s">
        <v>115</v>
      </c>
    </row>
    <row r="119" spans="1:8" x14ac:dyDescent="0.2">
      <c r="A119" s="69" t="s">
        <v>12</v>
      </c>
      <c r="B119" s="69" t="s">
        <v>20</v>
      </c>
      <c r="C119" s="69" t="s">
        <v>2</v>
      </c>
      <c r="D119" s="69" t="s">
        <v>21</v>
      </c>
      <c r="E119" s="69" t="s">
        <v>22</v>
      </c>
      <c r="F119" s="69" t="s">
        <v>23</v>
      </c>
      <c r="G119" s="69" t="s">
        <v>24</v>
      </c>
      <c r="H119" s="69" t="s">
        <v>25</v>
      </c>
    </row>
    <row r="120" spans="1:8" x14ac:dyDescent="0.2">
      <c r="A120">
        <v>12000</v>
      </c>
      <c r="B120" t="s">
        <v>46</v>
      </c>
      <c r="C120" s="66">
        <v>1</v>
      </c>
      <c r="D120" s="67">
        <v>1119.38779148</v>
      </c>
      <c r="E120" s="67">
        <v>0</v>
      </c>
      <c r="F120" s="67">
        <v>0</v>
      </c>
      <c r="G120" s="67">
        <v>1119.38779148</v>
      </c>
      <c r="H120" s="67">
        <v>1119.38779148</v>
      </c>
    </row>
    <row r="121" spans="1:8" x14ac:dyDescent="0.2">
      <c r="A121">
        <v>12000</v>
      </c>
      <c r="B121" t="s">
        <v>50</v>
      </c>
      <c r="C121" s="66">
        <v>50</v>
      </c>
      <c r="D121" s="67">
        <v>2.6667266000000004E-4</v>
      </c>
      <c r="E121" s="67">
        <v>2.6864158922183412E-5</v>
      </c>
      <c r="F121" s="67">
        <v>3.7991657889497966E-6</v>
      </c>
      <c r="G121" s="67">
        <v>2.5903795050877796E-4</v>
      </c>
      <c r="H121" s="67">
        <v>2.7430736949122213E-4</v>
      </c>
    </row>
    <row r="122" spans="1:8" x14ac:dyDescent="0.2">
      <c r="A122">
        <v>12000</v>
      </c>
      <c r="B122" t="s">
        <v>52</v>
      </c>
      <c r="C122" s="66">
        <v>50</v>
      </c>
      <c r="D122" s="67">
        <v>9.6379844000000006E-4</v>
      </c>
      <c r="E122" s="67">
        <v>1.0898114389498578E-4</v>
      </c>
      <c r="F122" s="67">
        <v>1.5412261173922269E-5</v>
      </c>
      <c r="G122" s="67">
        <v>9.3282634159671748E-4</v>
      </c>
      <c r="H122" s="67">
        <v>9.9477053840328275E-4</v>
      </c>
    </row>
    <row r="123" spans="1:8" x14ac:dyDescent="0.2">
      <c r="A123">
        <v>12000</v>
      </c>
      <c r="B123" t="s">
        <v>51</v>
      </c>
      <c r="C123" s="66">
        <v>1</v>
      </c>
      <c r="D123" s="67">
        <v>1.0860850999999999E-2</v>
      </c>
      <c r="E123" s="67">
        <v>0</v>
      </c>
      <c r="F123" s="67">
        <v>0</v>
      </c>
      <c r="G123" s="67">
        <v>1.0860850999999999E-2</v>
      </c>
      <c r="H123" s="67">
        <v>1.0860850999999999E-2</v>
      </c>
    </row>
    <row r="124" spans="1:8" x14ac:dyDescent="0.2">
      <c r="A124">
        <v>12000</v>
      </c>
      <c r="B124" t="s">
        <v>99</v>
      </c>
      <c r="C124" s="66">
        <v>50</v>
      </c>
      <c r="D124" s="67">
        <v>1.4671271879999996E-2</v>
      </c>
      <c r="E124" s="67">
        <v>1.979887696326663E-3</v>
      </c>
      <c r="F124" s="67">
        <v>2.7999840321207907E-4</v>
      </c>
      <c r="G124" s="67">
        <v>1.4108594022469273E-2</v>
      </c>
      <c r="H124" s="67">
        <v>1.5233949737530719E-2</v>
      </c>
    </row>
    <row r="125" spans="1:8" x14ac:dyDescent="0.2">
      <c r="A125">
        <v>12000</v>
      </c>
      <c r="B125" t="s">
        <v>100</v>
      </c>
      <c r="C125" s="66">
        <v>50</v>
      </c>
      <c r="D125" s="67">
        <v>1.2137088700000003E-2</v>
      </c>
      <c r="E125" s="67">
        <v>1.4555358066450608E-3</v>
      </c>
      <c r="F125" s="67">
        <v>2.058438478277108E-4</v>
      </c>
      <c r="G125" s="67">
        <v>1.1723430000690037E-2</v>
      </c>
      <c r="H125" s="67">
        <v>1.255074739930997E-2</v>
      </c>
    </row>
    <row r="126" spans="1:8" x14ac:dyDescent="0.2">
      <c r="A126">
        <v>12000</v>
      </c>
      <c r="B126" t="s">
        <v>101</v>
      </c>
      <c r="C126" s="66">
        <v>50</v>
      </c>
      <c r="D126" s="67">
        <v>2.2655430100000006E-2</v>
      </c>
      <c r="E126" s="67">
        <v>1.3155049957571466E-3</v>
      </c>
      <c r="F126" s="67">
        <v>1.8604050063693173E-4</v>
      </c>
      <c r="G126" s="67">
        <v>2.22815677168169E-2</v>
      </c>
      <c r="H126" s="67">
        <v>2.3029292483183111E-2</v>
      </c>
    </row>
    <row r="127" spans="1:8" x14ac:dyDescent="0.2">
      <c r="A127">
        <v>14000</v>
      </c>
      <c r="B127" t="s">
        <v>46</v>
      </c>
      <c r="C127" s="66">
        <v>1</v>
      </c>
      <c r="D127" s="67">
        <v>3606.574387395</v>
      </c>
      <c r="E127" s="67">
        <v>0</v>
      </c>
      <c r="F127" s="67">
        <v>0</v>
      </c>
      <c r="G127" s="67">
        <v>3606.574387395</v>
      </c>
      <c r="H127" s="67">
        <v>3606.574387395</v>
      </c>
    </row>
    <row r="128" spans="1:8" x14ac:dyDescent="0.2">
      <c r="A128">
        <v>14000</v>
      </c>
      <c r="B128" t="s">
        <v>50</v>
      </c>
      <c r="C128" s="66">
        <v>50</v>
      </c>
      <c r="D128" s="67">
        <v>2.8935127999999999E-4</v>
      </c>
      <c r="E128" s="67">
        <v>3.4677083327812939E-5</v>
      </c>
      <c r="F128" s="67">
        <v>4.9040801545734997E-6</v>
      </c>
      <c r="G128" s="67">
        <v>2.7949616196047217E-4</v>
      </c>
      <c r="H128" s="67">
        <v>2.9920639803952782E-4</v>
      </c>
    </row>
    <row r="129" spans="1:8" x14ac:dyDescent="0.2">
      <c r="A129">
        <v>14000</v>
      </c>
      <c r="B129" t="s">
        <v>52</v>
      </c>
      <c r="C129" s="66">
        <v>50</v>
      </c>
      <c r="D129" s="67">
        <v>9.2647148000000014E-4</v>
      </c>
      <c r="E129" s="67">
        <v>8.8073527813294612E-5</v>
      </c>
      <c r="F129" s="67">
        <v>1.2455477751960524E-5</v>
      </c>
      <c r="G129" s="67">
        <v>9.0144126034304606E-4</v>
      </c>
      <c r="H129" s="67">
        <v>9.5150169965695422E-4</v>
      </c>
    </row>
    <row r="130" spans="1:8" x14ac:dyDescent="0.2">
      <c r="A130">
        <v>14000</v>
      </c>
      <c r="B130" t="s">
        <v>51</v>
      </c>
      <c r="C130" s="66">
        <v>1</v>
      </c>
      <c r="D130" s="67">
        <v>1.2753861999999999E-2</v>
      </c>
      <c r="E130" s="67">
        <v>0</v>
      </c>
      <c r="F130" s="67">
        <v>0</v>
      </c>
      <c r="G130" s="67">
        <v>1.2753861999999999E-2</v>
      </c>
      <c r="H130" s="67">
        <v>1.2753861999999999E-2</v>
      </c>
    </row>
    <row r="131" spans="1:8" x14ac:dyDescent="0.2">
      <c r="A131">
        <v>14000</v>
      </c>
      <c r="B131" t="s">
        <v>99</v>
      </c>
      <c r="C131" s="66">
        <v>50</v>
      </c>
      <c r="D131" s="67">
        <v>2.0304220380000005E-2</v>
      </c>
      <c r="E131" s="67">
        <v>2.0505335704015058E-3</v>
      </c>
      <c r="F131" s="67">
        <v>2.8998923853631352E-4</v>
      </c>
      <c r="G131" s="67">
        <v>1.9721465187203465E-2</v>
      </c>
      <c r="H131" s="67">
        <v>2.0886975572796545E-2</v>
      </c>
    </row>
    <row r="132" spans="1:8" x14ac:dyDescent="0.2">
      <c r="A132">
        <v>14000</v>
      </c>
      <c r="B132" t="s">
        <v>100</v>
      </c>
      <c r="C132" s="66">
        <v>50</v>
      </c>
      <c r="D132" s="67">
        <v>1.7988359740000005E-2</v>
      </c>
      <c r="E132" s="67">
        <v>1.3996271239728828E-3</v>
      </c>
      <c r="F132" s="67">
        <v>1.9793716609877002E-4</v>
      </c>
      <c r="G132" s="67">
        <v>1.759059011250038E-2</v>
      </c>
      <c r="H132" s="67">
        <v>1.8386129367499629E-2</v>
      </c>
    </row>
    <row r="133" spans="1:8" x14ac:dyDescent="0.2">
      <c r="A133">
        <v>14000</v>
      </c>
      <c r="B133" t="s">
        <v>101</v>
      </c>
      <c r="C133" s="66">
        <v>50</v>
      </c>
      <c r="D133" s="67">
        <v>3.3260932040000003E-2</v>
      </c>
      <c r="E133" s="67">
        <v>2.9079213958613319E-3</v>
      </c>
      <c r="F133" s="67">
        <v>4.1124218763419971E-4</v>
      </c>
      <c r="G133" s="67">
        <v>3.2434509923267463E-2</v>
      </c>
      <c r="H133" s="67">
        <v>3.4087354156732544E-2</v>
      </c>
    </row>
    <row r="134" spans="1:8" x14ac:dyDescent="0.2">
      <c r="A134">
        <v>16000</v>
      </c>
      <c r="B134" t="s">
        <v>46</v>
      </c>
      <c r="C134" s="66">
        <v>1</v>
      </c>
      <c r="D134" s="67">
        <v>3604.0535430730001</v>
      </c>
      <c r="E134" s="67">
        <v>0</v>
      </c>
      <c r="F134" s="67">
        <v>0</v>
      </c>
      <c r="G134" s="67">
        <v>3604.0535430730001</v>
      </c>
      <c r="H134" s="67">
        <v>3604.0535430730001</v>
      </c>
    </row>
    <row r="135" spans="1:8" x14ac:dyDescent="0.2">
      <c r="A135">
        <v>16000</v>
      </c>
      <c r="B135" t="s">
        <v>50</v>
      </c>
      <c r="C135" s="66">
        <v>50</v>
      </c>
      <c r="D135" s="67">
        <v>3.1366603999999994E-4</v>
      </c>
      <c r="E135" s="67">
        <v>2.6072165965274469E-5</v>
      </c>
      <c r="F135" s="67">
        <v>3.687161070853337E-6</v>
      </c>
      <c r="G135" s="67">
        <v>3.0625641241670612E-4</v>
      </c>
      <c r="H135" s="67">
        <v>3.2107566758329375E-4</v>
      </c>
    </row>
    <row r="136" spans="1:8" x14ac:dyDescent="0.2">
      <c r="A136">
        <v>16000</v>
      </c>
      <c r="B136" t="s">
        <v>52</v>
      </c>
      <c r="C136" s="66">
        <v>50</v>
      </c>
      <c r="D136" s="67">
        <v>9.6006887999999986E-4</v>
      </c>
      <c r="E136" s="67">
        <v>3.1165357767906864E-5</v>
      </c>
      <c r="F136" s="67">
        <v>4.4074471631583575E-6</v>
      </c>
      <c r="G136" s="67">
        <v>9.5121178332196132E-4</v>
      </c>
      <c r="H136" s="67">
        <v>9.689259766780384E-4</v>
      </c>
    </row>
    <row r="137" spans="1:8" x14ac:dyDescent="0.2">
      <c r="A137">
        <v>16000</v>
      </c>
      <c r="B137" t="s">
        <v>51</v>
      </c>
      <c r="C137" s="66">
        <v>1</v>
      </c>
      <c r="D137" s="67">
        <v>1.4100807E-2</v>
      </c>
      <c r="E137" s="67">
        <v>0</v>
      </c>
      <c r="F137" s="67">
        <v>0</v>
      </c>
      <c r="G137" s="67">
        <v>1.4100807E-2</v>
      </c>
      <c r="H137" s="67">
        <v>1.4100807E-2</v>
      </c>
    </row>
    <row r="138" spans="1:8" x14ac:dyDescent="0.2">
      <c r="A138">
        <v>16000</v>
      </c>
      <c r="B138" t="s">
        <v>99</v>
      </c>
      <c r="C138" s="66">
        <v>50</v>
      </c>
      <c r="D138" s="67">
        <v>2.6320671679999994E-2</v>
      </c>
      <c r="E138" s="67">
        <v>5.8640770957503496E-4</v>
      </c>
      <c r="F138" s="67">
        <v>8.2930573596115748E-5</v>
      </c>
      <c r="G138" s="67">
        <v>2.6154016452900317E-2</v>
      </c>
      <c r="H138" s="67">
        <v>2.6487326907099672E-2</v>
      </c>
    </row>
    <row r="139" spans="1:8" x14ac:dyDescent="0.2">
      <c r="A139">
        <v>16000</v>
      </c>
      <c r="B139" t="s">
        <v>100</v>
      </c>
      <c r="C139" s="66">
        <v>50</v>
      </c>
      <c r="D139" s="67">
        <v>2.4798854659999994E-2</v>
      </c>
      <c r="E139" s="67">
        <v>1.4466825147968587E-3</v>
      </c>
      <c r="F139" s="67">
        <v>2.0459180328737334E-4</v>
      </c>
      <c r="G139" s="67">
        <v>2.4387712038394072E-2</v>
      </c>
      <c r="H139" s="67">
        <v>2.5209997281605917E-2</v>
      </c>
    </row>
    <row r="140" spans="1:8" x14ac:dyDescent="0.2">
      <c r="A140">
        <v>16000</v>
      </c>
      <c r="B140" t="s">
        <v>101</v>
      </c>
      <c r="C140" s="66">
        <v>50</v>
      </c>
      <c r="D140" s="67">
        <v>4.0680797379999994E-2</v>
      </c>
      <c r="E140" s="67">
        <v>1.9794116399813322E-3</v>
      </c>
      <c r="F140" s="67">
        <v>2.7993107867807699E-4</v>
      </c>
      <c r="G140" s="67">
        <v>4.0118254816185653E-2</v>
      </c>
      <c r="H140" s="67">
        <v>4.1243339943814336E-2</v>
      </c>
    </row>
    <row r="141" spans="1:8" x14ac:dyDescent="0.2">
      <c r="A141">
        <v>18000</v>
      </c>
      <c r="B141" t="s">
        <v>46</v>
      </c>
      <c r="C141" s="66">
        <v>1</v>
      </c>
      <c r="D141" s="67">
        <v>3604.6554710780001</v>
      </c>
      <c r="E141" s="67">
        <v>0</v>
      </c>
      <c r="F141" s="67">
        <v>0</v>
      </c>
      <c r="G141" s="67">
        <v>3604.6554710780001</v>
      </c>
      <c r="H141" s="67">
        <v>3604.6554710780001</v>
      </c>
    </row>
    <row r="142" spans="1:8" x14ac:dyDescent="0.2">
      <c r="A142">
        <v>18000</v>
      </c>
      <c r="B142" t="s">
        <v>50</v>
      </c>
      <c r="C142" s="66">
        <v>50</v>
      </c>
      <c r="D142" s="67">
        <v>3.6096126000000007E-4</v>
      </c>
      <c r="E142" s="67">
        <v>6.5965346684888665E-5</v>
      </c>
      <c r="F142" s="67">
        <v>9.3289087928412633E-6</v>
      </c>
      <c r="G142" s="67">
        <v>3.4221411590046905E-4</v>
      </c>
      <c r="H142" s="67">
        <v>3.797084040995311E-4</v>
      </c>
    </row>
    <row r="143" spans="1:8" x14ac:dyDescent="0.2">
      <c r="A143">
        <v>18000</v>
      </c>
      <c r="B143" t="s">
        <v>52</v>
      </c>
      <c r="C143" s="66">
        <v>50</v>
      </c>
      <c r="D143" s="67">
        <v>9.9965965999999993E-4</v>
      </c>
      <c r="E143" s="67">
        <v>1.0682826634266795E-4</v>
      </c>
      <c r="F143" s="67">
        <v>1.5107798310660623E-5</v>
      </c>
      <c r="G143" s="67">
        <v>9.692994026273534E-4</v>
      </c>
      <c r="H143" s="67">
        <v>1.0300199173726465E-3</v>
      </c>
    </row>
    <row r="144" spans="1:8" x14ac:dyDescent="0.2">
      <c r="A144">
        <v>18000</v>
      </c>
      <c r="B144" t="s">
        <v>51</v>
      </c>
      <c r="C144" s="66">
        <v>1</v>
      </c>
      <c r="D144" s="67">
        <v>1.5994049E-2</v>
      </c>
      <c r="E144" s="67">
        <v>0</v>
      </c>
      <c r="F144" s="67">
        <v>0</v>
      </c>
      <c r="G144" s="67">
        <v>1.5994049E-2</v>
      </c>
      <c r="H144" s="67">
        <v>1.5994049E-2</v>
      </c>
    </row>
    <row r="145" spans="1:8" x14ac:dyDescent="0.2">
      <c r="A145">
        <v>18000</v>
      </c>
      <c r="B145" t="s">
        <v>99</v>
      </c>
      <c r="C145" s="66">
        <v>50</v>
      </c>
      <c r="D145" s="67">
        <v>3.4104818599999996E-2</v>
      </c>
      <c r="E145" s="67">
        <v>2.9914167313002081E-3</v>
      </c>
      <c r="F145" s="67">
        <v>4.2305021121145469E-4</v>
      </c>
      <c r="G145" s="67">
        <v>3.3254667371487162E-2</v>
      </c>
      <c r="H145" s="67">
        <v>3.495496982851283E-2</v>
      </c>
    </row>
    <row r="146" spans="1:8" x14ac:dyDescent="0.2">
      <c r="A146">
        <v>18000</v>
      </c>
      <c r="B146" t="s">
        <v>100</v>
      </c>
      <c r="C146" s="66">
        <v>50</v>
      </c>
      <c r="D146" s="67">
        <v>3.1776659700000001E-2</v>
      </c>
      <c r="E146" s="67">
        <v>1.1442575548811652E-3</v>
      </c>
      <c r="F146" s="67">
        <v>1.61822455296082E-4</v>
      </c>
      <c r="G146" s="67">
        <v>3.1451465301025543E-2</v>
      </c>
      <c r="H146" s="67">
        <v>3.210185409897446E-2</v>
      </c>
    </row>
    <row r="147" spans="1:8" x14ac:dyDescent="0.2">
      <c r="A147">
        <v>18000</v>
      </c>
      <c r="B147" t="s">
        <v>101</v>
      </c>
      <c r="C147" s="66">
        <v>50</v>
      </c>
      <c r="D147" s="67">
        <v>0.11029103380000001</v>
      </c>
      <c r="E147" s="67">
        <v>0.41551143578279298</v>
      </c>
      <c r="F147" s="67">
        <v>5.8762190780514319E-2</v>
      </c>
      <c r="G147" s="67">
        <v>-7.7960096719856264E-3</v>
      </c>
      <c r="H147" s="67">
        <v>0.22837807727198564</v>
      </c>
    </row>
    <row r="148" spans="1:8" x14ac:dyDescent="0.2">
      <c r="A148">
        <v>20000</v>
      </c>
      <c r="B148" t="s">
        <v>46</v>
      </c>
      <c r="C148" s="66">
        <v>1</v>
      </c>
      <c r="D148" s="67">
        <v>3603.0207222230001</v>
      </c>
      <c r="E148" s="67">
        <v>0</v>
      </c>
      <c r="F148" s="67">
        <v>0</v>
      </c>
      <c r="G148" s="67">
        <v>3603.0207222230001</v>
      </c>
      <c r="H148" s="67">
        <v>3603.0207222230001</v>
      </c>
    </row>
    <row r="149" spans="1:8" x14ac:dyDescent="0.2">
      <c r="A149">
        <v>20000</v>
      </c>
      <c r="B149" t="s">
        <v>50</v>
      </c>
      <c r="C149" s="66">
        <v>50</v>
      </c>
      <c r="D149" s="67">
        <v>3.471843E-4</v>
      </c>
      <c r="E149" s="67">
        <v>2.2293709932194237E-5</v>
      </c>
      <c r="F149" s="67">
        <v>3.1528066941720862E-6</v>
      </c>
      <c r="G149" s="67">
        <v>3.4084849773993649E-4</v>
      </c>
      <c r="H149" s="67">
        <v>3.535201022600635E-4</v>
      </c>
    </row>
    <row r="150" spans="1:8" x14ac:dyDescent="0.2">
      <c r="A150">
        <v>20000</v>
      </c>
      <c r="B150" t="s">
        <v>52</v>
      </c>
      <c r="C150" s="66">
        <v>50</v>
      </c>
      <c r="D150" s="67">
        <v>1.0132053E-3</v>
      </c>
      <c r="E150" s="67">
        <v>3.0765093919033277E-5</v>
      </c>
      <c r="F150" s="67">
        <v>4.3508413067978894E-6</v>
      </c>
      <c r="G150" s="67">
        <v>1.0044619570491798E-3</v>
      </c>
      <c r="H150" s="67">
        <v>1.0219486429508201E-3</v>
      </c>
    </row>
    <row r="151" spans="1:8" x14ac:dyDescent="0.2">
      <c r="A151">
        <v>20000</v>
      </c>
      <c r="B151" t="s">
        <v>51</v>
      </c>
      <c r="C151" s="66">
        <v>1</v>
      </c>
      <c r="D151" s="67">
        <v>1.7127897E-2</v>
      </c>
      <c r="E151" s="67">
        <v>0</v>
      </c>
      <c r="F151" s="67">
        <v>0</v>
      </c>
      <c r="G151" s="67">
        <v>1.7127897E-2</v>
      </c>
      <c r="H151" s="67">
        <v>1.7127897E-2</v>
      </c>
    </row>
    <row r="152" spans="1:8" x14ac:dyDescent="0.2">
      <c r="A152">
        <v>20000</v>
      </c>
      <c r="B152" t="s">
        <v>99</v>
      </c>
      <c r="C152" s="66">
        <v>50</v>
      </c>
      <c r="D152" s="67">
        <v>3.8194759799999999E-2</v>
      </c>
      <c r="E152" s="67">
        <v>4.4797865651021151E-4</v>
      </c>
      <c r="F152" s="67">
        <v>6.3353749169041935E-5</v>
      </c>
      <c r="G152" s="67">
        <v>3.8067445674490594E-2</v>
      </c>
      <c r="H152" s="67">
        <v>3.8322073925509403E-2</v>
      </c>
    </row>
    <row r="153" spans="1:8" x14ac:dyDescent="0.2">
      <c r="A153">
        <v>20000</v>
      </c>
      <c r="B153" t="s">
        <v>100</v>
      </c>
      <c r="C153" s="66">
        <v>50</v>
      </c>
      <c r="D153" s="67">
        <v>3.8351467260000008E-2</v>
      </c>
      <c r="E153" s="67">
        <v>1.4423575651356189E-3</v>
      </c>
      <c r="F153" s="67">
        <v>2.0398016304062271E-4</v>
      </c>
      <c r="G153" s="67">
        <v>3.7941553775487989E-2</v>
      </c>
      <c r="H153" s="67">
        <v>3.8761380744512026E-2</v>
      </c>
    </row>
    <row r="154" spans="1:8" ht="13.5" thickBot="1" x14ac:dyDescent="0.25">
      <c r="A154" s="70">
        <v>20000</v>
      </c>
      <c r="B154" s="70" t="s">
        <v>101</v>
      </c>
      <c r="C154" s="71">
        <v>50</v>
      </c>
      <c r="D154" s="72">
        <v>5.5339666240000002E-2</v>
      </c>
      <c r="E154" s="72">
        <v>3.0552395262380609E-3</v>
      </c>
      <c r="F154" s="72">
        <v>4.3207611743042149E-4</v>
      </c>
      <c r="G154" s="72">
        <v>5.4471376773856883E-2</v>
      </c>
      <c r="H154" s="72">
        <v>5.620795570614312E-2</v>
      </c>
    </row>
    <row r="157" spans="1:8" ht="13.5" thickBot="1" x14ac:dyDescent="0.25">
      <c r="A157" s="68" t="s">
        <v>112</v>
      </c>
    </row>
    <row r="158" spans="1:8" x14ac:dyDescent="0.2">
      <c r="A158" s="69" t="s">
        <v>12</v>
      </c>
      <c r="B158" s="69" t="s">
        <v>20</v>
      </c>
      <c r="C158" s="69" t="s">
        <v>2</v>
      </c>
      <c r="D158" s="69" t="s">
        <v>21</v>
      </c>
      <c r="E158" s="69" t="s">
        <v>22</v>
      </c>
      <c r="F158" s="69" t="s">
        <v>23</v>
      </c>
      <c r="G158" s="69" t="s">
        <v>24</v>
      </c>
      <c r="H158" s="69" t="s">
        <v>25</v>
      </c>
    </row>
    <row r="159" spans="1:8" x14ac:dyDescent="0.2">
      <c r="A159">
        <v>12000</v>
      </c>
      <c r="B159" t="s">
        <v>46</v>
      </c>
      <c r="C159" s="66">
        <v>1</v>
      </c>
      <c r="D159" s="67">
        <v>0</v>
      </c>
      <c r="E159" s="67">
        <v>0</v>
      </c>
      <c r="F159" s="67">
        <v>0</v>
      </c>
      <c r="G159" s="67">
        <v>0</v>
      </c>
      <c r="H159" s="67">
        <v>0</v>
      </c>
    </row>
    <row r="160" spans="1:8" x14ac:dyDescent="0.2">
      <c r="A160">
        <v>12000</v>
      </c>
      <c r="B160" t="s">
        <v>50</v>
      </c>
      <c r="C160" s="66">
        <v>50</v>
      </c>
      <c r="D160" s="67">
        <v>39858.902781875593</v>
      </c>
      <c r="E160" s="67">
        <v>95.262891474721229</v>
      </c>
      <c r="F160" s="67">
        <v>13.472207311442705</v>
      </c>
      <c r="G160" s="67">
        <v>39831.829367673046</v>
      </c>
      <c r="H160" s="67">
        <v>39885.97619607814</v>
      </c>
    </row>
    <row r="161" spans="1:8" x14ac:dyDescent="0.2">
      <c r="A161">
        <v>12000</v>
      </c>
      <c r="B161" t="s">
        <v>52</v>
      </c>
      <c r="C161" s="66">
        <v>50</v>
      </c>
      <c r="D161" s="67">
        <v>492.47938593414614</v>
      </c>
      <c r="E161" s="67">
        <v>77.890153025624244</v>
      </c>
      <c r="F161" s="67">
        <v>11.015331078415356</v>
      </c>
      <c r="G161" s="67">
        <v>470.34324937018255</v>
      </c>
      <c r="H161" s="67">
        <v>514.61552249810973</v>
      </c>
    </row>
    <row r="162" spans="1:8" x14ac:dyDescent="0.2">
      <c r="A162">
        <v>12000</v>
      </c>
      <c r="B162" t="s">
        <v>51</v>
      </c>
      <c r="C162" s="66">
        <v>1</v>
      </c>
      <c r="D162" s="67">
        <v>1048.2895412406001</v>
      </c>
      <c r="E162" s="67">
        <v>0</v>
      </c>
      <c r="F162" s="67">
        <v>0</v>
      </c>
      <c r="G162" s="67">
        <v>1048.2895412406001</v>
      </c>
      <c r="H162" s="67">
        <v>1048.2895412406001</v>
      </c>
    </row>
    <row r="163" spans="1:8" x14ac:dyDescent="0.2">
      <c r="A163">
        <v>12000</v>
      </c>
      <c r="B163" t="s">
        <v>99</v>
      </c>
      <c r="C163" s="66">
        <v>50</v>
      </c>
      <c r="D163" s="67">
        <v>0.61102934060800007</v>
      </c>
      <c r="E163" s="67">
        <v>1.6657437891130416</v>
      </c>
      <c r="F163" s="67">
        <v>0.23557174580024121</v>
      </c>
      <c r="G163" s="67">
        <v>0.13763019368053159</v>
      </c>
      <c r="H163" s="67">
        <v>1.0844284875354686</v>
      </c>
    </row>
    <row r="164" spans="1:8" x14ac:dyDescent="0.2">
      <c r="A164">
        <v>12000</v>
      </c>
      <c r="B164" t="s">
        <v>100</v>
      </c>
      <c r="C164" s="66">
        <v>50</v>
      </c>
      <c r="D164" s="67">
        <v>0.211249326382</v>
      </c>
      <c r="E164" s="67">
        <v>1.127953966827415</v>
      </c>
      <c r="F164" s="67">
        <v>0.15951677976198625</v>
      </c>
      <c r="G164" s="67">
        <v>-0.10931164413428607</v>
      </c>
      <c r="H164" s="67">
        <v>0.53181029689828607</v>
      </c>
    </row>
    <row r="165" spans="1:8" x14ac:dyDescent="0.2">
      <c r="A165">
        <v>12000</v>
      </c>
      <c r="B165" t="s">
        <v>101</v>
      </c>
      <c r="C165" s="66">
        <v>50</v>
      </c>
      <c r="D165" s="67">
        <v>404.54699381124408</v>
      </c>
      <c r="E165" s="67">
        <v>48.07284662371471</v>
      </c>
      <c r="F165" s="67">
        <v>6.7985271677138996</v>
      </c>
      <c r="G165" s="67">
        <v>390.88484196605583</v>
      </c>
      <c r="H165" s="67">
        <v>418.20914565643233</v>
      </c>
    </row>
    <row r="166" spans="1:8" x14ac:dyDescent="0.2">
      <c r="A166">
        <v>14000</v>
      </c>
      <c r="B166" t="s">
        <v>46</v>
      </c>
      <c r="C166" s="66">
        <v>1</v>
      </c>
      <c r="D166" s="67">
        <v>407.53782481299999</v>
      </c>
      <c r="E166" s="67">
        <v>0</v>
      </c>
      <c r="F166" s="67">
        <v>0</v>
      </c>
      <c r="G166" s="67">
        <v>407.53782481299999</v>
      </c>
      <c r="H166" s="67">
        <v>407.53782481299999</v>
      </c>
    </row>
    <row r="167" spans="1:8" x14ac:dyDescent="0.2">
      <c r="A167">
        <v>14000</v>
      </c>
      <c r="B167" t="s">
        <v>50</v>
      </c>
      <c r="C167" s="66">
        <v>50</v>
      </c>
      <c r="D167" s="67">
        <v>48282.775071805314</v>
      </c>
      <c r="E167" s="67">
        <v>66.449874782498483</v>
      </c>
      <c r="F167" s="67">
        <v>9.3974314135403265</v>
      </c>
      <c r="G167" s="67">
        <v>48263.89022634404</v>
      </c>
      <c r="H167" s="67">
        <v>48301.659917266588</v>
      </c>
    </row>
    <row r="168" spans="1:8" x14ac:dyDescent="0.2">
      <c r="A168">
        <v>14000</v>
      </c>
      <c r="B168" t="s">
        <v>52</v>
      </c>
      <c r="C168" s="66">
        <v>50</v>
      </c>
      <c r="D168" s="67">
        <v>8841.4020808416553</v>
      </c>
      <c r="E168" s="67">
        <v>86.614830737588903</v>
      </c>
      <c r="F168" s="67">
        <v>12.249186833174825</v>
      </c>
      <c r="G168" s="67">
        <v>8816.7864183067377</v>
      </c>
      <c r="H168" s="67">
        <v>8866.017743376573</v>
      </c>
    </row>
    <row r="169" spans="1:8" x14ac:dyDescent="0.2">
      <c r="A169">
        <v>14000</v>
      </c>
      <c r="B169" t="s">
        <v>51</v>
      </c>
      <c r="C169" s="66">
        <v>1</v>
      </c>
      <c r="D169" s="67">
        <v>5858.1903113335002</v>
      </c>
      <c r="E169" s="67">
        <v>0</v>
      </c>
      <c r="F169" s="67">
        <v>0</v>
      </c>
      <c r="G169" s="67">
        <v>5858.1903113335002</v>
      </c>
      <c r="H169" s="67">
        <v>5858.1903113335002</v>
      </c>
    </row>
    <row r="170" spans="1:8" x14ac:dyDescent="0.2">
      <c r="A170">
        <v>14000</v>
      </c>
      <c r="B170" t="s">
        <v>99</v>
      </c>
      <c r="C170" s="66">
        <v>50</v>
      </c>
      <c r="D170" s="67">
        <v>3184.7048283594868</v>
      </c>
      <c r="E170" s="67">
        <v>57.901284725310319</v>
      </c>
      <c r="F170" s="67">
        <v>8.1884782137359977</v>
      </c>
      <c r="G170" s="67">
        <v>3168.2494653113908</v>
      </c>
      <c r="H170" s="67">
        <v>3201.1601914075827</v>
      </c>
    </row>
    <row r="171" spans="1:8" x14ac:dyDescent="0.2">
      <c r="A171">
        <v>14000</v>
      </c>
      <c r="B171" t="s">
        <v>100</v>
      </c>
      <c r="C171" s="66">
        <v>50</v>
      </c>
      <c r="D171" s="67">
        <v>3149.7629554949126</v>
      </c>
      <c r="E171" s="67">
        <v>61.988564537978782</v>
      </c>
      <c r="F171" s="67">
        <v>8.7665068681649476</v>
      </c>
      <c r="G171" s="67">
        <v>3132.1460003765251</v>
      </c>
      <c r="H171" s="67">
        <v>3167.3799106133001</v>
      </c>
    </row>
    <row r="172" spans="1:8" x14ac:dyDescent="0.2">
      <c r="A172">
        <v>14000</v>
      </c>
      <c r="B172" t="s">
        <v>101</v>
      </c>
      <c r="C172" s="66">
        <v>50</v>
      </c>
      <c r="D172" s="67">
        <v>4253.2922918513241</v>
      </c>
      <c r="E172" s="67">
        <v>53.423702017414634</v>
      </c>
      <c r="F172" s="67">
        <v>7.5552523945206653</v>
      </c>
      <c r="G172" s="67">
        <v>4238.109443729034</v>
      </c>
      <c r="H172" s="67">
        <v>4268.4751399736142</v>
      </c>
    </row>
    <row r="173" spans="1:8" x14ac:dyDescent="0.2">
      <c r="A173">
        <v>16000</v>
      </c>
      <c r="B173" t="s">
        <v>46</v>
      </c>
      <c r="C173" s="66">
        <v>1</v>
      </c>
      <c r="D173" s="67">
        <v>4019.3023708763999</v>
      </c>
      <c r="E173" s="67">
        <v>0</v>
      </c>
      <c r="F173" s="67">
        <v>0</v>
      </c>
      <c r="G173" s="67">
        <v>4019.3023708763999</v>
      </c>
      <c r="H173" s="67">
        <v>4019.3023708763999</v>
      </c>
    </row>
    <row r="174" spans="1:8" x14ac:dyDescent="0.2">
      <c r="A174">
        <v>16000</v>
      </c>
      <c r="B174" t="s">
        <v>50</v>
      </c>
      <c r="C174" s="66">
        <v>50</v>
      </c>
      <c r="D174" s="67">
        <v>54130.979884014319</v>
      </c>
      <c r="E174" s="67">
        <v>89.424850890573907</v>
      </c>
      <c r="F174" s="67">
        <v>12.646583694264136</v>
      </c>
      <c r="G174" s="67">
        <v>54105.565622588045</v>
      </c>
      <c r="H174" s="67">
        <v>54156.394145440594</v>
      </c>
    </row>
    <row r="175" spans="1:8" x14ac:dyDescent="0.2">
      <c r="A175">
        <v>16000</v>
      </c>
      <c r="B175" t="s">
        <v>52</v>
      </c>
      <c r="C175" s="66">
        <v>50</v>
      </c>
      <c r="D175" s="67">
        <v>16250.405514026317</v>
      </c>
      <c r="E175" s="67">
        <v>81.320434467870143</v>
      </c>
      <c r="F175" s="67">
        <v>11.500446132253446</v>
      </c>
      <c r="G175" s="67">
        <v>16227.294502263001</v>
      </c>
      <c r="H175" s="67">
        <v>16273.516525789633</v>
      </c>
    </row>
    <row r="176" spans="1:8" x14ac:dyDescent="0.2">
      <c r="A176">
        <v>16000</v>
      </c>
      <c r="B176" t="s">
        <v>51</v>
      </c>
      <c r="C176" s="66">
        <v>1</v>
      </c>
      <c r="D176" s="67">
        <v>10624.105220630299</v>
      </c>
      <c r="E176" s="67">
        <v>0</v>
      </c>
      <c r="F176" s="67">
        <v>0</v>
      </c>
      <c r="G176" s="67">
        <v>10624.105220630299</v>
      </c>
      <c r="H176" s="67">
        <v>10624.105220630299</v>
      </c>
    </row>
    <row r="177" spans="1:8" x14ac:dyDescent="0.2">
      <c r="A177">
        <v>16000</v>
      </c>
      <c r="B177" t="s">
        <v>99</v>
      </c>
      <c r="C177" s="66">
        <v>50</v>
      </c>
      <c r="D177" s="67">
        <v>7492.7809106985214</v>
      </c>
      <c r="E177" s="67">
        <v>80.521772267970391</v>
      </c>
      <c r="F177" s="67">
        <v>11.387498240768149</v>
      </c>
      <c r="G177" s="67">
        <v>7469.8968762210206</v>
      </c>
      <c r="H177" s="67">
        <v>7515.6649451760222</v>
      </c>
    </row>
    <row r="178" spans="1:8" x14ac:dyDescent="0.2">
      <c r="A178">
        <v>16000</v>
      </c>
      <c r="B178" t="s">
        <v>100</v>
      </c>
      <c r="C178" s="66">
        <v>50</v>
      </c>
      <c r="D178" s="67">
        <v>7498.4861471551712</v>
      </c>
      <c r="E178" s="67">
        <v>70.479000917243937</v>
      </c>
      <c r="F178" s="67">
        <v>9.9672358959672174</v>
      </c>
      <c r="G178" s="67">
        <v>7478.4562367160097</v>
      </c>
      <c r="H178" s="67">
        <v>7518.5160575943328</v>
      </c>
    </row>
    <row r="179" spans="1:8" x14ac:dyDescent="0.2">
      <c r="A179">
        <v>16000</v>
      </c>
      <c r="B179" t="s">
        <v>101</v>
      </c>
      <c r="C179" s="66">
        <v>50</v>
      </c>
      <c r="D179" s="67">
        <v>8431.4555449131767</v>
      </c>
      <c r="E179" s="67">
        <v>63.90578605446531</v>
      </c>
      <c r="F179" s="67">
        <v>9.0376429352338246</v>
      </c>
      <c r="G179" s="67">
        <v>8413.2937214685153</v>
      </c>
      <c r="H179" s="67">
        <v>8449.6173683578381</v>
      </c>
    </row>
    <row r="180" spans="1:8" x14ac:dyDescent="0.2">
      <c r="A180">
        <v>18000</v>
      </c>
      <c r="B180" t="s">
        <v>46</v>
      </c>
      <c r="C180" s="66">
        <v>1</v>
      </c>
      <c r="D180" s="67">
        <v>7346.8658976622</v>
      </c>
      <c r="E180" s="67">
        <v>0</v>
      </c>
      <c r="F180" s="67">
        <v>0</v>
      </c>
      <c r="G180" s="67">
        <v>7346.8658976622</v>
      </c>
      <c r="H180" s="67">
        <v>7346.8658976622</v>
      </c>
    </row>
    <row r="181" spans="1:8" x14ac:dyDescent="0.2">
      <c r="A181">
        <v>18000</v>
      </c>
      <c r="B181" t="s">
        <v>50</v>
      </c>
      <c r="C181" s="66">
        <v>50</v>
      </c>
      <c r="D181" s="67">
        <v>64624.72523370471</v>
      </c>
      <c r="E181" s="67">
        <v>88.32799168657489</v>
      </c>
      <c r="F181" s="67">
        <v>12.49146437803322</v>
      </c>
      <c r="G181" s="67">
        <v>64599.622696215134</v>
      </c>
      <c r="H181" s="67">
        <v>64649.827771194286</v>
      </c>
    </row>
    <row r="182" spans="1:8" x14ac:dyDescent="0.2">
      <c r="A182">
        <v>18000</v>
      </c>
      <c r="B182" t="s">
        <v>52</v>
      </c>
      <c r="C182" s="66">
        <v>50</v>
      </c>
      <c r="D182" s="67">
        <v>25667.090207195248</v>
      </c>
      <c r="E182" s="67">
        <v>89.619607642974984</v>
      </c>
      <c r="F182" s="67">
        <v>12.67412645832507</v>
      </c>
      <c r="G182" s="67">
        <v>25641.620596512352</v>
      </c>
      <c r="H182" s="67">
        <v>25692.559817878144</v>
      </c>
    </row>
    <row r="183" spans="1:8" x14ac:dyDescent="0.2">
      <c r="A183">
        <v>18000</v>
      </c>
      <c r="B183" t="s">
        <v>51</v>
      </c>
      <c r="C183" s="66">
        <v>1</v>
      </c>
      <c r="D183" s="67">
        <v>17799.256490757401</v>
      </c>
      <c r="E183" s="67">
        <v>0</v>
      </c>
      <c r="F183" s="67">
        <v>0</v>
      </c>
      <c r="G183" s="67">
        <v>17799.256490757401</v>
      </c>
      <c r="H183" s="67">
        <v>17799.256490757401</v>
      </c>
    </row>
    <row r="184" spans="1:8" x14ac:dyDescent="0.2">
      <c r="A184">
        <v>18000</v>
      </c>
      <c r="B184" t="s">
        <v>99</v>
      </c>
      <c r="C184" s="66">
        <v>50</v>
      </c>
      <c r="D184" s="67">
        <v>12086.299090744677</v>
      </c>
      <c r="E184" s="67">
        <v>67.707851083862352</v>
      </c>
      <c r="F184" s="67">
        <v>9.5753361281935998</v>
      </c>
      <c r="G184" s="67">
        <v>12067.056732374269</v>
      </c>
      <c r="H184" s="67">
        <v>12105.541449115084</v>
      </c>
    </row>
    <row r="185" spans="1:8" x14ac:dyDescent="0.2">
      <c r="A185">
        <v>18000</v>
      </c>
      <c r="B185" t="s">
        <v>100</v>
      </c>
      <c r="C185" s="66">
        <v>50</v>
      </c>
      <c r="D185" s="67">
        <v>12053.196906937101</v>
      </c>
      <c r="E185" s="67">
        <v>80.551587960911306</v>
      </c>
      <c r="F185" s="67">
        <v>11.391714816501009</v>
      </c>
      <c r="G185" s="67">
        <v>12030.304398933422</v>
      </c>
      <c r="H185" s="67">
        <v>12076.08941494078</v>
      </c>
    </row>
    <row r="186" spans="1:8" x14ac:dyDescent="0.2">
      <c r="A186">
        <v>18000</v>
      </c>
      <c r="B186" t="s">
        <v>101</v>
      </c>
      <c r="C186" s="66">
        <v>50</v>
      </c>
      <c r="D186" s="67">
        <v>14149.534686152208</v>
      </c>
      <c r="E186" s="67">
        <v>114.84010379422222</v>
      </c>
      <c r="F186" s="67">
        <v>16.240843229012299</v>
      </c>
      <c r="G186" s="67">
        <v>14116.897489769088</v>
      </c>
      <c r="H186" s="67">
        <v>14182.171882535329</v>
      </c>
    </row>
    <row r="187" spans="1:8" x14ac:dyDescent="0.2">
      <c r="A187">
        <v>20000</v>
      </c>
      <c r="B187" t="s">
        <v>46</v>
      </c>
      <c r="C187" s="66">
        <v>1</v>
      </c>
      <c r="D187" s="67">
        <v>12848.004609625999</v>
      </c>
      <c r="E187" s="67">
        <v>0</v>
      </c>
      <c r="F187" s="67">
        <v>0</v>
      </c>
      <c r="G187" s="67">
        <v>12848.004609625999</v>
      </c>
      <c r="H187" s="67">
        <v>12848.004609625999</v>
      </c>
    </row>
    <row r="188" spans="1:8" x14ac:dyDescent="0.2">
      <c r="A188">
        <v>20000</v>
      </c>
      <c r="B188" t="s">
        <v>50</v>
      </c>
      <c r="C188" s="66">
        <v>50</v>
      </c>
      <c r="D188" s="67">
        <v>71418.544925751383</v>
      </c>
      <c r="E188" s="67">
        <v>83.693471661793183</v>
      </c>
      <c r="F188" s="67">
        <v>11.83604427061962</v>
      </c>
      <c r="G188" s="67">
        <v>71394.759504279587</v>
      </c>
      <c r="H188" s="67">
        <v>71442.330347223178</v>
      </c>
    </row>
    <row r="189" spans="1:8" x14ac:dyDescent="0.2">
      <c r="A189">
        <v>20000</v>
      </c>
      <c r="B189" t="s">
        <v>52</v>
      </c>
      <c r="C189" s="66">
        <v>50</v>
      </c>
      <c r="D189" s="67">
        <v>33262.170166717668</v>
      </c>
      <c r="E189" s="67">
        <v>81.632961928825509</v>
      </c>
      <c r="F189" s="67">
        <v>11.544644189643156</v>
      </c>
      <c r="G189" s="67">
        <v>33238.970335632694</v>
      </c>
      <c r="H189" s="67">
        <v>33285.369997802642</v>
      </c>
    </row>
    <row r="190" spans="1:8" x14ac:dyDescent="0.2">
      <c r="A190">
        <v>20000</v>
      </c>
      <c r="B190" t="s">
        <v>51</v>
      </c>
      <c r="C190" s="66">
        <v>1</v>
      </c>
      <c r="D190" s="67">
        <v>23739.431401846101</v>
      </c>
      <c r="E190" s="67">
        <v>0</v>
      </c>
      <c r="F190" s="67">
        <v>0</v>
      </c>
      <c r="G190" s="67">
        <v>23739.431401846101</v>
      </c>
      <c r="H190" s="67">
        <v>23739.431401846101</v>
      </c>
    </row>
    <row r="191" spans="1:8" x14ac:dyDescent="0.2">
      <c r="A191">
        <v>20000</v>
      </c>
      <c r="B191" t="s">
        <v>99</v>
      </c>
      <c r="C191" s="66">
        <v>50</v>
      </c>
      <c r="D191" s="67">
        <v>18438.149173935672</v>
      </c>
      <c r="E191" s="67">
        <v>84.777236995271977</v>
      </c>
      <c r="F191" s="67">
        <v>11.989311833923173</v>
      </c>
      <c r="G191" s="67">
        <v>18414.055749764</v>
      </c>
      <c r="H191" s="67">
        <v>18462.242598107343</v>
      </c>
    </row>
    <row r="192" spans="1:8" x14ac:dyDescent="0.2">
      <c r="A192">
        <v>20000</v>
      </c>
      <c r="B192" t="s">
        <v>100</v>
      </c>
      <c r="C192" s="66">
        <v>50</v>
      </c>
      <c r="D192" s="67">
        <v>18440.723326723786</v>
      </c>
      <c r="E192" s="67">
        <v>85.828979401300103</v>
      </c>
      <c r="F192" s="67">
        <v>12.138050671395961</v>
      </c>
      <c r="G192" s="67">
        <v>18416.331000667527</v>
      </c>
      <c r="H192" s="67">
        <v>18465.115652780045</v>
      </c>
    </row>
    <row r="193" spans="1:8" ht="13.5" thickBot="1" x14ac:dyDescent="0.25">
      <c r="A193" s="70">
        <v>20000</v>
      </c>
      <c r="B193" s="70" t="s">
        <v>101</v>
      </c>
      <c r="C193" s="71">
        <v>50</v>
      </c>
      <c r="D193" s="72">
        <v>19915.236385458487</v>
      </c>
      <c r="E193" s="72">
        <v>86.648852934156707</v>
      </c>
      <c r="F193" s="72">
        <v>12.253998298355617</v>
      </c>
      <c r="G193" s="72">
        <v>19890.611053922286</v>
      </c>
      <c r="H193" s="72">
        <v>19939.861716994688</v>
      </c>
    </row>
    <row r="196" spans="1:8" ht="13.5" thickBot="1" x14ac:dyDescent="0.25">
      <c r="A196" s="68" t="s">
        <v>116</v>
      </c>
    </row>
    <row r="197" spans="1:8" x14ac:dyDescent="0.2">
      <c r="A197" s="69" t="s">
        <v>12</v>
      </c>
      <c r="B197" s="69" t="s">
        <v>20</v>
      </c>
      <c r="C197" s="69" t="s">
        <v>2</v>
      </c>
      <c r="D197" s="69" t="s">
        <v>21</v>
      </c>
      <c r="E197" s="69" t="s">
        <v>22</v>
      </c>
      <c r="F197" s="69" t="s">
        <v>23</v>
      </c>
      <c r="G197" s="69" t="s">
        <v>24</v>
      </c>
      <c r="H197" s="69" t="s">
        <v>25</v>
      </c>
    </row>
    <row r="198" spans="1:8" x14ac:dyDescent="0.2">
      <c r="A198">
        <v>12000</v>
      </c>
      <c r="B198" t="s">
        <v>46</v>
      </c>
      <c r="C198" s="66">
        <v>1</v>
      </c>
      <c r="D198" s="67">
        <v>0</v>
      </c>
      <c r="E198" s="67">
        <v>0</v>
      </c>
      <c r="F198" s="67">
        <v>0</v>
      </c>
      <c r="G198" s="67">
        <v>0</v>
      </c>
      <c r="H198" s="67">
        <v>0</v>
      </c>
    </row>
    <row r="199" spans="1:8" x14ac:dyDescent="0.2">
      <c r="A199">
        <v>12000</v>
      </c>
      <c r="B199" t="s">
        <v>50</v>
      </c>
      <c r="C199" s="66">
        <v>50</v>
      </c>
      <c r="D199" s="67">
        <v>9206.0400000000009</v>
      </c>
      <c r="E199" s="67">
        <v>26.121349466656266</v>
      </c>
      <c r="F199" s="67">
        <v>3.6941166683232503</v>
      </c>
      <c r="G199" s="67">
        <v>9198.6163946202723</v>
      </c>
      <c r="H199" s="67">
        <v>9213.4636053797294</v>
      </c>
    </row>
    <row r="200" spans="1:8" x14ac:dyDescent="0.2">
      <c r="A200">
        <v>12000</v>
      </c>
      <c r="B200" t="s">
        <v>52</v>
      </c>
      <c r="C200" s="66">
        <v>50</v>
      </c>
      <c r="D200" s="67">
        <v>110.48</v>
      </c>
      <c r="E200" s="67">
        <v>17.339632555012713</v>
      </c>
      <c r="F200" s="67">
        <v>2.4521943525865022</v>
      </c>
      <c r="G200" s="67">
        <v>105.552130952414</v>
      </c>
      <c r="H200" s="67">
        <v>115.407869047586</v>
      </c>
    </row>
    <row r="201" spans="1:8" x14ac:dyDescent="0.2">
      <c r="A201">
        <v>12000</v>
      </c>
      <c r="B201" t="s">
        <v>51</v>
      </c>
      <c r="C201" s="66">
        <v>1</v>
      </c>
      <c r="D201" s="67">
        <v>134</v>
      </c>
      <c r="E201" s="67">
        <v>0</v>
      </c>
      <c r="F201" s="67">
        <v>0</v>
      </c>
      <c r="G201" s="67">
        <v>134</v>
      </c>
      <c r="H201" s="67">
        <v>134</v>
      </c>
    </row>
    <row r="202" spans="1:8" x14ac:dyDescent="0.2">
      <c r="A202">
        <v>12000</v>
      </c>
      <c r="B202" t="s">
        <v>99</v>
      </c>
      <c r="C202" s="66">
        <v>50</v>
      </c>
      <c r="D202" s="67">
        <v>0.16</v>
      </c>
      <c r="E202" s="67">
        <v>0.37032803990902058</v>
      </c>
      <c r="F202" s="67">
        <v>5.2372293656638168E-2</v>
      </c>
      <c r="G202" s="67">
        <v>5.4753935555959227E-2</v>
      </c>
      <c r="H202" s="67">
        <v>0.26524606444404075</v>
      </c>
    </row>
    <row r="203" spans="1:8" x14ac:dyDescent="0.2">
      <c r="A203">
        <v>12000</v>
      </c>
      <c r="B203" t="s">
        <v>100</v>
      </c>
      <c r="C203" s="66">
        <v>50</v>
      </c>
      <c r="D203" s="67">
        <v>0.02</v>
      </c>
      <c r="E203" s="67">
        <v>0.1414213562373095</v>
      </c>
      <c r="F203" s="67">
        <v>0.02</v>
      </c>
      <c r="G203" s="67">
        <v>-2.0191504742584774E-2</v>
      </c>
      <c r="H203" s="67">
        <v>6.0191504742584778E-2</v>
      </c>
    </row>
    <row r="204" spans="1:8" x14ac:dyDescent="0.2">
      <c r="A204">
        <v>12000</v>
      </c>
      <c r="B204" t="s">
        <v>101</v>
      </c>
      <c r="C204" s="66">
        <v>50</v>
      </c>
      <c r="D204" s="67">
        <v>0.02</v>
      </c>
      <c r="E204" s="67">
        <v>0.1414213562373095</v>
      </c>
      <c r="F204" s="67">
        <v>0.02</v>
      </c>
      <c r="G204" s="67">
        <v>-2.0191504742584774E-2</v>
      </c>
      <c r="H204" s="67">
        <v>6.0191504742584778E-2</v>
      </c>
    </row>
    <row r="205" spans="1:8" x14ac:dyDescent="0.2">
      <c r="A205">
        <v>14000</v>
      </c>
      <c r="B205" t="s">
        <v>46</v>
      </c>
      <c r="C205" s="66">
        <v>1</v>
      </c>
      <c r="D205" s="67">
        <v>82</v>
      </c>
      <c r="E205" s="67">
        <v>0</v>
      </c>
      <c r="F205" s="67">
        <v>0</v>
      </c>
      <c r="G205" s="67">
        <v>82</v>
      </c>
      <c r="H205" s="67">
        <v>82</v>
      </c>
    </row>
    <row r="206" spans="1:8" x14ac:dyDescent="0.2">
      <c r="A206">
        <v>14000</v>
      </c>
      <c r="B206" t="s">
        <v>50</v>
      </c>
      <c r="C206" s="66">
        <v>50</v>
      </c>
      <c r="D206" s="67">
        <v>11141.9</v>
      </c>
      <c r="E206" s="67">
        <v>24.288445224603631</v>
      </c>
      <c r="F206" s="67">
        <v>3.4349048645590488</v>
      </c>
      <c r="G206" s="67">
        <v>11134.997300242287</v>
      </c>
      <c r="H206" s="67">
        <v>11148.802699757713</v>
      </c>
    </row>
    <row r="207" spans="1:8" x14ac:dyDescent="0.2">
      <c r="A207">
        <v>14000</v>
      </c>
      <c r="B207" t="s">
        <v>52</v>
      </c>
      <c r="C207" s="66">
        <v>50</v>
      </c>
      <c r="D207" s="67">
        <v>2103.92</v>
      </c>
      <c r="E207" s="67">
        <v>20.950709890071955</v>
      </c>
      <c r="F207" s="67">
        <v>2.9628778067883892</v>
      </c>
      <c r="G207" s="67">
        <v>2097.9658741288385</v>
      </c>
      <c r="H207" s="67">
        <v>2109.8741258711616</v>
      </c>
    </row>
    <row r="208" spans="1:8" x14ac:dyDescent="0.2">
      <c r="A208">
        <v>14000</v>
      </c>
      <c r="B208" t="s">
        <v>51</v>
      </c>
      <c r="C208" s="66">
        <v>1</v>
      </c>
      <c r="D208" s="67">
        <v>1289</v>
      </c>
      <c r="E208" s="67">
        <v>0</v>
      </c>
      <c r="F208" s="67">
        <v>0</v>
      </c>
      <c r="G208" s="67">
        <v>1289</v>
      </c>
      <c r="H208" s="67">
        <v>1289</v>
      </c>
    </row>
    <row r="209" spans="1:8" x14ac:dyDescent="0.2">
      <c r="A209">
        <v>14000</v>
      </c>
      <c r="B209" t="s">
        <v>99</v>
      </c>
      <c r="C209" s="66">
        <v>50</v>
      </c>
      <c r="D209" s="67">
        <v>710.52</v>
      </c>
      <c r="E209" s="67">
        <v>13.172699040060094</v>
      </c>
      <c r="F209" s="67">
        <v>1.8629009635512033</v>
      </c>
      <c r="G209" s="67">
        <v>706.77636035442333</v>
      </c>
      <c r="H209" s="67">
        <v>714.26363964557663</v>
      </c>
    </row>
    <row r="210" spans="1:8" x14ac:dyDescent="0.2">
      <c r="A210">
        <v>14000</v>
      </c>
      <c r="B210" t="s">
        <v>100</v>
      </c>
      <c r="C210" s="66">
        <v>50</v>
      </c>
      <c r="D210" s="67">
        <v>706.82</v>
      </c>
      <c r="E210" s="67">
        <v>12.648610474624299</v>
      </c>
      <c r="F210" s="67">
        <v>1.7887836478388073</v>
      </c>
      <c r="G210" s="67">
        <v>703.22530467672152</v>
      </c>
      <c r="H210" s="67">
        <v>710.41469532327858</v>
      </c>
    </row>
    <row r="211" spans="1:8" x14ac:dyDescent="0.2">
      <c r="A211">
        <v>14000</v>
      </c>
      <c r="B211" t="s">
        <v>101</v>
      </c>
      <c r="C211" s="66">
        <v>50</v>
      </c>
      <c r="D211" s="67">
        <v>967.06</v>
      </c>
      <c r="E211" s="67">
        <v>12.646545063408279</v>
      </c>
      <c r="F211" s="67">
        <v>1.7884915545834501</v>
      </c>
      <c r="G211" s="67">
        <v>963.46589166009426</v>
      </c>
      <c r="H211" s="67">
        <v>970.65410833990563</v>
      </c>
    </row>
    <row r="212" spans="1:8" x14ac:dyDescent="0.2">
      <c r="A212">
        <v>16000</v>
      </c>
      <c r="B212" t="s">
        <v>46</v>
      </c>
      <c r="C212" s="66">
        <v>1</v>
      </c>
      <c r="D212" s="67">
        <v>798</v>
      </c>
      <c r="E212" s="67">
        <v>0</v>
      </c>
      <c r="F212" s="67">
        <v>0</v>
      </c>
      <c r="G212" s="67">
        <v>798</v>
      </c>
      <c r="H212" s="67">
        <v>798</v>
      </c>
    </row>
    <row r="213" spans="1:8" x14ac:dyDescent="0.2">
      <c r="A213">
        <v>16000</v>
      </c>
      <c r="B213" t="s">
        <v>50</v>
      </c>
      <c r="C213" s="66">
        <v>50</v>
      </c>
      <c r="D213" s="67">
        <v>13039.06</v>
      </c>
      <c r="E213" s="67">
        <v>25.914624348078842</v>
      </c>
      <c r="F213" s="67">
        <v>3.6648813216857126</v>
      </c>
      <c r="G213" s="67">
        <v>13031.695145248923</v>
      </c>
      <c r="H213" s="67">
        <v>13046.424854751076</v>
      </c>
    </row>
    <row r="214" spans="1:8" x14ac:dyDescent="0.2">
      <c r="A214">
        <v>16000</v>
      </c>
      <c r="B214" t="s">
        <v>52</v>
      </c>
      <c r="C214" s="66">
        <v>50</v>
      </c>
      <c r="D214" s="67">
        <v>3995.6</v>
      </c>
      <c r="E214" s="67">
        <v>21.166974661640491</v>
      </c>
      <c r="F214" s="67">
        <v>2.9934622640899637</v>
      </c>
      <c r="G214" s="67">
        <v>3989.584412360804</v>
      </c>
      <c r="H214" s="67">
        <v>4001.6155876391958</v>
      </c>
    </row>
    <row r="215" spans="1:8" x14ac:dyDescent="0.2">
      <c r="A215">
        <v>16000</v>
      </c>
      <c r="B215" t="s">
        <v>51</v>
      </c>
      <c r="C215" s="66">
        <v>1</v>
      </c>
      <c r="D215" s="67">
        <v>2542</v>
      </c>
      <c r="E215" s="67">
        <v>0</v>
      </c>
      <c r="F215" s="67">
        <v>0</v>
      </c>
      <c r="G215" s="67">
        <v>2542</v>
      </c>
      <c r="H215" s="67">
        <v>2542</v>
      </c>
    </row>
    <row r="216" spans="1:8" x14ac:dyDescent="0.2">
      <c r="A216">
        <v>16000</v>
      </c>
      <c r="B216" t="s">
        <v>99</v>
      </c>
      <c r="C216" s="66">
        <v>50</v>
      </c>
      <c r="D216" s="67">
        <v>1650.08</v>
      </c>
      <c r="E216" s="67">
        <v>13.091265198207394</v>
      </c>
      <c r="F216" s="67">
        <v>1.85138447919278</v>
      </c>
      <c r="G216" s="67">
        <v>1646.3595035962087</v>
      </c>
      <c r="H216" s="67">
        <v>1653.8004964037912</v>
      </c>
    </row>
    <row r="217" spans="1:8" x14ac:dyDescent="0.2">
      <c r="A217">
        <v>16000</v>
      </c>
      <c r="B217" t="s">
        <v>100</v>
      </c>
      <c r="C217" s="66">
        <v>50</v>
      </c>
      <c r="D217" s="67">
        <v>1647.02</v>
      </c>
      <c r="E217" s="67">
        <v>14.044375735358207</v>
      </c>
      <c r="F217" s="67">
        <v>1.9861746640007185</v>
      </c>
      <c r="G217" s="67">
        <v>1643.0286325786105</v>
      </c>
      <c r="H217" s="67">
        <v>1651.0113674213894</v>
      </c>
    </row>
    <row r="218" spans="1:8" x14ac:dyDescent="0.2">
      <c r="A218">
        <v>16000</v>
      </c>
      <c r="B218" t="s">
        <v>101</v>
      </c>
      <c r="C218" s="66">
        <v>50</v>
      </c>
      <c r="D218" s="67">
        <v>2033.76</v>
      </c>
      <c r="E218" s="67">
        <v>16.929095832745634</v>
      </c>
      <c r="F218" s="67">
        <v>2.394135692538272</v>
      </c>
      <c r="G218" s="67">
        <v>2028.9488041979478</v>
      </c>
      <c r="H218" s="67">
        <v>2038.5711958020522</v>
      </c>
    </row>
    <row r="219" spans="1:8" x14ac:dyDescent="0.2">
      <c r="A219">
        <v>18000</v>
      </c>
      <c r="B219" t="s">
        <v>46</v>
      </c>
      <c r="C219" s="66">
        <v>1</v>
      </c>
      <c r="D219" s="67">
        <v>1763</v>
      </c>
      <c r="E219" s="67">
        <v>0</v>
      </c>
      <c r="F219" s="67">
        <v>0</v>
      </c>
      <c r="G219" s="67">
        <v>1763</v>
      </c>
      <c r="H219" s="67">
        <v>1763</v>
      </c>
    </row>
    <row r="220" spans="1:8" x14ac:dyDescent="0.2">
      <c r="A220">
        <v>18000</v>
      </c>
      <c r="B220" t="s">
        <v>50</v>
      </c>
      <c r="C220" s="66">
        <v>50</v>
      </c>
      <c r="D220" s="67">
        <v>15038.48</v>
      </c>
      <c r="E220" s="67">
        <v>26.217489099718875</v>
      </c>
      <c r="F220" s="67">
        <v>3.7077128656191216</v>
      </c>
      <c r="G220" s="67">
        <v>15031.029072038866</v>
      </c>
      <c r="H220" s="67">
        <v>15045.930927961133</v>
      </c>
    </row>
    <row r="221" spans="1:8" x14ac:dyDescent="0.2">
      <c r="A221">
        <v>18000</v>
      </c>
      <c r="B221" t="s">
        <v>52</v>
      </c>
      <c r="C221" s="66">
        <v>50</v>
      </c>
      <c r="D221" s="67">
        <v>6037.9</v>
      </c>
      <c r="E221" s="67">
        <v>20.204313542268277</v>
      </c>
      <c r="F221" s="67">
        <v>2.8573214229914186</v>
      </c>
      <c r="G221" s="67">
        <v>6032.1579976238372</v>
      </c>
      <c r="H221" s="67">
        <v>6043.6420023761621</v>
      </c>
    </row>
    <row r="222" spans="1:8" x14ac:dyDescent="0.2">
      <c r="A222">
        <v>18000</v>
      </c>
      <c r="B222" t="s">
        <v>51</v>
      </c>
      <c r="C222" s="66">
        <v>1</v>
      </c>
      <c r="D222" s="67">
        <v>3871</v>
      </c>
      <c r="E222" s="67">
        <v>0</v>
      </c>
      <c r="F222" s="67">
        <v>0</v>
      </c>
      <c r="G222" s="67">
        <v>3871</v>
      </c>
      <c r="H222" s="67">
        <v>3871</v>
      </c>
    </row>
    <row r="223" spans="1:8" x14ac:dyDescent="0.2">
      <c r="A223">
        <v>18000</v>
      </c>
      <c r="B223" t="s">
        <v>99</v>
      </c>
      <c r="C223" s="66">
        <v>50</v>
      </c>
      <c r="D223" s="67">
        <v>2788.52</v>
      </c>
      <c r="E223" s="67">
        <v>16.544608838913451</v>
      </c>
      <c r="F223" s="67">
        <v>2.3397610204149188</v>
      </c>
      <c r="G223" s="67">
        <v>2783.8180741925739</v>
      </c>
      <c r="H223" s="67">
        <v>2793.221925807426</v>
      </c>
    </row>
    <row r="224" spans="1:8" x14ac:dyDescent="0.2">
      <c r="A224">
        <v>18000</v>
      </c>
      <c r="B224" t="s">
        <v>100</v>
      </c>
      <c r="C224" s="66">
        <v>50</v>
      </c>
      <c r="D224" s="67">
        <v>2787.42</v>
      </c>
      <c r="E224" s="67">
        <v>16.89715590124624</v>
      </c>
      <c r="F224" s="67">
        <v>2.3896187041075008</v>
      </c>
      <c r="G224" s="67">
        <v>2782.6178814260447</v>
      </c>
      <c r="H224" s="67">
        <v>2792.2221185739554</v>
      </c>
    </row>
    <row r="225" spans="1:8" x14ac:dyDescent="0.2">
      <c r="A225">
        <v>18000</v>
      </c>
      <c r="B225" t="s">
        <v>101</v>
      </c>
      <c r="C225" s="66">
        <v>50</v>
      </c>
      <c r="D225" s="67">
        <v>3217.04</v>
      </c>
      <c r="E225" s="67">
        <v>15.574652353050038</v>
      </c>
      <c r="F225" s="67">
        <v>2.2025884586929401</v>
      </c>
      <c r="G225" s="67">
        <v>3212.6137327758238</v>
      </c>
      <c r="H225" s="67">
        <v>3221.4662672241761</v>
      </c>
    </row>
    <row r="226" spans="1:8" x14ac:dyDescent="0.2">
      <c r="A226">
        <v>20000</v>
      </c>
      <c r="B226" t="s">
        <v>46</v>
      </c>
      <c r="C226" s="66">
        <v>1</v>
      </c>
      <c r="D226" s="67">
        <v>2834</v>
      </c>
      <c r="E226" s="67">
        <v>0</v>
      </c>
      <c r="F226" s="67">
        <v>0</v>
      </c>
      <c r="G226" s="67">
        <v>2834</v>
      </c>
      <c r="H226" s="67">
        <v>2834</v>
      </c>
    </row>
    <row r="227" spans="1:8" x14ac:dyDescent="0.2">
      <c r="A227">
        <v>20000</v>
      </c>
      <c r="B227" t="s">
        <v>50</v>
      </c>
      <c r="C227" s="66">
        <v>50</v>
      </c>
      <c r="D227" s="67">
        <v>17002.900000000001</v>
      </c>
      <c r="E227" s="67">
        <v>27.020211633788023</v>
      </c>
      <c r="F227" s="67">
        <v>3.8212349750694306</v>
      </c>
      <c r="G227" s="67">
        <v>16995.22094081885</v>
      </c>
      <c r="H227" s="67">
        <v>17010.579059181153</v>
      </c>
    </row>
    <row r="228" spans="1:8" x14ac:dyDescent="0.2">
      <c r="A228">
        <v>20000</v>
      </c>
      <c r="B228" t="s">
        <v>52</v>
      </c>
      <c r="C228" s="66">
        <v>50</v>
      </c>
      <c r="D228" s="67">
        <v>8049.7</v>
      </c>
      <c r="E228" s="67">
        <v>21.460214731603465</v>
      </c>
      <c r="F228" s="67">
        <v>3.0349326724872507</v>
      </c>
      <c r="G228" s="67">
        <v>8043.6010744550149</v>
      </c>
      <c r="H228" s="67">
        <v>8055.7989255449847</v>
      </c>
    </row>
    <row r="229" spans="1:8" x14ac:dyDescent="0.2">
      <c r="A229">
        <v>20000</v>
      </c>
      <c r="B229" t="s">
        <v>51</v>
      </c>
      <c r="C229" s="66">
        <v>1</v>
      </c>
      <c r="D229" s="67">
        <v>5257</v>
      </c>
      <c r="E229" s="67">
        <v>0</v>
      </c>
      <c r="F229" s="67">
        <v>0</v>
      </c>
      <c r="G229" s="67">
        <v>5257</v>
      </c>
      <c r="H229" s="67">
        <v>5257</v>
      </c>
    </row>
    <row r="230" spans="1:8" x14ac:dyDescent="0.2">
      <c r="A230">
        <v>20000</v>
      </c>
      <c r="B230" t="s">
        <v>99</v>
      </c>
      <c r="C230" s="66">
        <v>50</v>
      </c>
      <c r="D230" s="67">
        <v>4011.68</v>
      </c>
      <c r="E230" s="67">
        <v>22.128972605419996</v>
      </c>
      <c r="F230" s="67">
        <v>3.1295093179967641</v>
      </c>
      <c r="G230" s="67">
        <v>4005.3910155701883</v>
      </c>
      <c r="H230" s="67">
        <v>4017.9689844298114</v>
      </c>
    </row>
    <row r="231" spans="1:8" x14ac:dyDescent="0.2">
      <c r="A231">
        <v>20000</v>
      </c>
      <c r="B231" t="s">
        <v>100</v>
      </c>
      <c r="C231" s="66">
        <v>50</v>
      </c>
      <c r="D231" s="67">
        <v>4013.3</v>
      </c>
      <c r="E231" s="67">
        <v>18.899573475372939</v>
      </c>
      <c r="F231" s="67">
        <v>2.6728033131939219</v>
      </c>
      <c r="G231" s="67">
        <v>4007.9288006480888</v>
      </c>
      <c r="H231" s="67">
        <v>4018.6711993519116</v>
      </c>
    </row>
    <row r="232" spans="1:8" ht="13.5" thickBot="1" x14ac:dyDescent="0.25">
      <c r="A232" s="70">
        <v>20000</v>
      </c>
      <c r="B232" s="70" t="s">
        <v>101</v>
      </c>
      <c r="C232" s="71">
        <v>50</v>
      </c>
      <c r="D232" s="72">
        <v>4455.78</v>
      </c>
      <c r="E232" s="72">
        <v>22.055856735264907</v>
      </c>
      <c r="F232" s="72">
        <v>3.1191691724769606</v>
      </c>
      <c r="G232" s="72">
        <v>4449.5117948705729</v>
      </c>
      <c r="H232" s="72">
        <v>4462.0482051294266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F8669-67A2-483D-A54C-CC4463A74D42}">
  <sheetPr codeName="Planilha9"/>
  <dimension ref="A1:BA264"/>
  <sheetViews>
    <sheetView tabSelected="1" topLeftCell="J78" zoomScale="200" zoomScaleNormal="200" workbookViewId="0">
      <selection activeCell="M43" sqref="M43"/>
    </sheetView>
  </sheetViews>
  <sheetFormatPr defaultColWidth="10.1640625" defaultRowHeight="12.75" x14ac:dyDescent="0.2"/>
  <cols>
    <col min="1" max="1" width="18.5" style="16" bestFit="1" customWidth="1"/>
    <col min="2" max="2" width="40.33203125" style="16" bestFit="1" customWidth="1"/>
    <col min="3" max="3" width="14.5" style="16" bestFit="1" customWidth="1"/>
    <col min="4" max="4" width="19.83203125" style="29" bestFit="1" customWidth="1"/>
    <col min="5" max="5" width="15.83203125" style="29" bestFit="1" customWidth="1"/>
    <col min="6" max="6" width="15.83203125" style="16" bestFit="1" customWidth="1"/>
    <col min="7" max="8" width="19.83203125" style="16" bestFit="1" customWidth="1"/>
    <col min="9" max="9" width="2.6640625" style="16" bestFit="1" customWidth="1"/>
    <col min="10" max="10" width="40.33203125" style="16" bestFit="1" customWidth="1"/>
    <col min="11" max="11" width="11.83203125" style="16" bestFit="1" customWidth="1"/>
    <col min="12" max="12" width="12.33203125" style="8" bestFit="1" customWidth="1"/>
    <col min="13" max="17" width="15.1640625" style="16" bestFit="1" customWidth="1"/>
    <col min="18" max="18" width="2.33203125" style="16" bestFit="1" customWidth="1"/>
    <col min="19" max="23" width="15.1640625" style="16" bestFit="1" customWidth="1"/>
    <col min="24" max="24" width="2.33203125" style="16" bestFit="1" customWidth="1"/>
    <col min="25" max="29" width="14.5" style="16" bestFit="1" customWidth="1"/>
    <col min="30" max="30" width="2.33203125" style="16" bestFit="1" customWidth="1"/>
    <col min="31" max="35" width="15.1640625" style="16" bestFit="1" customWidth="1"/>
    <col min="36" max="36" width="2.33203125" style="16" bestFit="1" customWidth="1"/>
    <col min="37" max="41" width="15.1640625" style="16" bestFit="1" customWidth="1"/>
    <col min="42" max="42" width="2.33203125" style="16" bestFit="1" customWidth="1"/>
    <col min="43" max="53" width="10.83203125" style="16" customWidth="1"/>
    <col min="54" max="16384" width="10.1640625" style="16"/>
  </cols>
  <sheetData>
    <row r="1" spans="1:53" s="8" customFormat="1" ht="50.1" customHeight="1" thickBot="1" x14ac:dyDescent="0.25">
      <c r="A1" s="96"/>
      <c r="B1" s="97"/>
      <c r="C1" s="97"/>
      <c r="D1" s="97"/>
      <c r="E1" s="97"/>
      <c r="F1" s="97"/>
      <c r="G1" s="97"/>
      <c r="H1" s="97"/>
      <c r="I1" s="97"/>
      <c r="J1" s="97"/>
      <c r="K1" s="97"/>
      <c r="L1" s="97" t="s">
        <v>16</v>
      </c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8"/>
    </row>
    <row r="2" spans="1:53" s="8" customFormat="1" ht="13.5" thickBot="1" x14ac:dyDescent="0.25">
      <c r="A2" s="33" t="s">
        <v>12</v>
      </c>
      <c r="B2" s="33" t="s">
        <v>20</v>
      </c>
      <c r="C2" s="33" t="s">
        <v>2</v>
      </c>
      <c r="D2" s="33" t="s">
        <v>21</v>
      </c>
      <c r="E2" s="33" t="s">
        <v>22</v>
      </c>
      <c r="F2" s="34" t="s">
        <v>23</v>
      </c>
      <c r="G2" s="34" t="s">
        <v>24</v>
      </c>
      <c r="H2" s="34" t="s">
        <v>25</v>
      </c>
      <c r="I2" s="55"/>
      <c r="J2" s="55" t="s">
        <v>108</v>
      </c>
      <c r="K2" s="55" t="s">
        <v>109</v>
      </c>
      <c r="L2" s="55" t="s">
        <v>8</v>
      </c>
      <c r="M2" s="55">
        <f>$K3</f>
        <v>12000</v>
      </c>
      <c r="N2" s="57">
        <f>$K4</f>
        <v>14000</v>
      </c>
      <c r="O2" s="57">
        <f>$K5</f>
        <v>16000</v>
      </c>
      <c r="P2" s="57">
        <f>$K6</f>
        <v>18000</v>
      </c>
      <c r="Q2" s="57">
        <f>$K7</f>
        <v>20000</v>
      </c>
      <c r="R2" s="55" t="s">
        <v>66</v>
      </c>
      <c r="S2" s="52">
        <f>M$2</f>
        <v>12000</v>
      </c>
      <c r="T2" s="52">
        <f>N$2</f>
        <v>14000</v>
      </c>
      <c r="U2" s="52">
        <f>O$2</f>
        <v>16000</v>
      </c>
      <c r="V2" s="52">
        <f t="shared" ref="V2:W2" si="0">P$2</f>
        <v>18000</v>
      </c>
      <c r="W2" s="52">
        <f t="shared" si="0"/>
        <v>20000</v>
      </c>
      <c r="X2" s="55" t="s">
        <v>66</v>
      </c>
      <c r="Y2" s="53">
        <f>M$2</f>
        <v>12000</v>
      </c>
      <c r="Z2" s="53">
        <f t="shared" ref="Z2:AC2" si="1">N$2</f>
        <v>14000</v>
      </c>
      <c r="AA2" s="53">
        <f t="shared" si="1"/>
        <v>16000</v>
      </c>
      <c r="AB2" s="53">
        <f t="shared" si="1"/>
        <v>18000</v>
      </c>
      <c r="AC2" s="53">
        <f t="shared" si="1"/>
        <v>20000</v>
      </c>
      <c r="AD2" s="55" t="s">
        <v>66</v>
      </c>
      <c r="AE2" s="89">
        <f>M2</f>
        <v>12000</v>
      </c>
      <c r="AF2" s="89">
        <f t="shared" ref="AF2:AI2" si="2">N2</f>
        <v>14000</v>
      </c>
      <c r="AG2" s="89">
        <f t="shared" si="2"/>
        <v>16000</v>
      </c>
      <c r="AH2" s="89">
        <f t="shared" si="2"/>
        <v>18000</v>
      </c>
      <c r="AI2" s="89">
        <f t="shared" si="2"/>
        <v>20000</v>
      </c>
      <c r="AJ2" s="55" t="s">
        <v>66</v>
      </c>
      <c r="AK2" s="90">
        <f>M$2</f>
        <v>12000</v>
      </c>
      <c r="AL2" s="90">
        <f t="shared" ref="AL2:AN2" si="3">N$2</f>
        <v>14000</v>
      </c>
      <c r="AM2" s="90">
        <f t="shared" si="3"/>
        <v>16000</v>
      </c>
      <c r="AN2" s="90">
        <f t="shared" si="3"/>
        <v>18000</v>
      </c>
      <c r="AO2" s="90">
        <f>Q$2</f>
        <v>20000</v>
      </c>
      <c r="AP2" s="82" t="s">
        <v>66</v>
      </c>
      <c r="AQ2" s="4"/>
      <c r="AR2" s="5"/>
      <c r="AS2" s="5"/>
      <c r="AT2" s="5"/>
      <c r="AU2" s="5"/>
      <c r="AV2" s="55"/>
      <c r="AW2" s="55"/>
      <c r="AX2" s="55"/>
      <c r="AY2" s="55"/>
      <c r="AZ2" s="55"/>
      <c r="BA2" s="56"/>
    </row>
    <row r="3" spans="1:53" x14ac:dyDescent="0.2">
      <c r="A3" s="47">
        <v>12000</v>
      </c>
      <c r="B3" s="47" t="s">
        <v>46</v>
      </c>
      <c r="C3" s="48">
        <v>1</v>
      </c>
      <c r="D3" s="49">
        <v>1</v>
      </c>
      <c r="E3" s="49">
        <v>0</v>
      </c>
      <c r="F3" s="49">
        <v>0</v>
      </c>
      <c r="G3" s="49">
        <v>1</v>
      </c>
      <c r="H3" s="49">
        <v>1</v>
      </c>
      <c r="I3" s="17"/>
      <c r="J3" s="17" t="str" cm="1">
        <f t="array" ref="J3:J10">_xlfn.UNIQUE(B3:B38)</f>
        <v>SOLVER_MAXIMUM_COST</v>
      </c>
      <c r="K3" s="17" cm="1">
        <f t="array" ref="K3:K8">_xlfn.UNIQUE(A3:A38)</f>
        <v>12000</v>
      </c>
      <c r="L3" s="9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>
        <f>M$4</f>
        <v>0.23299833333333328</v>
      </c>
      <c r="AF3" s="76">
        <f t="shared" ref="AF3:AI3" si="4">N$4</f>
        <v>0.20402571428571428</v>
      </c>
      <c r="AG3" s="76">
        <f t="shared" si="4"/>
        <v>0.18474999999999997</v>
      </c>
      <c r="AH3" s="76">
        <f t="shared" si="4"/>
        <v>0.1645777777777778</v>
      </c>
      <c r="AI3" s="76">
        <f t="shared" si="4"/>
        <v>0.15027699999999997</v>
      </c>
      <c r="AJ3" s="76"/>
      <c r="AK3" s="75">
        <f>SUMIFS($D$2:$D$38, $A$2:$A$38, AK$2, $B$2:$B$38,  $J$3)</f>
        <v>1</v>
      </c>
      <c r="AL3" s="75">
        <f t="shared" ref="AL3:AN10" si="5">SUMIFS($D$2:$D$38, $A$2:$A$38, AL$2, $B$2:$B$38,  $J$3)</f>
        <v>0.99328571428571433</v>
      </c>
      <c r="AM3" s="75">
        <f t="shared" si="5"/>
        <v>0.92918750000000006</v>
      </c>
      <c r="AN3" s="75">
        <f t="shared" si="5"/>
        <v>0.86355555555555552</v>
      </c>
      <c r="AO3" s="75">
        <f>SUMIFS($D$2:$D$38, $A$2:$A$38, AO$2, $B$2:$B$38,  $J$3)</f>
        <v>0.82520000000000004</v>
      </c>
      <c r="AP3" s="80"/>
      <c r="AQ3" s="19"/>
      <c r="AR3" s="20"/>
      <c r="AS3" s="20"/>
      <c r="AT3" s="20"/>
      <c r="AU3" s="20"/>
      <c r="AV3" s="17"/>
      <c r="AW3" s="17"/>
      <c r="AX3" s="17"/>
      <c r="AY3" s="17"/>
      <c r="AZ3" s="17"/>
      <c r="BA3" s="18"/>
    </row>
    <row r="4" spans="1:53" x14ac:dyDescent="0.2">
      <c r="A4" s="47">
        <v>12000</v>
      </c>
      <c r="B4" s="47" t="s">
        <v>50</v>
      </c>
      <c r="C4" s="48">
        <v>50</v>
      </c>
      <c r="D4" s="49">
        <v>0.23299833333333328</v>
      </c>
      <c r="E4" s="49">
        <v>2.3407008321200554E-3</v>
      </c>
      <c r="F4" s="49">
        <v>3.3102508622421715E-4</v>
      </c>
      <c r="G4" s="49">
        <v>0.23233311351718852</v>
      </c>
      <c r="H4" s="49">
        <v>0.23366355314947804</v>
      </c>
      <c r="I4" s="17"/>
      <c r="J4" s="17" t="str">
        <v>GREEDY_RANDOM</v>
      </c>
      <c r="K4" s="17">
        <v>14000</v>
      </c>
      <c r="L4" s="9" t="s">
        <v>102</v>
      </c>
      <c r="M4" s="75">
        <f>SUMIFS($D$3:$D$38, $A$3:$A$38, M$2, $B$3:$B$38,  $J4)</f>
        <v>0.23299833333333328</v>
      </c>
      <c r="N4" s="75">
        <f t="shared" ref="N4:Q10" si="6">SUMIFS($D$3:$D$38, $A$3:$A$38, N$2, $B$3:$B$38,  $J4)</f>
        <v>0.20402571428571428</v>
      </c>
      <c r="O4" s="75">
        <f t="shared" si="6"/>
        <v>0.18474999999999997</v>
      </c>
      <c r="P4" s="75">
        <f t="shared" si="6"/>
        <v>0.1645777777777778</v>
      </c>
      <c r="Q4" s="75">
        <f t="shared" si="6"/>
        <v>0.15027699999999997</v>
      </c>
      <c r="R4" s="76"/>
      <c r="S4" s="75">
        <f>-(SUMIFS($G$3:$G$38, $A$3:$A$38, S$2, $B$3:$B$38,  $J4)-M4)</f>
        <v>6.6521981614475756E-4</v>
      </c>
      <c r="T4" s="75">
        <f t="shared" ref="T4:W4" si="7">-(SUMIFS($G$3:$G$38, $A$3:$A$38, T$2, $B$3:$B$38,  $J4)-N4)</f>
        <v>4.4578006426079786E-4</v>
      </c>
      <c r="U4" s="75">
        <f t="shared" si="7"/>
        <v>4.5459714233100912E-4</v>
      </c>
      <c r="V4" s="75">
        <f t="shared" si="7"/>
        <v>4.157402419467382E-4</v>
      </c>
      <c r="W4" s="75">
        <f t="shared" si="7"/>
        <v>3.9678880040897035E-4</v>
      </c>
      <c r="X4" s="76"/>
      <c r="Y4" s="75">
        <f>SUMIFS($H$3:$H$38, $A$3:$A$38, Y$2, $B$3:$B$38,  $J4)-M4</f>
        <v>6.6521981614475756E-4</v>
      </c>
      <c r="Z4" s="75">
        <f t="shared" ref="Z4:AC4" si="8">SUMIFS($H$3:$H$38, $A$3:$A$38, Z$2, $B$3:$B$38,  $J4)-N4</f>
        <v>4.4578006426079786E-4</v>
      </c>
      <c r="AA4" s="75">
        <f t="shared" si="8"/>
        <v>4.5459714233100912E-4</v>
      </c>
      <c r="AB4" s="75">
        <f t="shared" si="8"/>
        <v>4.157402419467382E-4</v>
      </c>
      <c r="AC4" s="75">
        <f t="shared" si="8"/>
        <v>3.9678880040897035E-4</v>
      </c>
      <c r="AD4" s="76"/>
      <c r="AE4" s="76">
        <f t="shared" ref="AE4:AE10" si="9">M$4</f>
        <v>0.23299833333333328</v>
      </c>
      <c r="AF4" s="76">
        <f t="shared" ref="AF4:AF10" si="10">N$4</f>
        <v>0.20402571428571428</v>
      </c>
      <c r="AG4" s="76">
        <f t="shared" ref="AG4:AG10" si="11">O$4</f>
        <v>0.18474999999999997</v>
      </c>
      <c r="AH4" s="76">
        <f t="shared" ref="AH4:AH10" si="12">P$4</f>
        <v>0.1645777777777778</v>
      </c>
      <c r="AI4" s="76">
        <f t="shared" ref="AI4:AI10" si="13">Q$4</f>
        <v>0.15027699999999997</v>
      </c>
      <c r="AJ4" s="76"/>
      <c r="AK4" s="75">
        <f t="shared" ref="AK4:AK10" si="14">SUMIFS($D$2:$D$38, $A$2:$A$38, AK$2, $B$2:$B$38,  $J$3)</f>
        <v>1</v>
      </c>
      <c r="AL4" s="75">
        <f t="shared" si="5"/>
        <v>0.99328571428571433</v>
      </c>
      <c r="AM4" s="75">
        <f t="shared" si="5"/>
        <v>0.92918750000000006</v>
      </c>
      <c r="AN4" s="75">
        <f t="shared" si="5"/>
        <v>0.86355555555555552</v>
      </c>
      <c r="AO4" s="75">
        <f>SUMIFS($D$2:$D$38, $A$2:$A$38, AO$2, $B$2:$B$38,  $J$3)</f>
        <v>0.82520000000000004</v>
      </c>
      <c r="AP4" s="83"/>
      <c r="AQ4" s="19"/>
      <c r="AR4" s="20"/>
      <c r="AS4" s="20"/>
      <c r="AT4" s="20"/>
      <c r="AU4" s="20"/>
      <c r="AV4" s="17"/>
      <c r="AW4" s="17"/>
      <c r="AX4" s="17"/>
      <c r="AY4" s="17"/>
      <c r="AZ4" s="17"/>
      <c r="BA4" s="18"/>
    </row>
    <row r="5" spans="1:53" x14ac:dyDescent="0.2">
      <c r="A5" s="47">
        <v>12000</v>
      </c>
      <c r="B5" s="47" t="s">
        <v>52</v>
      </c>
      <c r="C5" s="48">
        <v>50</v>
      </c>
      <c r="D5" s="49">
        <v>0.99094000000000004</v>
      </c>
      <c r="E5" s="49">
        <v>1.4543351412063968E-3</v>
      </c>
      <c r="F5" s="49">
        <v>2.0567404809298766E-4</v>
      </c>
      <c r="G5" s="49">
        <v>0.99052668252603226</v>
      </c>
      <c r="H5" s="49">
        <v>0.99135331747396782</v>
      </c>
      <c r="I5" s="17"/>
      <c r="J5" s="17" t="str">
        <v>GREEDY_RANDOM_FALLBACK</v>
      </c>
      <c r="K5" s="17">
        <v>16000</v>
      </c>
      <c r="L5" s="9" t="s">
        <v>103</v>
      </c>
      <c r="M5" s="75">
        <f t="shared" ref="M5:M10" si="15">SUMIFS($D$3:$D$38, $A$3:$A$38, M$2, $B$3:$B$38,  $J5)</f>
        <v>0.99094000000000004</v>
      </c>
      <c r="N5" s="75">
        <f t="shared" si="6"/>
        <v>0.84999142857142829</v>
      </c>
      <c r="O5" s="75">
        <f t="shared" si="6"/>
        <v>0.75058625000000023</v>
      </c>
      <c r="P5" s="75">
        <f t="shared" si="6"/>
        <v>0.66413333333333324</v>
      </c>
      <c r="Q5" s="75">
        <f t="shared" si="6"/>
        <v>0.59749200000000002</v>
      </c>
      <c r="R5" s="76"/>
      <c r="S5" s="75">
        <f t="shared" ref="S5:S10" si="16">-(SUMIFS($G$3:$G$38, $A$3:$A$38, S$2, $B$3:$B$38,  $J5)-M5)</f>
        <v>4.1331747396777807E-4</v>
      </c>
      <c r="T5" s="75">
        <f t="shared" ref="T5:T10" si="17">-(SUMIFS($G$3:$G$38, $A$3:$A$38, T$2, $B$3:$B$38,  $J5)-N5)</f>
        <v>4.4818607708718705E-4</v>
      </c>
      <c r="U5" s="75">
        <f t="shared" ref="U5:U10" si="18">-(SUMIFS($G$3:$G$38, $A$3:$A$38, U$2, $B$3:$B$38,  $J5)-O5)</f>
        <v>3.7593809081193363E-4</v>
      </c>
      <c r="V5" s="75">
        <f t="shared" ref="V5:V10" si="19">-(SUMIFS($G$3:$G$38, $A$3:$A$38, V$2, $B$3:$B$38,  $J5)-P5)</f>
        <v>3.793317001504759E-4</v>
      </c>
      <c r="W5" s="75">
        <f t="shared" ref="W5:W10" si="20">-(SUMIFS($G$3:$G$38, $A$3:$A$38, W$2, $B$3:$B$38,  $J5)-Q5)</f>
        <v>3.2992425022504435E-4</v>
      </c>
      <c r="X5" s="76"/>
      <c r="Y5" s="75">
        <f t="shared" ref="Y5:Y10" si="21">SUMIFS($H$3:$H$38, $A$3:$A$38, Y$2, $B$3:$B$38,  $J5)-M5</f>
        <v>4.1331747396777807E-4</v>
      </c>
      <c r="Z5" s="75">
        <f t="shared" ref="Z5:Z10" si="22">SUMIFS($H$3:$H$38, $A$3:$A$38, Z$2, $B$3:$B$38,  $J5)-N5</f>
        <v>4.4818607708718705E-4</v>
      </c>
      <c r="AA5" s="75">
        <f t="shared" ref="AA5:AA10" si="23">SUMIFS($H$3:$H$38, $A$3:$A$38, AA$2, $B$3:$B$38,  $J5)-O5</f>
        <v>3.7593809081193363E-4</v>
      </c>
      <c r="AB5" s="75">
        <f t="shared" ref="AB5:AB10" si="24">SUMIFS($H$3:$H$38, $A$3:$A$38, AB$2, $B$3:$B$38,  $J5)-P5</f>
        <v>3.793317001504759E-4</v>
      </c>
      <c r="AC5" s="75">
        <f t="shared" ref="AC5:AC10" si="25">SUMIFS($H$3:$H$38, $A$3:$A$38, AC$2, $B$3:$B$38,  $J5)-Q5</f>
        <v>3.2992425022504435E-4</v>
      </c>
      <c r="AD5" s="76"/>
      <c r="AE5" s="76">
        <f t="shared" si="9"/>
        <v>0.23299833333333328</v>
      </c>
      <c r="AF5" s="76">
        <f t="shared" si="10"/>
        <v>0.20402571428571428</v>
      </c>
      <c r="AG5" s="76">
        <f t="shared" si="11"/>
        <v>0.18474999999999997</v>
      </c>
      <c r="AH5" s="76">
        <f t="shared" si="12"/>
        <v>0.1645777777777778</v>
      </c>
      <c r="AI5" s="76">
        <f t="shared" si="13"/>
        <v>0.15027699999999997</v>
      </c>
      <c r="AJ5" s="76"/>
      <c r="AK5" s="75">
        <f t="shared" si="14"/>
        <v>1</v>
      </c>
      <c r="AL5" s="75">
        <f t="shared" si="5"/>
        <v>0.99328571428571433</v>
      </c>
      <c r="AM5" s="75">
        <f t="shared" si="5"/>
        <v>0.92918750000000006</v>
      </c>
      <c r="AN5" s="75">
        <f t="shared" si="5"/>
        <v>0.86355555555555552</v>
      </c>
      <c r="AO5" s="75">
        <f>SUMIFS($D$2:$D$38, $A$2:$A$38, AO$2, $B$2:$B$38,  $J$3)</f>
        <v>0.82520000000000004</v>
      </c>
      <c r="AP5" s="83"/>
      <c r="AQ5" s="19"/>
      <c r="AR5" s="20"/>
      <c r="AS5" s="20"/>
      <c r="AT5" s="20"/>
      <c r="AU5" s="20"/>
      <c r="AV5" s="17"/>
      <c r="AW5" s="17"/>
      <c r="AX5" s="17"/>
      <c r="AY5" s="17"/>
      <c r="AZ5" s="17"/>
      <c r="BA5" s="18"/>
    </row>
    <row r="6" spans="1:53" x14ac:dyDescent="0.2">
      <c r="A6" s="47">
        <v>12000</v>
      </c>
      <c r="B6" s="47" t="s">
        <v>51</v>
      </c>
      <c r="C6" s="48">
        <v>1</v>
      </c>
      <c r="D6" s="49">
        <v>0.96466666666666667</v>
      </c>
      <c r="E6" s="49">
        <v>0</v>
      </c>
      <c r="F6" s="49">
        <v>0</v>
      </c>
      <c r="G6" s="49">
        <v>0.96466666666666667</v>
      </c>
      <c r="H6" s="49">
        <v>0.96466666666666667</v>
      </c>
      <c r="I6" s="17"/>
      <c r="J6" s="17" t="str">
        <v>GREEDY_CB</v>
      </c>
      <c r="K6" s="17">
        <v>18000</v>
      </c>
      <c r="L6" s="9" t="s">
        <v>104</v>
      </c>
      <c r="M6" s="75">
        <f t="shared" si="15"/>
        <v>0.96466666666666667</v>
      </c>
      <c r="N6" s="75">
        <f t="shared" si="6"/>
        <v>0.85764285714285715</v>
      </c>
      <c r="O6" s="75">
        <f t="shared" si="6"/>
        <v>0.77212499999999995</v>
      </c>
      <c r="P6" s="75">
        <f t="shared" si="6"/>
        <v>0.72211111111111115</v>
      </c>
      <c r="Q6" s="75">
        <f t="shared" si="6"/>
        <v>0.63890000000000002</v>
      </c>
      <c r="R6" s="76"/>
      <c r="S6" s="75">
        <f t="shared" si="16"/>
        <v>0</v>
      </c>
      <c r="T6" s="75">
        <f t="shared" si="17"/>
        <v>0</v>
      </c>
      <c r="U6" s="75">
        <f t="shared" si="18"/>
        <v>0</v>
      </c>
      <c r="V6" s="75">
        <f t="shared" si="19"/>
        <v>0</v>
      </c>
      <c r="W6" s="75">
        <f t="shared" si="20"/>
        <v>0</v>
      </c>
      <c r="X6" s="76"/>
      <c r="Y6" s="75">
        <f t="shared" si="21"/>
        <v>0</v>
      </c>
      <c r="Z6" s="75">
        <f t="shared" si="22"/>
        <v>0</v>
      </c>
      <c r="AA6" s="75">
        <f t="shared" si="23"/>
        <v>0</v>
      </c>
      <c r="AB6" s="75">
        <f t="shared" si="24"/>
        <v>0</v>
      </c>
      <c r="AC6" s="75">
        <f t="shared" si="25"/>
        <v>0</v>
      </c>
      <c r="AD6" s="76"/>
      <c r="AE6" s="76">
        <f t="shared" si="9"/>
        <v>0.23299833333333328</v>
      </c>
      <c r="AF6" s="76">
        <f t="shared" si="10"/>
        <v>0.20402571428571428</v>
      </c>
      <c r="AG6" s="76">
        <f t="shared" si="11"/>
        <v>0.18474999999999997</v>
      </c>
      <c r="AH6" s="76">
        <f t="shared" si="12"/>
        <v>0.1645777777777778</v>
      </c>
      <c r="AI6" s="76">
        <f t="shared" si="13"/>
        <v>0.15027699999999997</v>
      </c>
      <c r="AJ6" s="76"/>
      <c r="AK6" s="75">
        <f t="shared" si="14"/>
        <v>1</v>
      </c>
      <c r="AL6" s="75">
        <f t="shared" si="5"/>
        <v>0.99328571428571433</v>
      </c>
      <c r="AM6" s="75">
        <f t="shared" si="5"/>
        <v>0.92918750000000006</v>
      </c>
      <c r="AN6" s="75">
        <f t="shared" si="5"/>
        <v>0.86355555555555552</v>
      </c>
      <c r="AO6" s="75">
        <f>SUMIFS($D$2:$D$38, $A$2:$A$38, AO$2, $B$2:$B$38,  $J$3)</f>
        <v>0.82520000000000004</v>
      </c>
      <c r="AP6" s="83"/>
      <c r="AQ6" s="19"/>
      <c r="AR6" s="20"/>
      <c r="AS6" s="20"/>
      <c r="AT6" s="20"/>
      <c r="AU6" s="20"/>
      <c r="AV6" s="17"/>
      <c r="AW6" s="17"/>
      <c r="AX6" s="17"/>
      <c r="AY6" s="17"/>
      <c r="AZ6" s="17"/>
      <c r="BA6" s="18"/>
    </row>
    <row r="7" spans="1:53" x14ac:dyDescent="0.2">
      <c r="A7" s="47">
        <v>12000</v>
      </c>
      <c r="B7" s="47" t="s">
        <v>99</v>
      </c>
      <c r="C7" s="48">
        <v>50</v>
      </c>
      <c r="D7" s="49">
        <v>0.99998833333333326</v>
      </c>
      <c r="E7" s="49">
        <v>2.9209152729485581E-5</v>
      </c>
      <c r="F7" s="49">
        <v>4.1307979935465617E-6</v>
      </c>
      <c r="G7" s="49">
        <v>0.9999800321839758</v>
      </c>
      <c r="H7" s="49">
        <v>0.99999663448269072</v>
      </c>
      <c r="I7" s="17"/>
      <c r="J7" s="17" t="str">
        <v>SA_GREEDY_RANDOM</v>
      </c>
      <c r="K7" s="17">
        <v>20000</v>
      </c>
      <c r="L7" s="9" t="s">
        <v>105</v>
      </c>
      <c r="M7" s="75">
        <f t="shared" si="15"/>
        <v>0.99998833333333326</v>
      </c>
      <c r="N7" s="75">
        <f t="shared" si="6"/>
        <v>0.93869428571428581</v>
      </c>
      <c r="O7" s="75">
        <f t="shared" si="6"/>
        <v>0.87970000000000004</v>
      </c>
      <c r="P7" s="75">
        <f t="shared" si="6"/>
        <v>0.82889111111111125</v>
      </c>
      <c r="Q7" s="75">
        <f t="shared" si="6"/>
        <v>0.77625899999999992</v>
      </c>
      <c r="R7" s="76"/>
      <c r="S7" s="75">
        <f t="shared" si="16"/>
        <v>8.301149357459181E-6</v>
      </c>
      <c r="T7" s="75">
        <f t="shared" si="17"/>
        <v>3.0922525252985444E-4</v>
      </c>
      <c r="U7" s="75">
        <f t="shared" si="18"/>
        <v>3.3460009616470554E-4</v>
      </c>
      <c r="V7" s="75">
        <f t="shared" si="19"/>
        <v>2.9126857075079116E-4</v>
      </c>
      <c r="W7" s="75">
        <f t="shared" si="20"/>
        <v>2.8004406504722468E-4</v>
      </c>
      <c r="X7" s="76"/>
      <c r="Y7" s="75">
        <f t="shared" si="21"/>
        <v>8.301149357459181E-6</v>
      </c>
      <c r="Z7" s="75">
        <f t="shared" si="22"/>
        <v>3.0922525252985444E-4</v>
      </c>
      <c r="AA7" s="75">
        <f t="shared" si="23"/>
        <v>3.3460009616470554E-4</v>
      </c>
      <c r="AB7" s="75">
        <f t="shared" si="24"/>
        <v>2.9126857075079116E-4</v>
      </c>
      <c r="AC7" s="75">
        <f t="shared" si="25"/>
        <v>2.8004406504722468E-4</v>
      </c>
      <c r="AD7" s="76"/>
      <c r="AE7" s="76">
        <f t="shared" si="9"/>
        <v>0.23299833333333328</v>
      </c>
      <c r="AF7" s="76">
        <f t="shared" si="10"/>
        <v>0.20402571428571428</v>
      </c>
      <c r="AG7" s="76">
        <f t="shared" si="11"/>
        <v>0.18474999999999997</v>
      </c>
      <c r="AH7" s="76">
        <f t="shared" si="12"/>
        <v>0.1645777777777778</v>
      </c>
      <c r="AI7" s="76">
        <f t="shared" si="13"/>
        <v>0.15027699999999997</v>
      </c>
      <c r="AJ7" s="76"/>
      <c r="AK7" s="75">
        <f t="shared" si="14"/>
        <v>1</v>
      </c>
      <c r="AL7" s="75">
        <f t="shared" si="5"/>
        <v>0.99328571428571433</v>
      </c>
      <c r="AM7" s="75">
        <f t="shared" si="5"/>
        <v>0.92918750000000006</v>
      </c>
      <c r="AN7" s="75">
        <f t="shared" si="5"/>
        <v>0.86355555555555552</v>
      </c>
      <c r="AO7" s="75">
        <f>SUMIFS($D$2:$D$38, $A$2:$A$38, AO$2, $B$2:$B$38,  $J$3)</f>
        <v>0.82520000000000004</v>
      </c>
      <c r="AP7" s="83"/>
      <c r="AQ7" s="19"/>
      <c r="AR7" s="20"/>
      <c r="AS7" s="20"/>
      <c r="AT7" s="20"/>
      <c r="AU7" s="20"/>
      <c r="AV7" s="17"/>
      <c r="AW7" s="17"/>
      <c r="AX7" s="17"/>
      <c r="AY7" s="17"/>
      <c r="AZ7" s="17"/>
      <c r="BA7" s="18"/>
    </row>
    <row r="8" spans="1:53" x14ac:dyDescent="0.2">
      <c r="A8" s="47">
        <v>12000</v>
      </c>
      <c r="B8" s="47" t="s">
        <v>100</v>
      </c>
      <c r="C8" s="48">
        <v>50</v>
      </c>
      <c r="D8" s="49">
        <v>0.99999666666666653</v>
      </c>
      <c r="E8" s="49">
        <v>1.6495721976844632E-5</v>
      </c>
      <c r="F8" s="49">
        <v>2.33284737407896E-6</v>
      </c>
      <c r="G8" s="49">
        <v>0.99999197863435163</v>
      </c>
      <c r="H8" s="49">
        <v>1.0000013546989814</v>
      </c>
      <c r="I8" s="17"/>
      <c r="J8" s="17" t="str">
        <v>SA_GREEDY_RANDOM_FALLBACK</v>
      </c>
      <c r="K8" s="17">
        <v>0</v>
      </c>
      <c r="L8" s="9" t="s">
        <v>106</v>
      </c>
      <c r="M8" s="75">
        <f t="shared" si="15"/>
        <v>0.99999666666666653</v>
      </c>
      <c r="N8" s="75">
        <f t="shared" si="6"/>
        <v>0.93930000000000002</v>
      </c>
      <c r="O8" s="75">
        <f t="shared" si="6"/>
        <v>0.87979499999999999</v>
      </c>
      <c r="P8" s="75">
        <f t="shared" si="6"/>
        <v>0.82919555555555557</v>
      </c>
      <c r="Q8" s="75">
        <f t="shared" si="6"/>
        <v>0.77618700000000018</v>
      </c>
      <c r="R8" s="76"/>
      <c r="S8" s="75">
        <f t="shared" si="16"/>
        <v>4.6880323149034453E-6</v>
      </c>
      <c r="T8" s="75">
        <f t="shared" si="17"/>
        <v>3.0927855288176431E-4</v>
      </c>
      <c r="U8" s="75">
        <f t="shared" si="18"/>
        <v>3.0677269483569969E-4</v>
      </c>
      <c r="V8" s="75">
        <f t="shared" si="19"/>
        <v>3.3015975846484302E-4</v>
      </c>
      <c r="W8" s="75">
        <f t="shared" si="20"/>
        <v>3.8543719761652273E-4</v>
      </c>
      <c r="X8" s="76"/>
      <c r="Y8" s="75">
        <f t="shared" si="21"/>
        <v>4.6880323149034453E-6</v>
      </c>
      <c r="Z8" s="75">
        <f t="shared" si="22"/>
        <v>3.0927855288176431E-4</v>
      </c>
      <c r="AA8" s="75">
        <f t="shared" si="23"/>
        <v>3.0677269483569969E-4</v>
      </c>
      <c r="AB8" s="75">
        <f t="shared" si="24"/>
        <v>3.3015975846484302E-4</v>
      </c>
      <c r="AC8" s="75">
        <f t="shared" si="25"/>
        <v>3.8543719761652273E-4</v>
      </c>
      <c r="AD8" s="77"/>
      <c r="AE8" s="76">
        <f t="shared" si="9"/>
        <v>0.23299833333333328</v>
      </c>
      <c r="AF8" s="76">
        <f t="shared" si="10"/>
        <v>0.20402571428571428</v>
      </c>
      <c r="AG8" s="76">
        <f t="shared" si="11"/>
        <v>0.18474999999999997</v>
      </c>
      <c r="AH8" s="76">
        <f t="shared" si="12"/>
        <v>0.1645777777777778</v>
      </c>
      <c r="AI8" s="76">
        <f t="shared" si="13"/>
        <v>0.15027699999999997</v>
      </c>
      <c r="AJ8" s="77"/>
      <c r="AK8" s="75">
        <f t="shared" si="14"/>
        <v>1</v>
      </c>
      <c r="AL8" s="75">
        <f t="shared" si="5"/>
        <v>0.99328571428571433</v>
      </c>
      <c r="AM8" s="75">
        <f t="shared" si="5"/>
        <v>0.92918750000000006</v>
      </c>
      <c r="AN8" s="75">
        <f t="shared" si="5"/>
        <v>0.86355555555555552</v>
      </c>
      <c r="AO8" s="75">
        <f>SUMIFS($D$2:$D$38, $A$2:$A$38, AO$2, $B$2:$B$38,  $J$3)</f>
        <v>0.82520000000000004</v>
      </c>
      <c r="AP8" s="83"/>
      <c r="AQ8" s="19"/>
      <c r="AR8" s="20"/>
      <c r="AS8" s="20"/>
      <c r="AT8" s="20"/>
      <c r="AU8" s="20"/>
      <c r="AV8" s="17"/>
      <c r="AW8" s="17"/>
      <c r="AX8" s="17"/>
      <c r="AY8" s="17"/>
      <c r="AZ8" s="17"/>
      <c r="BA8" s="18"/>
    </row>
    <row r="9" spans="1:53" x14ac:dyDescent="0.2">
      <c r="A9" s="47">
        <v>12000</v>
      </c>
      <c r="B9" s="47" t="s">
        <v>101</v>
      </c>
      <c r="C9" s="48">
        <v>50</v>
      </c>
      <c r="D9" s="49">
        <v>0.99058833333333352</v>
      </c>
      <c r="E9" s="49">
        <v>1.1427839758324742E-3</v>
      </c>
      <c r="F9" s="49">
        <v>1.6161405974849321E-4</v>
      </c>
      <c r="G9" s="49">
        <v>0.99026355772089103</v>
      </c>
      <c r="H9" s="49">
        <v>0.990913108945776</v>
      </c>
      <c r="I9" s="17"/>
      <c r="J9" s="17" t="str">
        <v>SA_GREEDY_CB</v>
      </c>
      <c r="K9" s="17"/>
      <c r="L9" s="9" t="s">
        <v>107</v>
      </c>
      <c r="M9" s="75">
        <f t="shared" si="15"/>
        <v>0.99058833333333352</v>
      </c>
      <c r="N9" s="75">
        <f t="shared" si="6"/>
        <v>0.91830571428571417</v>
      </c>
      <c r="O9" s="75">
        <f t="shared" si="6"/>
        <v>0.86311000000000004</v>
      </c>
      <c r="P9" s="75">
        <f t="shared" si="6"/>
        <v>0.80316777777777792</v>
      </c>
      <c r="Q9" s="75">
        <f t="shared" si="6"/>
        <v>0.75088200000000027</v>
      </c>
      <c r="R9" s="76"/>
      <c r="S9" s="75">
        <f t="shared" si="16"/>
        <v>3.2477561244248498E-4</v>
      </c>
      <c r="T9" s="75">
        <f t="shared" si="17"/>
        <v>3.2206725601890973E-4</v>
      </c>
      <c r="U9" s="75">
        <f t="shared" si="18"/>
        <v>2.8736373804538751E-4</v>
      </c>
      <c r="V9" s="75">
        <f t="shared" si="19"/>
        <v>3.8296877151455799E-4</v>
      </c>
      <c r="W9" s="75">
        <f t="shared" si="20"/>
        <v>2.8501867814190174E-4</v>
      </c>
      <c r="X9" s="76"/>
      <c r="Y9" s="75">
        <f t="shared" si="21"/>
        <v>3.2477561244248498E-4</v>
      </c>
      <c r="Z9" s="75">
        <f t="shared" si="22"/>
        <v>3.2206725601890973E-4</v>
      </c>
      <c r="AA9" s="75">
        <f t="shared" si="23"/>
        <v>2.8736373804538751E-4</v>
      </c>
      <c r="AB9" s="75">
        <f t="shared" si="24"/>
        <v>3.8296877151455799E-4</v>
      </c>
      <c r="AC9" s="75">
        <f t="shared" si="25"/>
        <v>2.8501867814190174E-4</v>
      </c>
      <c r="AD9" s="76"/>
      <c r="AE9" s="76">
        <f t="shared" si="9"/>
        <v>0.23299833333333328</v>
      </c>
      <c r="AF9" s="76">
        <f t="shared" si="10"/>
        <v>0.20402571428571428</v>
      </c>
      <c r="AG9" s="76">
        <f t="shared" si="11"/>
        <v>0.18474999999999997</v>
      </c>
      <c r="AH9" s="76">
        <f t="shared" si="12"/>
        <v>0.1645777777777778</v>
      </c>
      <c r="AI9" s="76">
        <f t="shared" si="13"/>
        <v>0.15027699999999997</v>
      </c>
      <c r="AJ9" s="76"/>
      <c r="AK9" s="75">
        <f t="shared" si="14"/>
        <v>1</v>
      </c>
      <c r="AL9" s="75">
        <f t="shared" si="5"/>
        <v>0.99328571428571433</v>
      </c>
      <c r="AM9" s="75">
        <f t="shared" si="5"/>
        <v>0.92918750000000006</v>
      </c>
      <c r="AN9" s="75">
        <f t="shared" si="5"/>
        <v>0.86355555555555552</v>
      </c>
      <c r="AO9" s="75">
        <f>SUMIFS($D$2:$D$38, $A$2:$A$38, AO$2, $B$2:$B$38,  $J$3)</f>
        <v>0.82520000000000004</v>
      </c>
      <c r="AP9" s="83"/>
      <c r="AQ9" s="19"/>
      <c r="AR9" s="20"/>
      <c r="AS9" s="20"/>
      <c r="AT9" s="20"/>
      <c r="AU9" s="20"/>
      <c r="AV9" s="17"/>
      <c r="AW9" s="17"/>
      <c r="AX9" s="17"/>
      <c r="AY9" s="17"/>
      <c r="AZ9" s="17"/>
      <c r="BA9" s="18"/>
    </row>
    <row r="10" spans="1:53" x14ac:dyDescent="0.2">
      <c r="A10" s="47">
        <v>14000</v>
      </c>
      <c r="B10" s="47" t="s">
        <v>46</v>
      </c>
      <c r="C10" s="48">
        <v>1</v>
      </c>
      <c r="D10" s="49">
        <v>0.99328571428571433</v>
      </c>
      <c r="E10" s="49">
        <v>0</v>
      </c>
      <c r="F10" s="49">
        <v>0</v>
      </c>
      <c r="G10" s="49">
        <v>0.99328571428571433</v>
      </c>
      <c r="H10" s="49">
        <v>0.99328571428571433</v>
      </c>
      <c r="I10" s="17"/>
      <c r="J10" s="16">
        <v>0</v>
      </c>
      <c r="L10" s="9"/>
      <c r="M10" s="75">
        <f t="shared" si="15"/>
        <v>0</v>
      </c>
      <c r="N10" s="75">
        <f t="shared" si="6"/>
        <v>0</v>
      </c>
      <c r="O10" s="75">
        <f t="shared" si="6"/>
        <v>0</v>
      </c>
      <c r="P10" s="75">
        <f t="shared" si="6"/>
        <v>0</v>
      </c>
      <c r="Q10" s="75">
        <f t="shared" si="6"/>
        <v>0</v>
      </c>
      <c r="R10" s="76"/>
      <c r="S10" s="75">
        <f t="shared" si="16"/>
        <v>0</v>
      </c>
      <c r="T10" s="75">
        <f t="shared" si="17"/>
        <v>0</v>
      </c>
      <c r="U10" s="75">
        <f t="shared" si="18"/>
        <v>0</v>
      </c>
      <c r="V10" s="75">
        <f t="shared" si="19"/>
        <v>0</v>
      </c>
      <c r="W10" s="75">
        <f t="shared" si="20"/>
        <v>0</v>
      </c>
      <c r="X10" s="76"/>
      <c r="Y10" s="75">
        <f t="shared" si="21"/>
        <v>0</v>
      </c>
      <c r="Z10" s="75">
        <f t="shared" si="22"/>
        <v>0</v>
      </c>
      <c r="AA10" s="75">
        <f t="shared" si="23"/>
        <v>0</v>
      </c>
      <c r="AB10" s="75">
        <f t="shared" si="24"/>
        <v>0</v>
      </c>
      <c r="AC10" s="75">
        <f t="shared" si="25"/>
        <v>0</v>
      </c>
      <c r="AD10" s="76"/>
      <c r="AE10" s="76">
        <f t="shared" si="9"/>
        <v>0.23299833333333328</v>
      </c>
      <c r="AF10" s="76">
        <f t="shared" si="10"/>
        <v>0.20402571428571428</v>
      </c>
      <c r="AG10" s="76">
        <f t="shared" si="11"/>
        <v>0.18474999999999997</v>
      </c>
      <c r="AH10" s="76">
        <f t="shared" si="12"/>
        <v>0.1645777777777778</v>
      </c>
      <c r="AI10" s="76">
        <f t="shared" si="13"/>
        <v>0.15027699999999997</v>
      </c>
      <c r="AJ10" s="76"/>
      <c r="AK10" s="75">
        <f t="shared" si="14"/>
        <v>1</v>
      </c>
      <c r="AL10" s="75">
        <f t="shared" si="5"/>
        <v>0.99328571428571433</v>
      </c>
      <c r="AM10" s="75">
        <f t="shared" si="5"/>
        <v>0.92918750000000006</v>
      </c>
      <c r="AN10" s="75">
        <f t="shared" si="5"/>
        <v>0.86355555555555552</v>
      </c>
      <c r="AO10" s="75">
        <f>SUMIFS($D$2:$D$38, $A$2:$A$38, AO$2, $B$2:$B$38,  $J$3)</f>
        <v>0.82520000000000004</v>
      </c>
      <c r="AP10" s="83"/>
      <c r="AQ10" s="19"/>
      <c r="AR10" s="20"/>
      <c r="AS10" s="20"/>
      <c r="AT10" s="20"/>
      <c r="AU10" s="20"/>
      <c r="AV10" s="17"/>
      <c r="AW10" s="17"/>
      <c r="AX10" s="17"/>
      <c r="AZ10" s="17"/>
      <c r="BA10" s="18"/>
    </row>
    <row r="11" spans="1:53" x14ac:dyDescent="0.2">
      <c r="A11" s="47">
        <v>14000</v>
      </c>
      <c r="B11" s="47" t="s">
        <v>50</v>
      </c>
      <c r="C11" s="48">
        <v>50</v>
      </c>
      <c r="D11" s="49">
        <v>0.20402571428571428</v>
      </c>
      <c r="E11" s="49">
        <v>1.5685608606865195E-3</v>
      </c>
      <c r="F11" s="49">
        <v>2.2182800425904909E-4</v>
      </c>
      <c r="G11" s="49">
        <v>0.20357993422145348</v>
      </c>
      <c r="H11" s="49">
        <v>0.20447149434997508</v>
      </c>
      <c r="I11" s="17"/>
      <c r="J11" s="17"/>
      <c r="K11" s="17"/>
      <c r="L11" s="11"/>
      <c r="M11" s="75"/>
      <c r="N11" s="75"/>
      <c r="O11" s="75"/>
      <c r="P11" s="75"/>
      <c r="Q11" s="75"/>
      <c r="R11" s="76"/>
      <c r="S11" s="75"/>
      <c r="T11" s="75"/>
      <c r="U11" s="75"/>
      <c r="V11" s="75"/>
      <c r="W11" s="75"/>
      <c r="X11" s="76"/>
      <c r="Y11" s="75"/>
      <c r="Z11" s="75"/>
      <c r="AA11" s="75"/>
      <c r="AB11" s="75"/>
      <c r="AC11" s="75"/>
      <c r="AD11" s="76"/>
      <c r="AE11" s="76"/>
      <c r="AF11" s="76"/>
      <c r="AG11" s="76"/>
      <c r="AH11" s="76"/>
      <c r="AI11" s="76"/>
      <c r="AJ11" s="76"/>
      <c r="AK11" s="75"/>
      <c r="AL11" s="75"/>
      <c r="AM11" s="75"/>
      <c r="AN11" s="75"/>
      <c r="AO11" s="81"/>
      <c r="AP11" s="83"/>
      <c r="AQ11" s="19"/>
      <c r="AR11" s="20"/>
      <c r="AS11" s="20"/>
      <c r="AT11" s="20"/>
      <c r="AU11" s="20"/>
      <c r="AV11" s="17"/>
      <c r="AW11" s="17"/>
      <c r="AX11" s="17"/>
      <c r="AY11" s="17"/>
      <c r="AZ11" s="17"/>
      <c r="BA11" s="18"/>
    </row>
    <row r="12" spans="1:53" x14ac:dyDescent="0.2">
      <c r="A12" s="47">
        <v>14000</v>
      </c>
      <c r="B12" s="47" t="s">
        <v>52</v>
      </c>
      <c r="C12" s="48">
        <v>50</v>
      </c>
      <c r="D12" s="49">
        <v>0.84999142857142829</v>
      </c>
      <c r="E12" s="49">
        <v>1.5770268685958426E-3</v>
      </c>
      <c r="F12" s="49">
        <v>2.2302527857950133E-4</v>
      </c>
      <c r="G12" s="49">
        <v>0.8495432424943411</v>
      </c>
      <c r="H12" s="49">
        <v>0.85043961464851547</v>
      </c>
      <c r="I12" s="17"/>
      <c r="J12" s="17"/>
      <c r="K12" s="17"/>
      <c r="L12" s="11"/>
      <c r="M12" s="75"/>
      <c r="N12" s="75"/>
      <c r="O12" s="75"/>
      <c r="P12" s="75"/>
      <c r="Q12" s="75"/>
      <c r="R12" s="76"/>
      <c r="S12" s="75"/>
      <c r="T12" s="75"/>
      <c r="U12" s="75"/>
      <c r="V12" s="75"/>
      <c r="W12" s="75"/>
      <c r="X12" s="76"/>
      <c r="Y12" s="75"/>
      <c r="Z12" s="75"/>
      <c r="AA12" s="75"/>
      <c r="AB12" s="75"/>
      <c r="AC12" s="75"/>
      <c r="AD12" s="76"/>
      <c r="AE12" s="76"/>
      <c r="AF12" s="76"/>
      <c r="AG12" s="76"/>
      <c r="AH12" s="76"/>
      <c r="AI12" s="76"/>
      <c r="AJ12" s="76"/>
      <c r="AK12" s="75"/>
      <c r="AL12" s="75"/>
      <c r="AM12" s="75"/>
      <c r="AN12" s="75"/>
      <c r="AO12" s="81"/>
      <c r="AP12" s="83"/>
      <c r="AQ12" s="19"/>
      <c r="AR12" s="20"/>
      <c r="AS12" s="20"/>
      <c r="AT12" s="20"/>
      <c r="AU12" s="20"/>
      <c r="AV12" s="17"/>
      <c r="AW12" s="17"/>
      <c r="AX12" s="17"/>
      <c r="AY12" s="17"/>
      <c r="AZ12" s="17"/>
      <c r="BA12" s="18"/>
    </row>
    <row r="13" spans="1:53" x14ac:dyDescent="0.2">
      <c r="A13" s="47">
        <v>14000</v>
      </c>
      <c r="B13" s="47" t="s">
        <v>51</v>
      </c>
      <c r="C13" s="48">
        <v>1</v>
      </c>
      <c r="D13" s="49">
        <v>0.85764285714285715</v>
      </c>
      <c r="E13" s="49">
        <v>0</v>
      </c>
      <c r="F13" s="49">
        <v>0</v>
      </c>
      <c r="G13" s="49">
        <v>0.85764285714285715</v>
      </c>
      <c r="H13" s="49">
        <v>0.85764285714285715</v>
      </c>
      <c r="I13" s="17"/>
      <c r="J13" s="17"/>
      <c r="K13" s="17"/>
      <c r="L13" s="12"/>
      <c r="M13" s="75"/>
      <c r="N13" s="75"/>
      <c r="O13" s="75"/>
      <c r="P13" s="75"/>
      <c r="Q13" s="75"/>
      <c r="R13" s="76"/>
      <c r="S13" s="75"/>
      <c r="T13" s="75"/>
      <c r="U13" s="75"/>
      <c r="V13" s="75"/>
      <c r="W13" s="75"/>
      <c r="X13" s="76"/>
      <c r="Y13" s="75"/>
      <c r="Z13" s="75"/>
      <c r="AA13" s="75"/>
      <c r="AB13" s="75"/>
      <c r="AC13" s="75"/>
      <c r="AD13" s="76"/>
      <c r="AE13" s="76"/>
      <c r="AF13" s="76"/>
      <c r="AG13" s="76"/>
      <c r="AH13" s="76"/>
      <c r="AI13" s="76"/>
      <c r="AJ13" s="76"/>
      <c r="AK13" s="75"/>
      <c r="AL13" s="75"/>
      <c r="AM13" s="75"/>
      <c r="AN13" s="75"/>
      <c r="AO13" s="81"/>
      <c r="AP13" s="83"/>
      <c r="AQ13" s="19"/>
      <c r="AR13" s="20"/>
      <c r="AS13" s="20"/>
      <c r="AT13" s="20"/>
      <c r="AU13" s="20"/>
      <c r="AV13" s="17"/>
      <c r="AW13" s="17"/>
      <c r="AX13" s="17"/>
      <c r="AY13" s="17"/>
      <c r="AZ13" s="17"/>
      <c r="BA13" s="18"/>
    </row>
    <row r="14" spans="1:53" x14ac:dyDescent="0.2">
      <c r="A14" s="47">
        <v>14000</v>
      </c>
      <c r="B14" s="47" t="s">
        <v>99</v>
      </c>
      <c r="C14" s="48">
        <v>50</v>
      </c>
      <c r="D14" s="49">
        <v>0.93869428571428581</v>
      </c>
      <c r="E14" s="49">
        <v>1.0880671145725549E-3</v>
      </c>
      <c r="F14" s="49">
        <v>1.5387592702006673E-4</v>
      </c>
      <c r="G14" s="49">
        <v>0.93838506046175596</v>
      </c>
      <c r="H14" s="49">
        <v>0.93900351096681567</v>
      </c>
      <c r="I14" s="17"/>
      <c r="J14" s="17"/>
      <c r="K14" s="17"/>
      <c r="L14" s="11"/>
      <c r="M14" s="75"/>
      <c r="N14" s="75"/>
      <c r="O14" s="75"/>
      <c r="P14" s="75"/>
      <c r="Q14" s="75"/>
      <c r="R14" s="76"/>
      <c r="S14" s="75"/>
      <c r="T14" s="75"/>
      <c r="U14" s="75"/>
      <c r="V14" s="75"/>
      <c r="W14" s="75"/>
      <c r="X14" s="76"/>
      <c r="Y14" s="75"/>
      <c r="Z14" s="75"/>
      <c r="AA14" s="75"/>
      <c r="AB14" s="75"/>
      <c r="AC14" s="75"/>
      <c r="AD14" s="76"/>
      <c r="AE14" s="76"/>
      <c r="AF14" s="76"/>
      <c r="AG14" s="76"/>
      <c r="AH14" s="76"/>
      <c r="AI14" s="76"/>
      <c r="AJ14" s="76"/>
      <c r="AK14" s="75"/>
      <c r="AL14" s="75"/>
      <c r="AM14" s="75"/>
      <c r="AN14" s="75"/>
      <c r="AO14" s="75"/>
      <c r="AP14" s="83"/>
      <c r="AQ14" s="19"/>
      <c r="AR14" s="20"/>
      <c r="AS14" s="20"/>
      <c r="AT14" s="20"/>
      <c r="AU14" s="20"/>
      <c r="AV14" s="17"/>
      <c r="AW14" s="17"/>
      <c r="AX14" s="17"/>
      <c r="AY14" s="17"/>
      <c r="AZ14" s="17"/>
      <c r="BA14" s="18"/>
    </row>
    <row r="15" spans="1:53" x14ac:dyDescent="0.2">
      <c r="A15" s="47">
        <v>14000</v>
      </c>
      <c r="B15" s="47" t="s">
        <v>100</v>
      </c>
      <c r="C15" s="48">
        <v>50</v>
      </c>
      <c r="D15" s="49">
        <v>0.93930000000000002</v>
      </c>
      <c r="E15" s="49">
        <v>1.0882546618689744E-3</v>
      </c>
      <c r="F15" s="49">
        <v>1.5390245021308502E-4</v>
      </c>
      <c r="G15" s="49">
        <v>0.93899072144711826</v>
      </c>
      <c r="H15" s="49">
        <v>0.93960927855288179</v>
      </c>
      <c r="I15" s="17"/>
      <c r="J15" s="17"/>
      <c r="K15" s="17"/>
      <c r="L15" s="9"/>
      <c r="M15" s="75"/>
      <c r="N15" s="75"/>
      <c r="O15" s="75"/>
      <c r="P15" s="75"/>
      <c r="Q15" s="75"/>
      <c r="R15" s="76"/>
      <c r="S15" s="75"/>
      <c r="T15" s="75"/>
      <c r="U15" s="75"/>
      <c r="V15" s="75"/>
      <c r="W15" s="75"/>
      <c r="X15" s="76"/>
      <c r="Y15" s="75"/>
      <c r="Z15" s="75"/>
      <c r="AA15" s="75"/>
      <c r="AB15" s="75"/>
      <c r="AC15" s="75"/>
      <c r="AD15" s="76"/>
      <c r="AE15" s="76"/>
      <c r="AF15" s="76"/>
      <c r="AG15" s="76"/>
      <c r="AH15" s="76"/>
      <c r="AI15" s="76"/>
      <c r="AJ15" s="76"/>
      <c r="AK15" s="75"/>
      <c r="AL15" s="75"/>
      <c r="AM15" s="75"/>
      <c r="AN15" s="75"/>
      <c r="AO15" s="75"/>
      <c r="AP15" s="83"/>
      <c r="AQ15" s="19"/>
      <c r="AR15" s="20"/>
      <c r="AS15" s="20"/>
      <c r="AT15" s="20"/>
      <c r="AU15" s="20"/>
      <c r="AV15" s="17"/>
      <c r="AW15" s="17"/>
      <c r="AX15" s="17"/>
      <c r="AY15" s="17"/>
      <c r="AZ15" s="17"/>
      <c r="BA15" s="18"/>
    </row>
    <row r="16" spans="1:53" x14ac:dyDescent="0.2">
      <c r="A16" s="47">
        <v>14000</v>
      </c>
      <c r="B16" s="47" t="s">
        <v>101</v>
      </c>
      <c r="C16" s="48">
        <v>50</v>
      </c>
      <c r="D16" s="49">
        <v>0.91830571428571417</v>
      </c>
      <c r="E16" s="49">
        <v>1.1332541152051061E-3</v>
      </c>
      <c r="F16" s="49">
        <v>1.6026633393381829E-4</v>
      </c>
      <c r="G16" s="49">
        <v>0.91798364702969526</v>
      </c>
      <c r="H16" s="49">
        <v>0.91862778154173308</v>
      </c>
      <c r="I16" s="17"/>
      <c r="J16" s="17"/>
      <c r="K16" s="17"/>
      <c r="L16" s="9"/>
      <c r="M16" s="75"/>
      <c r="N16" s="75"/>
      <c r="O16" s="75"/>
      <c r="P16" s="75"/>
      <c r="Q16" s="75"/>
      <c r="R16" s="76"/>
      <c r="S16" s="75"/>
      <c r="T16" s="75"/>
      <c r="U16" s="75"/>
      <c r="V16" s="75"/>
      <c r="W16" s="75"/>
      <c r="X16" s="76"/>
      <c r="Y16" s="75"/>
      <c r="Z16" s="87"/>
      <c r="AA16" s="75"/>
      <c r="AB16" s="75"/>
      <c r="AC16" s="75"/>
      <c r="AD16" s="76"/>
      <c r="AE16" s="76"/>
      <c r="AF16" s="76"/>
      <c r="AG16" s="76"/>
      <c r="AH16" s="76"/>
      <c r="AI16" s="76"/>
      <c r="AJ16" s="76"/>
      <c r="AK16" s="75"/>
      <c r="AL16" s="75"/>
      <c r="AM16" s="75"/>
      <c r="AN16" s="75"/>
      <c r="AO16" s="75"/>
      <c r="AP16" s="83"/>
      <c r="AQ16" s="19"/>
      <c r="AR16" s="20"/>
      <c r="AS16" s="20"/>
      <c r="AT16" s="20"/>
      <c r="AU16" s="20"/>
      <c r="AV16" s="17"/>
      <c r="AW16" s="17"/>
      <c r="AX16" s="17"/>
      <c r="AY16" s="17"/>
      <c r="AZ16" s="17"/>
      <c r="BA16" s="18"/>
    </row>
    <row r="17" spans="1:53" x14ac:dyDescent="0.2">
      <c r="A17" s="47">
        <v>16000</v>
      </c>
      <c r="B17" s="47" t="s">
        <v>46</v>
      </c>
      <c r="C17" s="48">
        <v>1</v>
      </c>
      <c r="D17" s="49">
        <v>0.92918750000000006</v>
      </c>
      <c r="E17" s="49">
        <v>0</v>
      </c>
      <c r="F17" s="49">
        <v>0</v>
      </c>
      <c r="G17" s="49">
        <v>0.92918750000000006</v>
      </c>
      <c r="H17" s="49">
        <v>0.92918750000000006</v>
      </c>
      <c r="I17" s="17"/>
      <c r="J17" s="17"/>
      <c r="K17" s="17"/>
      <c r="L17" s="9"/>
      <c r="M17" s="75"/>
      <c r="N17" s="75"/>
      <c r="O17" s="75"/>
      <c r="P17" s="75"/>
      <c r="Q17" s="75"/>
      <c r="R17" s="76"/>
      <c r="S17" s="75"/>
      <c r="T17" s="75"/>
      <c r="U17" s="75"/>
      <c r="V17" s="75"/>
      <c r="W17" s="75"/>
      <c r="X17" s="76"/>
      <c r="Y17" s="75"/>
      <c r="Z17" s="75"/>
      <c r="AA17" s="75"/>
      <c r="AB17" s="75"/>
      <c r="AC17" s="75"/>
      <c r="AD17" s="76"/>
      <c r="AE17" s="76"/>
      <c r="AF17" s="76"/>
      <c r="AG17" s="76"/>
      <c r="AH17" s="76"/>
      <c r="AI17" s="76"/>
      <c r="AJ17" s="76"/>
      <c r="AK17" s="75"/>
      <c r="AL17" s="75"/>
      <c r="AM17" s="75"/>
      <c r="AN17" s="75"/>
      <c r="AO17" s="75"/>
      <c r="AP17" s="83"/>
      <c r="AQ17" s="19"/>
      <c r="AR17" s="20"/>
      <c r="AS17" s="20"/>
      <c r="AT17" s="20"/>
      <c r="AU17" s="20"/>
      <c r="AV17" s="17"/>
      <c r="AW17" s="17"/>
      <c r="AX17" s="17"/>
      <c r="AY17" s="17"/>
      <c r="AZ17" s="17"/>
      <c r="BA17" s="18"/>
    </row>
    <row r="18" spans="1:53" x14ac:dyDescent="0.2">
      <c r="A18" s="47">
        <v>16000</v>
      </c>
      <c r="B18" s="47" t="s">
        <v>50</v>
      </c>
      <c r="C18" s="48">
        <v>50</v>
      </c>
      <c r="D18" s="49">
        <v>0.18474999999999997</v>
      </c>
      <c r="E18" s="49">
        <v>1.5995854054684762E-3</v>
      </c>
      <c r="F18" s="49">
        <v>2.2621553745875853E-4</v>
      </c>
      <c r="G18" s="49">
        <v>0.18429540285766896</v>
      </c>
      <c r="H18" s="49">
        <v>0.18520459714233098</v>
      </c>
      <c r="I18" s="17"/>
      <c r="J18" s="17"/>
      <c r="K18" s="17"/>
      <c r="L18" s="9"/>
      <c r="M18" s="75"/>
      <c r="N18" s="75"/>
      <c r="O18" s="75"/>
      <c r="P18" s="75"/>
      <c r="Q18" s="75"/>
      <c r="R18" s="76"/>
      <c r="S18" s="75"/>
      <c r="T18" s="75"/>
      <c r="U18" s="75"/>
      <c r="V18" s="75"/>
      <c r="W18" s="75"/>
      <c r="X18" s="76"/>
      <c r="Y18" s="75"/>
      <c r="Z18" s="87"/>
      <c r="AA18" s="75"/>
      <c r="AB18" s="75"/>
      <c r="AC18" s="75"/>
      <c r="AD18" s="76"/>
      <c r="AE18" s="76"/>
      <c r="AF18" s="76"/>
      <c r="AG18" s="76"/>
      <c r="AH18" s="76"/>
      <c r="AI18" s="76"/>
      <c r="AJ18" s="76"/>
      <c r="AK18" s="75"/>
      <c r="AL18" s="75"/>
      <c r="AM18" s="75"/>
      <c r="AN18" s="75"/>
      <c r="AO18" s="75"/>
      <c r="AP18" s="83"/>
      <c r="AQ18" s="19"/>
      <c r="AR18" s="20"/>
      <c r="AS18" s="20"/>
      <c r="AT18" s="20"/>
      <c r="AU18" s="20"/>
      <c r="AV18" s="17"/>
      <c r="AW18" s="17"/>
      <c r="AX18" s="17"/>
      <c r="AY18" s="17"/>
      <c r="AZ18" s="17"/>
      <c r="BA18" s="18"/>
    </row>
    <row r="19" spans="1:53" x14ac:dyDescent="0.2">
      <c r="A19" s="47">
        <v>16000</v>
      </c>
      <c r="B19" s="47" t="s">
        <v>52</v>
      </c>
      <c r="C19" s="48">
        <v>50</v>
      </c>
      <c r="D19" s="49">
        <v>0.75058625000000023</v>
      </c>
      <c r="E19" s="49">
        <v>1.3228087628070746E-3</v>
      </c>
      <c r="F19" s="49">
        <v>1.8707340927877396E-4</v>
      </c>
      <c r="G19" s="49">
        <v>0.7502103119091883</v>
      </c>
      <c r="H19" s="49">
        <v>0.75096218809081217</v>
      </c>
      <c r="I19" s="17"/>
      <c r="J19" s="17"/>
      <c r="K19" s="17"/>
      <c r="L19" s="9"/>
      <c r="M19" s="75"/>
      <c r="N19" s="75"/>
      <c r="O19" s="75"/>
      <c r="P19" s="75"/>
      <c r="Q19" s="75"/>
      <c r="R19" s="76"/>
      <c r="S19" s="75"/>
      <c r="T19" s="75"/>
      <c r="U19" s="75"/>
      <c r="V19" s="75"/>
      <c r="W19" s="75"/>
      <c r="X19" s="76"/>
      <c r="Y19" s="75"/>
      <c r="Z19" s="75"/>
      <c r="AA19" s="75"/>
      <c r="AB19" s="75"/>
      <c r="AC19" s="75"/>
      <c r="AD19" s="76"/>
      <c r="AE19" s="76"/>
      <c r="AF19" s="76"/>
      <c r="AG19" s="76"/>
      <c r="AH19" s="76"/>
      <c r="AI19" s="76"/>
      <c r="AJ19" s="76"/>
      <c r="AK19" s="75"/>
      <c r="AL19" s="75"/>
      <c r="AM19" s="75"/>
      <c r="AN19" s="75"/>
      <c r="AO19" s="75"/>
      <c r="AP19" s="83"/>
      <c r="AQ19" s="19"/>
      <c r="AR19" s="20"/>
      <c r="AS19" s="20"/>
      <c r="AT19" s="20"/>
      <c r="AU19" s="20"/>
      <c r="AV19" s="17"/>
      <c r="AW19" s="17"/>
      <c r="AX19" s="17"/>
      <c r="AY19" s="17"/>
      <c r="AZ19" s="17"/>
      <c r="BA19" s="18"/>
    </row>
    <row r="20" spans="1:53" x14ac:dyDescent="0.2">
      <c r="A20" s="47">
        <v>16000</v>
      </c>
      <c r="B20" s="47" t="s">
        <v>51</v>
      </c>
      <c r="C20" s="48">
        <v>1</v>
      </c>
      <c r="D20" s="49">
        <v>0.77212499999999995</v>
      </c>
      <c r="E20" s="49">
        <v>0</v>
      </c>
      <c r="F20" s="49">
        <v>0</v>
      </c>
      <c r="G20" s="49">
        <v>0.77212499999999995</v>
      </c>
      <c r="H20" s="49">
        <v>0.77212499999999995</v>
      </c>
      <c r="I20" s="17"/>
      <c r="J20" s="17"/>
      <c r="K20" s="17"/>
      <c r="L20" s="9"/>
      <c r="M20" s="75"/>
      <c r="N20" s="75"/>
      <c r="O20" s="75"/>
      <c r="P20" s="75"/>
      <c r="Q20" s="75"/>
      <c r="R20" s="76"/>
      <c r="S20" s="75"/>
      <c r="T20" s="75"/>
      <c r="U20" s="75"/>
      <c r="V20" s="75"/>
      <c r="W20" s="75"/>
      <c r="X20" s="76"/>
      <c r="Y20" s="75"/>
      <c r="Z20" s="75"/>
      <c r="AA20" s="75"/>
      <c r="AB20" s="75"/>
      <c r="AC20" s="75"/>
      <c r="AD20" s="76"/>
      <c r="AE20" s="76"/>
      <c r="AF20" s="76"/>
      <c r="AG20" s="76"/>
      <c r="AH20" s="76"/>
      <c r="AI20" s="76"/>
      <c r="AJ20" s="76"/>
      <c r="AK20" s="75"/>
      <c r="AL20" s="75"/>
      <c r="AM20" s="75"/>
      <c r="AN20" s="75"/>
      <c r="AO20" s="75"/>
      <c r="AP20" s="83"/>
      <c r="AQ20" s="19"/>
      <c r="AR20" s="20"/>
      <c r="AS20" s="20"/>
      <c r="AT20" s="20"/>
      <c r="AU20" s="20"/>
      <c r="AV20" s="17"/>
      <c r="AW20" s="17"/>
      <c r="AX20" s="17"/>
      <c r="AY20" s="17"/>
      <c r="AZ20" s="17"/>
      <c r="BA20" s="18"/>
    </row>
    <row r="21" spans="1:53" x14ac:dyDescent="0.2">
      <c r="A21" s="47">
        <v>16000</v>
      </c>
      <c r="B21" s="47" t="s">
        <v>99</v>
      </c>
      <c r="C21" s="48">
        <v>50</v>
      </c>
      <c r="D21" s="49">
        <v>0.87970000000000004</v>
      </c>
      <c r="E21" s="49">
        <v>1.177353266562644E-3</v>
      </c>
      <c r="F21" s="49">
        <v>1.665028957277157E-4</v>
      </c>
      <c r="G21" s="49">
        <v>0.87936539990383533</v>
      </c>
      <c r="H21" s="49">
        <v>0.88003460009616474</v>
      </c>
      <c r="I21" s="17"/>
      <c r="J21" s="17"/>
      <c r="K21" s="17"/>
      <c r="L21" s="9"/>
      <c r="M21" s="75"/>
      <c r="N21" s="75"/>
      <c r="O21" s="75"/>
      <c r="P21" s="75"/>
      <c r="Q21" s="75"/>
      <c r="R21" s="76"/>
      <c r="S21" s="75"/>
      <c r="T21" s="75"/>
      <c r="U21" s="75"/>
      <c r="V21" s="75"/>
      <c r="W21" s="75"/>
      <c r="X21" s="76"/>
      <c r="Y21" s="75"/>
      <c r="Z21" s="75"/>
      <c r="AA21" s="75"/>
      <c r="AB21" s="75"/>
      <c r="AC21" s="75"/>
      <c r="AD21" s="78"/>
      <c r="AE21" s="78"/>
      <c r="AF21" s="78"/>
      <c r="AG21" s="78"/>
      <c r="AH21" s="78"/>
      <c r="AI21" s="78"/>
      <c r="AJ21" s="78"/>
      <c r="AK21" s="75"/>
      <c r="AL21" s="75"/>
      <c r="AM21" s="75"/>
      <c r="AN21" s="75"/>
      <c r="AO21" s="75"/>
      <c r="AP21" s="83"/>
      <c r="AQ21" s="19"/>
      <c r="AR21" s="20"/>
      <c r="AS21" s="20"/>
      <c r="AT21" s="20"/>
      <c r="AU21" s="20"/>
      <c r="AV21" s="17"/>
      <c r="AW21" s="17"/>
      <c r="AX21" s="17"/>
      <c r="AY21" s="17"/>
      <c r="AZ21" s="17"/>
      <c r="BA21" s="18"/>
    </row>
    <row r="22" spans="1:53" x14ac:dyDescent="0.2">
      <c r="A22" s="47">
        <v>16000</v>
      </c>
      <c r="B22" s="47" t="s">
        <v>100</v>
      </c>
      <c r="C22" s="48">
        <v>50</v>
      </c>
      <c r="D22" s="49">
        <v>0.87979499999999999</v>
      </c>
      <c r="E22" s="49">
        <v>1.0794373298064121E-3</v>
      </c>
      <c r="F22" s="49">
        <v>1.5265549115440276E-4</v>
      </c>
      <c r="G22" s="49">
        <v>0.87948822730516429</v>
      </c>
      <c r="H22" s="49">
        <v>0.88010177269483569</v>
      </c>
      <c r="I22" s="17"/>
      <c r="J22" s="17"/>
      <c r="K22" s="17"/>
      <c r="L22" s="9"/>
      <c r="M22" s="75"/>
      <c r="N22" s="75"/>
      <c r="O22" s="75"/>
      <c r="P22" s="75"/>
      <c r="Q22" s="75"/>
      <c r="R22" s="76"/>
      <c r="S22" s="75"/>
      <c r="T22" s="75"/>
      <c r="U22" s="75"/>
      <c r="V22" s="75"/>
      <c r="W22" s="75"/>
      <c r="X22" s="76"/>
      <c r="Y22" s="75"/>
      <c r="Z22" s="75"/>
      <c r="AA22" s="75"/>
      <c r="AB22" s="75"/>
      <c r="AC22" s="75"/>
      <c r="AD22" s="76"/>
      <c r="AE22" s="76"/>
      <c r="AF22" s="76"/>
      <c r="AG22" s="76"/>
      <c r="AH22" s="76"/>
      <c r="AI22" s="76"/>
      <c r="AJ22" s="76"/>
      <c r="AK22" s="75"/>
      <c r="AL22" s="75"/>
      <c r="AM22" s="75"/>
      <c r="AN22" s="75"/>
      <c r="AO22" s="75"/>
      <c r="AP22" s="83"/>
      <c r="AQ22" s="19"/>
      <c r="AR22" s="20"/>
      <c r="AS22" s="20"/>
      <c r="AT22" s="20"/>
      <c r="AU22" s="20"/>
      <c r="AV22" s="17"/>
      <c r="AW22" s="17"/>
      <c r="AX22" s="17"/>
      <c r="AY22" s="17"/>
      <c r="AZ22" s="17"/>
      <c r="BA22" s="18"/>
    </row>
    <row r="23" spans="1:53" x14ac:dyDescent="0.2">
      <c r="A23" s="47">
        <v>16000</v>
      </c>
      <c r="B23" s="47" t="s">
        <v>101</v>
      </c>
      <c r="C23" s="48">
        <v>50</v>
      </c>
      <c r="D23" s="49">
        <v>0.86311000000000004</v>
      </c>
      <c r="E23" s="49">
        <v>1.0111432708996891E-3</v>
      </c>
      <c r="F23" s="49">
        <v>1.4299725272086327E-4</v>
      </c>
      <c r="G23" s="49">
        <v>0.86282263626195466</v>
      </c>
      <c r="H23" s="49">
        <v>0.86339736373804543</v>
      </c>
      <c r="I23" s="17"/>
      <c r="J23" s="17"/>
      <c r="K23" s="17"/>
      <c r="L23" s="9"/>
      <c r="M23" s="75"/>
      <c r="N23" s="75"/>
      <c r="O23" s="75"/>
      <c r="P23" s="75"/>
      <c r="Q23" s="75"/>
      <c r="R23" s="76"/>
      <c r="S23" s="75"/>
      <c r="T23" s="75"/>
      <c r="U23" s="75"/>
      <c r="V23" s="75"/>
      <c r="W23" s="75"/>
      <c r="X23" s="76"/>
      <c r="Y23" s="75"/>
      <c r="Z23" s="75"/>
      <c r="AA23" s="75"/>
      <c r="AB23" s="75"/>
      <c r="AC23" s="75"/>
      <c r="AD23" s="76"/>
      <c r="AE23" s="76"/>
      <c r="AF23" s="76"/>
      <c r="AG23" s="76"/>
      <c r="AH23" s="76"/>
      <c r="AI23" s="76"/>
      <c r="AJ23" s="76"/>
      <c r="AK23" s="75"/>
      <c r="AL23" s="75"/>
      <c r="AM23" s="75"/>
      <c r="AN23" s="75"/>
      <c r="AO23" s="75"/>
      <c r="AP23" s="83"/>
      <c r="AQ23" s="19"/>
      <c r="AR23" s="20"/>
      <c r="AS23" s="20"/>
      <c r="AT23" s="20"/>
      <c r="AU23" s="20"/>
      <c r="AV23" s="17"/>
      <c r="AW23" s="17"/>
      <c r="AX23" s="17"/>
      <c r="AY23" s="17"/>
      <c r="AZ23" s="17"/>
      <c r="BA23" s="18"/>
    </row>
    <row r="24" spans="1:53" x14ac:dyDescent="0.2">
      <c r="A24" s="47">
        <v>18000</v>
      </c>
      <c r="B24" s="47" t="s">
        <v>46</v>
      </c>
      <c r="C24" s="48">
        <v>1</v>
      </c>
      <c r="D24" s="49">
        <v>0.86355555555555552</v>
      </c>
      <c r="E24" s="49">
        <v>0</v>
      </c>
      <c r="F24" s="49">
        <v>0</v>
      </c>
      <c r="G24" s="49">
        <v>0.86355555555555552</v>
      </c>
      <c r="H24" s="49">
        <v>0.86355555555555552</v>
      </c>
      <c r="I24" s="17"/>
      <c r="J24" s="17"/>
      <c r="K24" s="17"/>
      <c r="L24" s="9"/>
      <c r="M24" s="75"/>
      <c r="N24" s="75"/>
      <c r="O24" s="75"/>
      <c r="P24" s="75"/>
      <c r="Q24" s="75"/>
      <c r="R24" s="76"/>
      <c r="S24" s="75"/>
      <c r="T24" s="75"/>
      <c r="U24" s="75"/>
      <c r="V24" s="75"/>
      <c r="W24" s="75"/>
      <c r="X24" s="76"/>
      <c r="Y24" s="75"/>
      <c r="Z24" s="75"/>
      <c r="AA24" s="75"/>
      <c r="AB24" s="75"/>
      <c r="AC24" s="75"/>
      <c r="AD24" s="76"/>
      <c r="AE24" s="76"/>
      <c r="AF24" s="76"/>
      <c r="AG24" s="76"/>
      <c r="AH24" s="76"/>
      <c r="AI24" s="76"/>
      <c r="AJ24" s="76"/>
      <c r="AK24" s="75"/>
      <c r="AL24" s="75"/>
      <c r="AM24" s="75"/>
      <c r="AN24" s="75"/>
      <c r="AO24" s="75"/>
      <c r="AP24" s="83"/>
      <c r="AQ24" s="19"/>
      <c r="AR24" s="20"/>
      <c r="AS24" s="20"/>
      <c r="AT24" s="20"/>
      <c r="AU24" s="20"/>
      <c r="AV24" s="17"/>
      <c r="AW24" s="17"/>
      <c r="AX24" s="17"/>
      <c r="AY24" s="17"/>
      <c r="AZ24" s="17"/>
      <c r="BA24" s="18"/>
    </row>
    <row r="25" spans="1:53" x14ac:dyDescent="0.2">
      <c r="A25" s="47">
        <v>18000</v>
      </c>
      <c r="B25" s="47" t="s">
        <v>50</v>
      </c>
      <c r="C25" s="48">
        <v>50</v>
      </c>
      <c r="D25" s="49">
        <v>0.1645777777777778</v>
      </c>
      <c r="E25" s="49">
        <v>1.4628601052659605E-3</v>
      </c>
      <c r="F25" s="49">
        <v>2.0687966007216547E-4</v>
      </c>
      <c r="G25" s="49">
        <v>0.16416203753583106</v>
      </c>
      <c r="H25" s="49">
        <v>0.16499351801972453</v>
      </c>
      <c r="I25" s="17"/>
      <c r="J25" s="17"/>
      <c r="K25" s="17"/>
      <c r="L25" s="9"/>
      <c r="M25" s="75"/>
      <c r="N25" s="75"/>
      <c r="O25" s="75"/>
      <c r="P25" s="75"/>
      <c r="Q25" s="75"/>
      <c r="R25" s="76"/>
      <c r="S25" s="75"/>
      <c r="T25" s="75"/>
      <c r="U25" s="75"/>
      <c r="V25" s="75"/>
      <c r="W25" s="75"/>
      <c r="X25" s="76"/>
      <c r="Y25" s="75"/>
      <c r="Z25" s="75"/>
      <c r="AA25" s="75"/>
      <c r="AB25" s="75"/>
      <c r="AC25" s="75"/>
      <c r="AD25" s="76"/>
      <c r="AE25" s="76"/>
      <c r="AF25" s="76"/>
      <c r="AG25" s="76"/>
      <c r="AH25" s="76"/>
      <c r="AI25" s="76"/>
      <c r="AJ25" s="76"/>
      <c r="AK25" s="75"/>
      <c r="AL25" s="75"/>
      <c r="AM25" s="75"/>
      <c r="AN25" s="75"/>
      <c r="AO25" s="75"/>
      <c r="AP25" s="83"/>
      <c r="AQ25" s="19"/>
      <c r="AR25" s="20"/>
      <c r="AS25" s="20"/>
      <c r="AT25" s="20"/>
      <c r="AU25" s="20"/>
      <c r="AV25" s="17"/>
      <c r="AW25" s="17"/>
      <c r="AX25" s="17"/>
      <c r="AY25" s="17"/>
      <c r="AZ25" s="17"/>
      <c r="BA25" s="18"/>
    </row>
    <row r="26" spans="1:53" x14ac:dyDescent="0.2">
      <c r="A26" s="47">
        <v>18000</v>
      </c>
      <c r="B26" s="47" t="s">
        <v>52</v>
      </c>
      <c r="C26" s="48">
        <v>50</v>
      </c>
      <c r="D26" s="49">
        <v>0.66413333333333324</v>
      </c>
      <c r="E26" s="49">
        <v>1.3347498144863465E-3</v>
      </c>
      <c r="F26" s="49">
        <v>1.8876212900215638E-4</v>
      </c>
      <c r="G26" s="49">
        <v>0.66375400163318277</v>
      </c>
      <c r="H26" s="49">
        <v>0.66451266503348372</v>
      </c>
      <c r="I26" s="17"/>
      <c r="J26" s="17"/>
      <c r="K26" s="17"/>
      <c r="L26" s="9"/>
      <c r="M26" s="75"/>
      <c r="N26" s="75"/>
      <c r="O26" s="75"/>
      <c r="P26" s="75"/>
      <c r="Q26" s="75"/>
      <c r="R26" s="76"/>
      <c r="S26" s="75"/>
      <c r="T26" s="75"/>
      <c r="U26" s="75"/>
      <c r="V26" s="75"/>
      <c r="W26" s="75"/>
      <c r="X26" s="76"/>
      <c r="Y26" s="75"/>
      <c r="Z26" s="75"/>
      <c r="AA26" s="75"/>
      <c r="AB26" s="75"/>
      <c r="AC26" s="75"/>
      <c r="AD26" s="76"/>
      <c r="AE26" s="76"/>
      <c r="AF26" s="76"/>
      <c r="AG26" s="76"/>
      <c r="AH26" s="76"/>
      <c r="AI26" s="76"/>
      <c r="AJ26" s="76"/>
      <c r="AK26" s="75"/>
      <c r="AL26" s="75"/>
      <c r="AM26" s="75"/>
      <c r="AN26" s="75"/>
      <c r="AO26" s="75"/>
      <c r="AP26" s="83"/>
      <c r="AQ26" s="19"/>
      <c r="AR26" s="20"/>
      <c r="AS26" s="20"/>
      <c r="AT26" s="20"/>
      <c r="AU26" s="20"/>
      <c r="AV26" s="17"/>
      <c r="AW26" s="17"/>
      <c r="AX26" s="17"/>
      <c r="AY26" s="17"/>
      <c r="AZ26" s="17"/>
      <c r="BA26" s="18"/>
    </row>
    <row r="27" spans="1:53" x14ac:dyDescent="0.2">
      <c r="A27" s="47">
        <v>18000</v>
      </c>
      <c r="B27" s="47" t="s">
        <v>51</v>
      </c>
      <c r="C27" s="48">
        <v>1</v>
      </c>
      <c r="D27" s="49">
        <v>0.72211111111111115</v>
      </c>
      <c r="E27" s="49">
        <v>0</v>
      </c>
      <c r="F27" s="49">
        <v>0</v>
      </c>
      <c r="G27" s="49">
        <v>0.72211111111111115</v>
      </c>
      <c r="H27" s="49">
        <v>0.72211111111111115</v>
      </c>
      <c r="I27" s="17"/>
      <c r="J27" s="17"/>
      <c r="K27" s="17"/>
      <c r="L27" s="9"/>
      <c r="M27" s="75"/>
      <c r="N27" s="75"/>
      <c r="O27" s="75"/>
      <c r="P27" s="75"/>
      <c r="Q27" s="75"/>
      <c r="R27" s="76"/>
      <c r="S27" s="75"/>
      <c r="T27" s="75"/>
      <c r="U27" s="75"/>
      <c r="V27" s="75"/>
      <c r="W27" s="75"/>
      <c r="X27" s="76"/>
      <c r="Y27" s="75"/>
      <c r="Z27" s="75"/>
      <c r="AA27" s="75"/>
      <c r="AB27" s="75"/>
      <c r="AC27" s="75"/>
      <c r="AD27" s="76"/>
      <c r="AE27" s="76"/>
      <c r="AF27" s="76"/>
      <c r="AG27" s="76"/>
      <c r="AH27" s="76"/>
      <c r="AI27" s="76"/>
      <c r="AJ27" s="76"/>
      <c r="AK27" s="75"/>
      <c r="AL27" s="75"/>
      <c r="AM27" s="75"/>
      <c r="AN27" s="75"/>
      <c r="AO27" s="75"/>
      <c r="AP27" s="83"/>
      <c r="AQ27" s="19"/>
      <c r="AR27" s="20"/>
      <c r="AS27" s="20"/>
      <c r="AT27" s="20"/>
      <c r="AU27" s="20"/>
      <c r="AV27" s="17"/>
      <c r="AW27" s="17"/>
      <c r="AX27" s="17"/>
      <c r="AY27" s="17"/>
      <c r="AZ27" s="17"/>
      <c r="BA27" s="18"/>
    </row>
    <row r="28" spans="1:53" x14ac:dyDescent="0.2">
      <c r="A28" s="47">
        <v>18000</v>
      </c>
      <c r="B28" s="47" t="s">
        <v>99</v>
      </c>
      <c r="C28" s="48">
        <v>50</v>
      </c>
      <c r="D28" s="49">
        <v>0.82889111111111125</v>
      </c>
      <c r="E28" s="49">
        <v>1.0248831579884275E-3</v>
      </c>
      <c r="F28" s="49">
        <v>1.4494036618750017E-4</v>
      </c>
      <c r="G28" s="49">
        <v>0.82859984254036045</v>
      </c>
      <c r="H28" s="49">
        <v>0.82918237968186204</v>
      </c>
      <c r="I28" s="17"/>
      <c r="J28" s="17"/>
      <c r="K28" s="17"/>
      <c r="L28" s="9"/>
      <c r="M28" s="75"/>
      <c r="N28" s="75"/>
      <c r="O28" s="75"/>
      <c r="P28" s="75"/>
      <c r="Q28" s="75"/>
      <c r="R28" s="76"/>
      <c r="S28" s="75"/>
      <c r="T28" s="75"/>
      <c r="U28" s="75"/>
      <c r="V28" s="75"/>
      <c r="W28" s="75"/>
      <c r="X28" s="76"/>
      <c r="Y28" s="75"/>
      <c r="Z28" s="75"/>
      <c r="AA28" s="75"/>
      <c r="AB28" s="75"/>
      <c r="AC28" s="75"/>
      <c r="AD28" s="76"/>
      <c r="AE28" s="76"/>
      <c r="AF28" s="76"/>
      <c r="AG28" s="76"/>
      <c r="AH28" s="76"/>
      <c r="AI28" s="76"/>
      <c r="AJ28" s="76"/>
      <c r="AK28" s="75"/>
      <c r="AL28" s="75"/>
      <c r="AM28" s="75"/>
      <c r="AN28" s="75"/>
      <c r="AO28" s="75"/>
      <c r="AP28" s="83"/>
      <c r="AQ28" s="19"/>
      <c r="AR28" s="20"/>
      <c r="AS28" s="20"/>
      <c r="AT28" s="20"/>
      <c r="AU28" s="20"/>
      <c r="AV28" s="17"/>
      <c r="AW28" s="17"/>
      <c r="AX28" s="17"/>
      <c r="AY28" s="17"/>
      <c r="AZ28" s="17"/>
      <c r="BA28" s="18"/>
    </row>
    <row r="29" spans="1:53" x14ac:dyDescent="0.2">
      <c r="A29" s="47">
        <v>18000</v>
      </c>
      <c r="B29" s="47" t="s">
        <v>100</v>
      </c>
      <c r="C29" s="48">
        <v>50</v>
      </c>
      <c r="D29" s="49">
        <v>0.82919555555555557</v>
      </c>
      <c r="E29" s="49">
        <v>1.1617291045986811E-3</v>
      </c>
      <c r="F29" s="49">
        <v>1.6429330555270066E-4</v>
      </c>
      <c r="G29" s="49">
        <v>0.82886539579709073</v>
      </c>
      <c r="H29" s="49">
        <v>0.82952571531402042</v>
      </c>
      <c r="I29" s="17"/>
      <c r="J29" s="17"/>
      <c r="K29" s="17"/>
      <c r="L29" s="9"/>
      <c r="M29" s="75"/>
      <c r="N29" s="75"/>
      <c r="O29" s="75"/>
      <c r="P29" s="75"/>
      <c r="Q29" s="75"/>
      <c r="R29" s="76"/>
      <c r="S29" s="75"/>
      <c r="T29" s="75"/>
      <c r="U29" s="75"/>
      <c r="V29" s="75"/>
      <c r="W29" s="75"/>
      <c r="X29" s="76"/>
      <c r="Y29" s="75"/>
      <c r="Z29" s="75"/>
      <c r="AA29" s="75"/>
      <c r="AB29" s="75"/>
      <c r="AC29" s="75"/>
      <c r="AD29" s="76"/>
      <c r="AE29" s="76"/>
      <c r="AF29" s="76"/>
      <c r="AG29" s="76"/>
      <c r="AH29" s="76"/>
      <c r="AI29" s="76"/>
      <c r="AJ29" s="76"/>
      <c r="AK29" s="75"/>
      <c r="AL29" s="75"/>
      <c r="AM29" s="75"/>
      <c r="AN29" s="75"/>
      <c r="AO29" s="75"/>
      <c r="AP29" s="83"/>
      <c r="AQ29" s="19"/>
      <c r="AR29" s="20"/>
      <c r="AS29" s="20"/>
      <c r="AT29" s="20"/>
      <c r="AU29" s="20"/>
      <c r="AV29" s="17"/>
      <c r="AW29" s="17"/>
      <c r="AX29" s="17"/>
      <c r="AY29" s="17"/>
      <c r="AZ29" s="17"/>
      <c r="BA29" s="18"/>
    </row>
    <row r="30" spans="1:53" x14ac:dyDescent="0.2">
      <c r="A30" s="47">
        <v>18000</v>
      </c>
      <c r="B30" s="47" t="s">
        <v>101</v>
      </c>
      <c r="C30" s="48">
        <v>50</v>
      </c>
      <c r="D30" s="49">
        <v>0.80316777777777792</v>
      </c>
      <c r="E30" s="49">
        <v>1.3475475330174732E-3</v>
      </c>
      <c r="F30" s="49">
        <v>1.9057199971357167E-4</v>
      </c>
      <c r="G30" s="49">
        <v>0.80278480900626337</v>
      </c>
      <c r="H30" s="49">
        <v>0.80355074654929248</v>
      </c>
      <c r="I30" s="17"/>
      <c r="J30" s="17"/>
      <c r="K30" s="17"/>
      <c r="L30" s="9"/>
      <c r="M30" s="75"/>
      <c r="N30" s="75"/>
      <c r="O30" s="75"/>
      <c r="P30" s="75"/>
      <c r="Q30" s="75"/>
      <c r="R30" s="76"/>
      <c r="S30" s="75"/>
      <c r="T30" s="75"/>
      <c r="U30" s="75"/>
      <c r="V30" s="75"/>
      <c r="W30" s="75"/>
      <c r="X30" s="76"/>
      <c r="Y30" s="75"/>
      <c r="Z30" s="75"/>
      <c r="AA30" s="75"/>
      <c r="AB30" s="75"/>
      <c r="AC30" s="75"/>
      <c r="AD30" s="76"/>
      <c r="AE30" s="76"/>
      <c r="AF30" s="76"/>
      <c r="AG30" s="76"/>
      <c r="AH30" s="76"/>
      <c r="AI30" s="76"/>
      <c r="AJ30" s="76"/>
      <c r="AK30" s="75"/>
      <c r="AL30" s="75"/>
      <c r="AM30" s="75"/>
      <c r="AN30" s="75"/>
      <c r="AO30" s="75"/>
      <c r="AP30" s="83"/>
      <c r="AQ30" s="19"/>
      <c r="AR30" s="20"/>
      <c r="AS30" s="20"/>
      <c r="AT30" s="20"/>
      <c r="AU30" s="20"/>
      <c r="AV30" s="17"/>
      <c r="AW30" s="17"/>
      <c r="AX30" s="17"/>
      <c r="AY30" s="17"/>
      <c r="AZ30" s="17"/>
      <c r="BA30" s="18"/>
    </row>
    <row r="31" spans="1:53" x14ac:dyDescent="0.2">
      <c r="A31" s="47">
        <v>20000</v>
      </c>
      <c r="B31" s="47" t="s">
        <v>46</v>
      </c>
      <c r="C31" s="48">
        <v>1</v>
      </c>
      <c r="D31" s="49">
        <v>0.82520000000000004</v>
      </c>
      <c r="E31" s="49">
        <v>0</v>
      </c>
      <c r="F31" s="49">
        <v>0</v>
      </c>
      <c r="G31" s="49">
        <v>0.82520000000000004</v>
      </c>
      <c r="H31" s="49">
        <v>0.82520000000000004</v>
      </c>
      <c r="I31" s="17"/>
      <c r="J31" s="17"/>
      <c r="K31" s="17"/>
      <c r="L31" s="9"/>
      <c r="M31" s="75"/>
      <c r="N31" s="75"/>
      <c r="O31" s="75"/>
      <c r="P31" s="75"/>
      <c r="Q31" s="75"/>
      <c r="R31" s="76"/>
      <c r="S31" s="75"/>
      <c r="T31" s="75"/>
      <c r="U31" s="75"/>
      <c r="V31" s="75"/>
      <c r="W31" s="75"/>
      <c r="X31" s="76"/>
      <c r="Y31" s="75"/>
      <c r="Z31" s="75"/>
      <c r="AA31" s="75"/>
      <c r="AB31" s="75"/>
      <c r="AC31" s="75"/>
      <c r="AD31" s="76"/>
      <c r="AE31" s="76"/>
      <c r="AF31" s="76"/>
      <c r="AG31" s="76"/>
      <c r="AH31" s="76"/>
      <c r="AI31" s="76"/>
      <c r="AJ31" s="76"/>
      <c r="AK31" s="75"/>
      <c r="AL31" s="75"/>
      <c r="AM31" s="75"/>
      <c r="AN31" s="75"/>
      <c r="AO31" s="75"/>
      <c r="AP31" s="83"/>
      <c r="AQ31" s="19"/>
      <c r="AR31" s="20"/>
      <c r="AS31" s="20"/>
      <c r="AT31" s="20"/>
      <c r="AU31" s="20"/>
      <c r="AV31" s="17"/>
      <c r="AW31" s="17"/>
      <c r="AX31" s="17"/>
      <c r="AY31" s="17"/>
      <c r="AZ31" s="17"/>
      <c r="BA31" s="18"/>
    </row>
    <row r="32" spans="1:53" x14ac:dyDescent="0.2">
      <c r="A32" s="47">
        <v>20000</v>
      </c>
      <c r="B32" s="47" t="s">
        <v>50</v>
      </c>
      <c r="C32" s="48">
        <v>50</v>
      </c>
      <c r="D32" s="49">
        <v>0.15027699999999997</v>
      </c>
      <c r="E32" s="49">
        <v>1.3961758996835411E-3</v>
      </c>
      <c r="F32" s="49">
        <v>1.9744908927909216E-4</v>
      </c>
      <c r="G32" s="49">
        <v>0.149880211199591</v>
      </c>
      <c r="H32" s="49">
        <v>0.15067378880040894</v>
      </c>
      <c r="I32" s="17"/>
      <c r="J32" s="17"/>
      <c r="K32" s="17"/>
      <c r="L32" s="9"/>
      <c r="M32" s="75"/>
      <c r="N32" s="75"/>
      <c r="O32" s="75"/>
      <c r="P32" s="75"/>
      <c r="Q32" s="75"/>
      <c r="R32" s="76"/>
      <c r="S32" s="75"/>
      <c r="T32" s="75"/>
      <c r="U32" s="75"/>
      <c r="V32" s="75"/>
      <c r="W32" s="75"/>
      <c r="X32" s="76"/>
      <c r="Y32" s="75"/>
      <c r="Z32" s="75"/>
      <c r="AA32" s="75"/>
      <c r="AB32" s="75"/>
      <c r="AC32" s="75"/>
      <c r="AD32" s="76"/>
      <c r="AE32" s="76"/>
      <c r="AF32" s="76"/>
      <c r="AG32" s="76"/>
      <c r="AH32" s="76"/>
      <c r="AI32" s="76"/>
      <c r="AJ32" s="76"/>
      <c r="AK32" s="75"/>
      <c r="AL32" s="75"/>
      <c r="AM32" s="75"/>
      <c r="AN32" s="75"/>
      <c r="AO32" s="75"/>
      <c r="AP32" s="83"/>
      <c r="AQ32" s="19"/>
      <c r="AR32" s="20"/>
      <c r="AS32" s="20"/>
      <c r="AT32" s="20"/>
      <c r="AU32" s="20"/>
      <c r="AV32" s="17"/>
      <c r="AW32" s="17"/>
      <c r="AX32" s="17"/>
      <c r="AY32" s="17"/>
      <c r="AZ32" s="17"/>
      <c r="BA32" s="18"/>
    </row>
    <row r="33" spans="1:53" x14ac:dyDescent="0.2">
      <c r="A33" s="47">
        <v>20000</v>
      </c>
      <c r="B33" s="47" t="s">
        <v>52</v>
      </c>
      <c r="C33" s="48">
        <v>50</v>
      </c>
      <c r="D33" s="49">
        <v>0.59749200000000002</v>
      </c>
      <c r="E33" s="49">
        <v>1.1609004246352786E-3</v>
      </c>
      <c r="F33" s="49">
        <v>1.641761125083896E-4</v>
      </c>
      <c r="G33" s="49">
        <v>0.59716207574977498</v>
      </c>
      <c r="H33" s="49">
        <v>0.59782192425022507</v>
      </c>
      <c r="I33" s="17"/>
      <c r="J33" s="17"/>
      <c r="K33" s="17"/>
      <c r="L33" s="9"/>
      <c r="M33" s="75"/>
      <c r="N33" s="75"/>
      <c r="O33" s="75"/>
      <c r="P33" s="75"/>
      <c r="Q33" s="75"/>
      <c r="R33" s="76"/>
      <c r="S33" s="75"/>
      <c r="T33" s="75"/>
      <c r="U33" s="75"/>
      <c r="V33" s="75"/>
      <c r="W33" s="75"/>
      <c r="X33" s="76"/>
      <c r="Y33" s="75"/>
      <c r="Z33" s="75"/>
      <c r="AA33" s="75"/>
      <c r="AB33" s="75"/>
      <c r="AC33" s="75"/>
      <c r="AD33" s="76"/>
      <c r="AE33" s="76"/>
      <c r="AF33" s="76"/>
      <c r="AG33" s="76"/>
      <c r="AH33" s="76"/>
      <c r="AI33" s="76"/>
      <c r="AJ33" s="76"/>
      <c r="AK33" s="75"/>
      <c r="AL33" s="75"/>
      <c r="AM33" s="75"/>
      <c r="AN33" s="75"/>
      <c r="AO33" s="75"/>
      <c r="AP33" s="83"/>
      <c r="AQ33" s="19"/>
      <c r="AR33" s="20"/>
      <c r="AS33" s="20"/>
      <c r="AT33" s="20"/>
      <c r="AU33" s="20"/>
      <c r="AV33" s="17"/>
      <c r="AW33" s="17"/>
      <c r="AX33" s="17"/>
      <c r="AY33" s="17"/>
      <c r="AZ33" s="17"/>
      <c r="BA33" s="18"/>
    </row>
    <row r="34" spans="1:53" x14ac:dyDescent="0.2">
      <c r="A34" s="47">
        <v>20000</v>
      </c>
      <c r="B34" s="47" t="s">
        <v>51</v>
      </c>
      <c r="C34" s="48">
        <v>1</v>
      </c>
      <c r="D34" s="49">
        <v>0.63890000000000002</v>
      </c>
      <c r="E34" s="49">
        <v>0</v>
      </c>
      <c r="F34" s="49">
        <v>0</v>
      </c>
      <c r="G34" s="49">
        <v>0.63890000000000002</v>
      </c>
      <c r="H34" s="49">
        <v>0.63890000000000002</v>
      </c>
      <c r="I34" s="17"/>
      <c r="J34" s="17"/>
      <c r="K34" s="17"/>
      <c r="L34" s="9"/>
      <c r="M34" s="75"/>
      <c r="N34" s="75"/>
      <c r="O34" s="75"/>
      <c r="P34" s="75"/>
      <c r="Q34" s="75"/>
      <c r="R34" s="76"/>
      <c r="S34" s="75"/>
      <c r="T34" s="75"/>
      <c r="U34" s="75"/>
      <c r="V34" s="75"/>
      <c r="W34" s="75"/>
      <c r="X34" s="76"/>
      <c r="Y34" s="75"/>
      <c r="Z34" s="75"/>
      <c r="AA34" s="75"/>
      <c r="AB34" s="75"/>
      <c r="AC34" s="75"/>
      <c r="AD34" s="76"/>
      <c r="AE34" s="76"/>
      <c r="AF34" s="76"/>
      <c r="AG34" s="76"/>
      <c r="AH34" s="76"/>
      <c r="AI34" s="76"/>
      <c r="AJ34" s="76"/>
      <c r="AK34" s="75"/>
      <c r="AL34" s="75"/>
      <c r="AM34" s="75"/>
      <c r="AN34" s="75"/>
      <c r="AO34" s="75"/>
      <c r="AP34" s="83"/>
      <c r="AQ34" s="19"/>
      <c r="AR34" s="20"/>
      <c r="AS34" s="20"/>
      <c r="AT34" s="20"/>
      <c r="AU34" s="20"/>
      <c r="AV34" s="17"/>
      <c r="AW34" s="17"/>
      <c r="AX34" s="17"/>
      <c r="AY34" s="17"/>
      <c r="AZ34" s="17"/>
      <c r="BA34" s="18"/>
    </row>
    <row r="35" spans="1:53" x14ac:dyDescent="0.2">
      <c r="A35" s="47">
        <v>20000</v>
      </c>
      <c r="B35" s="47" t="s">
        <v>99</v>
      </c>
      <c r="C35" s="48">
        <v>50</v>
      </c>
      <c r="D35" s="49">
        <v>0.77625899999999992</v>
      </c>
      <c r="E35" s="49">
        <v>9.853876270332477E-4</v>
      </c>
      <c r="F35" s="49">
        <v>1.3935485463450599E-4</v>
      </c>
      <c r="G35" s="49">
        <v>0.7759789559349527</v>
      </c>
      <c r="H35" s="49">
        <v>0.77653904406504715</v>
      </c>
      <c r="I35" s="17"/>
      <c r="J35" s="17"/>
      <c r="K35" s="17"/>
      <c r="L35" s="9"/>
      <c r="M35" s="75"/>
      <c r="N35" s="75"/>
      <c r="O35" s="75"/>
      <c r="P35" s="75"/>
      <c r="Q35" s="75"/>
      <c r="R35" s="76"/>
      <c r="S35" s="75"/>
      <c r="T35" s="75"/>
      <c r="U35" s="75"/>
      <c r="V35" s="75"/>
      <c r="W35" s="75"/>
      <c r="X35" s="76"/>
      <c r="Y35" s="75"/>
      <c r="Z35" s="75"/>
      <c r="AA35" s="75"/>
      <c r="AB35" s="75"/>
      <c r="AC35" s="75"/>
      <c r="AD35" s="76"/>
      <c r="AE35" s="76"/>
      <c r="AF35" s="76"/>
      <c r="AG35" s="76"/>
      <c r="AH35" s="76"/>
      <c r="AI35" s="76"/>
      <c r="AJ35" s="76"/>
      <c r="AK35" s="75"/>
      <c r="AL35" s="75"/>
      <c r="AM35" s="75"/>
      <c r="AN35" s="75"/>
      <c r="AO35" s="75"/>
      <c r="AP35" s="83"/>
      <c r="AQ35" s="19"/>
      <c r="AR35" s="20"/>
      <c r="AS35" s="20"/>
      <c r="AT35" s="20"/>
      <c r="AU35" s="20"/>
      <c r="AV35" s="17"/>
      <c r="AW35" s="17"/>
      <c r="AX35" s="17"/>
      <c r="AY35" s="17"/>
      <c r="AZ35" s="17"/>
      <c r="BA35" s="18"/>
    </row>
    <row r="36" spans="1:53" x14ac:dyDescent="0.2">
      <c r="A36" s="47">
        <v>20000</v>
      </c>
      <c r="B36" s="47" t="s">
        <v>100</v>
      </c>
      <c r="C36" s="48">
        <v>50</v>
      </c>
      <c r="D36" s="49">
        <v>0.77618700000000018</v>
      </c>
      <c r="E36" s="49">
        <v>1.3562331537559959E-3</v>
      </c>
      <c r="F36" s="49">
        <v>1.9180033197817645E-4</v>
      </c>
      <c r="G36" s="49">
        <v>0.77580156280238366</v>
      </c>
      <c r="H36" s="49">
        <v>0.77657243719761671</v>
      </c>
      <c r="I36" s="17"/>
      <c r="J36" s="17"/>
      <c r="K36" s="17"/>
      <c r="L36" s="9"/>
      <c r="M36" s="75"/>
      <c r="N36" s="75"/>
      <c r="O36" s="75"/>
      <c r="P36" s="75"/>
      <c r="Q36" s="75"/>
      <c r="R36" s="76"/>
      <c r="S36" s="75"/>
      <c r="T36" s="75"/>
      <c r="U36" s="75"/>
      <c r="V36" s="75"/>
      <c r="W36" s="75"/>
      <c r="X36" s="76"/>
      <c r="Y36" s="75"/>
      <c r="Z36" s="75"/>
      <c r="AA36" s="75"/>
      <c r="AB36" s="75"/>
      <c r="AC36" s="75"/>
      <c r="AD36" s="76"/>
      <c r="AE36" s="76"/>
      <c r="AF36" s="76"/>
      <c r="AG36" s="76"/>
      <c r="AH36" s="76"/>
      <c r="AI36" s="76"/>
      <c r="AJ36" s="76"/>
      <c r="AK36" s="75"/>
      <c r="AL36" s="75"/>
      <c r="AM36" s="75"/>
      <c r="AN36" s="75"/>
      <c r="AO36" s="75"/>
      <c r="AP36" s="83"/>
      <c r="AQ36" s="19"/>
      <c r="AR36" s="20"/>
      <c r="AS36" s="20"/>
      <c r="AT36" s="20"/>
      <c r="AU36" s="20"/>
      <c r="AV36" s="17"/>
      <c r="AW36" s="17"/>
      <c r="AX36" s="17"/>
      <c r="AY36" s="17"/>
      <c r="AZ36" s="17"/>
      <c r="BA36" s="18"/>
    </row>
    <row r="37" spans="1:53" x14ac:dyDescent="0.2">
      <c r="A37" s="47">
        <v>20000</v>
      </c>
      <c r="B37" s="47" t="s">
        <v>101</v>
      </c>
      <c r="C37" s="48">
        <v>50</v>
      </c>
      <c r="D37" s="49">
        <v>0.75088200000000027</v>
      </c>
      <c r="E37" s="49">
        <v>1.0028917372950545E-3</v>
      </c>
      <c r="F37" s="49">
        <v>1.4183030964745814E-4</v>
      </c>
      <c r="G37" s="49">
        <v>0.75059698132185837</v>
      </c>
      <c r="H37" s="49">
        <v>0.75116701867814217</v>
      </c>
      <c r="I37" s="17"/>
      <c r="J37" s="17"/>
      <c r="K37" s="17"/>
      <c r="L37" s="9"/>
      <c r="M37" s="75"/>
      <c r="N37" s="75"/>
      <c r="O37" s="75"/>
      <c r="P37" s="75"/>
      <c r="Q37" s="75"/>
      <c r="R37" s="76"/>
      <c r="S37" s="75"/>
      <c r="T37" s="75"/>
      <c r="U37" s="75"/>
      <c r="V37" s="75"/>
      <c r="W37" s="75"/>
      <c r="X37" s="76"/>
      <c r="Y37" s="75"/>
      <c r="Z37" s="75"/>
      <c r="AA37" s="75"/>
      <c r="AB37" s="75"/>
      <c r="AC37" s="75"/>
      <c r="AD37" s="76"/>
      <c r="AE37" s="76"/>
      <c r="AF37" s="76"/>
      <c r="AG37" s="76"/>
      <c r="AH37" s="76"/>
      <c r="AI37" s="76"/>
      <c r="AJ37" s="76"/>
      <c r="AK37" s="75"/>
      <c r="AL37" s="75"/>
      <c r="AM37" s="75"/>
      <c r="AN37" s="75"/>
      <c r="AO37" s="75"/>
      <c r="AP37" s="83"/>
      <c r="AQ37" s="19"/>
      <c r="AR37" s="20"/>
      <c r="AS37" s="20"/>
      <c r="AT37" s="20"/>
      <c r="AU37" s="20"/>
      <c r="AV37" s="17"/>
      <c r="AW37" s="17"/>
      <c r="AX37" s="17"/>
      <c r="AY37" s="17"/>
      <c r="AZ37" s="17"/>
      <c r="BA37" s="18"/>
    </row>
    <row r="38" spans="1:53" ht="13.5" thickBot="1" x14ac:dyDescent="0.25">
      <c r="A38" s="23"/>
      <c r="B38" s="24"/>
      <c r="C38" s="24"/>
      <c r="D38" s="25"/>
      <c r="E38" s="25"/>
      <c r="F38" s="24"/>
      <c r="G38" s="24"/>
      <c r="H38" s="24"/>
      <c r="I38" s="24"/>
      <c r="J38" s="24"/>
      <c r="K38" s="24"/>
      <c r="L38" s="13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84"/>
      <c r="AQ38" s="27"/>
      <c r="AR38" s="28"/>
      <c r="AS38" s="28"/>
      <c r="AT38" s="28"/>
      <c r="AU38" s="28"/>
      <c r="AV38" s="24"/>
      <c r="AW38" s="24"/>
      <c r="AX38" s="24"/>
      <c r="AY38" s="24"/>
      <c r="AZ38" s="24"/>
      <c r="BA38" s="26"/>
    </row>
    <row r="39" spans="1:53" ht="13.5" thickBot="1" x14ac:dyDescent="0.25">
      <c r="I39" s="16" t="s">
        <v>9</v>
      </c>
      <c r="AP39" s="16" t="s">
        <v>9</v>
      </c>
      <c r="AQ39" s="30"/>
      <c r="AR39" s="30"/>
      <c r="AS39" s="30"/>
      <c r="AT39" s="30"/>
      <c r="AU39" s="30"/>
    </row>
    <row r="40" spans="1:53" s="8" customFormat="1" ht="13.5" thickBot="1" x14ac:dyDescent="0.25">
      <c r="A40" s="96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 t="s">
        <v>17</v>
      </c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8"/>
    </row>
    <row r="41" spans="1:53" s="8" customFormat="1" ht="13.5" thickBot="1" x14ac:dyDescent="0.25">
      <c r="A41" s="33" t="s">
        <v>12</v>
      </c>
      <c r="B41" s="33" t="s">
        <v>20</v>
      </c>
      <c r="C41" s="33" t="s">
        <v>2</v>
      </c>
      <c r="D41" s="33" t="s">
        <v>21</v>
      </c>
      <c r="E41" s="33" t="s">
        <v>22</v>
      </c>
      <c r="F41" s="34" t="s">
        <v>23</v>
      </c>
      <c r="G41" s="34" t="s">
        <v>24</v>
      </c>
      <c r="H41" s="34" t="s">
        <v>25</v>
      </c>
      <c r="I41" s="55"/>
      <c r="J41" s="55" t="str">
        <f t="shared" ref="J41:AN41" si="26">J$2</f>
        <v>Vertical</v>
      </c>
      <c r="K41" s="55" t="str">
        <f t="shared" si="26"/>
        <v>Horizontal</v>
      </c>
      <c r="L41" s="55" t="str">
        <f t="shared" si="26"/>
        <v>Algoritmos</v>
      </c>
      <c r="M41" s="55">
        <f t="shared" si="26"/>
        <v>12000</v>
      </c>
      <c r="N41" s="57">
        <f t="shared" si="26"/>
        <v>14000</v>
      </c>
      <c r="O41" s="57">
        <f t="shared" si="26"/>
        <v>16000</v>
      </c>
      <c r="P41" s="57">
        <f t="shared" si="26"/>
        <v>18000</v>
      </c>
      <c r="Q41" s="57">
        <f t="shared" si="26"/>
        <v>20000</v>
      </c>
      <c r="R41" s="55" t="str">
        <f t="shared" si="26"/>
        <v>-</v>
      </c>
      <c r="S41" s="52">
        <f t="shared" si="26"/>
        <v>12000</v>
      </c>
      <c r="T41" s="52">
        <f t="shared" si="26"/>
        <v>14000</v>
      </c>
      <c r="U41" s="52">
        <f t="shared" si="26"/>
        <v>16000</v>
      </c>
      <c r="V41" s="52">
        <f t="shared" si="26"/>
        <v>18000</v>
      </c>
      <c r="W41" s="52">
        <f t="shared" si="26"/>
        <v>20000</v>
      </c>
      <c r="X41" s="55" t="str">
        <f t="shared" si="26"/>
        <v>-</v>
      </c>
      <c r="Y41" s="53">
        <f t="shared" si="26"/>
        <v>12000</v>
      </c>
      <c r="Z41" s="53">
        <f t="shared" si="26"/>
        <v>14000</v>
      </c>
      <c r="AA41" s="53">
        <f t="shared" si="26"/>
        <v>16000</v>
      </c>
      <c r="AB41" s="53">
        <f t="shared" si="26"/>
        <v>18000</v>
      </c>
      <c r="AC41" s="53">
        <f t="shared" si="26"/>
        <v>20000</v>
      </c>
      <c r="AD41" s="55" t="str">
        <f t="shared" si="26"/>
        <v>-</v>
      </c>
      <c r="AE41" s="89">
        <f>M41</f>
        <v>12000</v>
      </c>
      <c r="AF41" s="89">
        <f t="shared" ref="AF41:AI41" si="27">N41</f>
        <v>14000</v>
      </c>
      <c r="AG41" s="89">
        <f t="shared" si="27"/>
        <v>16000</v>
      </c>
      <c r="AH41" s="89">
        <f t="shared" si="27"/>
        <v>18000</v>
      </c>
      <c r="AI41" s="89">
        <f t="shared" si="27"/>
        <v>20000</v>
      </c>
      <c r="AJ41" s="55"/>
      <c r="AK41" s="90">
        <f t="shared" si="26"/>
        <v>12000</v>
      </c>
      <c r="AL41" s="90">
        <f t="shared" si="26"/>
        <v>14000</v>
      </c>
      <c r="AM41" s="90">
        <f t="shared" si="26"/>
        <v>16000</v>
      </c>
      <c r="AN41" s="90">
        <f t="shared" si="26"/>
        <v>18000</v>
      </c>
      <c r="AO41" s="90">
        <f>AO$2</f>
        <v>20000</v>
      </c>
      <c r="AP41" s="85"/>
      <c r="AQ41" s="15"/>
      <c r="AR41" s="15"/>
      <c r="AS41" s="15"/>
      <c r="AT41" s="15"/>
      <c r="AU41" s="15"/>
      <c r="AV41" s="13"/>
      <c r="AW41" s="13"/>
      <c r="AX41" s="13"/>
      <c r="AY41" s="13"/>
      <c r="AZ41" s="13"/>
      <c r="BA41" s="14"/>
    </row>
    <row r="42" spans="1:53" x14ac:dyDescent="0.2">
      <c r="A42">
        <v>12000</v>
      </c>
      <c r="B42" t="s">
        <v>46</v>
      </c>
      <c r="C42" s="66">
        <v>1</v>
      </c>
      <c r="D42" s="67">
        <v>1204.496572664</v>
      </c>
      <c r="E42" s="67">
        <v>0</v>
      </c>
      <c r="F42" s="67">
        <v>0</v>
      </c>
      <c r="G42" s="67">
        <v>1204.496572664</v>
      </c>
      <c r="H42" s="67">
        <v>1204.496572664</v>
      </c>
      <c r="I42" s="17"/>
      <c r="J42" s="17" t="str">
        <f>$J3</f>
        <v>SOLVER_MAXIMUM_COST</v>
      </c>
      <c r="K42" s="17">
        <f>$K3</f>
        <v>12000</v>
      </c>
      <c r="L42" s="9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91">
        <f>M$43</f>
        <v>2.6259475999999994E-4</v>
      </c>
      <c r="AF42" s="91">
        <f t="shared" ref="AF42:AI42" si="28">N$43</f>
        <v>2.8507099999999991E-4</v>
      </c>
      <c r="AG42" s="91">
        <f t="shared" si="28"/>
        <v>3.0819274000000002E-4</v>
      </c>
      <c r="AH42" s="91">
        <f t="shared" si="28"/>
        <v>3.2911139999999996E-4</v>
      </c>
      <c r="AI42" s="91">
        <f t="shared" si="28"/>
        <v>3.6474121999999996E-4</v>
      </c>
      <c r="AJ42" s="17"/>
      <c r="AK42">
        <f>SUMIFS($D$42:$D$77, $A$42:$A$77, AK$41, $B$42:$B$77,  $J$42)</f>
        <v>1204.496572664</v>
      </c>
      <c r="AL42">
        <f t="shared" ref="AL42:AO49" si="29">SUMIFS($D$42:$D$77, $A$42:$A$77, AL$41, $B$42:$B$77,  $J$42)</f>
        <v>3603.2720461459999</v>
      </c>
      <c r="AM42">
        <f t="shared" si="29"/>
        <v>3601.9673100230002</v>
      </c>
      <c r="AN42">
        <f t="shared" si="29"/>
        <v>3603.5849273949998</v>
      </c>
      <c r="AO42">
        <f t="shared" si="29"/>
        <v>3605.4832893190001</v>
      </c>
      <c r="AP42" s="83"/>
      <c r="AQ42" s="20"/>
      <c r="AR42" s="20"/>
      <c r="AS42" s="20"/>
      <c r="AT42" s="20"/>
      <c r="AU42" s="20"/>
      <c r="AV42" s="17"/>
      <c r="AW42" s="17"/>
      <c r="AX42" s="17"/>
      <c r="AY42" s="17"/>
      <c r="AZ42" s="17"/>
      <c r="BA42" s="18"/>
    </row>
    <row r="43" spans="1:53" x14ac:dyDescent="0.2">
      <c r="A43">
        <v>12000</v>
      </c>
      <c r="B43" t="s">
        <v>50</v>
      </c>
      <c r="C43" s="66">
        <v>50</v>
      </c>
      <c r="D43" s="67">
        <v>2.6259475999999994E-4</v>
      </c>
      <c r="E43" s="67">
        <v>1.6221653927553321E-5</v>
      </c>
      <c r="F43" s="67">
        <v>2.2940882988468689E-6</v>
      </c>
      <c r="G43" s="67">
        <v>2.5798461696284935E-4</v>
      </c>
      <c r="H43" s="67">
        <v>2.6720490303715053E-4</v>
      </c>
      <c r="I43" s="17"/>
      <c r="J43" s="17" t="str">
        <f>$J4</f>
        <v>GREEDY_RANDOM</v>
      </c>
      <c r="K43" s="17">
        <f>$K4</f>
        <v>14000</v>
      </c>
      <c r="L43" s="9" t="str">
        <f>$L4</f>
        <v>GR</v>
      </c>
      <c r="M43">
        <f>SUMIFS($D$42:$D$77, $A$42:$A$77, M$2, $B$42:$B$77,  $J43)</f>
        <v>2.6259475999999994E-4</v>
      </c>
      <c r="N43">
        <f t="shared" ref="N43:Q49" si="30">SUMIFS($D$42:$D$77, $A$42:$A$77, N$2, $B$42:$B$77,  $J43)</f>
        <v>2.8507099999999991E-4</v>
      </c>
      <c r="O43">
        <f t="shared" si="30"/>
        <v>3.0819274000000002E-4</v>
      </c>
      <c r="P43">
        <f t="shared" si="30"/>
        <v>3.2911139999999996E-4</v>
      </c>
      <c r="Q43">
        <f t="shared" si="30"/>
        <v>3.6474121999999996E-4</v>
      </c>
      <c r="R43" s="36"/>
      <c r="S43" s="67">
        <f>-(SUMIFS($G$42:$G$77, $A$42:$A$77, S$2, $B$42:$B$77,  $J43)-M43)</f>
        <v>4.61014303715059E-6</v>
      </c>
      <c r="T43" s="67">
        <f t="shared" ref="T43:W43" si="31">-(SUMIFS($G$42:$G$77, $A$42:$A$77, T$2, $B$42:$B$77,  $J43)-N43)</f>
        <v>4.8320092716518299E-6</v>
      </c>
      <c r="U43" s="67">
        <f t="shared" si="31"/>
        <v>3.1665326727001414E-6</v>
      </c>
      <c r="V43" s="67">
        <f t="shared" si="31"/>
        <v>3.6826220997636535E-6</v>
      </c>
      <c r="W43" s="67">
        <f t="shared" si="31"/>
        <v>7.7702068616663481E-6</v>
      </c>
      <c r="X43" s="40"/>
      <c r="Y43" s="67">
        <f>SUMIFS($H$42:$H$77, $A$42:$A$77, Y$2, $B$42:$B$77,  $J43)-M43</f>
        <v>4.61014303715059E-6</v>
      </c>
      <c r="Z43" s="67">
        <f t="shared" ref="Z43:AC43" si="32">SUMIFS($H$42:$H$77, $A$42:$A$77, Z$2, $B$42:$B$77,  $J43)-N43</f>
        <v>4.8320092716518299E-6</v>
      </c>
      <c r="AA43" s="67">
        <f t="shared" si="32"/>
        <v>3.1665326727001414E-6</v>
      </c>
      <c r="AB43" s="67">
        <f t="shared" si="32"/>
        <v>3.6826220997636535E-6</v>
      </c>
      <c r="AC43" s="67">
        <f t="shared" si="32"/>
        <v>7.7702068616663481E-6</v>
      </c>
      <c r="AD43" s="40"/>
      <c r="AE43" s="91">
        <f t="shared" ref="AE43:AE49" si="33">M$43</f>
        <v>2.6259475999999994E-4</v>
      </c>
      <c r="AF43" s="91">
        <f t="shared" ref="AF43:AF49" si="34">N$43</f>
        <v>2.8507099999999991E-4</v>
      </c>
      <c r="AG43" s="91">
        <f t="shared" ref="AG43:AG49" si="35">O$43</f>
        <v>3.0819274000000002E-4</v>
      </c>
      <c r="AH43" s="91">
        <f t="shared" ref="AH43:AH49" si="36">P$43</f>
        <v>3.2911139999999996E-4</v>
      </c>
      <c r="AI43" s="91">
        <f t="shared" ref="AI43:AI49" si="37">Q$43</f>
        <v>3.6474121999999996E-4</v>
      </c>
      <c r="AJ43" s="40"/>
      <c r="AK43">
        <f t="shared" ref="AK43:AK49" si="38">SUMIFS($D$42:$D$77, $A$42:$A$77, AK$41, $B$42:$B$77,  $J$42)</f>
        <v>1204.496572664</v>
      </c>
      <c r="AL43">
        <f t="shared" si="29"/>
        <v>3603.2720461459999</v>
      </c>
      <c r="AM43">
        <f t="shared" si="29"/>
        <v>3601.9673100230002</v>
      </c>
      <c r="AN43">
        <f t="shared" si="29"/>
        <v>3603.5849273949998</v>
      </c>
      <c r="AO43">
        <f t="shared" si="29"/>
        <v>3605.4832893190001</v>
      </c>
      <c r="AP43" s="83"/>
      <c r="AQ43" s="20">
        <v>1</v>
      </c>
      <c r="AR43" s="20"/>
      <c r="AS43" s="20"/>
      <c r="AT43" s="20"/>
      <c r="AU43" s="20"/>
      <c r="AV43" s="17"/>
      <c r="AW43" s="17"/>
      <c r="AX43" s="17"/>
      <c r="AY43" s="17"/>
      <c r="AZ43" s="17"/>
      <c r="BA43" s="18"/>
    </row>
    <row r="44" spans="1:53" x14ac:dyDescent="0.2">
      <c r="A44">
        <v>12000</v>
      </c>
      <c r="B44" t="s">
        <v>52</v>
      </c>
      <c r="C44" s="66">
        <v>50</v>
      </c>
      <c r="D44" s="67">
        <v>8.7941886000000001E-4</v>
      </c>
      <c r="E44" s="67">
        <v>5.9767744811712291E-5</v>
      </c>
      <c r="F44" s="67">
        <v>8.4524355305177697E-6</v>
      </c>
      <c r="G44" s="67">
        <v>8.6243305486444015E-4</v>
      </c>
      <c r="H44" s="67">
        <v>8.9640466513555986E-4</v>
      </c>
      <c r="I44" s="17"/>
      <c r="J44" s="17" t="str">
        <f>$J5</f>
        <v>GREEDY_RANDOM_FALLBACK</v>
      </c>
      <c r="K44" s="17">
        <f>$K5</f>
        <v>16000</v>
      </c>
      <c r="L44" s="9" t="str">
        <f>$L5</f>
        <v>GRF</v>
      </c>
      <c r="M44">
        <f t="shared" ref="M44:M49" si="39">SUMIFS($D$42:$D$77, $A$42:$A$77, M$2, $B$42:$B$77,  $J44)</f>
        <v>8.7941886000000001E-4</v>
      </c>
      <c r="N44">
        <f t="shared" si="30"/>
        <v>8.9806171999999974E-4</v>
      </c>
      <c r="O44">
        <f t="shared" si="30"/>
        <v>9.3532613999999976E-4</v>
      </c>
      <c r="P44">
        <f t="shared" si="30"/>
        <v>9.6847839999999975E-4</v>
      </c>
      <c r="Q44">
        <f t="shared" si="30"/>
        <v>1.0390595599999999E-3</v>
      </c>
      <c r="R44" s="36"/>
      <c r="S44" s="67">
        <f t="shared" ref="S44:S49" si="40">-(SUMIFS($G$42:$G$77, $A$42:$A$77, S$2, $B$42:$B$77,  $J44)-M44)</f>
        <v>1.6985805135559854E-5</v>
      </c>
      <c r="T44" s="67">
        <f t="shared" ref="T44:T49" si="41">-(SUMIFS($G$42:$G$77, $A$42:$A$77, T$2, $B$42:$B$77,  $J44)-N44)</f>
        <v>8.9672093958342467E-6</v>
      </c>
      <c r="U44" s="67">
        <f t="shared" ref="U44:U49" si="42">-(SUMIFS($G$42:$G$77, $A$42:$A$77, U$2, $B$42:$B$77,  $J44)-O44)</f>
        <v>6.2011344026087836E-6</v>
      </c>
      <c r="V44" s="67">
        <f t="shared" ref="V44:V49" si="43">-(SUMIFS($G$42:$G$77, $A$42:$A$77, V$2, $B$42:$B$77,  $J44)-P44)</f>
        <v>9.0714277523706692E-6</v>
      </c>
      <c r="W44" s="67">
        <f t="shared" ref="W44:W49" si="44">-(SUMIFS($G$42:$G$77, $A$42:$A$77, W$2, $B$42:$B$77,  $J44)-Q44)</f>
        <v>2.3778768024566811E-5</v>
      </c>
      <c r="X44" s="40"/>
      <c r="Y44" s="67">
        <f t="shared" ref="Y44:Y49" si="45">SUMIFS($H$42:$H$77, $A$42:$A$77, Y$2, $B$42:$B$77,  $J44)-M44</f>
        <v>1.6985805135559854E-5</v>
      </c>
      <c r="Z44" s="67">
        <f t="shared" ref="Z44:Z49" si="46">SUMIFS($H$42:$H$77, $A$42:$A$77, Z$2, $B$42:$B$77,  $J44)-N44</f>
        <v>8.9672093958342467E-6</v>
      </c>
      <c r="AA44" s="67">
        <f t="shared" ref="AA44:AA49" si="47">SUMIFS($H$42:$H$77, $A$42:$A$77, AA$2, $B$42:$B$77,  $J44)-O44</f>
        <v>6.2011344026087836E-6</v>
      </c>
      <c r="AB44" s="67">
        <f t="shared" ref="AB44:AB49" si="48">SUMIFS($H$42:$H$77, $A$42:$A$77, AB$2, $B$42:$B$77,  $J44)-P44</f>
        <v>9.0714277523706692E-6</v>
      </c>
      <c r="AC44" s="67">
        <f t="shared" ref="AC44:AC49" si="49">SUMIFS($H$42:$H$77, $A$42:$A$77, AC$2, $B$42:$B$77,  $J44)-Q44</f>
        <v>2.3778768024566811E-5</v>
      </c>
      <c r="AD44" s="40"/>
      <c r="AE44" s="91">
        <f t="shared" si="33"/>
        <v>2.6259475999999994E-4</v>
      </c>
      <c r="AF44" s="91">
        <f t="shared" si="34"/>
        <v>2.8507099999999991E-4</v>
      </c>
      <c r="AG44" s="91">
        <f t="shared" si="35"/>
        <v>3.0819274000000002E-4</v>
      </c>
      <c r="AH44" s="91">
        <f t="shared" si="36"/>
        <v>3.2911139999999996E-4</v>
      </c>
      <c r="AI44" s="91">
        <f t="shared" si="37"/>
        <v>3.6474121999999996E-4</v>
      </c>
      <c r="AJ44" s="40"/>
      <c r="AK44">
        <f t="shared" si="38"/>
        <v>1204.496572664</v>
      </c>
      <c r="AL44">
        <f t="shared" si="29"/>
        <v>3603.2720461459999</v>
      </c>
      <c r="AM44">
        <f t="shared" si="29"/>
        <v>3601.9673100230002</v>
      </c>
      <c r="AN44">
        <f t="shared" si="29"/>
        <v>3603.5849273949998</v>
      </c>
      <c r="AO44">
        <f t="shared" si="29"/>
        <v>3605.4832893190001</v>
      </c>
      <c r="AP44" s="83"/>
      <c r="AQ44" s="20">
        <v>1</v>
      </c>
      <c r="AR44" s="20"/>
      <c r="AS44" s="20"/>
      <c r="AT44" s="20"/>
      <c r="AU44" s="20"/>
      <c r="AV44" s="17"/>
      <c r="AW44" s="17"/>
      <c r="AX44" s="17"/>
      <c r="AY44" s="17"/>
      <c r="AZ44" s="17"/>
      <c r="BA44" s="18"/>
    </row>
    <row r="45" spans="1:53" x14ac:dyDescent="0.2">
      <c r="A45">
        <v>12000</v>
      </c>
      <c r="B45" t="s">
        <v>51</v>
      </c>
      <c r="C45" s="66">
        <v>1</v>
      </c>
      <c r="D45" s="67">
        <v>1.0328809E-2</v>
      </c>
      <c r="E45" s="67">
        <v>0</v>
      </c>
      <c r="F45" s="67">
        <v>0</v>
      </c>
      <c r="G45" s="67">
        <v>1.0328809E-2</v>
      </c>
      <c r="H45" s="67">
        <v>1.0328809E-2</v>
      </c>
      <c r="I45" s="17"/>
      <c r="J45" s="17" t="str">
        <f>$J6</f>
        <v>GREEDY_CB</v>
      </c>
      <c r="K45" s="17">
        <f>$K6</f>
        <v>18000</v>
      </c>
      <c r="L45" s="9" t="str">
        <f>$L6</f>
        <v>GCB</v>
      </c>
      <c r="M45">
        <f t="shared" si="39"/>
        <v>1.0328809E-2</v>
      </c>
      <c r="N45">
        <f t="shared" si="30"/>
        <v>1.1523316E-2</v>
      </c>
      <c r="O45">
        <f t="shared" si="30"/>
        <v>1.5095737E-2</v>
      </c>
      <c r="P45">
        <f t="shared" si="30"/>
        <v>1.3893559E-2</v>
      </c>
      <c r="Q45">
        <f t="shared" si="30"/>
        <v>1.8628309999999999E-2</v>
      </c>
      <c r="R45" s="36"/>
      <c r="S45" s="67">
        <f t="shared" si="40"/>
        <v>0</v>
      </c>
      <c r="T45" s="67">
        <f t="shared" si="41"/>
        <v>0</v>
      </c>
      <c r="U45" s="67">
        <f t="shared" si="42"/>
        <v>0</v>
      </c>
      <c r="V45" s="67">
        <f t="shared" si="43"/>
        <v>0</v>
      </c>
      <c r="W45" s="67">
        <f t="shared" si="44"/>
        <v>0</v>
      </c>
      <c r="X45" s="40"/>
      <c r="Y45" s="67">
        <f t="shared" si="45"/>
        <v>0</v>
      </c>
      <c r="Z45" s="67">
        <f t="shared" si="46"/>
        <v>0</v>
      </c>
      <c r="AA45" s="67">
        <f t="shared" si="47"/>
        <v>0</v>
      </c>
      <c r="AB45" s="67">
        <f t="shared" si="48"/>
        <v>0</v>
      </c>
      <c r="AC45" s="67">
        <f t="shared" si="49"/>
        <v>0</v>
      </c>
      <c r="AD45" s="40"/>
      <c r="AE45" s="91">
        <f t="shared" si="33"/>
        <v>2.6259475999999994E-4</v>
      </c>
      <c r="AF45" s="91">
        <f t="shared" si="34"/>
        <v>2.8507099999999991E-4</v>
      </c>
      <c r="AG45" s="91">
        <f t="shared" si="35"/>
        <v>3.0819274000000002E-4</v>
      </c>
      <c r="AH45" s="91">
        <f t="shared" si="36"/>
        <v>3.2911139999999996E-4</v>
      </c>
      <c r="AI45" s="91">
        <f t="shared" si="37"/>
        <v>3.6474121999999996E-4</v>
      </c>
      <c r="AJ45" s="40"/>
      <c r="AK45">
        <f t="shared" si="38"/>
        <v>1204.496572664</v>
      </c>
      <c r="AL45">
        <f t="shared" si="29"/>
        <v>3603.2720461459999</v>
      </c>
      <c r="AM45">
        <f t="shared" si="29"/>
        <v>3601.9673100230002</v>
      </c>
      <c r="AN45">
        <f t="shared" si="29"/>
        <v>3603.5849273949998</v>
      </c>
      <c r="AO45">
        <f t="shared" si="29"/>
        <v>3605.4832893190001</v>
      </c>
      <c r="AP45" s="83"/>
      <c r="AQ45" s="20">
        <v>1</v>
      </c>
      <c r="AR45" s="20"/>
      <c r="AS45" s="20"/>
      <c r="AT45" s="20"/>
      <c r="AU45" s="20"/>
      <c r="AV45" s="17"/>
      <c r="AW45" s="17"/>
      <c r="AX45" s="17"/>
      <c r="AY45" s="17"/>
      <c r="AZ45" s="17"/>
      <c r="BA45" s="18"/>
    </row>
    <row r="46" spans="1:53" x14ac:dyDescent="0.2">
      <c r="A46">
        <v>12000</v>
      </c>
      <c r="B46" t="s">
        <v>99</v>
      </c>
      <c r="C46" s="66">
        <v>50</v>
      </c>
      <c r="D46" s="67">
        <v>1.4422178859999997E-2</v>
      </c>
      <c r="E46" s="67">
        <v>4.5062825027451353E-4</v>
      </c>
      <c r="F46" s="67">
        <v>6.3728458312667437E-5</v>
      </c>
      <c r="G46" s="67">
        <v>1.4294111728274437E-2</v>
      </c>
      <c r="H46" s="67">
        <v>1.4550245991725557E-2</v>
      </c>
      <c r="I46" s="17"/>
      <c r="J46" s="17" t="str">
        <f>$J7</f>
        <v>SA_GREEDY_RANDOM</v>
      </c>
      <c r="K46" s="17">
        <f>$K7</f>
        <v>20000</v>
      </c>
      <c r="L46" s="9" t="str">
        <f>$L7</f>
        <v>SAGR</v>
      </c>
      <c r="M46">
        <f t="shared" si="39"/>
        <v>1.4422178859999997E-2</v>
      </c>
      <c r="N46">
        <f t="shared" si="30"/>
        <v>0.12701005606000002</v>
      </c>
      <c r="O46">
        <f t="shared" si="30"/>
        <v>0.26486634385999996</v>
      </c>
      <c r="P46">
        <f t="shared" si="30"/>
        <v>0.42487687310000005</v>
      </c>
      <c r="Q46">
        <f t="shared" si="30"/>
        <v>0.53910295436</v>
      </c>
      <c r="R46" s="36"/>
      <c r="S46" s="67">
        <f t="shared" si="40"/>
        <v>1.2806713172556008E-4</v>
      </c>
      <c r="T46" s="67">
        <f t="shared" si="41"/>
        <v>1.5027829983229879E-3</v>
      </c>
      <c r="U46" s="67">
        <f t="shared" si="42"/>
        <v>1.7668156431452919E-3</v>
      </c>
      <c r="V46" s="67">
        <f t="shared" si="43"/>
        <v>2.9826278241492088E-3</v>
      </c>
      <c r="W46" s="67">
        <f t="shared" si="44"/>
        <v>5.7517638506030533E-3</v>
      </c>
      <c r="X46" s="40"/>
      <c r="Y46" s="67">
        <f t="shared" si="45"/>
        <v>1.2806713172556008E-4</v>
      </c>
      <c r="Z46" s="67">
        <f t="shared" si="46"/>
        <v>1.5027829983229879E-3</v>
      </c>
      <c r="AA46" s="67">
        <f t="shared" si="47"/>
        <v>1.7668156431452919E-3</v>
      </c>
      <c r="AB46" s="67">
        <f t="shared" si="48"/>
        <v>2.9826278241492088E-3</v>
      </c>
      <c r="AC46" s="67">
        <f t="shared" si="49"/>
        <v>5.7517638506030533E-3</v>
      </c>
      <c r="AD46" s="40"/>
      <c r="AE46" s="91">
        <f t="shared" si="33"/>
        <v>2.6259475999999994E-4</v>
      </c>
      <c r="AF46" s="91">
        <f t="shared" si="34"/>
        <v>2.8507099999999991E-4</v>
      </c>
      <c r="AG46" s="91">
        <f t="shared" si="35"/>
        <v>3.0819274000000002E-4</v>
      </c>
      <c r="AH46" s="91">
        <f t="shared" si="36"/>
        <v>3.2911139999999996E-4</v>
      </c>
      <c r="AI46" s="91">
        <f t="shared" si="37"/>
        <v>3.6474121999999996E-4</v>
      </c>
      <c r="AJ46" s="40"/>
      <c r="AK46">
        <f t="shared" si="38"/>
        <v>1204.496572664</v>
      </c>
      <c r="AL46">
        <f t="shared" si="29"/>
        <v>3603.2720461459999</v>
      </c>
      <c r="AM46">
        <f t="shared" si="29"/>
        <v>3601.9673100230002</v>
      </c>
      <c r="AN46">
        <f t="shared" si="29"/>
        <v>3603.5849273949998</v>
      </c>
      <c r="AO46">
        <f t="shared" si="29"/>
        <v>3605.4832893190001</v>
      </c>
      <c r="AP46" s="83"/>
      <c r="AQ46" s="20">
        <v>1</v>
      </c>
      <c r="AR46" s="20"/>
      <c r="AS46" s="20"/>
      <c r="AT46" s="20"/>
      <c r="AU46" s="20"/>
      <c r="AV46" s="17"/>
      <c r="AW46" s="17"/>
      <c r="AX46" s="17"/>
      <c r="AY46" s="17"/>
      <c r="AZ46" s="17"/>
      <c r="BA46" s="18"/>
    </row>
    <row r="47" spans="1:53" x14ac:dyDescent="0.2">
      <c r="A47">
        <v>12000</v>
      </c>
      <c r="B47" t="s">
        <v>100</v>
      </c>
      <c r="C47" s="66">
        <v>50</v>
      </c>
      <c r="D47" s="67">
        <v>1.1815234460000004E-2</v>
      </c>
      <c r="E47" s="67">
        <v>5.6973491528440753E-4</v>
      </c>
      <c r="F47" s="67">
        <v>8.0572684415269549E-5</v>
      </c>
      <c r="G47" s="67">
        <v>1.1653317588610049E-2</v>
      </c>
      <c r="H47" s="67">
        <v>1.1977151331389959E-2</v>
      </c>
      <c r="I47" s="17"/>
      <c r="J47" s="17" t="str">
        <f>$J8</f>
        <v>SA_GREEDY_RANDOM_FALLBACK</v>
      </c>
      <c r="K47" s="17">
        <f>$K8</f>
        <v>0</v>
      </c>
      <c r="L47" s="9" t="str">
        <f>$L8</f>
        <v>SAGRF</v>
      </c>
      <c r="M47">
        <f t="shared" si="39"/>
        <v>1.1815234460000004E-2</v>
      </c>
      <c r="N47">
        <f t="shared" si="30"/>
        <v>0.18486613263999999</v>
      </c>
      <c r="O47">
        <f t="shared" si="30"/>
        <v>0.26254204687999999</v>
      </c>
      <c r="P47">
        <f t="shared" si="30"/>
        <v>0.47402019070000007</v>
      </c>
      <c r="Q47">
        <f t="shared" si="30"/>
        <v>0.59055713170000002</v>
      </c>
      <c r="R47" s="17"/>
      <c r="S47" s="67">
        <f t="shared" si="40"/>
        <v>1.6191687138995478E-4</v>
      </c>
      <c r="T47" s="67">
        <f t="shared" si="41"/>
        <v>0.11788772503202317</v>
      </c>
      <c r="U47" s="67">
        <f t="shared" si="42"/>
        <v>2.0344019007111358E-3</v>
      </c>
      <c r="V47" s="67">
        <f t="shared" si="43"/>
        <v>0.1176449001109382</v>
      </c>
      <c r="W47" s="67">
        <f t="shared" si="44"/>
        <v>0.11811822490384688</v>
      </c>
      <c r="X47" s="17"/>
      <c r="Y47" s="67">
        <f t="shared" si="45"/>
        <v>1.6191687138995478E-4</v>
      </c>
      <c r="Z47" s="67">
        <f t="shared" si="46"/>
        <v>0.11788772503202319</v>
      </c>
      <c r="AA47" s="67">
        <f t="shared" si="47"/>
        <v>2.0344019007111358E-3</v>
      </c>
      <c r="AB47" s="67">
        <f t="shared" si="48"/>
        <v>0.11764490011093814</v>
      </c>
      <c r="AC47" s="67">
        <f t="shared" si="49"/>
        <v>0.11811822490384694</v>
      </c>
      <c r="AE47" s="91">
        <f t="shared" si="33"/>
        <v>2.6259475999999994E-4</v>
      </c>
      <c r="AF47" s="91">
        <f t="shared" si="34"/>
        <v>2.8507099999999991E-4</v>
      </c>
      <c r="AG47" s="91">
        <f t="shared" si="35"/>
        <v>3.0819274000000002E-4</v>
      </c>
      <c r="AH47" s="91">
        <f t="shared" si="36"/>
        <v>3.2911139999999996E-4</v>
      </c>
      <c r="AI47" s="91">
        <f t="shared" si="37"/>
        <v>3.6474121999999996E-4</v>
      </c>
      <c r="AK47">
        <f t="shared" si="38"/>
        <v>1204.496572664</v>
      </c>
      <c r="AL47">
        <f t="shared" si="29"/>
        <v>3603.2720461459999</v>
      </c>
      <c r="AM47">
        <f t="shared" si="29"/>
        <v>3601.9673100230002</v>
      </c>
      <c r="AN47">
        <f t="shared" si="29"/>
        <v>3603.5849273949998</v>
      </c>
      <c r="AO47">
        <f t="shared" si="29"/>
        <v>3605.4832893190001</v>
      </c>
      <c r="AP47" s="83"/>
      <c r="AQ47" s="20">
        <v>1</v>
      </c>
      <c r="AR47" s="20"/>
      <c r="AS47" s="20"/>
      <c r="AT47" s="20"/>
      <c r="AU47" s="20"/>
      <c r="AV47" s="17"/>
      <c r="AW47" s="17"/>
      <c r="AX47" s="17"/>
      <c r="AY47" s="17"/>
      <c r="AZ47" s="17"/>
      <c r="BA47" s="18"/>
    </row>
    <row r="48" spans="1:53" x14ac:dyDescent="0.2">
      <c r="A48">
        <v>12000</v>
      </c>
      <c r="B48" t="s">
        <v>101</v>
      </c>
      <c r="C48" s="66">
        <v>50</v>
      </c>
      <c r="D48" s="67">
        <v>2.6481127679999997E-2</v>
      </c>
      <c r="E48" s="67">
        <v>2.0113919130165417E-3</v>
      </c>
      <c r="F48" s="67">
        <v>2.8445377226355578E-4</v>
      </c>
      <c r="G48" s="67">
        <v>2.5909496423151157E-2</v>
      </c>
      <c r="H48" s="67">
        <v>2.7052758936848838E-2</v>
      </c>
      <c r="I48" s="17"/>
      <c r="J48" s="17" t="str">
        <f>$J9</f>
        <v>SA_GREEDY_CB</v>
      </c>
      <c r="K48" s="17">
        <f>$K9</f>
        <v>0</v>
      </c>
      <c r="L48" s="9" t="str">
        <f>$L9</f>
        <v>SAGCB</v>
      </c>
      <c r="M48">
        <f t="shared" si="39"/>
        <v>2.6481127679999997E-2</v>
      </c>
      <c r="N48">
        <f t="shared" si="30"/>
        <v>4.4140204500000009E-2</v>
      </c>
      <c r="O48">
        <f t="shared" si="30"/>
        <v>6.0259759980000008E-2</v>
      </c>
      <c r="P48">
        <f t="shared" si="30"/>
        <v>8.1735643699999971E-2</v>
      </c>
      <c r="Q48">
        <f t="shared" si="30"/>
        <v>8.523751907999999E-2</v>
      </c>
      <c r="R48" s="17"/>
      <c r="S48" s="67">
        <f t="shared" si="40"/>
        <v>5.7163125684884034E-4</v>
      </c>
      <c r="T48" s="67">
        <f t="shared" si="41"/>
        <v>8.5748693549485971E-4</v>
      </c>
      <c r="U48" s="67">
        <f t="shared" si="42"/>
        <v>7.0636712990336525E-4</v>
      </c>
      <c r="V48" s="67">
        <f t="shared" si="43"/>
        <v>1.3948976732436613E-3</v>
      </c>
      <c r="W48" s="67">
        <f t="shared" si="44"/>
        <v>1.5557376512500415E-3</v>
      </c>
      <c r="X48" s="17"/>
      <c r="Y48" s="67">
        <f t="shared" si="45"/>
        <v>5.7163125684884034E-4</v>
      </c>
      <c r="Z48" s="67">
        <f t="shared" si="46"/>
        <v>8.5748693549485971E-4</v>
      </c>
      <c r="AA48" s="67">
        <f t="shared" si="47"/>
        <v>7.0636712990336525E-4</v>
      </c>
      <c r="AB48" s="67">
        <f t="shared" si="48"/>
        <v>1.3948976732436613E-3</v>
      </c>
      <c r="AC48" s="67">
        <f t="shared" si="49"/>
        <v>1.5557376512500415E-3</v>
      </c>
      <c r="AD48" s="17"/>
      <c r="AE48" s="91">
        <f t="shared" si="33"/>
        <v>2.6259475999999994E-4</v>
      </c>
      <c r="AF48" s="91">
        <f t="shared" si="34"/>
        <v>2.8507099999999991E-4</v>
      </c>
      <c r="AG48" s="91">
        <f t="shared" si="35"/>
        <v>3.0819274000000002E-4</v>
      </c>
      <c r="AH48" s="91">
        <f t="shared" si="36"/>
        <v>3.2911139999999996E-4</v>
      </c>
      <c r="AI48" s="91">
        <f t="shared" si="37"/>
        <v>3.6474121999999996E-4</v>
      </c>
      <c r="AJ48" s="17"/>
      <c r="AK48">
        <f t="shared" si="38"/>
        <v>1204.496572664</v>
      </c>
      <c r="AL48">
        <f t="shared" si="29"/>
        <v>3603.2720461459999</v>
      </c>
      <c r="AM48">
        <f t="shared" si="29"/>
        <v>3601.9673100230002</v>
      </c>
      <c r="AN48">
        <f t="shared" si="29"/>
        <v>3603.5849273949998</v>
      </c>
      <c r="AO48">
        <f t="shared" si="29"/>
        <v>3605.4832893190001</v>
      </c>
      <c r="AP48" s="83"/>
      <c r="AQ48" s="20">
        <v>1</v>
      </c>
      <c r="AR48" s="20"/>
      <c r="AS48" s="20"/>
      <c r="AT48" s="20"/>
      <c r="AU48" s="20"/>
      <c r="AV48" s="17"/>
      <c r="AW48" s="17"/>
      <c r="AX48" s="17"/>
      <c r="AY48" s="17"/>
      <c r="AZ48" s="17"/>
      <c r="BA48" s="18"/>
    </row>
    <row r="49" spans="1:53" x14ac:dyDescent="0.2">
      <c r="A49">
        <v>14000</v>
      </c>
      <c r="B49" t="s">
        <v>46</v>
      </c>
      <c r="C49" s="66">
        <v>1</v>
      </c>
      <c r="D49" s="67">
        <v>3603.2720461459999</v>
      </c>
      <c r="E49" s="67">
        <v>0</v>
      </c>
      <c r="F49" s="67">
        <v>0</v>
      </c>
      <c r="G49" s="67">
        <v>3603.2720461459999</v>
      </c>
      <c r="H49" s="67">
        <v>3603.2720461459999</v>
      </c>
      <c r="I49" s="17"/>
      <c r="J49" s="17">
        <f>$J10</f>
        <v>0</v>
      </c>
      <c r="K49" s="17">
        <f>$K10</f>
        <v>0</v>
      </c>
      <c r="L49" s="9">
        <f>$L10</f>
        <v>0</v>
      </c>
      <c r="M49">
        <f t="shared" si="39"/>
        <v>0</v>
      </c>
      <c r="N49">
        <f t="shared" si="30"/>
        <v>0</v>
      </c>
      <c r="O49">
        <f t="shared" si="30"/>
        <v>0</v>
      </c>
      <c r="P49">
        <f t="shared" si="30"/>
        <v>0</v>
      </c>
      <c r="Q49">
        <f t="shared" si="30"/>
        <v>0</v>
      </c>
      <c r="R49" s="17"/>
      <c r="S49" s="67">
        <f t="shared" si="40"/>
        <v>0</v>
      </c>
      <c r="T49" s="67">
        <f t="shared" si="41"/>
        <v>0</v>
      </c>
      <c r="U49" s="67">
        <f t="shared" si="42"/>
        <v>0</v>
      </c>
      <c r="V49" s="67">
        <f t="shared" si="43"/>
        <v>0</v>
      </c>
      <c r="W49" s="67">
        <f t="shared" si="44"/>
        <v>0</v>
      </c>
      <c r="X49" s="17"/>
      <c r="Y49" s="67">
        <f t="shared" si="45"/>
        <v>0</v>
      </c>
      <c r="Z49" s="67">
        <f t="shared" si="46"/>
        <v>0</v>
      </c>
      <c r="AA49" s="67">
        <f t="shared" si="47"/>
        <v>0</v>
      </c>
      <c r="AB49" s="67">
        <f t="shared" si="48"/>
        <v>0</v>
      </c>
      <c r="AC49" s="67">
        <f t="shared" si="49"/>
        <v>0</v>
      </c>
      <c r="AD49" s="17"/>
      <c r="AE49" s="91">
        <f t="shared" si="33"/>
        <v>2.6259475999999994E-4</v>
      </c>
      <c r="AF49" s="91">
        <f t="shared" si="34"/>
        <v>2.8507099999999991E-4</v>
      </c>
      <c r="AG49" s="91">
        <f t="shared" si="35"/>
        <v>3.0819274000000002E-4</v>
      </c>
      <c r="AH49" s="91">
        <f t="shared" si="36"/>
        <v>3.2911139999999996E-4</v>
      </c>
      <c r="AI49" s="91">
        <f t="shared" si="37"/>
        <v>3.6474121999999996E-4</v>
      </c>
      <c r="AJ49" s="17"/>
      <c r="AK49">
        <f t="shared" si="38"/>
        <v>1204.496572664</v>
      </c>
      <c r="AL49">
        <f t="shared" si="29"/>
        <v>3603.2720461459999</v>
      </c>
      <c r="AM49">
        <f t="shared" si="29"/>
        <v>3601.9673100230002</v>
      </c>
      <c r="AN49">
        <f t="shared" si="29"/>
        <v>3603.5849273949998</v>
      </c>
      <c r="AO49">
        <f t="shared" si="29"/>
        <v>3605.4832893190001</v>
      </c>
      <c r="AP49" s="83"/>
      <c r="AQ49" s="20"/>
      <c r="AR49" s="20"/>
      <c r="AS49" s="20"/>
      <c r="AT49" s="20"/>
      <c r="AU49" s="20"/>
      <c r="AV49" s="17"/>
      <c r="AW49" s="17"/>
      <c r="AX49" s="17"/>
      <c r="AY49" s="17"/>
      <c r="AZ49" s="17"/>
      <c r="BA49" s="18"/>
    </row>
    <row r="50" spans="1:53" x14ac:dyDescent="0.2">
      <c r="A50">
        <v>14000</v>
      </c>
      <c r="B50" t="s">
        <v>50</v>
      </c>
      <c r="C50" s="66">
        <v>50</v>
      </c>
      <c r="D50" s="67">
        <v>2.8507099999999991E-4</v>
      </c>
      <c r="E50" s="67">
        <v>1.7002331933698786E-5</v>
      </c>
      <c r="F50" s="67">
        <v>2.4044928412605992E-6</v>
      </c>
      <c r="G50" s="67">
        <v>2.8023899072834808E-4</v>
      </c>
      <c r="H50" s="67">
        <v>2.8990300927165174E-4</v>
      </c>
      <c r="I50" s="17"/>
      <c r="J50" s="17"/>
      <c r="K50" s="17"/>
      <c r="L50" s="9"/>
      <c r="M50"/>
      <c r="N50"/>
      <c r="O50"/>
      <c r="P50"/>
      <c r="Q50"/>
      <c r="R50" s="17"/>
      <c r="S50"/>
      <c r="T50"/>
      <c r="U50"/>
      <c r="V50"/>
      <c r="W50"/>
      <c r="X50" s="17"/>
      <c r="Y50" s="67"/>
      <c r="Z50" s="67"/>
      <c r="AA50" s="67"/>
      <c r="AB50" s="67"/>
      <c r="AC50" s="67"/>
      <c r="AD50" s="17"/>
      <c r="AE50" s="17"/>
      <c r="AF50" s="17"/>
      <c r="AG50" s="17"/>
      <c r="AH50" s="17"/>
      <c r="AI50" s="17"/>
      <c r="AJ50" s="17"/>
      <c r="AK50"/>
      <c r="AL50"/>
      <c r="AM50"/>
      <c r="AN50"/>
      <c r="AO50"/>
      <c r="AP50" s="83"/>
      <c r="AQ50" s="20"/>
      <c r="AR50" s="20"/>
      <c r="AS50" s="20"/>
      <c r="AT50" s="20"/>
      <c r="AU50" s="20"/>
      <c r="AV50" s="17"/>
      <c r="AW50" s="17"/>
      <c r="AX50" s="17"/>
      <c r="AY50" s="17"/>
      <c r="AZ50" s="17"/>
      <c r="BA50" s="18"/>
    </row>
    <row r="51" spans="1:53" x14ac:dyDescent="0.2">
      <c r="A51">
        <v>14000</v>
      </c>
      <c r="B51" t="s">
        <v>52</v>
      </c>
      <c r="C51" s="66">
        <v>50</v>
      </c>
      <c r="D51" s="67">
        <v>8.9806171999999974E-4</v>
      </c>
      <c r="E51" s="67">
        <v>3.1552810041450141E-5</v>
      </c>
      <c r="F51" s="67">
        <v>4.462241189160077E-6</v>
      </c>
      <c r="G51" s="67">
        <v>8.890945106041655E-4</v>
      </c>
      <c r="H51" s="67">
        <v>9.0702892939583399E-4</v>
      </c>
      <c r="I51" s="17"/>
      <c r="J51" s="17"/>
      <c r="K51" s="17"/>
      <c r="L51" s="9"/>
      <c r="M51"/>
      <c r="N51"/>
      <c r="O51"/>
      <c r="P51"/>
      <c r="Q51"/>
      <c r="R51" s="17"/>
      <c r="S51"/>
      <c r="T51"/>
      <c r="U51"/>
      <c r="V51"/>
      <c r="W51"/>
      <c r="X51" s="17"/>
      <c r="Y51" s="67"/>
      <c r="Z51" s="67"/>
      <c r="AA51" s="67"/>
      <c r="AB51" s="67"/>
      <c r="AC51" s="67"/>
      <c r="AD51" s="17"/>
      <c r="AE51" s="17"/>
      <c r="AF51" s="17"/>
      <c r="AG51" s="17"/>
      <c r="AH51" s="17"/>
      <c r="AI51" s="17"/>
      <c r="AJ51" s="17"/>
      <c r="AK51"/>
      <c r="AL51"/>
      <c r="AM51"/>
      <c r="AN51"/>
      <c r="AO51"/>
      <c r="AP51" s="83"/>
      <c r="AQ51" s="20"/>
      <c r="AR51" s="20"/>
      <c r="AS51" s="20"/>
      <c r="AT51" s="20"/>
      <c r="AU51" s="20"/>
      <c r="AV51" s="17"/>
      <c r="AW51" s="17"/>
      <c r="AX51" s="17"/>
      <c r="AY51" s="17"/>
      <c r="AZ51" s="17"/>
      <c r="BA51" s="18"/>
    </row>
    <row r="52" spans="1:53" x14ac:dyDescent="0.2">
      <c r="A52">
        <v>14000</v>
      </c>
      <c r="B52" t="s">
        <v>51</v>
      </c>
      <c r="C52" s="66">
        <v>1</v>
      </c>
      <c r="D52" s="67">
        <v>1.1523316E-2</v>
      </c>
      <c r="E52" s="67">
        <v>0</v>
      </c>
      <c r="F52" s="67">
        <v>0</v>
      </c>
      <c r="G52" s="67">
        <v>1.1523316E-2</v>
      </c>
      <c r="H52" s="67">
        <v>1.1523316E-2</v>
      </c>
      <c r="I52" s="17"/>
      <c r="J52" s="17"/>
      <c r="K52" s="17"/>
      <c r="L52" s="9"/>
      <c r="M52"/>
      <c r="N52"/>
      <c r="O52"/>
      <c r="P52"/>
      <c r="Q52"/>
      <c r="R52" s="17"/>
      <c r="S52"/>
      <c r="T52"/>
      <c r="U52"/>
      <c r="V52"/>
      <c r="W52"/>
      <c r="X52" s="17"/>
      <c r="Y52" s="67"/>
      <c r="Z52" s="67"/>
      <c r="AA52" s="67"/>
      <c r="AB52" s="67"/>
      <c r="AC52" s="67"/>
      <c r="AD52" s="17"/>
      <c r="AE52" s="17"/>
      <c r="AF52" s="17"/>
      <c r="AG52" s="17"/>
      <c r="AH52" s="17"/>
      <c r="AI52" s="17"/>
      <c r="AJ52" s="17"/>
      <c r="AK52"/>
      <c r="AL52"/>
      <c r="AM52"/>
      <c r="AN52"/>
      <c r="AO52"/>
      <c r="AP52" s="83"/>
      <c r="AQ52" s="20"/>
      <c r="AR52" s="20"/>
      <c r="AS52" s="20"/>
      <c r="AT52" s="20"/>
      <c r="AU52" s="20"/>
      <c r="AV52" s="17"/>
      <c r="AW52" s="17"/>
      <c r="AX52" s="17"/>
      <c r="AY52" s="17"/>
      <c r="AZ52" s="17"/>
      <c r="BA52" s="18"/>
    </row>
    <row r="53" spans="1:53" x14ac:dyDescent="0.2">
      <c r="A53">
        <v>14000</v>
      </c>
      <c r="B53" t="s">
        <v>99</v>
      </c>
      <c r="C53" s="66">
        <v>50</v>
      </c>
      <c r="D53" s="67">
        <v>0.12701005606000002</v>
      </c>
      <c r="E53" s="67">
        <v>5.2878241587214665E-3</v>
      </c>
      <c r="F53" s="67">
        <v>7.4781126407079998E-4</v>
      </c>
      <c r="G53" s="67">
        <v>0.12550727306167703</v>
      </c>
      <c r="H53" s="67">
        <v>0.128512839058323</v>
      </c>
      <c r="I53" s="17"/>
      <c r="J53" s="17"/>
      <c r="K53" s="17"/>
      <c r="L53" s="9"/>
      <c r="M53"/>
      <c r="N53"/>
      <c r="O53"/>
      <c r="P53"/>
      <c r="Q53"/>
      <c r="R53" s="17"/>
      <c r="S53"/>
      <c r="T53"/>
      <c r="U53"/>
      <c r="V53"/>
      <c r="W53"/>
      <c r="X53" s="17"/>
      <c r="Y53" s="67"/>
      <c r="Z53" s="67"/>
      <c r="AA53" s="67"/>
      <c r="AB53" s="67"/>
      <c r="AC53" s="67"/>
      <c r="AD53" s="17"/>
      <c r="AE53" s="17"/>
      <c r="AF53" s="17"/>
      <c r="AG53" s="17"/>
      <c r="AH53" s="17"/>
      <c r="AI53" s="17"/>
      <c r="AJ53" s="17"/>
      <c r="AK53"/>
      <c r="AL53"/>
      <c r="AM53"/>
      <c r="AN53"/>
      <c r="AO53"/>
      <c r="AP53" s="83"/>
      <c r="AQ53" s="20"/>
      <c r="AR53" s="20"/>
      <c r="AS53" s="20"/>
      <c r="AT53" s="20"/>
      <c r="AU53" s="20"/>
      <c r="AV53" s="17"/>
      <c r="AW53" s="17"/>
      <c r="AX53" s="17"/>
      <c r="AY53" s="17"/>
      <c r="AZ53" s="17"/>
      <c r="BA53" s="18"/>
    </row>
    <row r="54" spans="1:53" x14ac:dyDescent="0.2">
      <c r="A54">
        <v>14000</v>
      </c>
      <c r="B54" t="s">
        <v>100</v>
      </c>
      <c r="C54" s="66">
        <v>50</v>
      </c>
      <c r="D54" s="67">
        <v>0.18486613263999999</v>
      </c>
      <c r="E54" s="67">
        <v>0.41481009642555494</v>
      </c>
      <c r="F54" s="67">
        <v>5.8663006417431107E-2</v>
      </c>
      <c r="G54" s="67">
        <v>6.6978407607976811E-2</v>
      </c>
      <c r="H54" s="67">
        <v>0.30275385767202317</v>
      </c>
      <c r="I54" s="17"/>
      <c r="J54" s="17"/>
      <c r="K54" s="17"/>
      <c r="L54" s="9"/>
      <c r="M54"/>
      <c r="N54"/>
      <c r="O54"/>
      <c r="P54"/>
      <c r="Q54"/>
      <c r="R54" s="17"/>
      <c r="S54"/>
      <c r="T54"/>
      <c r="U54"/>
      <c r="V54"/>
      <c r="W54"/>
      <c r="X54" s="17"/>
      <c r="Y54" s="67"/>
      <c r="Z54" s="67"/>
      <c r="AA54" s="67"/>
      <c r="AB54" s="67"/>
      <c r="AC54" s="67"/>
      <c r="AD54" s="17"/>
      <c r="AE54" s="17"/>
      <c r="AF54" s="17"/>
      <c r="AG54" s="17"/>
      <c r="AH54" s="17"/>
      <c r="AI54" s="17"/>
      <c r="AJ54" s="17"/>
      <c r="AK54"/>
      <c r="AL54"/>
      <c r="AM54"/>
      <c r="AN54"/>
      <c r="AO54"/>
      <c r="AP54" s="83"/>
      <c r="AQ54" s="20"/>
      <c r="AR54" s="20"/>
      <c r="AS54" s="20"/>
      <c r="AT54" s="20"/>
      <c r="AU54" s="20"/>
      <c r="AV54" s="17"/>
      <c r="AW54" s="17"/>
      <c r="AX54" s="17"/>
      <c r="AY54" s="17"/>
      <c r="AZ54" s="17"/>
      <c r="BA54" s="18"/>
    </row>
    <row r="55" spans="1:53" x14ac:dyDescent="0.2">
      <c r="A55">
        <v>14000</v>
      </c>
      <c r="B55" t="s">
        <v>101</v>
      </c>
      <c r="C55" s="66">
        <v>50</v>
      </c>
      <c r="D55" s="67">
        <v>4.4140204500000009E-2</v>
      </c>
      <c r="E55" s="67">
        <v>3.0172287937497723E-3</v>
      </c>
      <c r="F55" s="67">
        <v>4.2670058809035421E-4</v>
      </c>
      <c r="G55" s="67">
        <v>4.3282717564505149E-2</v>
      </c>
      <c r="H55" s="67">
        <v>4.4997691435494869E-2</v>
      </c>
      <c r="I55" s="17"/>
      <c r="J55" s="17"/>
      <c r="K55" s="17"/>
      <c r="L55" s="9"/>
      <c r="M55"/>
      <c r="N55"/>
      <c r="O55"/>
      <c r="P55"/>
      <c r="Q55"/>
      <c r="R55" s="17"/>
      <c r="S55"/>
      <c r="T55"/>
      <c r="U55"/>
      <c r="V55"/>
      <c r="W55"/>
      <c r="X55" s="17"/>
      <c r="Y55" s="67"/>
      <c r="Z55" s="67"/>
      <c r="AA55" s="67"/>
      <c r="AB55" s="67"/>
      <c r="AC55" s="67"/>
      <c r="AD55" s="17"/>
      <c r="AE55" s="17"/>
      <c r="AF55" s="17"/>
      <c r="AG55" s="17"/>
      <c r="AH55" s="17"/>
      <c r="AI55" s="17"/>
      <c r="AJ55" s="17"/>
      <c r="AK55"/>
      <c r="AL55"/>
      <c r="AM55"/>
      <c r="AN55"/>
      <c r="AO55"/>
      <c r="AP55" s="83"/>
      <c r="AQ55" s="20"/>
      <c r="AR55" s="20"/>
      <c r="AS55" s="20"/>
      <c r="AT55" s="20"/>
      <c r="AU55" s="20"/>
      <c r="AV55" s="17"/>
      <c r="AW55" s="17"/>
      <c r="AX55" s="17"/>
      <c r="AY55" s="17"/>
      <c r="AZ55" s="17"/>
      <c r="BA55" s="18"/>
    </row>
    <row r="56" spans="1:53" x14ac:dyDescent="0.2">
      <c r="A56">
        <v>16000</v>
      </c>
      <c r="B56" t="s">
        <v>46</v>
      </c>
      <c r="C56" s="66">
        <v>1</v>
      </c>
      <c r="D56" s="67">
        <v>3601.9673100230002</v>
      </c>
      <c r="E56" s="67">
        <v>0</v>
      </c>
      <c r="F56" s="67">
        <v>0</v>
      </c>
      <c r="G56" s="67">
        <v>3601.9673100230002</v>
      </c>
      <c r="H56" s="67">
        <v>3601.9673100230002</v>
      </c>
      <c r="I56" s="17"/>
      <c r="J56" s="17"/>
      <c r="K56" s="17"/>
      <c r="L56" s="9"/>
      <c r="M56"/>
      <c r="N56"/>
      <c r="O56"/>
      <c r="P56"/>
      <c r="Q56"/>
      <c r="R56" s="17"/>
      <c r="S56"/>
      <c r="T56"/>
      <c r="U56"/>
      <c r="V56"/>
      <c r="W56"/>
      <c r="X56" s="17"/>
      <c r="Y56" s="67"/>
      <c r="Z56" s="67"/>
      <c r="AA56" s="67"/>
      <c r="AB56" s="67"/>
      <c r="AC56" s="67"/>
      <c r="AD56" s="17"/>
      <c r="AE56" s="17"/>
      <c r="AF56" s="17"/>
      <c r="AG56" s="17"/>
      <c r="AH56" s="17"/>
      <c r="AI56" s="17"/>
      <c r="AJ56" s="17"/>
      <c r="AK56"/>
      <c r="AL56"/>
      <c r="AM56"/>
      <c r="AN56"/>
      <c r="AO56"/>
      <c r="AP56" s="83"/>
      <c r="AQ56" s="20"/>
      <c r="AR56" s="20"/>
      <c r="AS56" s="20"/>
      <c r="AT56" s="20"/>
      <c r="AU56" s="20"/>
      <c r="AV56" s="17"/>
      <c r="AW56" s="17"/>
      <c r="AX56" s="17"/>
      <c r="AY56" s="17"/>
      <c r="AZ56" s="17"/>
      <c r="BA56" s="18"/>
    </row>
    <row r="57" spans="1:53" x14ac:dyDescent="0.2">
      <c r="A57">
        <v>16000</v>
      </c>
      <c r="B57" t="s">
        <v>50</v>
      </c>
      <c r="C57" s="66">
        <v>50</v>
      </c>
      <c r="D57" s="67">
        <v>3.0819274000000002E-4</v>
      </c>
      <c r="E57" s="67">
        <v>1.1142039792019175E-5</v>
      </c>
      <c r="F57" s="67">
        <v>1.5757223786374216E-6</v>
      </c>
      <c r="G57" s="67">
        <v>3.0502620732729988E-4</v>
      </c>
      <c r="H57" s="67">
        <v>3.1135927267270016E-4</v>
      </c>
      <c r="I57" s="17"/>
      <c r="J57" s="17"/>
      <c r="K57" s="17"/>
      <c r="L57" s="9"/>
      <c r="M57"/>
      <c r="N57"/>
      <c r="O57"/>
      <c r="P57"/>
      <c r="Q57"/>
      <c r="R57" s="17"/>
      <c r="S57"/>
      <c r="T57"/>
      <c r="U57"/>
      <c r="V57"/>
      <c r="W57"/>
      <c r="X57" s="17"/>
      <c r="Y57" s="67"/>
      <c r="Z57" s="67"/>
      <c r="AA57" s="67"/>
      <c r="AB57" s="67"/>
      <c r="AC57" s="67"/>
      <c r="AD57" s="17"/>
      <c r="AE57" s="17"/>
      <c r="AF57" s="17"/>
      <c r="AG57" s="17"/>
      <c r="AH57" s="17"/>
      <c r="AI57" s="17"/>
      <c r="AJ57" s="17"/>
      <c r="AK57"/>
      <c r="AL57"/>
      <c r="AM57"/>
      <c r="AN57"/>
      <c r="AO57"/>
      <c r="AP57" s="83"/>
      <c r="AQ57" s="20"/>
      <c r="AR57" s="20"/>
      <c r="AS57" s="20"/>
      <c r="AT57" s="20"/>
      <c r="AU57" s="20"/>
      <c r="AV57" s="17"/>
      <c r="AW57" s="17"/>
      <c r="AX57" s="17"/>
      <c r="AY57" s="17"/>
      <c r="AZ57" s="17"/>
      <c r="BA57" s="18"/>
    </row>
    <row r="58" spans="1:53" x14ac:dyDescent="0.2">
      <c r="A58">
        <v>16000</v>
      </c>
      <c r="B58" t="s">
        <v>52</v>
      </c>
      <c r="C58" s="66">
        <v>50</v>
      </c>
      <c r="D58" s="67">
        <v>9.3532613999999976E-4</v>
      </c>
      <c r="E58" s="67">
        <v>2.1819855789016321E-5</v>
      </c>
      <c r="F58" s="67">
        <v>3.0857935985851973E-6</v>
      </c>
      <c r="G58" s="67">
        <v>9.2912500559739098E-4</v>
      </c>
      <c r="H58" s="67">
        <v>9.4152727440260855E-4</v>
      </c>
      <c r="I58" s="17"/>
      <c r="J58" s="17"/>
      <c r="K58" s="17"/>
      <c r="L58" s="9"/>
      <c r="M58"/>
      <c r="N58"/>
      <c r="O58"/>
      <c r="P58"/>
      <c r="Q58"/>
      <c r="R58" s="17"/>
      <c r="S58"/>
      <c r="T58"/>
      <c r="U58"/>
      <c r="V58"/>
      <c r="W58"/>
      <c r="X58" s="17"/>
      <c r="Y58" s="67"/>
      <c r="Z58" s="67"/>
      <c r="AA58" s="67"/>
      <c r="AB58" s="67"/>
      <c r="AC58" s="67"/>
      <c r="AD58" s="17"/>
      <c r="AE58" s="17"/>
      <c r="AF58" s="17"/>
      <c r="AG58" s="17"/>
      <c r="AH58" s="17"/>
      <c r="AI58" s="17"/>
      <c r="AJ58" s="17"/>
      <c r="AK58"/>
      <c r="AL58"/>
      <c r="AM58"/>
      <c r="AN58"/>
      <c r="AO58"/>
      <c r="AP58" s="83"/>
      <c r="AQ58" s="20"/>
      <c r="AR58" s="20"/>
      <c r="AS58" s="20"/>
      <c r="AT58" s="20"/>
      <c r="AU58" s="20"/>
      <c r="AV58" s="17"/>
      <c r="AW58" s="17"/>
      <c r="AX58" s="17"/>
      <c r="AY58" s="17"/>
      <c r="AZ58" s="17"/>
      <c r="BA58" s="18"/>
    </row>
    <row r="59" spans="1:53" x14ac:dyDescent="0.2">
      <c r="A59">
        <v>16000</v>
      </c>
      <c r="B59" t="s">
        <v>51</v>
      </c>
      <c r="C59" s="66">
        <v>1</v>
      </c>
      <c r="D59" s="67">
        <v>1.5095737E-2</v>
      </c>
      <c r="E59" s="67">
        <v>0</v>
      </c>
      <c r="F59" s="67">
        <v>0</v>
      </c>
      <c r="G59" s="67">
        <v>1.5095737E-2</v>
      </c>
      <c r="H59" s="67">
        <v>1.5095737E-2</v>
      </c>
      <c r="I59" s="17"/>
      <c r="J59" s="17"/>
      <c r="K59" s="17"/>
      <c r="L59" s="9"/>
      <c r="M59"/>
      <c r="N59"/>
      <c r="O59"/>
      <c r="P59"/>
      <c r="Q59"/>
      <c r="R59" s="17"/>
      <c r="S59"/>
      <c r="T59"/>
      <c r="U59"/>
      <c r="V59"/>
      <c r="W59"/>
      <c r="X59" s="17"/>
      <c r="Y59" s="67"/>
      <c r="Z59" s="67"/>
      <c r="AA59" s="67"/>
      <c r="AB59" s="67"/>
      <c r="AC59" s="67"/>
      <c r="AD59" s="17"/>
      <c r="AE59" s="17"/>
      <c r="AF59" s="17"/>
      <c r="AG59" s="17"/>
      <c r="AH59" s="17"/>
      <c r="AI59" s="17"/>
      <c r="AJ59" s="17"/>
      <c r="AK59"/>
      <c r="AL59"/>
      <c r="AM59"/>
      <c r="AN59"/>
      <c r="AO59"/>
      <c r="AP59" s="83"/>
      <c r="AQ59" s="20"/>
      <c r="AR59" s="20"/>
      <c r="AS59" s="20"/>
      <c r="AT59" s="20"/>
      <c r="AU59" s="20"/>
      <c r="AV59" s="17"/>
      <c r="AW59" s="17"/>
      <c r="AX59" s="17"/>
      <c r="AY59" s="17"/>
      <c r="AZ59" s="17"/>
      <c r="BA59" s="18"/>
    </row>
    <row r="60" spans="1:53" x14ac:dyDescent="0.2">
      <c r="A60">
        <v>16000</v>
      </c>
      <c r="B60" t="s">
        <v>99</v>
      </c>
      <c r="C60" s="66">
        <v>50</v>
      </c>
      <c r="D60" s="67">
        <v>0.26486634385999996</v>
      </c>
      <c r="E60" s="67">
        <v>6.2168725972121886E-3</v>
      </c>
      <c r="F60" s="67">
        <v>8.7919855425231243E-4</v>
      </c>
      <c r="G60" s="67">
        <v>0.26309952821685467</v>
      </c>
      <c r="H60" s="67">
        <v>0.26663315950314526</v>
      </c>
      <c r="I60" s="17"/>
      <c r="J60" s="17"/>
      <c r="K60" s="17"/>
      <c r="L60" s="9"/>
      <c r="M60"/>
      <c r="N60"/>
      <c r="O60"/>
      <c r="P60"/>
      <c r="Q60"/>
      <c r="R60" s="17"/>
      <c r="S60"/>
      <c r="T60"/>
      <c r="U60"/>
      <c r="V60"/>
      <c r="W60"/>
      <c r="X60" s="17"/>
      <c r="Y60" s="67"/>
      <c r="Z60" s="67"/>
      <c r="AA60" s="67"/>
      <c r="AB60" s="67"/>
      <c r="AC60" s="67"/>
      <c r="AD60" s="17"/>
      <c r="AE60" s="17"/>
      <c r="AF60" s="17"/>
      <c r="AG60" s="17"/>
      <c r="AH60" s="17"/>
      <c r="AI60" s="17"/>
      <c r="AJ60" s="17"/>
      <c r="AK60"/>
      <c r="AL60"/>
      <c r="AM60"/>
      <c r="AN60"/>
      <c r="AO60"/>
      <c r="AP60" s="83"/>
      <c r="AQ60" s="20"/>
      <c r="AR60" s="20"/>
      <c r="AS60" s="20"/>
      <c r="AT60" s="20"/>
      <c r="AU60" s="20"/>
      <c r="AV60" s="17"/>
      <c r="AW60" s="17"/>
      <c r="AX60" s="17"/>
      <c r="AY60" s="17"/>
      <c r="AZ60" s="17"/>
      <c r="BA60" s="18"/>
    </row>
    <row r="61" spans="1:53" x14ac:dyDescent="0.2">
      <c r="A61">
        <v>16000</v>
      </c>
      <c r="B61" t="s">
        <v>100</v>
      </c>
      <c r="C61" s="66">
        <v>50</v>
      </c>
      <c r="D61" s="67">
        <v>0.26254204687999999</v>
      </c>
      <c r="E61" s="67">
        <v>7.1584250894067463E-3</v>
      </c>
      <c r="F61" s="67">
        <v>1.0123541846670855E-3</v>
      </c>
      <c r="G61" s="67">
        <v>0.26050764497928885</v>
      </c>
      <c r="H61" s="67">
        <v>0.26457644878071113</v>
      </c>
      <c r="I61" s="17"/>
      <c r="J61" s="17"/>
      <c r="K61" s="17"/>
      <c r="L61" s="9"/>
      <c r="M61"/>
      <c r="N61"/>
      <c r="O61"/>
      <c r="P61"/>
      <c r="Q61"/>
      <c r="R61" s="17"/>
      <c r="S61"/>
      <c r="T61"/>
      <c r="U61"/>
      <c r="V61"/>
      <c r="W61"/>
      <c r="X61" s="17"/>
      <c r="Y61" s="67"/>
      <c r="Z61" s="67"/>
      <c r="AA61" s="67"/>
      <c r="AB61" s="67"/>
      <c r="AC61" s="67"/>
      <c r="AD61" s="17"/>
      <c r="AE61" s="17"/>
      <c r="AF61" s="17"/>
      <c r="AG61" s="17"/>
      <c r="AH61" s="17"/>
      <c r="AI61" s="17"/>
      <c r="AJ61" s="17"/>
      <c r="AK61"/>
      <c r="AL61"/>
      <c r="AM61"/>
      <c r="AN61"/>
      <c r="AO61"/>
      <c r="AP61" s="83"/>
      <c r="AQ61" s="20"/>
      <c r="AR61" s="20"/>
      <c r="AS61" s="20"/>
      <c r="AT61" s="20"/>
      <c r="AU61" s="20"/>
      <c r="AV61" s="17"/>
      <c r="AW61" s="17"/>
      <c r="AX61" s="17"/>
      <c r="AY61" s="17"/>
      <c r="AZ61" s="17"/>
      <c r="BA61" s="18"/>
    </row>
    <row r="62" spans="1:53" x14ac:dyDescent="0.2">
      <c r="A62">
        <v>16000</v>
      </c>
      <c r="B62" t="s">
        <v>101</v>
      </c>
      <c r="C62" s="66">
        <v>50</v>
      </c>
      <c r="D62" s="67">
        <v>6.0259759980000008E-2</v>
      </c>
      <c r="E62" s="67">
        <v>2.4854853818535015E-3</v>
      </c>
      <c r="F62" s="67">
        <v>3.5150071360972928E-4</v>
      </c>
      <c r="G62" s="67">
        <v>5.9553392850096643E-2</v>
      </c>
      <c r="H62" s="67">
        <v>6.0966127109903373E-2</v>
      </c>
      <c r="I62" s="17"/>
      <c r="J62" s="17"/>
      <c r="K62" s="17"/>
      <c r="L62" s="9"/>
      <c r="M62"/>
      <c r="N62"/>
      <c r="O62"/>
      <c r="P62"/>
      <c r="Q62"/>
      <c r="R62" s="17"/>
      <c r="S62"/>
      <c r="T62"/>
      <c r="U62"/>
      <c r="V62"/>
      <c r="W62"/>
      <c r="X62" s="17"/>
      <c r="Y62" s="67"/>
      <c r="Z62" s="67"/>
      <c r="AA62" s="67"/>
      <c r="AB62" s="67"/>
      <c r="AC62" s="67"/>
      <c r="AD62" s="17"/>
      <c r="AE62" s="17"/>
      <c r="AF62" s="17"/>
      <c r="AG62" s="17"/>
      <c r="AH62" s="17"/>
      <c r="AI62" s="17"/>
      <c r="AJ62" s="17"/>
      <c r="AK62"/>
      <c r="AL62"/>
      <c r="AM62"/>
      <c r="AN62"/>
      <c r="AO62"/>
      <c r="AP62" s="83"/>
      <c r="AQ62" s="20"/>
      <c r="AR62" s="20"/>
      <c r="AS62" s="20"/>
      <c r="AT62" s="20"/>
      <c r="AU62" s="20"/>
      <c r="AV62" s="17"/>
      <c r="AW62" s="17"/>
      <c r="AX62" s="17"/>
      <c r="AY62" s="17"/>
      <c r="AZ62" s="17"/>
      <c r="BA62" s="18"/>
    </row>
    <row r="63" spans="1:53" x14ac:dyDescent="0.2">
      <c r="A63">
        <v>18000</v>
      </c>
      <c r="B63" t="s">
        <v>46</v>
      </c>
      <c r="C63" s="66">
        <v>1</v>
      </c>
      <c r="D63" s="67">
        <v>3603.5849273949998</v>
      </c>
      <c r="E63" s="67">
        <v>0</v>
      </c>
      <c r="F63" s="67">
        <v>0</v>
      </c>
      <c r="G63" s="67">
        <v>3603.5849273949998</v>
      </c>
      <c r="H63" s="67">
        <v>3603.5849273949998</v>
      </c>
      <c r="J63" s="17"/>
      <c r="K63" s="17"/>
      <c r="L63" s="9"/>
      <c r="M63"/>
      <c r="N63"/>
      <c r="O63"/>
      <c r="P63"/>
      <c r="Q63"/>
      <c r="S63"/>
      <c r="T63"/>
      <c r="U63"/>
      <c r="V63"/>
      <c r="W63"/>
      <c r="Y63" s="67"/>
      <c r="Z63" s="67"/>
      <c r="AA63" s="67"/>
      <c r="AB63" s="67"/>
      <c r="AC63" s="67"/>
      <c r="AK63"/>
      <c r="AL63"/>
      <c r="AM63"/>
      <c r="AN63"/>
      <c r="AO63"/>
      <c r="AP63" s="83"/>
      <c r="BA63" s="18"/>
    </row>
    <row r="64" spans="1:53" x14ac:dyDescent="0.2">
      <c r="A64">
        <v>18000</v>
      </c>
      <c r="B64" t="s">
        <v>50</v>
      </c>
      <c r="C64" s="66">
        <v>50</v>
      </c>
      <c r="D64" s="67">
        <v>3.2911139999999996E-4</v>
      </c>
      <c r="E64" s="67">
        <v>1.2957997347788977E-5</v>
      </c>
      <c r="F64" s="67">
        <v>1.8325375590437766E-6</v>
      </c>
      <c r="G64" s="67">
        <v>3.2542877790023631E-4</v>
      </c>
      <c r="H64" s="67">
        <v>3.3279402209976361E-4</v>
      </c>
      <c r="I64" s="17"/>
      <c r="J64" s="17"/>
      <c r="K64" s="17"/>
      <c r="L64" s="9"/>
      <c r="M64"/>
      <c r="N64"/>
      <c r="O64"/>
      <c r="P64"/>
      <c r="Q64"/>
      <c r="R64" s="17"/>
      <c r="S64"/>
      <c r="T64"/>
      <c r="U64"/>
      <c r="V64"/>
      <c r="W64"/>
      <c r="X64" s="17"/>
      <c r="Y64" s="67"/>
      <c r="Z64" s="67"/>
      <c r="AA64" s="67"/>
      <c r="AB64" s="67"/>
      <c r="AC64" s="67"/>
      <c r="AD64" s="17"/>
      <c r="AE64" s="17"/>
      <c r="AF64" s="17"/>
      <c r="AG64" s="17"/>
      <c r="AH64" s="17"/>
      <c r="AI64" s="17"/>
      <c r="AJ64" s="17"/>
      <c r="AK64"/>
      <c r="AL64"/>
      <c r="AM64"/>
      <c r="AN64"/>
      <c r="AO64"/>
      <c r="AP64" s="83"/>
      <c r="AQ64" s="20"/>
      <c r="AR64" s="20"/>
      <c r="AS64" s="20"/>
      <c r="AT64" s="20"/>
      <c r="AU64" s="20"/>
      <c r="AV64" s="17"/>
      <c r="AW64" s="17"/>
      <c r="AX64" s="17"/>
      <c r="AY64" s="17"/>
      <c r="AZ64" s="17"/>
      <c r="BA64" s="18"/>
    </row>
    <row r="65" spans="1:53" x14ac:dyDescent="0.2">
      <c r="A65">
        <v>18000</v>
      </c>
      <c r="B65" t="s">
        <v>52</v>
      </c>
      <c r="C65" s="66">
        <v>50</v>
      </c>
      <c r="D65" s="67">
        <v>9.6847839999999975E-4</v>
      </c>
      <c r="E65" s="67">
        <v>3.1919521898112458E-5</v>
      </c>
      <c r="F65" s="67">
        <v>4.5141020772775637E-6</v>
      </c>
      <c r="G65" s="67">
        <v>9.5940697224762908E-4</v>
      </c>
      <c r="H65" s="67">
        <v>9.7754982775237042E-4</v>
      </c>
      <c r="I65" s="17"/>
      <c r="J65" s="17"/>
      <c r="K65" s="17"/>
      <c r="L65" s="9"/>
      <c r="M65"/>
      <c r="N65"/>
      <c r="O65"/>
      <c r="P65"/>
      <c r="Q65"/>
      <c r="R65" s="17"/>
      <c r="S65"/>
      <c r="T65"/>
      <c r="U65"/>
      <c r="V65"/>
      <c r="W65"/>
      <c r="X65" s="17"/>
      <c r="Y65" s="67"/>
      <c r="Z65" s="67"/>
      <c r="AA65" s="67"/>
      <c r="AB65" s="67"/>
      <c r="AC65" s="67"/>
      <c r="AD65" s="17"/>
      <c r="AE65" s="17"/>
      <c r="AF65" s="17"/>
      <c r="AG65" s="17"/>
      <c r="AH65" s="17"/>
      <c r="AI65" s="17"/>
      <c r="AJ65" s="17"/>
      <c r="AK65"/>
      <c r="AL65"/>
      <c r="AM65"/>
      <c r="AN65"/>
      <c r="AO65"/>
      <c r="AP65" s="83"/>
      <c r="AQ65" s="20"/>
      <c r="AR65" s="20"/>
      <c r="AS65" s="20"/>
      <c r="AT65" s="20"/>
      <c r="AU65" s="20"/>
      <c r="AV65" s="17"/>
      <c r="AW65" s="17"/>
      <c r="AX65" s="17"/>
      <c r="AY65" s="17"/>
      <c r="AZ65" s="17"/>
      <c r="BA65" s="18"/>
    </row>
    <row r="66" spans="1:53" x14ac:dyDescent="0.2">
      <c r="A66">
        <v>18000</v>
      </c>
      <c r="B66" t="s">
        <v>51</v>
      </c>
      <c r="C66" s="66">
        <v>1</v>
      </c>
      <c r="D66" s="67">
        <v>1.3893559E-2</v>
      </c>
      <c r="E66" s="67">
        <v>0</v>
      </c>
      <c r="F66" s="67">
        <v>0</v>
      </c>
      <c r="G66" s="67">
        <v>1.3893559E-2</v>
      </c>
      <c r="H66" s="67">
        <v>1.3893559E-2</v>
      </c>
      <c r="I66" s="17"/>
      <c r="J66" s="17"/>
      <c r="K66" s="17"/>
      <c r="L66" s="9"/>
      <c r="M66"/>
      <c r="N66"/>
      <c r="O66"/>
      <c r="P66"/>
      <c r="Q66"/>
      <c r="R66" s="17"/>
      <c r="S66"/>
      <c r="T66"/>
      <c r="U66"/>
      <c r="V66"/>
      <c r="W66"/>
      <c r="X66" s="17"/>
      <c r="Y66" s="67"/>
      <c r="Z66" s="67"/>
      <c r="AA66" s="67"/>
      <c r="AB66" s="67"/>
      <c r="AC66" s="67"/>
      <c r="AD66" s="17"/>
      <c r="AE66" s="17"/>
      <c r="AF66" s="17"/>
      <c r="AG66" s="17"/>
      <c r="AH66" s="17"/>
      <c r="AI66" s="22"/>
      <c r="AJ66" s="17"/>
      <c r="AK66"/>
      <c r="AL66"/>
      <c r="AM66"/>
      <c r="AN66"/>
      <c r="AO66"/>
      <c r="AP66" s="83"/>
      <c r="AQ66" s="20"/>
      <c r="AR66" s="20"/>
      <c r="AS66" s="20"/>
      <c r="AT66" s="20"/>
      <c r="AU66" s="20"/>
      <c r="AV66" s="17"/>
      <c r="AW66" s="17"/>
      <c r="AX66" s="17"/>
      <c r="AY66" s="17"/>
      <c r="AZ66" s="17"/>
      <c r="BA66" s="18"/>
    </row>
    <row r="67" spans="1:53" x14ac:dyDescent="0.2">
      <c r="A67">
        <v>18000</v>
      </c>
      <c r="B67" t="s">
        <v>99</v>
      </c>
      <c r="C67" s="66">
        <v>50</v>
      </c>
      <c r="D67" s="67">
        <v>0.42487687310000005</v>
      </c>
      <c r="E67" s="67">
        <v>1.0494936050388568E-2</v>
      </c>
      <c r="F67" s="67">
        <v>1.4842080898697836E-3</v>
      </c>
      <c r="G67" s="67">
        <v>0.42189424527585084</v>
      </c>
      <c r="H67" s="67">
        <v>0.42785950092414926</v>
      </c>
      <c r="I67" s="17"/>
      <c r="J67" s="17"/>
      <c r="K67" s="17"/>
      <c r="L67" s="9"/>
      <c r="M67"/>
      <c r="N67"/>
      <c r="O67"/>
      <c r="P67"/>
      <c r="Q67"/>
      <c r="R67" s="17"/>
      <c r="S67"/>
      <c r="T67"/>
      <c r="U67"/>
      <c r="V67"/>
      <c r="W67"/>
      <c r="X67" s="17"/>
      <c r="Y67" s="67"/>
      <c r="Z67" s="67"/>
      <c r="AA67" s="67"/>
      <c r="AB67" s="67"/>
      <c r="AC67" s="67"/>
      <c r="AD67" s="17"/>
      <c r="AE67" s="17"/>
      <c r="AF67" s="17"/>
      <c r="AG67" s="17"/>
      <c r="AH67" s="17"/>
      <c r="AI67" s="17"/>
      <c r="AJ67" s="17"/>
      <c r="AK67" s="74"/>
      <c r="AL67"/>
      <c r="AM67"/>
      <c r="AN67"/>
      <c r="AO67"/>
      <c r="AP67" s="83"/>
      <c r="AQ67" s="20"/>
      <c r="AR67" s="20"/>
      <c r="AS67" s="20"/>
      <c r="AT67" s="20"/>
      <c r="AU67" s="20"/>
      <c r="AV67" s="17"/>
      <c r="AW67" s="17"/>
      <c r="AX67" s="17"/>
      <c r="AY67" s="17"/>
      <c r="AZ67" s="17"/>
      <c r="BA67" s="18"/>
    </row>
    <row r="68" spans="1:53" x14ac:dyDescent="0.2">
      <c r="A68">
        <v>18000</v>
      </c>
      <c r="B68" t="s">
        <v>100</v>
      </c>
      <c r="C68" s="66">
        <v>50</v>
      </c>
      <c r="D68" s="67">
        <v>0.47402019070000007</v>
      </c>
      <c r="E68" s="67">
        <v>0.41395567134523015</v>
      </c>
      <c r="F68" s="67">
        <v>5.8542172463768402E-2</v>
      </c>
      <c r="G68" s="67">
        <v>0.35637529058906187</v>
      </c>
      <c r="H68" s="67">
        <v>0.59166509081093821</v>
      </c>
      <c r="I68" s="17"/>
      <c r="J68" s="17"/>
      <c r="K68" s="17"/>
      <c r="L68" s="9"/>
      <c r="M68"/>
      <c r="N68"/>
      <c r="O68"/>
      <c r="P68"/>
      <c r="Q68"/>
      <c r="R68" s="17"/>
      <c r="S68"/>
      <c r="T68"/>
      <c r="U68"/>
      <c r="V68"/>
      <c r="W68"/>
      <c r="X68" s="17"/>
      <c r="Y68" s="67"/>
      <c r="Z68" s="67"/>
      <c r="AA68" s="67"/>
      <c r="AB68" s="67"/>
      <c r="AC68" s="67"/>
      <c r="AD68" s="17"/>
      <c r="AE68" s="17"/>
      <c r="AF68" s="17"/>
      <c r="AG68" s="17"/>
      <c r="AH68" s="17"/>
      <c r="AI68" s="17"/>
      <c r="AJ68" s="17"/>
      <c r="AK68" s="74"/>
      <c r="AL68"/>
      <c r="AM68"/>
      <c r="AN68"/>
      <c r="AO68"/>
      <c r="AP68" s="83"/>
      <c r="AQ68" s="20"/>
      <c r="AR68" s="20"/>
      <c r="AS68" s="20"/>
      <c r="AT68" s="20"/>
      <c r="AU68" s="20"/>
      <c r="AV68" s="17"/>
      <c r="AW68" s="17"/>
      <c r="AX68" s="17"/>
      <c r="AY68" s="17"/>
      <c r="AZ68" s="17"/>
      <c r="BA68" s="18"/>
    </row>
    <row r="69" spans="1:53" x14ac:dyDescent="0.2">
      <c r="A69">
        <v>18000</v>
      </c>
      <c r="B69" t="s">
        <v>101</v>
      </c>
      <c r="C69" s="66">
        <v>50</v>
      </c>
      <c r="D69" s="67">
        <v>8.1735643699999971E-2</v>
      </c>
      <c r="E69" s="67">
        <v>4.9082093846904862E-3</v>
      </c>
      <c r="F69" s="67">
        <v>6.9412562787961893E-4</v>
      </c>
      <c r="G69" s="67">
        <v>8.034074602675631E-2</v>
      </c>
      <c r="H69" s="67">
        <v>8.3130541373243633E-2</v>
      </c>
      <c r="I69" s="17"/>
      <c r="J69" s="17"/>
      <c r="K69" s="17"/>
      <c r="L69" s="9"/>
      <c r="M69"/>
      <c r="N69"/>
      <c r="O69"/>
      <c r="P69"/>
      <c r="Q69"/>
      <c r="R69" s="17"/>
      <c r="S69"/>
      <c r="T69"/>
      <c r="U69"/>
      <c r="V69"/>
      <c r="W69"/>
      <c r="X69" s="17"/>
      <c r="Y69" s="67"/>
      <c r="Z69" s="67"/>
      <c r="AA69" s="67"/>
      <c r="AB69" s="67"/>
      <c r="AC69" s="67"/>
      <c r="AD69" s="17"/>
      <c r="AE69" s="17"/>
      <c r="AF69" s="17"/>
      <c r="AG69" s="17"/>
      <c r="AH69" s="17"/>
      <c r="AI69" s="17"/>
      <c r="AJ69" s="17"/>
      <c r="AK69"/>
      <c r="AL69"/>
      <c r="AM69"/>
      <c r="AN69"/>
      <c r="AO69"/>
      <c r="AP69" s="83"/>
      <c r="AQ69" s="20"/>
      <c r="AR69" s="20"/>
      <c r="AS69" s="20"/>
      <c r="AT69" s="20"/>
      <c r="AU69" s="20"/>
      <c r="AV69" s="17"/>
      <c r="AW69" s="17"/>
      <c r="AX69" s="17"/>
      <c r="AY69" s="17"/>
      <c r="AZ69" s="17"/>
      <c r="BA69" s="18"/>
    </row>
    <row r="70" spans="1:53" x14ac:dyDescent="0.2">
      <c r="A70">
        <v>20000</v>
      </c>
      <c r="B70" t="s">
        <v>46</v>
      </c>
      <c r="C70" s="66">
        <v>1</v>
      </c>
      <c r="D70" s="67">
        <v>3605.4832893190001</v>
      </c>
      <c r="E70" s="67">
        <v>0</v>
      </c>
      <c r="F70" s="67">
        <v>0</v>
      </c>
      <c r="G70" s="67">
        <v>3605.4832893190001</v>
      </c>
      <c r="H70" s="67">
        <v>3605.4832893190001</v>
      </c>
      <c r="I70" s="17"/>
      <c r="J70" s="17"/>
      <c r="K70" s="17"/>
      <c r="L70" s="9"/>
      <c r="M70"/>
      <c r="N70"/>
      <c r="O70"/>
      <c r="P70"/>
      <c r="Q70"/>
      <c r="R70" s="17"/>
      <c r="S70"/>
      <c r="T70"/>
      <c r="U70"/>
      <c r="V70"/>
      <c r="W70"/>
      <c r="X70" s="17"/>
      <c r="Y70" s="67"/>
      <c r="Z70" s="67"/>
      <c r="AA70" s="67"/>
      <c r="AB70" s="67"/>
      <c r="AC70" s="67"/>
      <c r="AD70" s="17"/>
      <c r="AE70" s="17"/>
      <c r="AF70" s="17"/>
      <c r="AG70" s="17"/>
      <c r="AH70" s="17"/>
      <c r="AI70" s="17"/>
      <c r="AJ70" s="17"/>
      <c r="AK70"/>
      <c r="AL70"/>
      <c r="AM70"/>
      <c r="AN70"/>
      <c r="AO70"/>
      <c r="AP70" s="83"/>
      <c r="AQ70" s="20"/>
      <c r="AR70" s="20"/>
      <c r="AS70" s="20"/>
      <c r="AT70" s="20"/>
      <c r="AU70" s="20"/>
      <c r="AV70" s="17"/>
      <c r="AW70" s="17"/>
      <c r="AX70" s="17"/>
      <c r="AY70" s="17"/>
      <c r="AZ70" s="17"/>
      <c r="BA70" s="18"/>
    </row>
    <row r="71" spans="1:53" x14ac:dyDescent="0.2">
      <c r="A71">
        <v>20000</v>
      </c>
      <c r="B71" t="s">
        <v>50</v>
      </c>
      <c r="C71" s="66">
        <v>50</v>
      </c>
      <c r="D71" s="67">
        <v>3.6474121999999996E-4</v>
      </c>
      <c r="E71" s="67">
        <v>2.7340931862573338E-5</v>
      </c>
      <c r="F71" s="67">
        <v>3.86659166479699E-6</v>
      </c>
      <c r="G71" s="67">
        <v>3.5697101313833361E-4</v>
      </c>
      <c r="H71" s="67">
        <v>3.7251142686166631E-4</v>
      </c>
      <c r="I71" s="17"/>
      <c r="J71" s="17"/>
      <c r="K71" s="17"/>
      <c r="L71" s="9"/>
      <c r="M71"/>
      <c r="N71"/>
      <c r="O71"/>
      <c r="P71"/>
      <c r="Q71"/>
      <c r="R71" s="17"/>
      <c r="S71"/>
      <c r="T71"/>
      <c r="U71"/>
      <c r="V71"/>
      <c r="W71"/>
      <c r="X71" s="17"/>
      <c r="Y71" s="67"/>
      <c r="Z71" s="67"/>
      <c r="AA71" s="67"/>
      <c r="AB71" s="67"/>
      <c r="AC71" s="67"/>
      <c r="AD71" s="17"/>
      <c r="AE71" s="17"/>
      <c r="AF71" s="17"/>
      <c r="AG71" s="17"/>
      <c r="AH71" s="17"/>
      <c r="AI71" s="17"/>
      <c r="AJ71" s="17"/>
      <c r="AK71"/>
      <c r="AL71"/>
      <c r="AM71"/>
      <c r="AN71"/>
      <c r="AO71"/>
      <c r="AP71" s="83"/>
      <c r="AQ71" s="20"/>
      <c r="AR71" s="20"/>
      <c r="AS71" s="20"/>
      <c r="AT71" s="20"/>
      <c r="AU71" s="20"/>
      <c r="AV71" s="17"/>
      <c r="AW71" s="17"/>
      <c r="AX71" s="17"/>
      <c r="AY71" s="17"/>
      <c r="AZ71" s="17"/>
      <c r="BA71" s="18"/>
    </row>
    <row r="72" spans="1:53" x14ac:dyDescent="0.2">
      <c r="A72">
        <v>20000</v>
      </c>
      <c r="B72" t="s">
        <v>52</v>
      </c>
      <c r="C72" s="66">
        <v>50</v>
      </c>
      <c r="D72" s="67">
        <v>1.0390595599999999E-3</v>
      </c>
      <c r="E72" s="67">
        <v>8.3670060258369465E-5</v>
      </c>
      <c r="F72" s="67">
        <v>1.1832733398196021E-5</v>
      </c>
      <c r="G72" s="67">
        <v>1.0152807919754331E-3</v>
      </c>
      <c r="H72" s="67">
        <v>1.0628383280245667E-3</v>
      </c>
      <c r="I72" s="17"/>
      <c r="J72" s="17"/>
      <c r="K72" s="17"/>
      <c r="L72" s="9"/>
      <c r="M72"/>
      <c r="N72"/>
      <c r="O72"/>
      <c r="P72"/>
      <c r="Q72"/>
      <c r="R72" s="17"/>
      <c r="S72"/>
      <c r="T72"/>
      <c r="U72"/>
      <c r="V72"/>
      <c r="W72"/>
      <c r="X72" s="17"/>
      <c r="Y72" s="67"/>
      <c r="Z72" s="67"/>
      <c r="AA72" s="67"/>
      <c r="AB72" s="67"/>
      <c r="AC72" s="67"/>
      <c r="AD72" s="17"/>
      <c r="AE72" s="17"/>
      <c r="AF72" s="17"/>
      <c r="AG72" s="17"/>
      <c r="AH72" s="17"/>
      <c r="AI72" s="17"/>
      <c r="AJ72" s="17"/>
      <c r="AK72"/>
      <c r="AL72"/>
      <c r="AM72"/>
      <c r="AN72"/>
      <c r="AO72"/>
      <c r="AP72" s="83"/>
      <c r="AQ72" s="20"/>
      <c r="AR72" s="20"/>
      <c r="AS72" s="20"/>
      <c r="AT72" s="20"/>
      <c r="AU72" s="20"/>
      <c r="AV72" s="17"/>
      <c r="AW72" s="17"/>
      <c r="AX72" s="17"/>
      <c r="AY72" s="17"/>
      <c r="AZ72" s="17"/>
      <c r="BA72" s="18"/>
    </row>
    <row r="73" spans="1:53" x14ac:dyDescent="0.2">
      <c r="A73">
        <v>20000</v>
      </c>
      <c r="B73" t="s">
        <v>51</v>
      </c>
      <c r="C73" s="66">
        <v>1</v>
      </c>
      <c r="D73" s="67">
        <v>1.8628309999999999E-2</v>
      </c>
      <c r="E73" s="67">
        <v>0</v>
      </c>
      <c r="F73" s="67">
        <v>0</v>
      </c>
      <c r="G73" s="79">
        <v>1.8628309999999999E-2</v>
      </c>
      <c r="H73" s="67">
        <v>1.8628309999999999E-2</v>
      </c>
      <c r="I73" s="17"/>
      <c r="J73" s="17"/>
      <c r="K73" s="17"/>
      <c r="L73" s="9"/>
      <c r="M73"/>
      <c r="N73"/>
      <c r="O73"/>
      <c r="P73"/>
      <c r="Q73"/>
      <c r="R73" s="17"/>
      <c r="S73"/>
      <c r="T73"/>
      <c r="U73"/>
      <c r="V73"/>
      <c r="W73"/>
      <c r="X73" s="17"/>
      <c r="Y73" s="67"/>
      <c r="Z73" s="67"/>
      <c r="AA73" s="67"/>
      <c r="AB73" s="67"/>
      <c r="AC73" s="67"/>
      <c r="AD73" s="17"/>
      <c r="AE73" s="17"/>
      <c r="AF73" s="17"/>
      <c r="AG73" s="17"/>
      <c r="AH73" s="17"/>
      <c r="AI73" s="17"/>
      <c r="AJ73" s="17"/>
      <c r="AK73"/>
      <c r="AL73"/>
      <c r="AM73"/>
      <c r="AN73"/>
      <c r="AO73"/>
      <c r="AP73" s="83"/>
      <c r="AQ73" s="20"/>
      <c r="AR73" s="20"/>
      <c r="AS73" s="20"/>
      <c r="AT73" s="20"/>
      <c r="AU73" s="20"/>
      <c r="AV73" s="17"/>
      <c r="AW73" s="17"/>
      <c r="AX73" s="17"/>
      <c r="AY73" s="17"/>
      <c r="AZ73" s="17"/>
      <c r="BA73" s="18"/>
    </row>
    <row r="74" spans="1:53" x14ac:dyDescent="0.2">
      <c r="A74">
        <v>20000</v>
      </c>
      <c r="B74" t="s">
        <v>99</v>
      </c>
      <c r="C74" s="66">
        <v>50</v>
      </c>
      <c r="D74" s="67">
        <v>0.53910295436</v>
      </c>
      <c r="E74" s="67">
        <v>2.0238661123009708E-2</v>
      </c>
      <c r="F74" s="67">
        <v>2.8621789044433422E-3</v>
      </c>
      <c r="G74" s="67">
        <v>0.53335119050939694</v>
      </c>
      <c r="H74" s="67">
        <v>0.54485471821060305</v>
      </c>
      <c r="I74" s="17"/>
      <c r="J74" s="17"/>
      <c r="K74" s="17"/>
      <c r="L74" s="9"/>
      <c r="M74"/>
      <c r="N74"/>
      <c r="O74"/>
      <c r="P74"/>
      <c r="Q74"/>
      <c r="R74" s="17"/>
      <c r="S74"/>
      <c r="T74"/>
      <c r="U74"/>
      <c r="V74"/>
      <c r="W74"/>
      <c r="X74" s="17"/>
      <c r="Y74" s="67"/>
      <c r="Z74" s="67"/>
      <c r="AA74" s="67"/>
      <c r="AB74" s="67"/>
      <c r="AC74" s="67"/>
      <c r="AD74" s="17"/>
      <c r="AE74" s="17"/>
      <c r="AF74" s="17"/>
      <c r="AG74" s="17"/>
      <c r="AH74" s="17"/>
      <c r="AI74" s="17"/>
      <c r="AJ74" s="17"/>
      <c r="AK74"/>
      <c r="AL74"/>
      <c r="AM74"/>
      <c r="AN74"/>
      <c r="AO74"/>
      <c r="AP74" s="83"/>
      <c r="AQ74" s="20"/>
      <c r="AR74" s="20"/>
      <c r="AS74" s="20"/>
      <c r="AT74" s="20"/>
      <c r="AU74" s="20"/>
      <c r="AV74" s="17"/>
      <c r="AW74" s="17"/>
      <c r="AX74" s="17"/>
      <c r="AY74" s="17"/>
      <c r="AZ74" s="17"/>
      <c r="BA74" s="18"/>
    </row>
    <row r="75" spans="1:53" x14ac:dyDescent="0.2">
      <c r="A75" s="47">
        <v>20000</v>
      </c>
      <c r="B75" s="47" t="s">
        <v>100</v>
      </c>
      <c r="C75" s="47">
        <v>50</v>
      </c>
      <c r="D75" s="47">
        <v>0.59055713170000002</v>
      </c>
      <c r="E75" s="47">
        <v>0.41562115350576662</v>
      </c>
      <c r="F75" s="47">
        <v>5.8777707209700519E-2</v>
      </c>
      <c r="G75" s="47">
        <v>0.47243890679615314</v>
      </c>
      <c r="H75" s="47">
        <v>0.70867535660384695</v>
      </c>
      <c r="I75" s="17"/>
      <c r="J75" s="17"/>
      <c r="K75" s="17"/>
      <c r="L75" s="9"/>
      <c r="M75"/>
      <c r="N75"/>
      <c r="O75"/>
      <c r="P75"/>
      <c r="Q75"/>
      <c r="R75" s="17"/>
      <c r="S75"/>
      <c r="T75"/>
      <c r="U75"/>
      <c r="V75"/>
      <c r="W75"/>
      <c r="X75" s="17"/>
      <c r="Y75" s="67"/>
      <c r="Z75" s="67"/>
      <c r="AA75" s="67"/>
      <c r="AB75" s="67"/>
      <c r="AC75" s="67"/>
      <c r="AD75" s="17"/>
      <c r="AE75" s="17"/>
      <c r="AF75" s="17"/>
      <c r="AG75" s="17"/>
      <c r="AH75" s="17"/>
      <c r="AI75" s="17"/>
      <c r="AJ75" s="17"/>
      <c r="AK75"/>
      <c r="AL75"/>
      <c r="AM75"/>
      <c r="AN75"/>
      <c r="AO75"/>
      <c r="AP75" s="83"/>
      <c r="AQ75" s="20"/>
      <c r="AR75" s="20"/>
      <c r="AS75" s="20"/>
      <c r="AT75" s="20"/>
      <c r="AU75" s="20"/>
      <c r="AV75" s="17"/>
      <c r="AW75" s="17"/>
      <c r="AX75" s="17"/>
      <c r="AY75" s="17"/>
      <c r="AZ75" s="17"/>
      <c r="BA75" s="18"/>
    </row>
    <row r="76" spans="1:53" x14ac:dyDescent="0.2">
      <c r="A76" s="47">
        <v>20000</v>
      </c>
      <c r="B76" s="47" t="s">
        <v>101</v>
      </c>
      <c r="C76" s="47">
        <v>50</v>
      </c>
      <c r="D76" s="47">
        <v>8.523751907999999E-2</v>
      </c>
      <c r="E76" s="47">
        <v>5.4741550483953559E-3</v>
      </c>
      <c r="F76" s="47">
        <v>7.7416243119738585E-4</v>
      </c>
      <c r="G76" s="47">
        <v>8.3681781428749949E-2</v>
      </c>
      <c r="H76" s="47">
        <v>8.6793256731250032E-2</v>
      </c>
      <c r="I76" s="17"/>
      <c r="J76" s="17"/>
      <c r="K76" s="17"/>
      <c r="L76" s="9"/>
      <c r="M76"/>
      <c r="N76"/>
      <c r="O76"/>
      <c r="P76"/>
      <c r="Q76"/>
      <c r="R76" s="17"/>
      <c r="S76"/>
      <c r="T76"/>
      <c r="U76"/>
      <c r="V76"/>
      <c r="W76"/>
      <c r="X76" s="17"/>
      <c r="Y76" s="67"/>
      <c r="Z76" s="67"/>
      <c r="AA76" s="67"/>
      <c r="AB76" s="67"/>
      <c r="AC76" s="67"/>
      <c r="AD76" s="17"/>
      <c r="AE76" s="17"/>
      <c r="AF76" s="17"/>
      <c r="AG76" s="17"/>
      <c r="AH76" s="17"/>
      <c r="AI76" s="17"/>
      <c r="AJ76" s="17"/>
      <c r="AK76"/>
      <c r="AL76"/>
      <c r="AM76"/>
      <c r="AN76"/>
      <c r="AO76"/>
      <c r="AP76" s="83"/>
      <c r="AQ76" s="20"/>
      <c r="AR76" s="20"/>
      <c r="AS76" s="20"/>
      <c r="AT76" s="20"/>
      <c r="AU76" s="20"/>
      <c r="AV76" s="17"/>
      <c r="AW76" s="17"/>
      <c r="AX76" s="17"/>
      <c r="AY76" s="17"/>
      <c r="AZ76" s="17"/>
      <c r="BA76" s="18"/>
    </row>
    <row r="77" spans="1:53" ht="13.5" thickBot="1" x14ac:dyDescent="0.25">
      <c r="A77" s="23"/>
      <c r="B77" s="24"/>
      <c r="C77" s="24"/>
      <c r="D77" s="25"/>
      <c r="E77" s="25"/>
      <c r="F77" s="24"/>
      <c r="G77" s="24"/>
      <c r="H77" s="24"/>
      <c r="I77" s="24"/>
      <c r="J77" s="24"/>
      <c r="K77" s="24"/>
      <c r="L77" s="13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84"/>
      <c r="AQ77" s="28"/>
      <c r="AR77" s="28"/>
      <c r="AS77" s="28"/>
      <c r="AT77" s="28"/>
      <c r="AU77" s="28"/>
      <c r="AV77" s="24"/>
      <c r="AW77" s="24"/>
      <c r="AX77" s="24"/>
      <c r="AY77" s="24"/>
      <c r="AZ77" s="24"/>
      <c r="BA77" s="26"/>
    </row>
    <row r="78" spans="1:53" ht="13.5" thickBot="1" x14ac:dyDescent="0.25">
      <c r="AQ78" s="30"/>
      <c r="AR78" s="30"/>
      <c r="AS78" s="30"/>
      <c r="AT78" s="30"/>
      <c r="AU78" s="30"/>
    </row>
    <row r="79" spans="1:53" s="8" customFormat="1" ht="13.5" thickBot="1" x14ac:dyDescent="0.25">
      <c r="A79" s="96"/>
      <c r="B79" s="97"/>
      <c r="C79" s="97"/>
      <c r="D79" s="97"/>
      <c r="E79" s="97"/>
      <c r="F79" s="97"/>
      <c r="G79" s="97"/>
      <c r="H79" s="97"/>
      <c r="I79" s="97"/>
      <c r="J79" s="97"/>
      <c r="K79" s="97"/>
      <c r="L79" s="97" t="s">
        <v>29</v>
      </c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8"/>
    </row>
    <row r="80" spans="1:53" s="8" customFormat="1" ht="13.5" thickBot="1" x14ac:dyDescent="0.25">
      <c r="A80" s="45" t="s">
        <v>12</v>
      </c>
      <c r="B80" s="45" t="s">
        <v>20</v>
      </c>
      <c r="C80" s="45" t="s">
        <v>2</v>
      </c>
      <c r="D80" s="45" t="s">
        <v>21</v>
      </c>
      <c r="E80" s="45" t="s">
        <v>22</v>
      </c>
      <c r="F80" s="46" t="s">
        <v>23</v>
      </c>
      <c r="G80" s="46" t="s">
        <v>24</v>
      </c>
      <c r="H80" s="46" t="s">
        <v>25</v>
      </c>
      <c r="I80" s="55"/>
      <c r="J80" s="55" t="str">
        <f t="shared" ref="J80:Q80" si="50">J$2</f>
        <v>Vertical</v>
      </c>
      <c r="K80" s="55" t="str">
        <f t="shared" si="50"/>
        <v>Horizontal</v>
      </c>
      <c r="L80" s="55" t="str">
        <f t="shared" si="50"/>
        <v>Algoritmos</v>
      </c>
      <c r="M80" s="55">
        <f t="shared" si="50"/>
        <v>12000</v>
      </c>
      <c r="N80" s="57">
        <f t="shared" si="50"/>
        <v>14000</v>
      </c>
      <c r="O80" s="57">
        <f t="shared" si="50"/>
        <v>16000</v>
      </c>
      <c r="P80" s="57">
        <f t="shared" si="50"/>
        <v>18000</v>
      </c>
      <c r="Q80" s="57">
        <f t="shared" si="50"/>
        <v>20000</v>
      </c>
      <c r="R80" s="55" t="str">
        <f>R$2</f>
        <v>-</v>
      </c>
      <c r="S80" s="52">
        <f>S$2</f>
        <v>12000</v>
      </c>
      <c r="T80" s="52">
        <f t="shared" ref="T80:W80" si="51">T$2</f>
        <v>14000</v>
      </c>
      <c r="U80" s="52">
        <f t="shared" si="51"/>
        <v>16000</v>
      </c>
      <c r="V80" s="52">
        <f t="shared" si="51"/>
        <v>18000</v>
      </c>
      <c r="W80" s="52">
        <f t="shared" si="51"/>
        <v>20000</v>
      </c>
      <c r="X80" s="55" t="str">
        <f>X$2</f>
        <v>-</v>
      </c>
      <c r="Y80" s="53">
        <f>Y$2</f>
        <v>12000</v>
      </c>
      <c r="Z80" s="53">
        <f t="shared" ref="Z80:AC80" si="52">Z$2</f>
        <v>14000</v>
      </c>
      <c r="AA80" s="53">
        <f t="shared" si="52"/>
        <v>16000</v>
      </c>
      <c r="AB80" s="53">
        <f t="shared" si="52"/>
        <v>18000</v>
      </c>
      <c r="AC80" s="53">
        <f t="shared" si="52"/>
        <v>20000</v>
      </c>
      <c r="AD80" s="55" t="str">
        <f>AD$2</f>
        <v>-</v>
      </c>
      <c r="AE80" s="89">
        <f>M80</f>
        <v>12000</v>
      </c>
      <c r="AF80" s="89">
        <f t="shared" ref="AF80:AI80" si="53">N80</f>
        <v>14000</v>
      </c>
      <c r="AG80" s="89">
        <f t="shared" si="53"/>
        <v>16000</v>
      </c>
      <c r="AH80" s="89">
        <f t="shared" si="53"/>
        <v>18000</v>
      </c>
      <c r="AI80" s="89">
        <f t="shared" si="53"/>
        <v>20000</v>
      </c>
      <c r="AJ80" s="55"/>
      <c r="AK80" s="90">
        <f>AK$2</f>
        <v>12000</v>
      </c>
      <c r="AL80" s="90">
        <f t="shared" ref="AL80:AN80" si="54">AL$2</f>
        <v>14000</v>
      </c>
      <c r="AM80" s="90">
        <f t="shared" si="54"/>
        <v>16000</v>
      </c>
      <c r="AN80" s="90">
        <f t="shared" si="54"/>
        <v>18000</v>
      </c>
      <c r="AO80" s="90">
        <f>AO$2</f>
        <v>20000</v>
      </c>
      <c r="AP80" s="85"/>
      <c r="AQ80" s="15"/>
      <c r="AR80" s="15"/>
      <c r="AS80" s="15"/>
      <c r="AT80" s="15"/>
      <c r="AU80" s="15"/>
      <c r="AV80" s="13"/>
      <c r="AW80" s="13"/>
      <c r="AX80" s="13"/>
      <c r="AY80" s="13"/>
      <c r="AZ80" s="13"/>
      <c r="BA80" s="14"/>
    </row>
    <row r="81" spans="1:53" x14ac:dyDescent="0.2">
      <c r="A81" s="92">
        <v>12000</v>
      </c>
      <c r="B81" s="92" t="s">
        <v>46</v>
      </c>
      <c r="C81" s="93">
        <v>1</v>
      </c>
      <c r="D81" s="94">
        <v>0</v>
      </c>
      <c r="E81" s="94">
        <v>0</v>
      </c>
      <c r="F81" s="94">
        <v>0</v>
      </c>
      <c r="G81" s="94">
        <v>0</v>
      </c>
      <c r="H81" s="94">
        <v>0</v>
      </c>
      <c r="I81" s="17"/>
      <c r="J81" s="17" t="str">
        <f>$J42</f>
        <v>SOLVER_MAXIMUM_COST</v>
      </c>
      <c r="K81" s="17">
        <f>$K42</f>
        <v>12000</v>
      </c>
      <c r="L81" s="9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91">
        <f>M$82</f>
        <v>39858.902781875593</v>
      </c>
      <c r="AF81" s="91">
        <f t="shared" ref="AF81:AI81" si="55">N$82</f>
        <v>48282.775071805314</v>
      </c>
      <c r="AG81" s="91">
        <f t="shared" si="55"/>
        <v>54130.979884014319</v>
      </c>
      <c r="AH81" s="91">
        <f t="shared" si="55"/>
        <v>64624.72523370471</v>
      </c>
      <c r="AI81" s="91">
        <f t="shared" si="55"/>
        <v>71418.544925751383</v>
      </c>
      <c r="AJ81" s="17"/>
      <c r="AK81">
        <f>SUMIFS($D$81:$D$116, $A$81:$A$116, AK$2, $B$81:$B$116,  $J$81)</f>
        <v>0</v>
      </c>
      <c r="AL81">
        <f t="shared" ref="AL81:AN88" si="56">SUMIFS($D$81:$D$116, $A$81:$A$116, AL$2, $B$81:$B$116,  $J$81)</f>
        <v>407.53782481299999</v>
      </c>
      <c r="AM81">
        <f t="shared" si="56"/>
        <v>4019.3023708763999</v>
      </c>
      <c r="AN81">
        <f t="shared" si="56"/>
        <v>7346.8658976622</v>
      </c>
      <c r="AO81">
        <f>SUMIFS($D$81:$D$116, $A$81:$A$116, AO$2, $B$81:$B$116,  $J$81)</f>
        <v>12848.004609625999</v>
      </c>
      <c r="AP81" s="83"/>
      <c r="AQ81" s="20"/>
      <c r="AR81" s="20"/>
      <c r="AS81" s="20"/>
      <c r="AT81" s="20"/>
      <c r="AU81" s="20"/>
      <c r="AV81" s="17"/>
      <c r="AW81" s="17"/>
      <c r="AX81" s="17"/>
      <c r="AY81" s="17"/>
      <c r="AZ81" s="17"/>
      <c r="BA81" s="18"/>
    </row>
    <row r="82" spans="1:53" x14ac:dyDescent="0.2">
      <c r="A82" s="92">
        <v>12000</v>
      </c>
      <c r="B82" s="92" t="s">
        <v>50</v>
      </c>
      <c r="C82" s="93">
        <v>50</v>
      </c>
      <c r="D82" s="94">
        <v>39858.902781875593</v>
      </c>
      <c r="E82" s="94">
        <v>95.262891474721229</v>
      </c>
      <c r="F82" s="94">
        <v>13.472207311442705</v>
      </c>
      <c r="G82" s="94">
        <v>39831.829367673046</v>
      </c>
      <c r="H82" s="94">
        <v>39885.97619607814</v>
      </c>
      <c r="I82" s="17"/>
      <c r="J82" s="17" t="str">
        <f>$J43</f>
        <v>GREEDY_RANDOM</v>
      </c>
      <c r="K82" s="17">
        <f>$K43</f>
        <v>14000</v>
      </c>
      <c r="L82" s="9" t="str">
        <f>$L43</f>
        <v>GR</v>
      </c>
      <c r="M82">
        <f>SUMIFS($D$81:$D$116, $A$81:$A$116, M$2, $B$81:$B$116,  $J82)</f>
        <v>39858.902781875593</v>
      </c>
      <c r="N82">
        <f t="shared" ref="N82:Q88" si="57">SUMIFS($D$81:$D$116, $A$81:$A$116, N$2, $B$81:$B$116,  $J82)</f>
        <v>48282.775071805314</v>
      </c>
      <c r="O82">
        <f t="shared" si="57"/>
        <v>54130.979884014319</v>
      </c>
      <c r="P82">
        <f t="shared" si="57"/>
        <v>64624.72523370471</v>
      </c>
      <c r="Q82">
        <f t="shared" si="57"/>
        <v>71418.544925751383</v>
      </c>
      <c r="R82" s="36"/>
      <c r="S82">
        <f>-(SUMIFS($G$81:$G$116, $A$81:$A$116, S$2, $B$81:$B$116,  $J82)-M82)</f>
        <v>27.073414202546701</v>
      </c>
      <c r="T82">
        <f t="shared" ref="T82:W82" si="58">-(SUMIFS($G$81:$G$116, $A$81:$A$116, T$2, $B$81:$B$116,  $J82)-N82)</f>
        <v>18.884845461274381</v>
      </c>
      <c r="U82">
        <f t="shared" si="58"/>
        <v>25.414261426274606</v>
      </c>
      <c r="V82">
        <f t="shared" si="58"/>
        <v>25.102537489576207</v>
      </c>
      <c r="W82">
        <f t="shared" si="58"/>
        <v>23.785421471795416</v>
      </c>
      <c r="X82" s="40"/>
      <c r="Y82" s="67">
        <f>SUMIFS($H$81:$H$116, $A$81:$A$116, Y$2, $B$81:$B$116,  $J82)-M82</f>
        <v>27.073414202546701</v>
      </c>
      <c r="Z82" s="67">
        <f t="shared" ref="Z82:AC82" si="59">SUMIFS($H$81:$H$116, $A$81:$A$116, Z$2, $B$81:$B$116,  $J82)-N82</f>
        <v>18.884845461274381</v>
      </c>
      <c r="AA82" s="67">
        <f t="shared" si="59"/>
        <v>25.414261426274606</v>
      </c>
      <c r="AB82" s="67">
        <f t="shared" si="59"/>
        <v>25.102537489576207</v>
      </c>
      <c r="AC82" s="67">
        <f t="shared" si="59"/>
        <v>23.785421471795416</v>
      </c>
      <c r="AD82" s="40"/>
      <c r="AE82" s="91">
        <f t="shared" ref="AE82:AE88" si="60">M$82</f>
        <v>39858.902781875593</v>
      </c>
      <c r="AF82" s="91">
        <f t="shared" ref="AF82:AF88" si="61">N$82</f>
        <v>48282.775071805314</v>
      </c>
      <c r="AG82" s="91">
        <f t="shared" ref="AG82:AG88" si="62">O$82</f>
        <v>54130.979884014319</v>
      </c>
      <c r="AH82" s="91">
        <f t="shared" ref="AH82:AH88" si="63">P$82</f>
        <v>64624.72523370471</v>
      </c>
      <c r="AI82" s="91">
        <f t="shared" ref="AI82:AI88" si="64">Q$82</f>
        <v>71418.544925751383</v>
      </c>
      <c r="AJ82" s="40"/>
      <c r="AK82">
        <f t="shared" ref="AK82:AK88" si="65">SUMIFS($D$81:$D$116, $A$81:$A$116, AK$2, $B$81:$B$116,  $J$81)</f>
        <v>0</v>
      </c>
      <c r="AL82">
        <f t="shared" si="56"/>
        <v>407.53782481299999</v>
      </c>
      <c r="AM82">
        <f t="shared" si="56"/>
        <v>4019.3023708763999</v>
      </c>
      <c r="AN82">
        <f t="shared" si="56"/>
        <v>7346.8658976622</v>
      </c>
      <c r="AO82">
        <f>SUMIFS($D$81:$D$116, $A$81:$A$116, AO$2, $B$81:$B$116,  $J$81)</f>
        <v>12848.004609625999</v>
      </c>
      <c r="AP82" s="83"/>
      <c r="AQ82" s="20"/>
      <c r="AR82" s="20"/>
      <c r="AS82" s="20"/>
      <c r="AT82" s="20"/>
      <c r="AU82" s="20"/>
      <c r="AV82" s="17"/>
      <c r="AW82" s="17"/>
      <c r="AX82" s="17"/>
      <c r="AY82" s="17"/>
      <c r="AZ82" s="17"/>
      <c r="BA82" s="18"/>
    </row>
    <row r="83" spans="1:53" x14ac:dyDescent="0.2">
      <c r="A83" s="92">
        <v>12000</v>
      </c>
      <c r="B83" s="92" t="s">
        <v>52</v>
      </c>
      <c r="C83" s="93">
        <v>50</v>
      </c>
      <c r="D83" s="94">
        <v>492.47938593414614</v>
      </c>
      <c r="E83" s="94">
        <v>77.890153025624244</v>
      </c>
      <c r="F83" s="94">
        <v>11.015331078415356</v>
      </c>
      <c r="G83" s="94">
        <v>470.34324937018255</v>
      </c>
      <c r="H83" s="94">
        <v>514.61552249810973</v>
      </c>
      <c r="I83" s="17"/>
      <c r="J83" s="17" t="str">
        <f>$J44</f>
        <v>GREEDY_RANDOM_FALLBACK</v>
      </c>
      <c r="K83" s="17">
        <f>$K44</f>
        <v>16000</v>
      </c>
      <c r="L83" s="9" t="str">
        <f>$L44</f>
        <v>GRF</v>
      </c>
      <c r="M83">
        <f t="shared" ref="M83:M88" si="66">SUMIFS($D$81:$D$116, $A$81:$A$116, M$2, $B$81:$B$116,  $J83)</f>
        <v>492.47938593414614</v>
      </c>
      <c r="N83">
        <f t="shared" si="57"/>
        <v>8841.4020808416553</v>
      </c>
      <c r="O83">
        <f t="shared" si="57"/>
        <v>16250.405514026317</v>
      </c>
      <c r="P83">
        <f t="shared" si="57"/>
        <v>25667.090207195248</v>
      </c>
      <c r="Q83">
        <f t="shared" si="57"/>
        <v>33262.170166717668</v>
      </c>
      <c r="R83" s="36"/>
      <c r="S83">
        <f t="shared" ref="S83:S88" si="67">-(SUMIFS($G$81:$G$116, $A$81:$A$116, S$2, $B$81:$B$116,  $J83)-M83)</f>
        <v>22.136136563963589</v>
      </c>
      <c r="T83">
        <f t="shared" ref="T83:T88" si="68">-(SUMIFS($G$81:$G$116, $A$81:$A$116, T$2, $B$81:$B$116,  $J83)-N83)</f>
        <v>24.615662534917647</v>
      </c>
      <c r="U83">
        <f t="shared" ref="U83:U88" si="69">-(SUMIFS($G$81:$G$116, $A$81:$A$116, U$2, $B$81:$B$116,  $J83)-O83)</f>
        <v>23.111011763316128</v>
      </c>
      <c r="V83">
        <f t="shared" ref="V83:V88" si="70">-(SUMIFS($G$81:$G$116, $A$81:$A$116, V$2, $B$81:$B$116,  $J83)-P83)</f>
        <v>25.469610682896018</v>
      </c>
      <c r="W83">
        <f t="shared" ref="W83:W88" si="71">-(SUMIFS($G$81:$G$116, $A$81:$A$116, W$2, $B$81:$B$116,  $J83)-Q83)</f>
        <v>23.199831084973994</v>
      </c>
      <c r="X83" s="40"/>
      <c r="Y83" s="67">
        <f t="shared" ref="Y83:Y88" si="72">SUMIFS($H$81:$H$116, $A$81:$A$116, Y$2, $B$81:$B$116,  $J83)-M83</f>
        <v>22.136136563963589</v>
      </c>
      <c r="Z83" s="67">
        <f t="shared" ref="Z83:Z88" si="73">SUMIFS($H$81:$H$116, $A$81:$A$116, Z$2, $B$81:$B$116,  $J83)-N83</f>
        <v>24.615662534917647</v>
      </c>
      <c r="AA83" s="67">
        <f t="shared" ref="AA83:AA88" si="74">SUMIFS($H$81:$H$116, $A$81:$A$116, AA$2, $B$81:$B$116,  $J83)-O83</f>
        <v>23.111011763316128</v>
      </c>
      <c r="AB83" s="67">
        <f t="shared" ref="AB83:AB88" si="75">SUMIFS($H$81:$H$116, $A$81:$A$116, AB$2, $B$81:$B$116,  $J83)-P83</f>
        <v>25.469610682896018</v>
      </c>
      <c r="AC83" s="67">
        <f t="shared" ref="AC83:AC88" si="76">SUMIFS($H$81:$H$116, $A$81:$A$116, AC$2, $B$81:$B$116,  $J83)-Q83</f>
        <v>23.199831084973994</v>
      </c>
      <c r="AD83" s="40"/>
      <c r="AE83" s="91">
        <f t="shared" si="60"/>
        <v>39858.902781875593</v>
      </c>
      <c r="AF83" s="91">
        <f t="shared" si="61"/>
        <v>48282.775071805314</v>
      </c>
      <c r="AG83" s="91">
        <f t="shared" si="62"/>
        <v>54130.979884014319</v>
      </c>
      <c r="AH83" s="91">
        <f t="shared" si="63"/>
        <v>64624.72523370471</v>
      </c>
      <c r="AI83" s="91">
        <f t="shared" si="64"/>
        <v>71418.544925751383</v>
      </c>
      <c r="AJ83" s="40"/>
      <c r="AK83">
        <f t="shared" si="65"/>
        <v>0</v>
      </c>
      <c r="AL83">
        <f t="shared" si="56"/>
        <v>407.53782481299999</v>
      </c>
      <c r="AM83">
        <f t="shared" si="56"/>
        <v>4019.3023708763999</v>
      </c>
      <c r="AN83">
        <f t="shared" si="56"/>
        <v>7346.8658976622</v>
      </c>
      <c r="AO83">
        <f>SUMIFS($D$81:$D$116, $A$81:$A$116, AO$2, $B$81:$B$116,  $J$81)</f>
        <v>12848.004609625999</v>
      </c>
      <c r="AP83" s="83"/>
      <c r="AQ83" s="20"/>
      <c r="AR83" s="20"/>
      <c r="AS83" s="20"/>
      <c r="AT83" s="20"/>
      <c r="AU83" s="20"/>
      <c r="AV83" s="17"/>
      <c r="AW83" s="17"/>
      <c r="AX83" s="17"/>
      <c r="AY83" s="17"/>
      <c r="AZ83" s="17"/>
      <c r="BA83" s="18"/>
    </row>
    <row r="84" spans="1:53" x14ac:dyDescent="0.2">
      <c r="A84" s="92">
        <v>12000</v>
      </c>
      <c r="B84" s="92" t="s">
        <v>51</v>
      </c>
      <c r="C84" s="93">
        <v>1</v>
      </c>
      <c r="D84" s="94">
        <v>1048.2895412406001</v>
      </c>
      <c r="E84" s="94">
        <v>0</v>
      </c>
      <c r="F84" s="94">
        <v>0</v>
      </c>
      <c r="G84" s="94">
        <v>1048.2895412406001</v>
      </c>
      <c r="H84" s="94">
        <v>1048.2895412406001</v>
      </c>
      <c r="I84" s="17"/>
      <c r="J84" s="17" t="str">
        <f>$J45</f>
        <v>GREEDY_CB</v>
      </c>
      <c r="K84" s="17">
        <f>$K45</f>
        <v>18000</v>
      </c>
      <c r="L84" s="9" t="str">
        <f>$L45</f>
        <v>GCB</v>
      </c>
      <c r="M84">
        <f t="shared" si="66"/>
        <v>1048.2895412406001</v>
      </c>
      <c r="N84">
        <f t="shared" si="57"/>
        <v>5858.1903113335002</v>
      </c>
      <c r="O84">
        <f t="shared" si="57"/>
        <v>10624.105220630299</v>
      </c>
      <c r="P84">
        <f t="shared" si="57"/>
        <v>17799.256490757401</v>
      </c>
      <c r="Q84">
        <f t="shared" si="57"/>
        <v>23739.431401846101</v>
      </c>
      <c r="R84" s="36"/>
      <c r="S84">
        <f t="shared" si="67"/>
        <v>0</v>
      </c>
      <c r="T84">
        <f t="shared" si="68"/>
        <v>0</v>
      </c>
      <c r="U84">
        <f t="shared" si="69"/>
        <v>0</v>
      </c>
      <c r="V84">
        <f t="shared" si="70"/>
        <v>0</v>
      </c>
      <c r="W84">
        <f t="shared" si="71"/>
        <v>0</v>
      </c>
      <c r="X84" s="40"/>
      <c r="Y84" s="67">
        <f t="shared" si="72"/>
        <v>0</v>
      </c>
      <c r="Z84" s="67">
        <f t="shared" si="73"/>
        <v>0</v>
      </c>
      <c r="AA84" s="67">
        <f t="shared" si="74"/>
        <v>0</v>
      </c>
      <c r="AB84" s="67">
        <f t="shared" si="75"/>
        <v>0</v>
      </c>
      <c r="AC84" s="67">
        <f t="shared" si="76"/>
        <v>0</v>
      </c>
      <c r="AD84" s="40"/>
      <c r="AE84" s="91">
        <f t="shared" si="60"/>
        <v>39858.902781875593</v>
      </c>
      <c r="AF84" s="91">
        <f t="shared" si="61"/>
        <v>48282.775071805314</v>
      </c>
      <c r="AG84" s="91">
        <f t="shared" si="62"/>
        <v>54130.979884014319</v>
      </c>
      <c r="AH84" s="91">
        <f t="shared" si="63"/>
        <v>64624.72523370471</v>
      </c>
      <c r="AI84" s="91">
        <f t="shared" si="64"/>
        <v>71418.544925751383</v>
      </c>
      <c r="AJ84" s="40"/>
      <c r="AK84">
        <f t="shared" si="65"/>
        <v>0</v>
      </c>
      <c r="AL84">
        <f t="shared" si="56"/>
        <v>407.53782481299999</v>
      </c>
      <c r="AM84">
        <f t="shared" si="56"/>
        <v>4019.3023708763999</v>
      </c>
      <c r="AN84">
        <f t="shared" si="56"/>
        <v>7346.8658976622</v>
      </c>
      <c r="AO84">
        <f>SUMIFS($D$81:$D$116, $A$81:$A$116, AO$2, $B$81:$B$116,  $J$81)</f>
        <v>12848.004609625999</v>
      </c>
      <c r="AP84" s="86"/>
      <c r="AQ84" s="20"/>
      <c r="AR84" s="20"/>
      <c r="AS84" s="20"/>
      <c r="AT84" s="20"/>
      <c r="AU84" s="20"/>
      <c r="AV84" s="17"/>
      <c r="AW84" s="17"/>
      <c r="AX84" s="17"/>
      <c r="AY84" s="17"/>
      <c r="AZ84" s="17"/>
      <c r="BA84" s="18"/>
    </row>
    <row r="85" spans="1:53" x14ac:dyDescent="0.2">
      <c r="A85" s="92">
        <v>12000</v>
      </c>
      <c r="B85" s="92" t="s">
        <v>99</v>
      </c>
      <c r="C85" s="93">
        <v>50</v>
      </c>
      <c r="D85" s="94">
        <v>0.61102934060800007</v>
      </c>
      <c r="E85" s="94">
        <v>1.6657437891130416</v>
      </c>
      <c r="F85" s="94">
        <v>0.23557174580024121</v>
      </c>
      <c r="G85" s="94">
        <v>0.13763019368053159</v>
      </c>
      <c r="H85" s="94">
        <v>1.0844284875354686</v>
      </c>
      <c r="I85" s="17"/>
      <c r="J85" s="17" t="str">
        <f>$J46</f>
        <v>SA_GREEDY_RANDOM</v>
      </c>
      <c r="K85" s="17">
        <f>$K46</f>
        <v>20000</v>
      </c>
      <c r="L85" s="9" t="str">
        <f>$L46</f>
        <v>SAGR</v>
      </c>
      <c r="M85">
        <f t="shared" si="66"/>
        <v>0.61102934060800007</v>
      </c>
      <c r="N85">
        <f t="shared" si="57"/>
        <v>3184.7048283594868</v>
      </c>
      <c r="O85">
        <f t="shared" si="57"/>
        <v>7492.7809106985214</v>
      </c>
      <c r="P85">
        <f t="shared" si="57"/>
        <v>12086.299090744677</v>
      </c>
      <c r="Q85">
        <f t="shared" si="57"/>
        <v>18438.149173935672</v>
      </c>
      <c r="R85" s="36"/>
      <c r="S85">
        <f t="shared" si="67"/>
        <v>0.47339914692746848</v>
      </c>
      <c r="T85">
        <f t="shared" si="68"/>
        <v>16.455363048095933</v>
      </c>
      <c r="U85">
        <f t="shared" si="69"/>
        <v>22.884034477500791</v>
      </c>
      <c r="V85">
        <f t="shared" si="70"/>
        <v>19.242358370407601</v>
      </c>
      <c r="W85">
        <f t="shared" si="71"/>
        <v>24.093424171671359</v>
      </c>
      <c r="X85" s="40"/>
      <c r="Y85" s="67">
        <f t="shared" si="72"/>
        <v>0.47339914692746854</v>
      </c>
      <c r="Z85" s="67">
        <f t="shared" si="73"/>
        <v>16.455363048095933</v>
      </c>
      <c r="AA85" s="67">
        <f t="shared" si="74"/>
        <v>22.884034477500791</v>
      </c>
      <c r="AB85" s="67">
        <f t="shared" si="75"/>
        <v>19.242358370407601</v>
      </c>
      <c r="AC85" s="67">
        <f t="shared" si="76"/>
        <v>24.093424171671359</v>
      </c>
      <c r="AD85" s="40"/>
      <c r="AE85" s="91">
        <f t="shared" si="60"/>
        <v>39858.902781875593</v>
      </c>
      <c r="AF85" s="91">
        <f t="shared" si="61"/>
        <v>48282.775071805314</v>
      </c>
      <c r="AG85" s="91">
        <f t="shared" si="62"/>
        <v>54130.979884014319</v>
      </c>
      <c r="AH85" s="91">
        <f t="shared" si="63"/>
        <v>64624.72523370471</v>
      </c>
      <c r="AI85" s="91">
        <f t="shared" si="64"/>
        <v>71418.544925751383</v>
      </c>
      <c r="AJ85" s="40"/>
      <c r="AK85">
        <f t="shared" si="65"/>
        <v>0</v>
      </c>
      <c r="AL85">
        <f t="shared" si="56"/>
        <v>407.53782481299999</v>
      </c>
      <c r="AM85">
        <f t="shared" si="56"/>
        <v>4019.3023708763999</v>
      </c>
      <c r="AN85">
        <f t="shared" si="56"/>
        <v>7346.8658976622</v>
      </c>
      <c r="AO85">
        <f>SUMIFS($D$81:$D$116, $A$81:$A$116, AO$2, $B$81:$B$116,  $J$81)</f>
        <v>12848.004609625999</v>
      </c>
      <c r="AP85" s="86"/>
      <c r="AQ85" s="20"/>
      <c r="AR85" s="20"/>
      <c r="AS85" s="20"/>
      <c r="AT85" s="20"/>
      <c r="AU85" s="20"/>
      <c r="AV85" s="17"/>
      <c r="AW85" s="17"/>
      <c r="AX85" s="17"/>
      <c r="AY85" s="17"/>
      <c r="AZ85" s="17"/>
      <c r="BA85" s="18"/>
    </row>
    <row r="86" spans="1:53" x14ac:dyDescent="0.2">
      <c r="A86" s="92">
        <v>12000</v>
      </c>
      <c r="B86" s="92" t="s">
        <v>100</v>
      </c>
      <c r="C86" s="93">
        <v>50</v>
      </c>
      <c r="D86" s="94">
        <v>0.211249326382</v>
      </c>
      <c r="E86" s="94">
        <v>1.127953966827415</v>
      </c>
      <c r="F86" s="94">
        <v>0.15951677976198625</v>
      </c>
      <c r="G86" s="94">
        <v>-0.10931164413428607</v>
      </c>
      <c r="H86" s="94">
        <v>0.53181029689828607</v>
      </c>
      <c r="I86" s="17"/>
      <c r="J86" s="17" t="str">
        <f>$J47</f>
        <v>SA_GREEDY_RANDOM_FALLBACK</v>
      </c>
      <c r="K86" s="17">
        <f>$K47</f>
        <v>0</v>
      </c>
      <c r="L86" s="9" t="str">
        <f>$L47</f>
        <v>SAGRF</v>
      </c>
      <c r="M86">
        <f t="shared" si="66"/>
        <v>0.211249326382</v>
      </c>
      <c r="N86">
        <f t="shared" si="57"/>
        <v>3149.7629554949126</v>
      </c>
      <c r="O86">
        <f t="shared" si="57"/>
        <v>7498.4861471551712</v>
      </c>
      <c r="P86">
        <f t="shared" si="57"/>
        <v>12053.196906937101</v>
      </c>
      <c r="Q86">
        <f t="shared" si="57"/>
        <v>18440.723326723786</v>
      </c>
      <c r="R86" s="17"/>
      <c r="S86">
        <f t="shared" si="67"/>
        <v>0.32056097051628607</v>
      </c>
      <c r="T86">
        <f t="shared" si="68"/>
        <v>17.616955118387523</v>
      </c>
      <c r="U86">
        <f t="shared" si="69"/>
        <v>20.02991043916154</v>
      </c>
      <c r="V86">
        <f t="shared" si="70"/>
        <v>22.892508003678813</v>
      </c>
      <c r="W86">
        <f t="shared" si="71"/>
        <v>24.392326056258753</v>
      </c>
      <c r="X86" s="17"/>
      <c r="Y86" s="67">
        <f t="shared" si="72"/>
        <v>0.32056097051628607</v>
      </c>
      <c r="Z86" s="67">
        <f t="shared" si="73"/>
        <v>17.616955118387523</v>
      </c>
      <c r="AA86" s="67">
        <f t="shared" si="74"/>
        <v>20.02991043916154</v>
      </c>
      <c r="AB86" s="67">
        <f t="shared" si="75"/>
        <v>22.892508003678813</v>
      </c>
      <c r="AC86" s="67">
        <f t="shared" si="76"/>
        <v>24.392326056258753</v>
      </c>
      <c r="AE86" s="91">
        <f t="shared" si="60"/>
        <v>39858.902781875593</v>
      </c>
      <c r="AF86" s="91">
        <f t="shared" si="61"/>
        <v>48282.775071805314</v>
      </c>
      <c r="AG86" s="91">
        <f t="shared" si="62"/>
        <v>54130.979884014319</v>
      </c>
      <c r="AH86" s="91">
        <f t="shared" si="63"/>
        <v>64624.72523370471</v>
      </c>
      <c r="AI86" s="91">
        <f t="shared" si="64"/>
        <v>71418.544925751383</v>
      </c>
      <c r="AK86">
        <f t="shared" si="65"/>
        <v>0</v>
      </c>
      <c r="AL86">
        <f t="shared" si="56"/>
        <v>407.53782481299999</v>
      </c>
      <c r="AM86">
        <f t="shared" si="56"/>
        <v>4019.3023708763999</v>
      </c>
      <c r="AN86">
        <f t="shared" si="56"/>
        <v>7346.8658976622</v>
      </c>
      <c r="AO86">
        <f>SUMIFS($D$81:$D$116, $A$81:$A$116, AO$2, $B$81:$B$116,  $J$81)</f>
        <v>12848.004609625999</v>
      </c>
      <c r="AP86" s="83"/>
      <c r="AQ86" s="20"/>
      <c r="AR86" s="20"/>
      <c r="AS86" s="20"/>
      <c r="AT86" s="20"/>
      <c r="AU86" s="20"/>
      <c r="AV86" s="17"/>
      <c r="AW86" s="17"/>
      <c r="AX86" s="17"/>
      <c r="AY86" s="17"/>
      <c r="AZ86" s="17"/>
      <c r="BA86" s="18"/>
    </row>
    <row r="87" spans="1:53" x14ac:dyDescent="0.2">
      <c r="A87" s="92">
        <v>12000</v>
      </c>
      <c r="B87" s="92" t="s">
        <v>101</v>
      </c>
      <c r="C87" s="93">
        <v>50</v>
      </c>
      <c r="D87" s="94">
        <v>404.54699381124408</v>
      </c>
      <c r="E87" s="94">
        <v>48.07284662371471</v>
      </c>
      <c r="F87" s="94">
        <v>6.7985271677138996</v>
      </c>
      <c r="G87" s="94">
        <v>390.88484196605583</v>
      </c>
      <c r="H87" s="94">
        <v>418.20914565643233</v>
      </c>
      <c r="I87" s="17"/>
      <c r="J87" s="17" t="str">
        <f>$J48</f>
        <v>SA_GREEDY_CB</v>
      </c>
      <c r="K87" s="17">
        <f>$K48</f>
        <v>0</v>
      </c>
      <c r="L87" s="9" t="str">
        <f>$L48</f>
        <v>SAGCB</v>
      </c>
      <c r="M87">
        <f t="shared" si="66"/>
        <v>404.54699381124408</v>
      </c>
      <c r="N87">
        <f t="shared" si="57"/>
        <v>4253.2922918513241</v>
      </c>
      <c r="O87">
        <f t="shared" si="57"/>
        <v>8431.4555449131767</v>
      </c>
      <c r="P87">
        <f t="shared" si="57"/>
        <v>14149.534686152208</v>
      </c>
      <c r="Q87">
        <f t="shared" si="57"/>
        <v>19915.236385458487</v>
      </c>
      <c r="R87" s="17"/>
      <c r="S87">
        <f t="shared" si="67"/>
        <v>13.662151845188248</v>
      </c>
      <c r="T87">
        <f t="shared" si="68"/>
        <v>15.182848122290125</v>
      </c>
      <c r="U87">
        <f t="shared" si="69"/>
        <v>18.161823444661422</v>
      </c>
      <c r="V87">
        <f t="shared" si="70"/>
        <v>32.637196383120681</v>
      </c>
      <c r="W87">
        <f t="shared" si="71"/>
        <v>24.625331536200974</v>
      </c>
      <c r="X87" s="17"/>
      <c r="Y87" s="67">
        <f t="shared" si="72"/>
        <v>13.662151845188248</v>
      </c>
      <c r="Z87" s="67">
        <f t="shared" si="73"/>
        <v>15.182848122290125</v>
      </c>
      <c r="AA87" s="67">
        <f t="shared" si="74"/>
        <v>18.161823444661422</v>
      </c>
      <c r="AB87" s="67">
        <f t="shared" si="75"/>
        <v>32.637196383120681</v>
      </c>
      <c r="AC87" s="67">
        <f t="shared" si="76"/>
        <v>24.625331536200974</v>
      </c>
      <c r="AD87" s="17"/>
      <c r="AE87" s="91">
        <f t="shared" si="60"/>
        <v>39858.902781875593</v>
      </c>
      <c r="AF87" s="91">
        <f t="shared" si="61"/>
        <v>48282.775071805314</v>
      </c>
      <c r="AG87" s="91">
        <f t="shared" si="62"/>
        <v>54130.979884014319</v>
      </c>
      <c r="AH87" s="91">
        <f t="shared" si="63"/>
        <v>64624.72523370471</v>
      </c>
      <c r="AI87" s="91">
        <f t="shared" si="64"/>
        <v>71418.544925751383</v>
      </c>
      <c r="AJ87" s="17"/>
      <c r="AK87">
        <f t="shared" si="65"/>
        <v>0</v>
      </c>
      <c r="AL87">
        <f t="shared" si="56"/>
        <v>407.53782481299999</v>
      </c>
      <c r="AM87">
        <f t="shared" si="56"/>
        <v>4019.3023708763999</v>
      </c>
      <c r="AN87">
        <f t="shared" si="56"/>
        <v>7346.8658976622</v>
      </c>
      <c r="AO87">
        <f>SUMIFS($D$81:$D$116, $A$81:$A$116, AO$2, $B$81:$B$116,  $J$81)</f>
        <v>12848.004609625999</v>
      </c>
      <c r="AP87" s="83"/>
      <c r="AQ87" s="20"/>
      <c r="AR87" s="20"/>
      <c r="AS87" s="20"/>
      <c r="AT87" s="20"/>
      <c r="AU87" s="20"/>
      <c r="AV87" s="17"/>
      <c r="AW87" s="17"/>
      <c r="AX87" s="17"/>
      <c r="AY87" s="17"/>
      <c r="AZ87" s="17"/>
      <c r="BA87" s="18"/>
    </row>
    <row r="88" spans="1:53" x14ac:dyDescent="0.2">
      <c r="A88" s="92">
        <v>14000</v>
      </c>
      <c r="B88" s="92" t="s">
        <v>46</v>
      </c>
      <c r="C88" s="93">
        <v>1</v>
      </c>
      <c r="D88" s="94">
        <v>407.53782481299999</v>
      </c>
      <c r="E88" s="94">
        <v>0</v>
      </c>
      <c r="F88" s="94">
        <v>0</v>
      </c>
      <c r="G88" s="94">
        <v>407.53782481299999</v>
      </c>
      <c r="H88" s="94">
        <v>407.53782481299999</v>
      </c>
      <c r="I88" s="17"/>
      <c r="J88" s="17">
        <f>$J49</f>
        <v>0</v>
      </c>
      <c r="K88" s="17">
        <f>$K49</f>
        <v>0</v>
      </c>
      <c r="L88" s="9">
        <f>$L49</f>
        <v>0</v>
      </c>
      <c r="M88">
        <f t="shared" si="66"/>
        <v>0</v>
      </c>
      <c r="N88">
        <f t="shared" si="57"/>
        <v>0</v>
      </c>
      <c r="O88">
        <f t="shared" si="57"/>
        <v>0</v>
      </c>
      <c r="P88">
        <f t="shared" si="57"/>
        <v>0</v>
      </c>
      <c r="Q88">
        <f t="shared" si="57"/>
        <v>0</v>
      </c>
      <c r="R88" s="17"/>
      <c r="S88">
        <f t="shared" si="67"/>
        <v>0</v>
      </c>
      <c r="T88">
        <f t="shared" si="68"/>
        <v>0</v>
      </c>
      <c r="U88">
        <f t="shared" si="69"/>
        <v>0</v>
      </c>
      <c r="V88">
        <f t="shared" si="70"/>
        <v>0</v>
      </c>
      <c r="W88">
        <f t="shared" si="71"/>
        <v>0</v>
      </c>
      <c r="X88" s="17"/>
      <c r="Y88" s="67">
        <f t="shared" si="72"/>
        <v>0</v>
      </c>
      <c r="Z88" s="67">
        <f t="shared" si="73"/>
        <v>0</v>
      </c>
      <c r="AA88" s="67">
        <f t="shared" si="74"/>
        <v>0</v>
      </c>
      <c r="AB88" s="67">
        <f t="shared" si="75"/>
        <v>0</v>
      </c>
      <c r="AC88" s="67">
        <f t="shared" si="76"/>
        <v>0</v>
      </c>
      <c r="AD88" s="17"/>
      <c r="AE88" s="91">
        <f t="shared" si="60"/>
        <v>39858.902781875593</v>
      </c>
      <c r="AF88" s="91">
        <f t="shared" si="61"/>
        <v>48282.775071805314</v>
      </c>
      <c r="AG88" s="91">
        <f t="shared" si="62"/>
        <v>54130.979884014319</v>
      </c>
      <c r="AH88" s="91">
        <f t="shared" si="63"/>
        <v>64624.72523370471</v>
      </c>
      <c r="AI88" s="91">
        <f t="shared" si="64"/>
        <v>71418.544925751383</v>
      </c>
      <c r="AJ88" s="17"/>
      <c r="AK88">
        <f t="shared" si="65"/>
        <v>0</v>
      </c>
      <c r="AL88">
        <f t="shared" si="56"/>
        <v>407.53782481299999</v>
      </c>
      <c r="AM88">
        <f t="shared" si="56"/>
        <v>4019.3023708763999</v>
      </c>
      <c r="AN88">
        <f t="shared" si="56"/>
        <v>7346.8658976622</v>
      </c>
      <c r="AO88">
        <f>SUMIFS($D$81:$D$116, $A$81:$A$116, AO$2, $B$81:$B$116,  $J$81)</f>
        <v>12848.004609625999</v>
      </c>
      <c r="AP88" s="83"/>
      <c r="AQ88" s="20"/>
      <c r="AR88" s="20"/>
      <c r="AS88" s="20"/>
      <c r="AT88" s="20"/>
      <c r="AU88" s="20"/>
      <c r="AV88" s="17"/>
      <c r="AW88" s="17"/>
      <c r="AX88" s="17"/>
      <c r="AY88" s="17"/>
      <c r="AZ88" s="17"/>
      <c r="BA88" s="18"/>
    </row>
    <row r="89" spans="1:53" x14ac:dyDescent="0.2">
      <c r="A89" s="92">
        <v>14000</v>
      </c>
      <c r="B89" s="92" t="s">
        <v>50</v>
      </c>
      <c r="C89" s="93">
        <v>50</v>
      </c>
      <c r="D89" s="94">
        <v>48282.775071805314</v>
      </c>
      <c r="E89" s="94">
        <v>66.449874782498483</v>
      </c>
      <c r="F89" s="94">
        <v>9.3974314135403265</v>
      </c>
      <c r="G89" s="94">
        <v>48263.89022634404</v>
      </c>
      <c r="H89" s="94">
        <v>48301.659917266588</v>
      </c>
      <c r="I89" s="17"/>
      <c r="J89" s="17"/>
      <c r="K89" s="17"/>
      <c r="L89" s="9"/>
      <c r="M89"/>
      <c r="N89"/>
      <c r="O89"/>
      <c r="P89"/>
      <c r="Q89"/>
      <c r="R89" s="17"/>
      <c r="S89"/>
      <c r="T89"/>
      <c r="U89"/>
      <c r="V89"/>
      <c r="W89"/>
      <c r="X89" s="17"/>
      <c r="Y89" s="67"/>
      <c r="Z89" s="67"/>
      <c r="AA89" s="67"/>
      <c r="AB89" s="67"/>
      <c r="AC89" s="67"/>
      <c r="AD89" s="17"/>
      <c r="AE89" s="17"/>
      <c r="AF89" s="17"/>
      <c r="AG89" s="17"/>
      <c r="AH89" s="17"/>
      <c r="AI89" s="17"/>
      <c r="AJ89" s="17"/>
      <c r="AK89"/>
      <c r="AL89"/>
      <c r="AM89"/>
      <c r="AN89"/>
      <c r="AO89"/>
      <c r="AP89" s="83"/>
      <c r="AQ89" s="20"/>
      <c r="AR89" s="20"/>
      <c r="AS89" s="20"/>
      <c r="AT89" s="20"/>
      <c r="AU89" s="20"/>
      <c r="AV89" s="17"/>
      <c r="AW89" s="17"/>
      <c r="AX89" s="17"/>
      <c r="AY89" s="17"/>
      <c r="AZ89" s="17"/>
      <c r="BA89" s="18"/>
    </row>
    <row r="90" spans="1:53" x14ac:dyDescent="0.2">
      <c r="A90" s="92">
        <v>14000</v>
      </c>
      <c r="B90" s="92" t="s">
        <v>52</v>
      </c>
      <c r="C90" s="93">
        <v>50</v>
      </c>
      <c r="D90" s="94">
        <v>8841.4020808416553</v>
      </c>
      <c r="E90" s="94">
        <v>86.614830737588903</v>
      </c>
      <c r="F90" s="94">
        <v>12.249186833174825</v>
      </c>
      <c r="G90" s="94">
        <v>8816.7864183067377</v>
      </c>
      <c r="H90" s="94">
        <v>8866.017743376573</v>
      </c>
      <c r="I90" s="17"/>
      <c r="J90" s="17"/>
      <c r="K90" s="17"/>
      <c r="L90" s="9"/>
      <c r="M90"/>
      <c r="N90"/>
      <c r="O90"/>
      <c r="P90"/>
      <c r="Q90"/>
      <c r="R90" s="17"/>
      <c r="S90"/>
      <c r="T90"/>
      <c r="U90"/>
      <c r="V90"/>
      <c r="W90"/>
      <c r="X90" s="17"/>
      <c r="Y90" s="67"/>
      <c r="Z90" s="67"/>
      <c r="AA90" s="67"/>
      <c r="AB90" s="67"/>
      <c r="AC90" s="67"/>
      <c r="AD90" s="17"/>
      <c r="AE90" s="17"/>
      <c r="AF90" s="17"/>
      <c r="AG90" s="17"/>
      <c r="AH90" s="17"/>
      <c r="AI90" s="17"/>
      <c r="AJ90" s="17"/>
      <c r="AK90"/>
      <c r="AL90"/>
      <c r="AM90"/>
      <c r="AN90"/>
      <c r="AO90"/>
      <c r="AP90" s="83"/>
      <c r="AQ90" s="20"/>
      <c r="AR90" s="20"/>
      <c r="AS90" s="20"/>
      <c r="AT90" s="20"/>
      <c r="AU90" s="20"/>
      <c r="AV90" s="17"/>
      <c r="AW90" s="17"/>
      <c r="AX90" s="17"/>
      <c r="AY90" s="17"/>
      <c r="AZ90" s="17"/>
      <c r="BA90" s="18"/>
    </row>
    <row r="91" spans="1:53" x14ac:dyDescent="0.2">
      <c r="A91" s="92">
        <v>14000</v>
      </c>
      <c r="B91" s="92" t="s">
        <v>51</v>
      </c>
      <c r="C91" s="93">
        <v>1</v>
      </c>
      <c r="D91" s="94">
        <v>5858.1903113335002</v>
      </c>
      <c r="E91" s="94">
        <v>0</v>
      </c>
      <c r="F91" s="94">
        <v>0</v>
      </c>
      <c r="G91" s="94">
        <v>5858.1903113335002</v>
      </c>
      <c r="H91" s="94">
        <v>5858.1903113335002</v>
      </c>
      <c r="I91" s="17"/>
      <c r="J91" s="17"/>
      <c r="K91" s="17"/>
      <c r="L91" s="9"/>
      <c r="M91"/>
      <c r="N91"/>
      <c r="O91"/>
      <c r="P91"/>
      <c r="Q91"/>
      <c r="R91" s="17"/>
      <c r="S91"/>
      <c r="T91"/>
      <c r="U91"/>
      <c r="V91"/>
      <c r="W91"/>
      <c r="X91" s="17"/>
      <c r="Y91" s="67"/>
      <c r="Z91" s="67"/>
      <c r="AA91" s="67"/>
      <c r="AB91" s="67"/>
      <c r="AC91" s="67"/>
      <c r="AD91" s="17"/>
      <c r="AE91" s="17"/>
      <c r="AF91" s="17"/>
      <c r="AG91" s="17"/>
      <c r="AH91" s="17"/>
      <c r="AI91" s="17"/>
      <c r="AJ91" s="17"/>
      <c r="AK91"/>
      <c r="AL91"/>
      <c r="AM91"/>
      <c r="AN91"/>
      <c r="AO91"/>
      <c r="AP91" s="83"/>
      <c r="AQ91" s="20"/>
      <c r="AR91" s="20"/>
      <c r="AS91" s="20"/>
      <c r="AT91" s="20"/>
      <c r="AU91" s="20"/>
      <c r="AV91" s="17"/>
      <c r="AW91" s="17"/>
      <c r="AX91" s="17"/>
      <c r="AY91" s="17"/>
      <c r="AZ91" s="17"/>
      <c r="BA91" s="18"/>
    </row>
    <row r="92" spans="1:53" x14ac:dyDescent="0.2">
      <c r="A92" s="92">
        <v>14000</v>
      </c>
      <c r="B92" s="92" t="s">
        <v>99</v>
      </c>
      <c r="C92" s="93">
        <v>50</v>
      </c>
      <c r="D92" s="94">
        <v>3184.7048283594868</v>
      </c>
      <c r="E92" s="94">
        <v>57.901284725310319</v>
      </c>
      <c r="F92" s="94">
        <v>8.1884782137359977</v>
      </c>
      <c r="G92" s="94">
        <v>3168.2494653113908</v>
      </c>
      <c r="H92" s="94">
        <v>3201.1601914075827</v>
      </c>
      <c r="I92" s="17"/>
      <c r="J92" s="17"/>
      <c r="K92" s="17"/>
      <c r="L92" s="9"/>
      <c r="M92"/>
      <c r="N92"/>
      <c r="O92"/>
      <c r="P92"/>
      <c r="Q92"/>
      <c r="R92" s="17"/>
      <c r="S92"/>
      <c r="T92"/>
      <c r="U92"/>
      <c r="V92"/>
      <c r="W92"/>
      <c r="X92" s="17"/>
      <c r="Y92" s="67"/>
      <c r="Z92" s="67"/>
      <c r="AA92" s="67"/>
      <c r="AB92" s="67"/>
      <c r="AC92" s="67"/>
      <c r="AD92" s="17"/>
      <c r="AE92" s="17"/>
      <c r="AF92" s="17"/>
      <c r="AG92" s="17"/>
      <c r="AH92" s="17"/>
      <c r="AI92" s="17"/>
      <c r="AJ92" s="17"/>
      <c r="AK92"/>
      <c r="AL92"/>
      <c r="AM92"/>
      <c r="AN92"/>
      <c r="AO92"/>
      <c r="AP92" s="83"/>
      <c r="AQ92" s="20"/>
      <c r="AR92" s="20"/>
      <c r="AS92" s="20"/>
      <c r="AT92" s="20"/>
      <c r="AU92" s="20"/>
      <c r="AV92" s="17"/>
      <c r="AW92" s="17"/>
      <c r="AX92" s="17"/>
      <c r="AY92" s="17"/>
      <c r="AZ92" s="17"/>
      <c r="BA92" s="18"/>
    </row>
    <row r="93" spans="1:53" x14ac:dyDescent="0.2">
      <c r="A93" s="92">
        <v>14000</v>
      </c>
      <c r="B93" s="92" t="s">
        <v>100</v>
      </c>
      <c r="C93" s="93">
        <v>50</v>
      </c>
      <c r="D93" s="94">
        <v>3149.7629554949126</v>
      </c>
      <c r="E93" s="94">
        <v>61.988564537978782</v>
      </c>
      <c r="F93" s="94">
        <v>8.7665068681649476</v>
      </c>
      <c r="G93" s="94">
        <v>3132.1460003765251</v>
      </c>
      <c r="H93" s="94">
        <v>3167.3799106133001</v>
      </c>
      <c r="I93" s="17"/>
      <c r="J93" s="22"/>
      <c r="K93" s="17"/>
      <c r="L93" s="9"/>
      <c r="M93"/>
      <c r="N93"/>
      <c r="O93"/>
      <c r="P93"/>
      <c r="Q93"/>
      <c r="R93" s="17"/>
      <c r="S93"/>
      <c r="T93"/>
      <c r="U93"/>
      <c r="V93"/>
      <c r="W93"/>
      <c r="X93" s="17"/>
      <c r="Y93" s="67"/>
      <c r="Z93" s="67"/>
      <c r="AA93" s="67"/>
      <c r="AB93" s="67"/>
      <c r="AC93" s="67"/>
      <c r="AD93" s="17"/>
      <c r="AE93" s="17"/>
      <c r="AF93" s="17"/>
      <c r="AG93" s="17"/>
      <c r="AH93" s="17"/>
      <c r="AI93" s="17"/>
      <c r="AJ93" s="17"/>
      <c r="AK93"/>
      <c r="AL93"/>
      <c r="AM93"/>
      <c r="AN93"/>
      <c r="AO93"/>
      <c r="AP93" s="83"/>
      <c r="AQ93" s="20"/>
      <c r="AR93" s="20"/>
      <c r="AS93" s="20"/>
      <c r="AT93" s="20"/>
      <c r="AU93" s="20"/>
      <c r="AV93" s="17"/>
      <c r="AW93" s="17"/>
      <c r="AX93" s="17"/>
      <c r="AY93" s="17"/>
      <c r="AZ93" s="17"/>
      <c r="BA93" s="18"/>
    </row>
    <row r="94" spans="1:53" x14ac:dyDescent="0.2">
      <c r="A94" s="92">
        <v>14000</v>
      </c>
      <c r="B94" s="92" t="s">
        <v>101</v>
      </c>
      <c r="C94" s="93">
        <v>50</v>
      </c>
      <c r="D94" s="94">
        <v>4253.2922918513241</v>
      </c>
      <c r="E94" s="94">
        <v>53.423702017414634</v>
      </c>
      <c r="F94" s="94">
        <v>7.5552523945206653</v>
      </c>
      <c r="G94" s="94">
        <v>4238.109443729034</v>
      </c>
      <c r="H94" s="94">
        <v>4268.4751399736142</v>
      </c>
      <c r="I94" s="17"/>
      <c r="J94" s="17"/>
      <c r="K94" s="17"/>
      <c r="L94" s="9"/>
      <c r="M94"/>
      <c r="N94"/>
      <c r="O94"/>
      <c r="P94"/>
      <c r="Q94"/>
      <c r="R94" s="17"/>
      <c r="S94"/>
      <c r="T94"/>
      <c r="U94"/>
      <c r="V94"/>
      <c r="W94"/>
      <c r="X94" s="17"/>
      <c r="Y94" s="67"/>
      <c r="Z94" s="67"/>
      <c r="AA94" s="67"/>
      <c r="AB94" s="67"/>
      <c r="AC94" s="67"/>
      <c r="AD94" s="17"/>
      <c r="AE94" s="17"/>
      <c r="AF94" s="17"/>
      <c r="AG94" s="17"/>
      <c r="AH94" s="17"/>
      <c r="AI94" s="17"/>
      <c r="AJ94" s="17"/>
      <c r="AK94"/>
      <c r="AL94"/>
      <c r="AM94"/>
      <c r="AN94"/>
      <c r="AO94"/>
      <c r="AP94" s="83"/>
      <c r="AQ94" s="20"/>
      <c r="AR94" s="20"/>
      <c r="AS94" s="20"/>
      <c r="AT94" s="20"/>
      <c r="AU94" s="20"/>
      <c r="AV94" s="17"/>
      <c r="AW94" s="17"/>
      <c r="AX94" s="17"/>
      <c r="AY94" s="17"/>
      <c r="AZ94" s="17"/>
      <c r="BA94" s="18"/>
    </row>
    <row r="95" spans="1:53" x14ac:dyDescent="0.2">
      <c r="A95" s="92">
        <v>16000</v>
      </c>
      <c r="B95" s="92" t="s">
        <v>46</v>
      </c>
      <c r="C95" s="93">
        <v>1</v>
      </c>
      <c r="D95" s="94">
        <v>4019.3023708763999</v>
      </c>
      <c r="E95" s="94">
        <v>0</v>
      </c>
      <c r="F95" s="94">
        <v>0</v>
      </c>
      <c r="G95" s="94">
        <v>4019.3023708763999</v>
      </c>
      <c r="H95" s="94">
        <v>4019.3023708763999</v>
      </c>
      <c r="I95" s="17"/>
      <c r="J95" s="17"/>
      <c r="K95" s="17"/>
      <c r="L95" s="9"/>
      <c r="M95"/>
      <c r="N95"/>
      <c r="O95"/>
      <c r="P95"/>
      <c r="Q95"/>
      <c r="R95" s="17"/>
      <c r="S95"/>
      <c r="T95"/>
      <c r="U95"/>
      <c r="V95"/>
      <c r="W95"/>
      <c r="X95" s="17"/>
      <c r="Y95" s="67"/>
      <c r="Z95" s="67"/>
      <c r="AA95" s="67"/>
      <c r="AB95" s="67"/>
      <c r="AC95" s="67"/>
      <c r="AD95" s="17"/>
      <c r="AE95" s="17"/>
      <c r="AF95" s="17"/>
      <c r="AG95" s="17"/>
      <c r="AH95" s="17"/>
      <c r="AI95" s="17"/>
      <c r="AJ95" s="17"/>
      <c r="AK95"/>
      <c r="AL95"/>
      <c r="AM95"/>
      <c r="AN95"/>
      <c r="AO95"/>
      <c r="AP95" s="83"/>
      <c r="AQ95" s="20"/>
      <c r="AR95" s="20"/>
      <c r="AS95" s="20"/>
      <c r="AT95" s="20"/>
      <c r="AU95" s="20"/>
      <c r="AV95" s="17"/>
      <c r="AW95" s="17"/>
      <c r="AX95" s="17"/>
      <c r="AY95" s="17"/>
      <c r="AZ95" s="17"/>
      <c r="BA95" s="18"/>
    </row>
    <row r="96" spans="1:53" x14ac:dyDescent="0.2">
      <c r="A96" s="92">
        <v>16000</v>
      </c>
      <c r="B96" s="92" t="s">
        <v>50</v>
      </c>
      <c r="C96" s="93">
        <v>50</v>
      </c>
      <c r="D96" s="94">
        <v>54130.979884014319</v>
      </c>
      <c r="E96" s="94">
        <v>89.424850890573907</v>
      </c>
      <c r="F96" s="94">
        <v>12.646583694264136</v>
      </c>
      <c r="G96" s="94">
        <v>54105.565622588045</v>
      </c>
      <c r="H96" s="94">
        <v>54156.394145440594</v>
      </c>
      <c r="I96" s="17"/>
      <c r="J96" s="17"/>
      <c r="K96" s="17"/>
      <c r="L96" s="9"/>
      <c r="M96"/>
      <c r="N96"/>
      <c r="O96"/>
      <c r="P96"/>
      <c r="Q96"/>
      <c r="R96" s="17"/>
      <c r="S96"/>
      <c r="T96"/>
      <c r="U96"/>
      <c r="V96"/>
      <c r="W96"/>
      <c r="X96" s="17"/>
      <c r="Y96" s="67"/>
      <c r="Z96" s="67"/>
      <c r="AA96" s="67"/>
      <c r="AB96" s="67"/>
      <c r="AC96" s="67"/>
      <c r="AD96" s="17"/>
      <c r="AE96" s="17"/>
      <c r="AF96" s="17"/>
      <c r="AG96" s="17"/>
      <c r="AH96" s="17"/>
      <c r="AI96" s="17"/>
      <c r="AJ96" s="17"/>
      <c r="AK96"/>
      <c r="AL96"/>
      <c r="AM96"/>
      <c r="AN96"/>
      <c r="AO96"/>
      <c r="AP96" s="83"/>
      <c r="AQ96" s="20"/>
      <c r="AR96" s="20"/>
      <c r="AS96" s="20"/>
      <c r="AT96" s="20"/>
      <c r="AU96" s="20"/>
      <c r="AV96" s="17"/>
      <c r="AW96" s="17"/>
      <c r="AX96" s="17"/>
      <c r="AY96" s="17"/>
      <c r="AZ96" s="17"/>
      <c r="BA96" s="18"/>
    </row>
    <row r="97" spans="1:53" x14ac:dyDescent="0.2">
      <c r="A97" s="92">
        <v>16000</v>
      </c>
      <c r="B97" s="92" t="s">
        <v>52</v>
      </c>
      <c r="C97" s="93">
        <v>50</v>
      </c>
      <c r="D97" s="94">
        <v>16250.405514026317</v>
      </c>
      <c r="E97" s="94">
        <v>81.320434467870143</v>
      </c>
      <c r="F97" s="94">
        <v>11.500446132253446</v>
      </c>
      <c r="G97" s="94">
        <v>16227.294502263001</v>
      </c>
      <c r="H97" s="94">
        <v>16273.516525789633</v>
      </c>
      <c r="I97" s="17"/>
      <c r="J97" s="17"/>
      <c r="K97" s="17"/>
      <c r="L97" s="9"/>
      <c r="M97"/>
      <c r="N97"/>
      <c r="O97"/>
      <c r="P97"/>
      <c r="Q97"/>
      <c r="R97" s="17"/>
      <c r="S97"/>
      <c r="T97"/>
      <c r="U97"/>
      <c r="V97"/>
      <c r="W97"/>
      <c r="X97" s="17"/>
      <c r="Y97" s="67"/>
      <c r="Z97" s="67"/>
      <c r="AA97" s="67"/>
      <c r="AB97" s="67"/>
      <c r="AC97" s="67"/>
      <c r="AD97" s="17"/>
      <c r="AE97" s="17"/>
      <c r="AF97" s="17"/>
      <c r="AG97" s="17"/>
      <c r="AH97" s="17"/>
      <c r="AI97" s="17"/>
      <c r="AJ97" s="17"/>
      <c r="AK97"/>
      <c r="AL97"/>
      <c r="AM97"/>
      <c r="AN97"/>
      <c r="AO97"/>
      <c r="AP97" s="83"/>
      <c r="AQ97" s="20"/>
      <c r="AR97" s="20"/>
      <c r="AS97" s="20"/>
      <c r="AT97" s="20"/>
      <c r="AU97" s="20"/>
      <c r="AV97" s="17"/>
      <c r="AW97" s="17"/>
      <c r="AX97" s="17"/>
      <c r="AY97" s="17"/>
      <c r="AZ97" s="17"/>
      <c r="BA97" s="18"/>
    </row>
    <row r="98" spans="1:53" x14ac:dyDescent="0.2">
      <c r="A98" s="92">
        <v>16000</v>
      </c>
      <c r="B98" s="92" t="s">
        <v>51</v>
      </c>
      <c r="C98" s="93">
        <v>1</v>
      </c>
      <c r="D98" s="94">
        <v>10624.105220630299</v>
      </c>
      <c r="E98" s="94">
        <v>0</v>
      </c>
      <c r="F98" s="94">
        <v>0</v>
      </c>
      <c r="G98" s="94">
        <v>10624.105220630299</v>
      </c>
      <c r="H98" s="94">
        <v>10624.105220630299</v>
      </c>
      <c r="I98" s="17"/>
      <c r="J98" s="17"/>
      <c r="K98" s="17"/>
      <c r="L98" s="9"/>
      <c r="M98"/>
      <c r="N98"/>
      <c r="O98"/>
      <c r="P98"/>
      <c r="Q98"/>
      <c r="R98" s="17"/>
      <c r="S98"/>
      <c r="T98"/>
      <c r="U98"/>
      <c r="V98"/>
      <c r="W98"/>
      <c r="X98" s="17"/>
      <c r="Y98" s="67"/>
      <c r="Z98" s="67"/>
      <c r="AA98" s="67"/>
      <c r="AB98" s="67"/>
      <c r="AC98" s="67"/>
      <c r="AD98" s="17"/>
      <c r="AE98" s="17"/>
      <c r="AF98" s="17"/>
      <c r="AG98" s="17"/>
      <c r="AH98" s="17"/>
      <c r="AI98" s="17"/>
      <c r="AJ98" s="17"/>
      <c r="AK98"/>
      <c r="AL98"/>
      <c r="AM98"/>
      <c r="AN98"/>
      <c r="AO98"/>
      <c r="AP98" s="83"/>
      <c r="AQ98" s="20"/>
      <c r="AR98" s="20"/>
      <c r="AS98" s="20"/>
      <c r="AT98" s="20"/>
      <c r="AU98" s="20"/>
      <c r="AV98" s="17"/>
      <c r="AW98" s="17"/>
      <c r="AX98" s="17"/>
      <c r="AY98" s="17"/>
      <c r="AZ98" s="17"/>
      <c r="BA98" s="18"/>
    </row>
    <row r="99" spans="1:53" x14ac:dyDescent="0.2">
      <c r="A99" s="92">
        <v>16000</v>
      </c>
      <c r="B99" s="92" t="s">
        <v>99</v>
      </c>
      <c r="C99" s="93">
        <v>50</v>
      </c>
      <c r="D99" s="94">
        <v>7492.7809106985214</v>
      </c>
      <c r="E99" s="94">
        <v>80.521772267970391</v>
      </c>
      <c r="F99" s="94">
        <v>11.387498240768149</v>
      </c>
      <c r="G99" s="94">
        <v>7469.8968762210206</v>
      </c>
      <c r="H99" s="94">
        <v>7515.6649451760222</v>
      </c>
      <c r="I99" s="17"/>
      <c r="J99" s="17"/>
      <c r="K99" s="17"/>
      <c r="L99" s="9"/>
      <c r="M99"/>
      <c r="N99"/>
      <c r="O99"/>
      <c r="P99"/>
      <c r="Q99"/>
      <c r="R99" s="17"/>
      <c r="S99"/>
      <c r="T99"/>
      <c r="U99"/>
      <c r="V99"/>
      <c r="W99"/>
      <c r="X99" s="17"/>
      <c r="Y99" s="67"/>
      <c r="Z99" s="67"/>
      <c r="AA99" s="67"/>
      <c r="AB99" s="67"/>
      <c r="AC99" s="67"/>
      <c r="AD99" s="17"/>
      <c r="AE99" s="17"/>
      <c r="AF99" s="17"/>
      <c r="AG99" s="17"/>
      <c r="AH99" s="17"/>
      <c r="AI99" s="17"/>
      <c r="AJ99" s="17"/>
      <c r="AK99"/>
      <c r="AL99"/>
      <c r="AM99"/>
      <c r="AN99"/>
      <c r="AO99"/>
      <c r="AP99" s="83"/>
      <c r="AQ99" s="20"/>
      <c r="AR99" s="20"/>
      <c r="AS99" s="20"/>
      <c r="AT99" s="20"/>
      <c r="AU99" s="20"/>
      <c r="AV99" s="17"/>
      <c r="AW99" s="17"/>
      <c r="AX99" s="17"/>
      <c r="AY99" s="17"/>
      <c r="AZ99" s="17"/>
      <c r="BA99" s="18"/>
    </row>
    <row r="100" spans="1:53" x14ac:dyDescent="0.2">
      <c r="A100" s="92">
        <v>16000</v>
      </c>
      <c r="B100" s="92" t="s">
        <v>100</v>
      </c>
      <c r="C100" s="93">
        <v>50</v>
      </c>
      <c r="D100" s="94">
        <v>7498.4861471551712</v>
      </c>
      <c r="E100" s="94">
        <v>70.479000917243937</v>
      </c>
      <c r="F100" s="94">
        <v>9.9672358959672174</v>
      </c>
      <c r="G100" s="94">
        <v>7478.4562367160097</v>
      </c>
      <c r="H100" s="94">
        <v>7518.5160575943328</v>
      </c>
      <c r="I100" s="17"/>
      <c r="J100" s="17"/>
      <c r="K100" s="17"/>
      <c r="L100" s="9"/>
      <c r="M100"/>
      <c r="N100"/>
      <c r="O100"/>
      <c r="P100"/>
      <c r="Q100"/>
      <c r="R100" s="17"/>
      <c r="S100"/>
      <c r="T100"/>
      <c r="U100"/>
      <c r="V100"/>
      <c r="W100"/>
      <c r="X100" s="17"/>
      <c r="Y100" s="67"/>
      <c r="Z100" s="67"/>
      <c r="AA100" s="67"/>
      <c r="AB100" s="67"/>
      <c r="AC100" s="67"/>
      <c r="AD100" s="17"/>
      <c r="AE100" s="17"/>
      <c r="AF100" s="17"/>
      <c r="AG100" s="17"/>
      <c r="AH100" s="17"/>
      <c r="AI100" s="17"/>
      <c r="AJ100" s="17"/>
      <c r="AK100"/>
      <c r="AL100"/>
      <c r="AM100"/>
      <c r="AN100"/>
      <c r="AO100"/>
      <c r="AP100" s="83"/>
      <c r="AQ100" s="20"/>
      <c r="AR100" s="20"/>
      <c r="AS100" s="20"/>
      <c r="AT100" s="20"/>
      <c r="AU100" s="20"/>
      <c r="AV100" s="17"/>
      <c r="AW100" s="17"/>
      <c r="AX100" s="17"/>
      <c r="AY100" s="17"/>
      <c r="AZ100" s="17"/>
      <c r="BA100" s="18"/>
    </row>
    <row r="101" spans="1:53" x14ac:dyDescent="0.2">
      <c r="A101" s="92">
        <v>16000</v>
      </c>
      <c r="B101" s="92" t="s">
        <v>101</v>
      </c>
      <c r="C101" s="93">
        <v>50</v>
      </c>
      <c r="D101" s="94">
        <v>8431.4555449131767</v>
      </c>
      <c r="E101" s="94">
        <v>63.90578605446531</v>
      </c>
      <c r="F101" s="94">
        <v>9.0376429352338246</v>
      </c>
      <c r="G101" s="94">
        <v>8413.2937214685153</v>
      </c>
      <c r="H101" s="94">
        <v>8449.6173683578381</v>
      </c>
      <c r="I101" s="17"/>
      <c r="J101" s="17"/>
      <c r="K101" s="17"/>
      <c r="L101" s="9"/>
      <c r="M101"/>
      <c r="N101"/>
      <c r="O101"/>
      <c r="P101"/>
      <c r="Q101"/>
      <c r="R101" s="17"/>
      <c r="S101"/>
      <c r="T101"/>
      <c r="U101"/>
      <c r="V101"/>
      <c r="W101"/>
      <c r="X101" s="17"/>
      <c r="Y101" s="67"/>
      <c r="Z101" s="67"/>
      <c r="AA101" s="67"/>
      <c r="AB101" s="67"/>
      <c r="AC101" s="67"/>
      <c r="AD101" s="17"/>
      <c r="AE101" s="17"/>
      <c r="AF101" s="17"/>
      <c r="AG101" s="17"/>
      <c r="AH101" s="17"/>
      <c r="AI101" s="17"/>
      <c r="AJ101" s="17"/>
      <c r="AK101"/>
      <c r="AL101"/>
      <c r="AM101"/>
      <c r="AN101"/>
      <c r="AO101"/>
      <c r="AP101" s="83"/>
      <c r="AQ101" s="20"/>
      <c r="AR101" s="20"/>
      <c r="AS101" s="20"/>
      <c r="AT101" s="20"/>
      <c r="AU101" s="20"/>
      <c r="AV101" s="17"/>
      <c r="AW101" s="17"/>
      <c r="AX101" s="17"/>
      <c r="AY101" s="17"/>
      <c r="AZ101" s="17"/>
      <c r="BA101" s="18"/>
    </row>
    <row r="102" spans="1:53" x14ac:dyDescent="0.2">
      <c r="A102" s="92">
        <v>18000</v>
      </c>
      <c r="B102" s="92" t="s">
        <v>46</v>
      </c>
      <c r="C102" s="93">
        <v>1</v>
      </c>
      <c r="D102" s="94">
        <v>7346.8658976622</v>
      </c>
      <c r="E102" s="94">
        <v>0</v>
      </c>
      <c r="F102" s="94">
        <v>0</v>
      </c>
      <c r="G102" s="94">
        <v>7346.8658976622</v>
      </c>
      <c r="H102" s="94">
        <v>7346.8658976622</v>
      </c>
      <c r="I102" s="17"/>
      <c r="J102" s="17"/>
      <c r="K102" s="17"/>
      <c r="L102" s="9"/>
      <c r="M102"/>
      <c r="N102"/>
      <c r="O102"/>
      <c r="P102"/>
      <c r="Q102"/>
      <c r="R102" s="17"/>
      <c r="S102"/>
      <c r="T102"/>
      <c r="U102"/>
      <c r="V102"/>
      <c r="W102"/>
      <c r="X102" s="17"/>
      <c r="Y102" s="67"/>
      <c r="Z102" s="67"/>
      <c r="AA102" s="67"/>
      <c r="AB102" s="67"/>
      <c r="AC102" s="67"/>
      <c r="AD102" s="17"/>
      <c r="AE102" s="17"/>
      <c r="AF102" s="17"/>
      <c r="AG102" s="17"/>
      <c r="AH102" s="17"/>
      <c r="AI102" s="17"/>
      <c r="AJ102" s="17"/>
      <c r="AK102"/>
      <c r="AL102"/>
      <c r="AM102"/>
      <c r="AN102"/>
      <c r="AO102"/>
      <c r="AP102" s="83"/>
      <c r="AQ102" s="20"/>
      <c r="AR102" s="20"/>
      <c r="AS102" s="20"/>
      <c r="AT102" s="20"/>
      <c r="AU102" s="20"/>
      <c r="AV102" s="17"/>
      <c r="AW102" s="17"/>
      <c r="AX102" s="17"/>
      <c r="AY102" s="17"/>
      <c r="AZ102" s="17"/>
      <c r="BA102" s="18"/>
    </row>
    <row r="103" spans="1:53" x14ac:dyDescent="0.2">
      <c r="A103" s="92">
        <v>18000</v>
      </c>
      <c r="B103" s="92" t="s">
        <v>50</v>
      </c>
      <c r="C103" s="93">
        <v>50</v>
      </c>
      <c r="D103" s="94">
        <v>64624.72523370471</v>
      </c>
      <c r="E103" s="94">
        <v>88.32799168657489</v>
      </c>
      <c r="F103" s="94">
        <v>12.49146437803322</v>
      </c>
      <c r="G103" s="94">
        <v>64599.622696215134</v>
      </c>
      <c r="H103" s="94">
        <v>64649.827771194286</v>
      </c>
      <c r="I103" s="17"/>
      <c r="J103" s="17"/>
      <c r="K103" s="17"/>
      <c r="L103" s="9"/>
      <c r="M103"/>
      <c r="N103"/>
      <c r="O103"/>
      <c r="P103"/>
      <c r="Q103"/>
      <c r="R103" s="17"/>
      <c r="S103"/>
      <c r="T103"/>
      <c r="U103"/>
      <c r="V103"/>
      <c r="W103"/>
      <c r="X103" s="17"/>
      <c r="Y103" s="67"/>
      <c r="Z103" s="67"/>
      <c r="AA103" s="67"/>
      <c r="AB103" s="67"/>
      <c r="AC103" s="67"/>
      <c r="AD103" s="17"/>
      <c r="AE103" s="17"/>
      <c r="AF103" s="17"/>
      <c r="AG103" s="17"/>
      <c r="AH103" s="17"/>
      <c r="AI103" s="17"/>
      <c r="AJ103" s="17"/>
      <c r="AK103"/>
      <c r="AL103"/>
      <c r="AM103"/>
      <c r="AN103"/>
      <c r="AO103"/>
      <c r="AP103" s="83"/>
      <c r="AQ103" s="20"/>
      <c r="AR103" s="20"/>
      <c r="AS103" s="20"/>
      <c r="AT103" s="20"/>
      <c r="AU103" s="20"/>
      <c r="AV103" s="17"/>
      <c r="AW103" s="17"/>
      <c r="AX103" s="17"/>
      <c r="AY103" s="17"/>
      <c r="AZ103" s="17"/>
      <c r="BA103" s="18"/>
    </row>
    <row r="104" spans="1:53" x14ac:dyDescent="0.2">
      <c r="A104" s="92">
        <v>18000</v>
      </c>
      <c r="B104" s="92" t="s">
        <v>52</v>
      </c>
      <c r="C104" s="93">
        <v>50</v>
      </c>
      <c r="D104" s="94">
        <v>25667.090207195248</v>
      </c>
      <c r="E104" s="94">
        <v>89.619607642974984</v>
      </c>
      <c r="F104" s="94">
        <v>12.67412645832507</v>
      </c>
      <c r="G104" s="94">
        <v>25641.620596512352</v>
      </c>
      <c r="H104" s="94">
        <v>25692.559817878144</v>
      </c>
      <c r="I104" s="17"/>
      <c r="J104" s="17"/>
      <c r="K104" s="17"/>
      <c r="L104" s="9"/>
      <c r="M104"/>
      <c r="N104"/>
      <c r="O104"/>
      <c r="P104"/>
      <c r="Q104"/>
      <c r="R104" s="17"/>
      <c r="S104"/>
      <c r="T104"/>
      <c r="U104"/>
      <c r="V104"/>
      <c r="W104"/>
      <c r="X104" s="17"/>
      <c r="Y104" s="67"/>
      <c r="Z104" s="67"/>
      <c r="AA104" s="67"/>
      <c r="AB104" s="67"/>
      <c r="AC104" s="67"/>
      <c r="AD104" s="17"/>
      <c r="AE104" s="17"/>
      <c r="AF104" s="17"/>
      <c r="AG104" s="17"/>
      <c r="AH104" s="17"/>
      <c r="AI104" s="17"/>
      <c r="AJ104" s="17"/>
      <c r="AK104"/>
      <c r="AL104"/>
      <c r="AM104"/>
      <c r="AN104"/>
      <c r="AO104"/>
      <c r="AP104" s="83"/>
      <c r="AQ104" s="20"/>
      <c r="AR104" s="20"/>
      <c r="AS104" s="20"/>
      <c r="AT104" s="20"/>
      <c r="AU104" s="20"/>
      <c r="AV104" s="17"/>
      <c r="AW104" s="17"/>
      <c r="AX104" s="17"/>
      <c r="AY104" s="17"/>
      <c r="AZ104" s="17"/>
      <c r="BA104" s="18"/>
    </row>
    <row r="105" spans="1:53" x14ac:dyDescent="0.2">
      <c r="A105" s="92">
        <v>18000</v>
      </c>
      <c r="B105" s="92" t="s">
        <v>51</v>
      </c>
      <c r="C105" s="93">
        <v>1</v>
      </c>
      <c r="D105" s="94">
        <v>17799.256490757401</v>
      </c>
      <c r="E105" s="94">
        <v>0</v>
      </c>
      <c r="F105" s="94">
        <v>0</v>
      </c>
      <c r="G105" s="94">
        <v>17799.256490757401</v>
      </c>
      <c r="H105" s="94">
        <v>17799.256490757401</v>
      </c>
      <c r="I105" s="17"/>
      <c r="J105" s="17"/>
      <c r="K105" s="17"/>
      <c r="L105" s="9"/>
      <c r="M105"/>
      <c r="N105"/>
      <c r="O105"/>
      <c r="P105"/>
      <c r="Q105"/>
      <c r="R105" s="17"/>
      <c r="S105"/>
      <c r="T105"/>
      <c r="U105"/>
      <c r="V105"/>
      <c r="W105"/>
      <c r="X105" s="17"/>
      <c r="Y105" s="67"/>
      <c r="Z105" s="67"/>
      <c r="AA105" s="67"/>
      <c r="AB105" s="67"/>
      <c r="AC105" s="67"/>
      <c r="AD105" s="17"/>
      <c r="AE105" s="17"/>
      <c r="AF105" s="17"/>
      <c r="AG105" s="17"/>
      <c r="AH105" s="17"/>
      <c r="AI105" s="17"/>
      <c r="AJ105" s="17"/>
      <c r="AK105"/>
      <c r="AL105"/>
      <c r="AM105"/>
      <c r="AN105"/>
      <c r="AO105"/>
      <c r="AP105" s="83"/>
      <c r="AQ105" s="20"/>
      <c r="AR105" s="20"/>
      <c r="AS105" s="20"/>
      <c r="AT105" s="20"/>
      <c r="AU105" s="20"/>
      <c r="AV105" s="17"/>
      <c r="AW105" s="17"/>
      <c r="AX105" s="17"/>
      <c r="AY105" s="17"/>
      <c r="AZ105" s="17"/>
      <c r="BA105" s="18"/>
    </row>
    <row r="106" spans="1:53" x14ac:dyDescent="0.2">
      <c r="A106" s="92">
        <v>18000</v>
      </c>
      <c r="B106" s="92" t="s">
        <v>99</v>
      </c>
      <c r="C106" s="93">
        <v>50</v>
      </c>
      <c r="D106" s="94">
        <v>12086.299090744677</v>
      </c>
      <c r="E106" s="94">
        <v>67.707851083862352</v>
      </c>
      <c r="F106" s="94">
        <v>9.5753361281935998</v>
      </c>
      <c r="G106" s="94">
        <v>12067.056732374269</v>
      </c>
      <c r="H106" s="94">
        <v>12105.541449115084</v>
      </c>
      <c r="I106" s="17"/>
      <c r="J106" s="17"/>
      <c r="K106" s="17"/>
      <c r="L106" s="9"/>
      <c r="M106"/>
      <c r="N106"/>
      <c r="O106"/>
      <c r="P106"/>
      <c r="Q106"/>
      <c r="R106" s="17"/>
      <c r="S106"/>
      <c r="T106"/>
      <c r="U106"/>
      <c r="V106"/>
      <c r="W106"/>
      <c r="X106" s="17"/>
      <c r="Y106" s="67"/>
      <c r="Z106" s="67"/>
      <c r="AA106" s="67"/>
      <c r="AB106" s="67"/>
      <c r="AC106" s="67"/>
      <c r="AD106" s="17"/>
      <c r="AE106" s="17"/>
      <c r="AF106" s="17"/>
      <c r="AG106" s="17"/>
      <c r="AH106" s="17"/>
      <c r="AI106" s="17"/>
      <c r="AJ106" s="17"/>
      <c r="AK106"/>
      <c r="AL106"/>
      <c r="AM106"/>
      <c r="AN106"/>
      <c r="AO106"/>
      <c r="AP106" s="83"/>
      <c r="AQ106" s="20"/>
      <c r="AR106" s="20"/>
      <c r="AS106" s="20"/>
      <c r="AT106" s="20"/>
      <c r="AU106" s="20"/>
      <c r="AV106" s="17"/>
      <c r="AW106" s="17"/>
      <c r="AX106" s="17"/>
      <c r="AY106" s="17"/>
      <c r="AZ106" s="17"/>
      <c r="BA106" s="18"/>
    </row>
    <row r="107" spans="1:53" x14ac:dyDescent="0.2">
      <c r="A107" s="92">
        <v>18000</v>
      </c>
      <c r="B107" s="92" t="s">
        <v>100</v>
      </c>
      <c r="C107" s="93">
        <v>50</v>
      </c>
      <c r="D107" s="94">
        <v>12053.196906937101</v>
      </c>
      <c r="E107" s="94">
        <v>80.551587960911306</v>
      </c>
      <c r="F107" s="94">
        <v>11.391714816501009</v>
      </c>
      <c r="G107" s="94">
        <v>12030.304398933422</v>
      </c>
      <c r="H107" s="94">
        <v>12076.08941494078</v>
      </c>
      <c r="I107" s="17"/>
      <c r="J107" s="17"/>
      <c r="K107" s="17"/>
      <c r="L107" s="9"/>
      <c r="M107"/>
      <c r="N107"/>
      <c r="O107"/>
      <c r="P107"/>
      <c r="Q107"/>
      <c r="R107" s="17"/>
      <c r="S107"/>
      <c r="T107"/>
      <c r="U107"/>
      <c r="V107"/>
      <c r="W107"/>
      <c r="X107" s="17"/>
      <c r="Y107" s="67"/>
      <c r="Z107" s="67"/>
      <c r="AA107" s="67"/>
      <c r="AB107" s="67"/>
      <c r="AC107" s="67"/>
      <c r="AD107" s="17"/>
      <c r="AE107" s="17"/>
      <c r="AF107" s="17"/>
      <c r="AG107" s="17"/>
      <c r="AH107" s="17"/>
      <c r="AI107" s="17"/>
      <c r="AJ107" s="17"/>
      <c r="AK107"/>
      <c r="AL107"/>
      <c r="AM107"/>
      <c r="AN107"/>
      <c r="AO107"/>
      <c r="AP107" s="83"/>
      <c r="AQ107" s="20"/>
      <c r="AR107" s="20"/>
      <c r="AS107" s="20"/>
      <c r="AT107" s="20"/>
      <c r="AU107" s="20"/>
      <c r="AV107" s="17"/>
      <c r="AW107" s="17"/>
      <c r="AX107" s="17"/>
      <c r="AY107" s="17"/>
      <c r="AZ107" s="17"/>
      <c r="BA107" s="18"/>
    </row>
    <row r="108" spans="1:53" x14ac:dyDescent="0.2">
      <c r="A108" s="92">
        <v>18000</v>
      </c>
      <c r="B108" s="92" t="s">
        <v>101</v>
      </c>
      <c r="C108" s="93">
        <v>50</v>
      </c>
      <c r="D108" s="94">
        <v>14149.534686152208</v>
      </c>
      <c r="E108" s="94">
        <v>114.84010379422222</v>
      </c>
      <c r="F108" s="94">
        <v>16.240843229012299</v>
      </c>
      <c r="G108" s="94">
        <v>14116.897489769088</v>
      </c>
      <c r="H108" s="94">
        <v>14182.171882535329</v>
      </c>
      <c r="I108" s="17"/>
      <c r="J108" s="17"/>
      <c r="K108" s="17"/>
      <c r="L108" s="9"/>
      <c r="M108"/>
      <c r="N108"/>
      <c r="O108"/>
      <c r="P108"/>
      <c r="Q108"/>
      <c r="R108" s="17"/>
      <c r="S108"/>
      <c r="T108"/>
      <c r="U108"/>
      <c r="V108"/>
      <c r="W108"/>
      <c r="X108" s="17"/>
      <c r="Y108" s="67"/>
      <c r="Z108" s="67"/>
      <c r="AA108" s="67"/>
      <c r="AB108" s="67"/>
      <c r="AC108" s="67"/>
      <c r="AD108" s="17"/>
      <c r="AE108" s="17"/>
      <c r="AF108" s="17"/>
      <c r="AG108" s="17"/>
      <c r="AH108" s="17"/>
      <c r="AI108" s="17"/>
      <c r="AJ108" s="17"/>
      <c r="AK108"/>
      <c r="AL108"/>
      <c r="AM108"/>
      <c r="AN108"/>
      <c r="AO108"/>
      <c r="AP108" s="83"/>
      <c r="AQ108" s="20"/>
      <c r="AR108" s="20"/>
      <c r="AS108" s="20"/>
      <c r="AT108" s="20"/>
      <c r="AU108" s="20"/>
      <c r="AV108" s="17"/>
      <c r="AW108" s="17"/>
      <c r="AX108" s="17"/>
      <c r="AY108" s="17"/>
      <c r="AZ108" s="17"/>
      <c r="BA108" s="18"/>
    </row>
    <row r="109" spans="1:53" x14ac:dyDescent="0.2">
      <c r="A109" s="92">
        <v>20000</v>
      </c>
      <c r="B109" s="92" t="s">
        <v>46</v>
      </c>
      <c r="C109" s="93">
        <v>1</v>
      </c>
      <c r="D109" s="94">
        <v>12848.004609625999</v>
      </c>
      <c r="E109" s="94">
        <v>0</v>
      </c>
      <c r="F109" s="94">
        <v>0</v>
      </c>
      <c r="G109" s="94">
        <v>12848.004609625999</v>
      </c>
      <c r="H109" s="94">
        <v>12848.004609625999</v>
      </c>
      <c r="I109" s="17"/>
      <c r="J109" s="17"/>
      <c r="K109" s="17"/>
      <c r="L109" s="9"/>
      <c r="M109"/>
      <c r="N109"/>
      <c r="O109"/>
      <c r="P109"/>
      <c r="Q109"/>
      <c r="R109" s="17"/>
      <c r="S109"/>
      <c r="T109"/>
      <c r="U109"/>
      <c r="V109"/>
      <c r="W109"/>
      <c r="X109" s="17"/>
      <c r="Y109" s="67"/>
      <c r="Z109" s="67"/>
      <c r="AA109" s="67"/>
      <c r="AB109" s="67"/>
      <c r="AC109" s="67"/>
      <c r="AD109" s="17"/>
      <c r="AE109" s="17"/>
      <c r="AF109" s="17"/>
      <c r="AG109" s="17"/>
      <c r="AH109" s="17"/>
      <c r="AI109" s="17"/>
      <c r="AJ109" s="17"/>
      <c r="AK109"/>
      <c r="AL109"/>
      <c r="AM109"/>
      <c r="AN109"/>
      <c r="AO109"/>
      <c r="AP109" s="83"/>
      <c r="AQ109" s="20"/>
      <c r="AR109" s="88"/>
      <c r="AS109" s="20"/>
      <c r="AT109" s="20"/>
      <c r="AU109" s="20"/>
      <c r="AV109" s="17"/>
      <c r="AW109" s="17"/>
      <c r="AX109" s="17"/>
      <c r="AY109" s="17"/>
      <c r="AZ109" s="17"/>
      <c r="BA109" s="18"/>
    </row>
    <row r="110" spans="1:53" x14ac:dyDescent="0.2">
      <c r="A110" s="92">
        <v>20000</v>
      </c>
      <c r="B110" s="92" t="s">
        <v>50</v>
      </c>
      <c r="C110" s="93">
        <v>50</v>
      </c>
      <c r="D110" s="94">
        <v>71418.544925751383</v>
      </c>
      <c r="E110" s="94">
        <v>83.693471661793183</v>
      </c>
      <c r="F110" s="94">
        <v>11.83604427061962</v>
      </c>
      <c r="G110" s="94">
        <v>71394.759504279587</v>
      </c>
      <c r="H110" s="94">
        <v>71442.330347223178</v>
      </c>
      <c r="I110" s="17"/>
      <c r="J110" s="17"/>
      <c r="K110" s="17"/>
      <c r="L110" s="9"/>
      <c r="M110"/>
      <c r="N110"/>
      <c r="O110"/>
      <c r="P110"/>
      <c r="Q110"/>
      <c r="R110" s="17"/>
      <c r="S110"/>
      <c r="T110"/>
      <c r="U110"/>
      <c r="V110"/>
      <c r="W110"/>
      <c r="X110" s="17"/>
      <c r="Y110" s="67"/>
      <c r="Z110" s="67"/>
      <c r="AA110" s="67"/>
      <c r="AB110" s="67"/>
      <c r="AC110" s="67"/>
      <c r="AD110" s="17"/>
      <c r="AE110" s="17"/>
      <c r="AF110" s="17"/>
      <c r="AG110" s="17"/>
      <c r="AH110" s="17"/>
      <c r="AI110" s="17"/>
      <c r="AJ110" s="17"/>
      <c r="AK110"/>
      <c r="AL110"/>
      <c r="AM110"/>
      <c r="AN110"/>
      <c r="AO110"/>
      <c r="AP110" s="83"/>
      <c r="AQ110" s="20"/>
      <c r="AR110" s="20"/>
      <c r="AS110" s="20"/>
      <c r="AT110" s="20"/>
      <c r="AU110" s="20"/>
      <c r="AV110" s="17"/>
      <c r="AW110" s="17"/>
      <c r="AX110" s="17"/>
      <c r="AY110" s="17"/>
      <c r="AZ110" s="17"/>
      <c r="BA110" s="18"/>
    </row>
    <row r="111" spans="1:53" x14ac:dyDescent="0.2">
      <c r="A111" s="92">
        <v>20000</v>
      </c>
      <c r="B111" s="92" t="s">
        <v>52</v>
      </c>
      <c r="C111" s="93">
        <v>50</v>
      </c>
      <c r="D111" s="94">
        <v>33262.170166717668</v>
      </c>
      <c r="E111" s="94">
        <v>81.632961928825509</v>
      </c>
      <c r="F111" s="94">
        <v>11.544644189643156</v>
      </c>
      <c r="G111" s="94">
        <v>33238.970335632694</v>
      </c>
      <c r="H111" s="94">
        <v>33285.369997802642</v>
      </c>
      <c r="I111" s="17"/>
      <c r="J111" s="17"/>
      <c r="K111" s="17"/>
      <c r="L111" s="9"/>
      <c r="M111"/>
      <c r="N111"/>
      <c r="O111"/>
      <c r="P111"/>
      <c r="Q111"/>
      <c r="R111" s="17"/>
      <c r="S111"/>
      <c r="T111"/>
      <c r="U111"/>
      <c r="V111"/>
      <c r="W111"/>
      <c r="X111" s="17"/>
      <c r="Y111" s="67"/>
      <c r="Z111" s="67"/>
      <c r="AA111" s="67"/>
      <c r="AB111" s="67"/>
      <c r="AC111" s="67"/>
      <c r="AD111" s="17"/>
      <c r="AE111" s="17"/>
      <c r="AF111" s="17"/>
      <c r="AG111" s="17"/>
      <c r="AH111" s="17"/>
      <c r="AI111" s="17"/>
      <c r="AJ111" s="17"/>
      <c r="AK111"/>
      <c r="AL111"/>
      <c r="AM111"/>
      <c r="AN111"/>
      <c r="AO111"/>
      <c r="AP111" s="83"/>
      <c r="AQ111" s="20"/>
      <c r="AR111" s="20"/>
      <c r="AS111" s="20"/>
      <c r="AT111" s="20"/>
      <c r="AU111" s="20"/>
      <c r="AV111" s="17"/>
      <c r="AW111" s="17"/>
      <c r="AX111" s="17"/>
      <c r="AY111" s="17"/>
      <c r="AZ111" s="17"/>
      <c r="BA111" s="18"/>
    </row>
    <row r="112" spans="1:53" x14ac:dyDescent="0.2">
      <c r="A112" s="94">
        <v>20000</v>
      </c>
      <c r="B112" s="94" t="s">
        <v>51</v>
      </c>
      <c r="C112" s="94">
        <v>1</v>
      </c>
      <c r="D112" s="94">
        <v>23739.431401846101</v>
      </c>
      <c r="E112" s="94">
        <v>0</v>
      </c>
      <c r="F112" s="94">
        <v>0</v>
      </c>
      <c r="G112" s="94">
        <v>23739.431401846101</v>
      </c>
      <c r="H112" s="94">
        <v>23739.431401846101</v>
      </c>
      <c r="I112" s="17"/>
      <c r="J112" s="17"/>
      <c r="K112" s="17"/>
      <c r="L112" s="9"/>
      <c r="M112"/>
      <c r="N112"/>
      <c r="O112"/>
      <c r="P112"/>
      <c r="Q112"/>
      <c r="R112" s="17"/>
      <c r="S112"/>
      <c r="T112"/>
      <c r="U112"/>
      <c r="V112"/>
      <c r="W112"/>
      <c r="X112" s="17"/>
      <c r="Y112" s="67"/>
      <c r="Z112" s="67"/>
      <c r="AA112" s="67"/>
      <c r="AB112" s="67"/>
      <c r="AC112" s="67"/>
      <c r="AD112" s="17"/>
      <c r="AE112" s="17"/>
      <c r="AF112" s="17"/>
      <c r="AG112" s="17"/>
      <c r="AH112" s="17"/>
      <c r="AI112" s="17"/>
      <c r="AJ112" s="17"/>
      <c r="AK112"/>
      <c r="AL112"/>
      <c r="AM112"/>
      <c r="AN112"/>
      <c r="AO112"/>
      <c r="AP112" s="83"/>
      <c r="AQ112" s="20"/>
      <c r="AR112" s="20"/>
      <c r="AS112" s="20"/>
      <c r="AT112" s="20"/>
      <c r="AU112" s="20"/>
      <c r="AV112" s="17"/>
      <c r="AW112" s="17"/>
      <c r="AX112" s="17"/>
      <c r="AY112" s="17"/>
      <c r="AZ112" s="17"/>
      <c r="BA112" s="18"/>
    </row>
    <row r="113" spans="1:53" ht="12" customHeight="1" x14ac:dyDescent="0.2">
      <c r="A113" s="94">
        <v>20000</v>
      </c>
      <c r="B113" s="94" t="s">
        <v>99</v>
      </c>
      <c r="C113" s="94">
        <v>50</v>
      </c>
      <c r="D113" s="94">
        <v>18438.149173935672</v>
      </c>
      <c r="E113" s="94">
        <v>84.777236995271977</v>
      </c>
      <c r="F113" s="94">
        <v>11.989311833923173</v>
      </c>
      <c r="G113" s="94">
        <v>18414.055749764</v>
      </c>
      <c r="H113" s="94">
        <v>18462.242598107343</v>
      </c>
      <c r="I113" s="17"/>
      <c r="J113" s="17"/>
      <c r="K113" s="17"/>
      <c r="L113" s="9"/>
      <c r="M113"/>
      <c r="N113"/>
      <c r="O113"/>
      <c r="P113"/>
      <c r="Q113"/>
      <c r="R113" s="17"/>
      <c r="S113"/>
      <c r="T113"/>
      <c r="U113"/>
      <c r="V113"/>
      <c r="W113"/>
      <c r="X113" s="17"/>
      <c r="Y113" s="67"/>
      <c r="Z113" s="67"/>
      <c r="AA113" s="67"/>
      <c r="AB113" s="67"/>
      <c r="AC113" s="67"/>
      <c r="AD113" s="17"/>
      <c r="AE113" s="17"/>
      <c r="AF113" s="17"/>
      <c r="AG113" s="17"/>
      <c r="AH113" s="17"/>
      <c r="AI113" s="17"/>
      <c r="AJ113" s="17"/>
      <c r="AK113"/>
      <c r="AL113"/>
      <c r="AM113"/>
      <c r="AN113"/>
      <c r="AO113"/>
      <c r="AP113" s="83"/>
      <c r="AQ113" s="20"/>
      <c r="AR113" s="20"/>
      <c r="AS113" s="20"/>
      <c r="AT113" s="20"/>
      <c r="AU113" s="20"/>
      <c r="AV113" s="17"/>
      <c r="AW113" s="17"/>
      <c r="AX113" s="17"/>
      <c r="AY113" s="17"/>
      <c r="AZ113" s="17"/>
      <c r="BA113" s="18"/>
    </row>
    <row r="114" spans="1:53" x14ac:dyDescent="0.2">
      <c r="A114" s="67">
        <v>20000</v>
      </c>
      <c r="B114" s="67" t="s">
        <v>100</v>
      </c>
      <c r="C114" s="67">
        <v>50</v>
      </c>
      <c r="D114" s="67">
        <v>18440.723326723786</v>
      </c>
      <c r="E114" s="67">
        <v>85.828979401300103</v>
      </c>
      <c r="F114" s="67">
        <v>12.138050671395961</v>
      </c>
      <c r="G114" s="67">
        <v>18416.331000667527</v>
      </c>
      <c r="H114" s="67">
        <v>18465.115652780045</v>
      </c>
      <c r="I114" s="17"/>
      <c r="J114" s="17"/>
      <c r="K114" s="17"/>
      <c r="L114" s="9"/>
      <c r="M114"/>
      <c r="N114"/>
      <c r="O114"/>
      <c r="P114"/>
      <c r="Q114"/>
      <c r="R114" s="17"/>
      <c r="S114"/>
      <c r="T114"/>
      <c r="U114"/>
      <c r="V114"/>
      <c r="W114"/>
      <c r="X114" s="17"/>
      <c r="Y114" s="67"/>
      <c r="Z114" s="67"/>
      <c r="AA114" s="67"/>
      <c r="AB114" s="67"/>
      <c r="AC114" s="67"/>
      <c r="AD114" s="17"/>
      <c r="AE114" s="17"/>
      <c r="AF114" s="17"/>
      <c r="AG114" s="17"/>
      <c r="AH114" s="17"/>
      <c r="AI114" s="17"/>
      <c r="AJ114" s="17"/>
      <c r="AK114"/>
      <c r="AL114"/>
      <c r="AM114"/>
      <c r="AN114"/>
      <c r="AO114"/>
      <c r="AP114" s="83"/>
      <c r="AQ114" s="20"/>
      <c r="AR114" s="20"/>
      <c r="AS114" s="20"/>
      <c r="AT114" s="20"/>
      <c r="AU114" s="20"/>
      <c r="AV114" s="17"/>
      <c r="AW114" s="17"/>
      <c r="AX114" s="17"/>
      <c r="AY114" s="17"/>
      <c r="AZ114" s="17"/>
      <c r="BA114" s="18"/>
    </row>
    <row r="115" spans="1:53" x14ac:dyDescent="0.2">
      <c r="A115" s="47">
        <v>20000</v>
      </c>
      <c r="B115" s="47" t="s">
        <v>101</v>
      </c>
      <c r="C115" s="48">
        <v>50</v>
      </c>
      <c r="D115" s="49">
        <v>19915.236385458487</v>
      </c>
      <c r="E115" s="49">
        <v>86.648852934156707</v>
      </c>
      <c r="F115" s="49">
        <v>12.253998298355617</v>
      </c>
      <c r="G115" s="49">
        <v>19890.611053922286</v>
      </c>
      <c r="H115" s="49">
        <v>19939.861716994688</v>
      </c>
      <c r="I115" s="17"/>
      <c r="J115" s="17"/>
      <c r="K115" s="17"/>
      <c r="L115" s="9"/>
      <c r="M115"/>
      <c r="N115"/>
      <c r="O115"/>
      <c r="P115"/>
      <c r="Q115"/>
      <c r="R115" s="17"/>
      <c r="S115"/>
      <c r="T115"/>
      <c r="U115"/>
      <c r="V115"/>
      <c r="W115"/>
      <c r="X115" s="17"/>
      <c r="Y115" s="67"/>
      <c r="Z115" s="67"/>
      <c r="AA115" s="67"/>
      <c r="AB115" s="67"/>
      <c r="AC115" s="67"/>
      <c r="AD115" s="17"/>
      <c r="AE115" s="17"/>
      <c r="AF115" s="17"/>
      <c r="AG115" s="17"/>
      <c r="AH115" s="17"/>
      <c r="AI115" s="17"/>
      <c r="AJ115" s="17"/>
      <c r="AK115"/>
      <c r="AL115"/>
      <c r="AM115"/>
      <c r="AN115"/>
      <c r="AO115"/>
      <c r="AP115" s="83"/>
      <c r="AQ115" s="20"/>
      <c r="AR115" s="20"/>
      <c r="AS115" s="20"/>
      <c r="AT115" s="20"/>
      <c r="AU115" s="20"/>
      <c r="AV115" s="17"/>
      <c r="AW115" s="17"/>
      <c r="AX115" s="17"/>
      <c r="AY115" s="17"/>
      <c r="AZ115" s="17"/>
      <c r="BA115" s="18"/>
    </row>
    <row r="116" spans="1:53" ht="13.5" thickBot="1" x14ac:dyDescent="0.25">
      <c r="A116" s="17"/>
      <c r="B116" s="17"/>
      <c r="C116" s="17"/>
      <c r="D116" s="21"/>
      <c r="E116" s="21"/>
      <c r="F116" s="17"/>
      <c r="G116" s="17"/>
      <c r="H116" s="17"/>
      <c r="I116" s="17"/>
      <c r="J116" s="17"/>
      <c r="K116" s="17"/>
      <c r="L116" s="9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84"/>
      <c r="AQ116" s="20"/>
      <c r="AR116" s="20"/>
      <c r="AS116" s="20"/>
      <c r="AT116" s="20"/>
      <c r="AU116" s="20"/>
      <c r="AV116" s="17"/>
      <c r="AW116" s="17"/>
      <c r="AX116" s="17"/>
      <c r="AY116" s="17"/>
      <c r="AZ116" s="17"/>
      <c r="BA116" s="17"/>
    </row>
    <row r="117" spans="1:53" s="8" customFormat="1" ht="13.5" thickBot="1" x14ac:dyDescent="0.25">
      <c r="A117" s="96"/>
      <c r="B117" s="97"/>
      <c r="C117" s="97"/>
      <c r="D117" s="97"/>
      <c r="E117" s="97"/>
      <c r="F117" s="97"/>
      <c r="G117" s="97"/>
      <c r="H117" s="97"/>
      <c r="I117" s="97"/>
      <c r="J117" s="55"/>
      <c r="K117" s="55"/>
      <c r="L117" s="97" t="s">
        <v>19</v>
      </c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57"/>
      <c r="AO117" s="55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8"/>
    </row>
    <row r="118" spans="1:53" s="8" customFormat="1" ht="13.5" thickBot="1" x14ac:dyDescent="0.25">
      <c r="A118" s="4" t="s">
        <v>12</v>
      </c>
      <c r="B118" s="5" t="s">
        <v>20</v>
      </c>
      <c r="C118" s="5" t="s">
        <v>2</v>
      </c>
      <c r="D118" s="5" t="s">
        <v>21</v>
      </c>
      <c r="E118" s="5" t="s">
        <v>22</v>
      </c>
      <c r="F118" s="5" t="s">
        <v>23</v>
      </c>
      <c r="G118" s="5" t="s">
        <v>24</v>
      </c>
      <c r="H118" s="5" t="s">
        <v>25</v>
      </c>
      <c r="I118" s="55"/>
      <c r="J118" s="55"/>
      <c r="K118" s="55"/>
      <c r="L118" s="55" t="s">
        <v>8</v>
      </c>
      <c r="M118" s="55"/>
      <c r="N118" s="55"/>
      <c r="O118" s="55"/>
      <c r="P118" s="57"/>
      <c r="Q118" s="55"/>
      <c r="R118" s="55"/>
      <c r="S118" s="52"/>
      <c r="T118" s="52"/>
      <c r="U118" s="52"/>
      <c r="V118" s="52"/>
      <c r="W118" s="52"/>
      <c r="X118" s="52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4"/>
      <c r="AL118" s="54"/>
      <c r="AM118" s="54"/>
      <c r="AN118" s="54"/>
      <c r="AO118" s="54"/>
      <c r="AP118" s="56"/>
      <c r="AQ118" s="15"/>
      <c r="AR118" s="15"/>
      <c r="AS118" s="15"/>
      <c r="AT118" s="15"/>
      <c r="AU118" s="15"/>
      <c r="AV118" s="13"/>
      <c r="AW118" s="13"/>
      <c r="AX118" s="13"/>
      <c r="AY118" s="13"/>
      <c r="AZ118" s="13"/>
      <c r="BA118" s="14"/>
    </row>
    <row r="119" spans="1:53" x14ac:dyDescent="0.2">
      <c r="A119" s="47">
        <v>21052</v>
      </c>
      <c r="B119" s="47" t="s">
        <v>4</v>
      </c>
      <c r="C119" s="48">
        <v>1</v>
      </c>
      <c r="D119" s="49">
        <v>240.03955999999999</v>
      </c>
      <c r="E119" s="49">
        <v>0</v>
      </c>
      <c r="F119" s="49">
        <v>0</v>
      </c>
      <c r="G119" s="49">
        <v>240.03955999999999</v>
      </c>
      <c r="H119" s="49">
        <v>240.03955999999999</v>
      </c>
      <c r="I119" s="17"/>
      <c r="J119" s="17"/>
      <c r="K119" s="17"/>
      <c r="L119" s="9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36"/>
      <c r="AL119" s="36"/>
      <c r="AM119" s="36"/>
      <c r="AN119" s="36"/>
      <c r="AO119" s="36"/>
      <c r="AP119" s="18"/>
      <c r="AQ119" s="20"/>
      <c r="AR119" s="20"/>
      <c r="AS119" s="20"/>
      <c r="AT119" s="20"/>
      <c r="AU119" s="20"/>
      <c r="AV119" s="17"/>
      <c r="AW119" s="17"/>
      <c r="AX119" s="17"/>
      <c r="AY119" s="17"/>
      <c r="AZ119" s="17"/>
      <c r="BA119" s="18"/>
    </row>
    <row r="120" spans="1:53" x14ac:dyDescent="0.2">
      <c r="A120" s="47">
        <v>21052</v>
      </c>
      <c r="B120" s="47" t="s">
        <v>3</v>
      </c>
      <c r="C120" s="48">
        <v>1</v>
      </c>
      <c r="D120" s="49">
        <v>259.23682600000001</v>
      </c>
      <c r="E120" s="49">
        <v>0</v>
      </c>
      <c r="F120" s="49">
        <v>0</v>
      </c>
      <c r="G120" s="49">
        <v>259.23682600000001</v>
      </c>
      <c r="H120" s="49">
        <v>259.23682600000001</v>
      </c>
      <c r="I120" s="17"/>
      <c r="J120" s="17"/>
      <c r="K120" s="17"/>
      <c r="L120" s="9"/>
      <c r="M120" s="36"/>
      <c r="N120" s="36"/>
      <c r="O120" s="36"/>
      <c r="P120" s="36"/>
      <c r="Q120" s="36"/>
      <c r="R120" s="36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36"/>
      <c r="AL120" s="36"/>
      <c r="AM120" s="36"/>
      <c r="AN120" s="36"/>
      <c r="AO120" s="36"/>
      <c r="AP120" s="18"/>
      <c r="AQ120" s="20"/>
      <c r="AR120" s="20"/>
      <c r="AS120" s="20"/>
      <c r="AT120" s="20"/>
      <c r="AU120" s="20"/>
      <c r="AV120" s="17"/>
      <c r="AW120" s="17"/>
      <c r="AX120" s="17"/>
      <c r="AY120" s="17"/>
      <c r="AZ120" s="17"/>
      <c r="BA120" s="18"/>
    </row>
    <row r="121" spans="1:53" x14ac:dyDescent="0.2">
      <c r="A121" s="47">
        <v>21052</v>
      </c>
      <c r="B121" s="47" t="s">
        <v>5</v>
      </c>
      <c r="C121" s="48">
        <v>35</v>
      </c>
      <c r="D121" s="49">
        <v>278.44477879999999</v>
      </c>
      <c r="E121" s="49">
        <v>1.1854071971725677</v>
      </c>
      <c r="F121" s="49">
        <v>0.20037038725524023</v>
      </c>
      <c r="G121" s="49">
        <v>277.89808936408502</v>
      </c>
      <c r="H121" s="49">
        <v>278.99146823591497</v>
      </c>
      <c r="I121" s="17"/>
      <c r="J121" s="17"/>
      <c r="K121" s="17"/>
      <c r="L121" s="9"/>
      <c r="M121" s="36"/>
      <c r="N121" s="36"/>
      <c r="O121" s="36"/>
      <c r="P121" s="36"/>
      <c r="Q121" s="36"/>
      <c r="R121" s="36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36"/>
      <c r="AL121" s="36"/>
      <c r="AM121" s="36"/>
      <c r="AN121" s="36"/>
      <c r="AO121" s="36"/>
      <c r="AP121" s="18"/>
      <c r="AQ121" s="20"/>
      <c r="AR121" s="20"/>
      <c r="AS121" s="20"/>
      <c r="AT121" s="20"/>
      <c r="AU121" s="20"/>
      <c r="AV121" s="17"/>
      <c r="AW121" s="17"/>
      <c r="AX121" s="17"/>
      <c r="AY121" s="17"/>
      <c r="AZ121" s="17"/>
      <c r="BA121" s="18"/>
    </row>
    <row r="122" spans="1:53" x14ac:dyDescent="0.2">
      <c r="A122" s="47">
        <v>21052</v>
      </c>
      <c r="B122" s="47" t="s">
        <v>6</v>
      </c>
      <c r="C122" s="48">
        <v>35</v>
      </c>
      <c r="D122" s="49">
        <v>264.48115568571427</v>
      </c>
      <c r="E122" s="49">
        <v>0.89622205749700412</v>
      </c>
      <c r="F122" s="49">
        <v>0.15148917701502765</v>
      </c>
      <c r="G122" s="49">
        <v>264.0678334684743</v>
      </c>
      <c r="H122" s="49">
        <v>264.89447790295424</v>
      </c>
      <c r="I122" s="17"/>
      <c r="J122" s="17"/>
      <c r="K122" s="17"/>
      <c r="L122" s="9"/>
      <c r="M122" s="36"/>
      <c r="N122" s="36"/>
      <c r="O122" s="36"/>
      <c r="P122" s="36"/>
      <c r="Q122" s="36"/>
      <c r="R122" s="36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36"/>
      <c r="AL122" s="36"/>
      <c r="AM122" s="36"/>
      <c r="AN122" s="36"/>
      <c r="AO122" s="36"/>
      <c r="AP122" s="18"/>
      <c r="AQ122" s="20"/>
      <c r="AR122" s="20"/>
      <c r="AS122" s="20"/>
      <c r="AT122" s="20"/>
      <c r="AU122" s="20"/>
      <c r="AV122" s="17"/>
      <c r="AW122" s="17"/>
      <c r="AX122" s="17"/>
      <c r="AY122" s="17"/>
      <c r="AZ122" s="17"/>
      <c r="BA122" s="18"/>
    </row>
    <row r="123" spans="1:53" x14ac:dyDescent="0.2">
      <c r="A123" s="47">
        <v>21052</v>
      </c>
      <c r="B123" s="47" t="s">
        <v>7</v>
      </c>
      <c r="C123" s="48">
        <v>35</v>
      </c>
      <c r="D123" s="49">
        <v>272.36241111428569</v>
      </c>
      <c r="E123" s="49">
        <v>0.78093778429691774</v>
      </c>
      <c r="F123" s="49">
        <v>0.1320025782153601</v>
      </c>
      <c r="G123" s="49">
        <v>272.00225602344409</v>
      </c>
      <c r="H123" s="49">
        <v>272.72256620512729</v>
      </c>
      <c r="I123" s="17"/>
      <c r="J123" s="17"/>
      <c r="K123" s="17"/>
      <c r="L123" s="9"/>
      <c r="M123" s="36"/>
      <c r="N123" s="36"/>
      <c r="O123" s="36"/>
      <c r="P123" s="36"/>
      <c r="Q123" s="36"/>
      <c r="R123" s="36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36"/>
      <c r="AL123" s="36"/>
      <c r="AM123" s="36"/>
      <c r="AN123" s="36"/>
      <c r="AO123" s="36"/>
      <c r="AP123" s="18"/>
      <c r="AQ123" s="20"/>
      <c r="AR123" s="20"/>
      <c r="AS123" s="20"/>
      <c r="AT123" s="20"/>
      <c r="AU123" s="20"/>
      <c r="AV123" s="17"/>
      <c r="AW123" s="17"/>
      <c r="AX123" s="17"/>
      <c r="AY123" s="17"/>
      <c r="AZ123" s="17"/>
      <c r="BA123" s="18"/>
    </row>
    <row r="124" spans="1:53" x14ac:dyDescent="0.2">
      <c r="A124" s="47">
        <v>62936</v>
      </c>
      <c r="B124" s="47" t="s">
        <v>4</v>
      </c>
      <c r="C124" s="48">
        <v>1</v>
      </c>
      <c r="D124" s="49">
        <v>241.47233800000001</v>
      </c>
      <c r="E124" s="49">
        <v>0</v>
      </c>
      <c r="F124" s="49">
        <v>0</v>
      </c>
      <c r="G124" s="49">
        <v>241.47233800000001</v>
      </c>
      <c r="H124" s="49">
        <v>241.47233800000001</v>
      </c>
      <c r="I124" s="17"/>
      <c r="J124" s="17"/>
      <c r="K124" s="17"/>
      <c r="L124" s="9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AK124" s="36"/>
      <c r="AL124" s="36"/>
      <c r="AM124" s="36"/>
      <c r="AN124" s="36"/>
      <c r="AO124" s="36"/>
      <c r="AP124" s="18"/>
      <c r="AQ124" s="20"/>
      <c r="AR124" s="20"/>
      <c r="AS124" s="20"/>
      <c r="AT124" s="20"/>
      <c r="AU124" s="20"/>
      <c r="AV124" s="17"/>
      <c r="AW124" s="17"/>
      <c r="AX124" s="17"/>
      <c r="AY124" s="17"/>
      <c r="AZ124" s="17"/>
      <c r="BA124" s="18"/>
    </row>
    <row r="125" spans="1:53" x14ac:dyDescent="0.2">
      <c r="A125" s="47">
        <v>62936</v>
      </c>
      <c r="B125" s="47" t="s">
        <v>3</v>
      </c>
      <c r="C125" s="48">
        <v>1</v>
      </c>
      <c r="D125" s="49">
        <v>260.091702</v>
      </c>
      <c r="E125" s="49">
        <v>0</v>
      </c>
      <c r="F125" s="49">
        <v>0</v>
      </c>
      <c r="G125" s="49">
        <v>260.091702</v>
      </c>
      <c r="H125" s="49">
        <v>260.091702</v>
      </c>
      <c r="I125" s="17"/>
      <c r="J125" s="17"/>
      <c r="K125" s="17"/>
      <c r="L125" s="9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8"/>
      <c r="AQ125" s="20"/>
      <c r="AR125" s="20"/>
      <c r="AS125" s="20"/>
      <c r="AT125" s="20"/>
      <c r="AU125" s="20"/>
      <c r="AV125" s="17"/>
      <c r="AW125" s="17"/>
      <c r="AX125" s="17"/>
      <c r="AY125" s="17"/>
      <c r="AZ125" s="17"/>
      <c r="BA125" s="18"/>
    </row>
    <row r="126" spans="1:53" x14ac:dyDescent="0.2">
      <c r="A126" s="47">
        <v>62936</v>
      </c>
      <c r="B126" s="47" t="s">
        <v>5</v>
      </c>
      <c r="C126" s="48">
        <v>35</v>
      </c>
      <c r="D126" s="49">
        <v>279.09656231428568</v>
      </c>
      <c r="E126" s="49">
        <v>0.67244784875087971</v>
      </c>
      <c r="F126" s="49">
        <v>0.1136644320909688</v>
      </c>
      <c r="G126" s="49">
        <v>278.78644091803238</v>
      </c>
      <c r="H126" s="49">
        <v>279.40668371053897</v>
      </c>
      <c r="I126" s="17"/>
      <c r="J126" s="17"/>
      <c r="K126" s="17"/>
      <c r="L126" s="9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8"/>
      <c r="AQ126" s="20"/>
      <c r="AR126" s="20"/>
      <c r="AS126" s="20"/>
      <c r="AT126" s="20"/>
      <c r="AU126" s="20"/>
      <c r="AV126" s="17"/>
      <c r="AW126" s="17"/>
      <c r="AX126" s="17"/>
      <c r="AY126" s="17"/>
      <c r="AZ126" s="17"/>
      <c r="BA126" s="18"/>
    </row>
    <row r="127" spans="1:53" x14ac:dyDescent="0.2">
      <c r="A127" s="47">
        <v>62936</v>
      </c>
      <c r="B127" s="47" t="s">
        <v>6</v>
      </c>
      <c r="C127" s="48">
        <v>35</v>
      </c>
      <c r="D127" s="49">
        <v>264.50905405714281</v>
      </c>
      <c r="E127" s="49">
        <v>0.62025553142825884</v>
      </c>
      <c r="F127" s="49">
        <v>0.10484232028109802</v>
      </c>
      <c r="G127" s="49">
        <v>264.22300286105724</v>
      </c>
      <c r="H127" s="49">
        <v>264.79510525322837</v>
      </c>
      <c r="I127" s="17"/>
      <c r="J127" s="17"/>
      <c r="K127" s="17"/>
      <c r="L127" s="9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8"/>
      <c r="AQ127" s="20"/>
      <c r="AR127" s="20"/>
      <c r="AS127" s="20"/>
      <c r="AT127" s="20"/>
      <c r="AU127" s="20"/>
      <c r="AV127" s="17"/>
      <c r="AW127" s="17"/>
      <c r="AX127" s="17"/>
      <c r="AY127" s="17"/>
      <c r="AZ127" s="17"/>
      <c r="BA127" s="18"/>
    </row>
    <row r="128" spans="1:53" x14ac:dyDescent="0.2">
      <c r="A128" s="47">
        <v>62936</v>
      </c>
      <c r="B128" s="47" t="s">
        <v>7</v>
      </c>
      <c r="C128" s="48">
        <v>35</v>
      </c>
      <c r="D128" s="49">
        <v>272.99618337142857</v>
      </c>
      <c r="E128" s="49">
        <v>0.47628312858290189</v>
      </c>
      <c r="F128" s="49">
        <v>8.0506542515449739E-2</v>
      </c>
      <c r="G128" s="49">
        <v>272.77652977431705</v>
      </c>
      <c r="H128" s="49">
        <v>273.21583696854009</v>
      </c>
      <c r="I128" s="17"/>
      <c r="J128" s="17"/>
      <c r="K128" s="17"/>
      <c r="L128" s="9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8"/>
      <c r="AQ128" s="20"/>
      <c r="AR128" s="20"/>
      <c r="AS128" s="20"/>
      <c r="AT128" s="20"/>
      <c r="AU128" s="20"/>
      <c r="AV128" s="17"/>
      <c r="AW128" s="17"/>
      <c r="AX128" s="17"/>
      <c r="AY128" s="17"/>
      <c r="AZ128" s="17"/>
      <c r="BA128" s="18"/>
    </row>
    <row r="129" spans="1:53" x14ac:dyDescent="0.2">
      <c r="A129" s="47">
        <v>104717</v>
      </c>
      <c r="B129" s="47" t="s">
        <v>4</v>
      </c>
      <c r="C129" s="48">
        <v>1</v>
      </c>
      <c r="D129" s="49">
        <v>241.34255999999999</v>
      </c>
      <c r="E129" s="49">
        <v>0</v>
      </c>
      <c r="F129" s="49">
        <v>0</v>
      </c>
      <c r="G129" s="49">
        <v>241.34255999999999</v>
      </c>
      <c r="H129" s="49">
        <v>241.34255999999999</v>
      </c>
      <c r="I129" s="17"/>
      <c r="J129" s="17"/>
      <c r="K129" s="17"/>
      <c r="L129" s="9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8"/>
      <c r="AQ129" s="20"/>
      <c r="AR129" s="20"/>
      <c r="AS129" s="20"/>
      <c r="AT129" s="20"/>
      <c r="AU129" s="20"/>
      <c r="AV129" s="17"/>
      <c r="AW129" s="17"/>
      <c r="AX129" s="17"/>
      <c r="AY129" s="17"/>
      <c r="AZ129" s="17"/>
      <c r="BA129" s="18"/>
    </row>
    <row r="130" spans="1:53" x14ac:dyDescent="0.2">
      <c r="A130" s="47">
        <v>104717</v>
      </c>
      <c r="B130" s="47" t="s">
        <v>3</v>
      </c>
      <c r="C130" s="48">
        <v>1</v>
      </c>
      <c r="D130" s="49">
        <v>259.4633</v>
      </c>
      <c r="E130" s="49">
        <v>0</v>
      </c>
      <c r="F130" s="49">
        <v>0</v>
      </c>
      <c r="G130" s="49">
        <v>259.4633</v>
      </c>
      <c r="H130" s="49">
        <v>259.4633</v>
      </c>
      <c r="I130" s="17"/>
      <c r="J130" s="17"/>
      <c r="K130" s="17"/>
      <c r="L130" s="9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8"/>
      <c r="AQ130" s="20"/>
      <c r="AR130" s="20"/>
      <c r="AS130" s="20"/>
      <c r="AT130" s="20"/>
      <c r="AU130" s="20"/>
      <c r="AV130" s="17"/>
      <c r="AW130" s="17"/>
      <c r="AX130" s="17"/>
      <c r="AY130" s="17"/>
      <c r="AZ130" s="17"/>
      <c r="BA130" s="18"/>
    </row>
    <row r="131" spans="1:53" x14ac:dyDescent="0.2">
      <c r="A131" s="47">
        <v>104717</v>
      </c>
      <c r="B131" s="47" t="s">
        <v>5</v>
      </c>
      <c r="C131" s="48">
        <v>35</v>
      </c>
      <c r="D131" s="49">
        <v>279.13472982857149</v>
      </c>
      <c r="E131" s="49">
        <v>0.41656030001680278</v>
      </c>
      <c r="F131" s="49">
        <v>7.041154198203764E-2</v>
      </c>
      <c r="G131" s="49">
        <v>278.94261937405093</v>
      </c>
      <c r="H131" s="49">
        <v>279.32684028309205</v>
      </c>
      <c r="I131" s="17"/>
      <c r="J131" s="17"/>
      <c r="K131" s="17"/>
      <c r="L131" s="9"/>
      <c r="M131" s="17"/>
      <c r="N131" s="17"/>
      <c r="O131" s="17"/>
      <c r="P131" s="17"/>
      <c r="Q131" s="17"/>
      <c r="R131" s="17"/>
      <c r="S131" s="17"/>
      <c r="T131" s="22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8"/>
      <c r="AQ131" s="20"/>
      <c r="AR131" s="20"/>
      <c r="AS131" s="20"/>
      <c r="AT131" s="20"/>
      <c r="AU131" s="20"/>
      <c r="AV131" s="17"/>
      <c r="AW131" s="17"/>
      <c r="AX131" s="17"/>
      <c r="AY131" s="17"/>
      <c r="AZ131" s="17"/>
      <c r="BA131" s="18"/>
    </row>
    <row r="132" spans="1:53" x14ac:dyDescent="0.2">
      <c r="A132" s="47">
        <v>104717</v>
      </c>
      <c r="B132" s="47" t="s">
        <v>6</v>
      </c>
      <c r="C132" s="48">
        <v>35</v>
      </c>
      <c r="D132" s="49">
        <v>264.55226557142856</v>
      </c>
      <c r="E132" s="49">
        <v>0.45874453125949233</v>
      </c>
      <c r="F132" s="49">
        <v>7.7541978485479779E-2</v>
      </c>
      <c r="G132" s="49">
        <v>264.34070047411728</v>
      </c>
      <c r="H132" s="49">
        <v>264.76383066873984</v>
      </c>
      <c r="I132" s="17"/>
      <c r="J132" s="17"/>
      <c r="K132" s="17"/>
      <c r="L132" s="9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8"/>
      <c r="AQ132" s="20"/>
      <c r="AR132" s="20"/>
      <c r="AS132" s="20"/>
      <c r="AT132" s="20"/>
      <c r="AU132" s="20"/>
      <c r="AV132" s="17"/>
      <c r="AW132" s="17"/>
      <c r="AX132" s="17"/>
      <c r="AY132" s="17"/>
      <c r="AZ132" s="17"/>
      <c r="BA132" s="18"/>
    </row>
    <row r="133" spans="1:53" x14ac:dyDescent="0.2">
      <c r="A133" s="47">
        <v>104717</v>
      </c>
      <c r="B133" s="47" t="s">
        <v>7</v>
      </c>
      <c r="C133" s="48">
        <v>35</v>
      </c>
      <c r="D133" s="49">
        <v>273.08601851428568</v>
      </c>
      <c r="E133" s="49">
        <v>0.41075959966093306</v>
      </c>
      <c r="F133" s="49">
        <v>6.9431044664803945E-2</v>
      </c>
      <c r="G133" s="49">
        <v>272.89658324312239</v>
      </c>
      <c r="H133" s="49">
        <v>273.27545378544897</v>
      </c>
      <c r="I133" s="17"/>
      <c r="J133" s="17"/>
      <c r="K133" s="17"/>
      <c r="L133" s="9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8"/>
      <c r="AQ133" s="20"/>
      <c r="AR133" s="20"/>
      <c r="AS133" s="20"/>
      <c r="AT133" s="20"/>
      <c r="AU133" s="20"/>
      <c r="AV133" s="17"/>
      <c r="AW133" s="17"/>
      <c r="AX133" s="17"/>
      <c r="AY133" s="17"/>
      <c r="AZ133" s="17"/>
      <c r="BA133" s="18"/>
    </row>
    <row r="134" spans="1:53" ht="13.5" thickBot="1" x14ac:dyDescent="0.25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13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6"/>
      <c r="AQ134" s="28"/>
      <c r="AR134" s="28"/>
      <c r="AS134" s="28"/>
      <c r="AT134" s="28"/>
      <c r="AU134" s="28"/>
      <c r="AV134" s="24"/>
      <c r="AW134" s="24"/>
      <c r="AX134" s="24"/>
      <c r="AY134" s="24"/>
      <c r="AZ134" s="24"/>
      <c r="BA134" s="26"/>
    </row>
    <row r="135" spans="1:53" x14ac:dyDescent="0.2">
      <c r="AQ135" s="30"/>
      <c r="AR135" s="30"/>
      <c r="AS135" s="30"/>
      <c r="AT135" s="30"/>
      <c r="AU135" s="30"/>
    </row>
    <row r="136" spans="1:53" x14ac:dyDescent="0.2">
      <c r="AQ136" s="30"/>
      <c r="AR136" s="30"/>
      <c r="AS136" s="30"/>
      <c r="AT136" s="30"/>
      <c r="AU136" s="30"/>
    </row>
    <row r="137" spans="1:53" x14ac:dyDescent="0.2">
      <c r="AQ137" s="30"/>
      <c r="AR137" s="30"/>
      <c r="AS137" s="30"/>
      <c r="AT137" s="30"/>
      <c r="AU137" s="30"/>
    </row>
    <row r="138" spans="1:53" x14ac:dyDescent="0.2">
      <c r="AQ138" s="30"/>
      <c r="AR138" s="30"/>
      <c r="AS138" s="30"/>
      <c r="AT138" s="30"/>
      <c r="AU138" s="30"/>
    </row>
    <row r="139" spans="1:53" x14ac:dyDescent="0.2">
      <c r="AQ139" s="30"/>
      <c r="AR139" s="30"/>
      <c r="AS139" s="30"/>
      <c r="AT139" s="30"/>
      <c r="AU139" s="30"/>
    </row>
    <row r="140" spans="1:53" x14ac:dyDescent="0.2">
      <c r="AQ140" s="30"/>
      <c r="AR140" s="30"/>
      <c r="AS140" s="30"/>
      <c r="AT140" s="30"/>
      <c r="AU140" s="30"/>
    </row>
    <row r="141" spans="1:53" x14ac:dyDescent="0.2">
      <c r="AQ141" s="30"/>
      <c r="AR141" s="30"/>
      <c r="AS141" s="30"/>
      <c r="AT141" s="30"/>
      <c r="AU141" s="30"/>
    </row>
    <row r="142" spans="1:53" x14ac:dyDescent="0.2">
      <c r="AQ142" s="30"/>
      <c r="AR142" s="30"/>
      <c r="AS142" s="30"/>
      <c r="AT142" s="30"/>
      <c r="AU142" s="30"/>
    </row>
    <row r="143" spans="1:53" x14ac:dyDescent="0.2">
      <c r="AQ143" s="30"/>
      <c r="AR143" s="30"/>
      <c r="AS143" s="30"/>
      <c r="AT143" s="30"/>
      <c r="AU143" s="30"/>
    </row>
    <row r="144" spans="1:53" x14ac:dyDescent="0.2">
      <c r="AQ144" s="30"/>
      <c r="AR144" s="30"/>
      <c r="AS144" s="30"/>
      <c r="AT144" s="30"/>
      <c r="AU144" s="30"/>
    </row>
    <row r="145" spans="43:47" x14ac:dyDescent="0.2">
      <c r="AQ145" s="30"/>
      <c r="AR145" s="30"/>
      <c r="AS145" s="30"/>
      <c r="AT145" s="30"/>
      <c r="AU145" s="30"/>
    </row>
    <row r="146" spans="43:47" x14ac:dyDescent="0.2">
      <c r="AQ146" s="30"/>
      <c r="AR146" s="30"/>
      <c r="AS146" s="30"/>
      <c r="AT146" s="30"/>
      <c r="AU146" s="30"/>
    </row>
    <row r="147" spans="43:47" x14ac:dyDescent="0.2">
      <c r="AQ147" s="30"/>
      <c r="AR147" s="30"/>
      <c r="AS147" s="30"/>
      <c r="AT147" s="30"/>
      <c r="AU147" s="30"/>
    </row>
    <row r="148" spans="43:47" x14ac:dyDescent="0.2">
      <c r="AQ148" s="30"/>
      <c r="AR148" s="30"/>
      <c r="AS148" s="30"/>
      <c r="AT148" s="30"/>
      <c r="AU148" s="30"/>
    </row>
    <row r="149" spans="43:47" x14ac:dyDescent="0.2">
      <c r="AQ149" s="30"/>
      <c r="AR149" s="30"/>
      <c r="AS149" s="30"/>
      <c r="AT149" s="30"/>
      <c r="AU149" s="30"/>
    </row>
    <row r="150" spans="43:47" x14ac:dyDescent="0.2">
      <c r="AQ150" s="30"/>
      <c r="AR150" s="30"/>
      <c r="AS150" s="30"/>
      <c r="AT150" s="30"/>
      <c r="AU150" s="30"/>
    </row>
    <row r="151" spans="43:47" x14ac:dyDescent="0.2">
      <c r="AQ151" s="30"/>
      <c r="AR151" s="30"/>
      <c r="AS151" s="30"/>
      <c r="AT151" s="30"/>
      <c r="AU151" s="30"/>
    </row>
    <row r="152" spans="43:47" x14ac:dyDescent="0.2">
      <c r="AQ152" s="30"/>
      <c r="AR152" s="30"/>
      <c r="AS152" s="30"/>
      <c r="AT152" s="30"/>
      <c r="AU152" s="30"/>
    </row>
    <row r="153" spans="43:47" x14ac:dyDescent="0.2">
      <c r="AQ153" s="30"/>
      <c r="AR153" s="30"/>
      <c r="AS153" s="30"/>
      <c r="AT153" s="30"/>
      <c r="AU153" s="30"/>
    </row>
    <row r="154" spans="43:47" x14ac:dyDescent="0.2">
      <c r="AQ154" s="30"/>
      <c r="AR154" s="30"/>
      <c r="AS154" s="30"/>
      <c r="AT154" s="30"/>
      <c r="AU154" s="30"/>
    </row>
    <row r="155" spans="43:47" x14ac:dyDescent="0.2">
      <c r="AQ155" s="30"/>
      <c r="AR155" s="30"/>
      <c r="AS155" s="30"/>
      <c r="AT155" s="30"/>
      <c r="AU155" s="30"/>
    </row>
    <row r="156" spans="43:47" x14ac:dyDescent="0.2">
      <c r="AQ156" s="30"/>
      <c r="AR156" s="30"/>
      <c r="AS156" s="30"/>
      <c r="AT156" s="30"/>
      <c r="AU156" s="30"/>
    </row>
    <row r="157" spans="43:47" x14ac:dyDescent="0.2">
      <c r="AQ157" s="30"/>
      <c r="AR157" s="30"/>
      <c r="AS157" s="30"/>
      <c r="AT157" s="30"/>
      <c r="AU157" s="30"/>
    </row>
    <row r="158" spans="43:47" x14ac:dyDescent="0.2">
      <c r="AQ158" s="30"/>
      <c r="AR158" s="30"/>
      <c r="AS158" s="30"/>
      <c r="AT158" s="30"/>
      <c r="AU158" s="30"/>
    </row>
    <row r="159" spans="43:47" x14ac:dyDescent="0.2">
      <c r="AQ159" s="30"/>
      <c r="AR159" s="30"/>
      <c r="AS159" s="30"/>
      <c r="AT159" s="30"/>
      <c r="AU159" s="30"/>
    </row>
    <row r="160" spans="43:47" x14ac:dyDescent="0.2">
      <c r="AQ160" s="30"/>
      <c r="AR160" s="30"/>
      <c r="AS160" s="30"/>
      <c r="AT160" s="30"/>
      <c r="AU160" s="30"/>
    </row>
    <row r="161" spans="43:47" x14ac:dyDescent="0.2">
      <c r="AQ161" s="30"/>
      <c r="AR161" s="30"/>
      <c r="AS161" s="30"/>
      <c r="AT161" s="30"/>
      <c r="AU161" s="30"/>
    </row>
    <row r="162" spans="43:47" x14ac:dyDescent="0.2">
      <c r="AQ162" s="30"/>
      <c r="AR162" s="30"/>
      <c r="AS162" s="30"/>
      <c r="AT162" s="30"/>
      <c r="AU162" s="30"/>
    </row>
    <row r="163" spans="43:47" x14ac:dyDescent="0.2">
      <c r="AQ163" s="30"/>
      <c r="AR163" s="30"/>
      <c r="AS163" s="30"/>
      <c r="AT163" s="30"/>
      <c r="AU163" s="30"/>
    </row>
    <row r="164" spans="43:47" x14ac:dyDescent="0.2">
      <c r="AQ164" s="30"/>
      <c r="AR164" s="30"/>
      <c r="AS164" s="30"/>
      <c r="AT164" s="30"/>
      <c r="AU164" s="30"/>
    </row>
    <row r="165" spans="43:47" x14ac:dyDescent="0.2">
      <c r="AQ165" s="30"/>
      <c r="AR165" s="30"/>
      <c r="AS165" s="30"/>
      <c r="AT165" s="30"/>
      <c r="AU165" s="30"/>
    </row>
    <row r="166" spans="43:47" x14ac:dyDescent="0.2">
      <c r="AQ166" s="30"/>
      <c r="AR166" s="30"/>
      <c r="AS166" s="30"/>
      <c r="AT166" s="30"/>
      <c r="AU166" s="30"/>
    </row>
    <row r="167" spans="43:47" x14ac:dyDescent="0.2">
      <c r="AQ167" s="30"/>
      <c r="AR167" s="30"/>
      <c r="AS167" s="30"/>
      <c r="AT167" s="30"/>
      <c r="AU167" s="30"/>
    </row>
    <row r="168" spans="43:47" x14ac:dyDescent="0.2">
      <c r="AQ168" s="30"/>
      <c r="AR168" s="30"/>
      <c r="AS168" s="30"/>
      <c r="AT168" s="30"/>
      <c r="AU168" s="30"/>
    </row>
    <row r="169" spans="43:47" x14ac:dyDescent="0.2">
      <c r="AQ169" s="30"/>
      <c r="AR169" s="30"/>
      <c r="AS169" s="30"/>
      <c r="AT169" s="30"/>
      <c r="AU169" s="30"/>
    </row>
    <row r="170" spans="43:47" x14ac:dyDescent="0.2">
      <c r="AQ170" s="30"/>
      <c r="AR170" s="30"/>
      <c r="AS170" s="30"/>
      <c r="AT170" s="30"/>
      <c r="AU170" s="30"/>
    </row>
    <row r="171" spans="43:47" x14ac:dyDescent="0.2">
      <c r="AQ171" s="30"/>
      <c r="AR171" s="30"/>
      <c r="AS171" s="30"/>
      <c r="AT171" s="30"/>
      <c r="AU171" s="30"/>
    </row>
    <row r="172" spans="43:47" x14ac:dyDescent="0.2">
      <c r="AQ172" s="30"/>
      <c r="AR172" s="30"/>
      <c r="AS172" s="30"/>
      <c r="AT172" s="30"/>
      <c r="AU172" s="30"/>
    </row>
    <row r="173" spans="43:47" x14ac:dyDescent="0.2">
      <c r="AQ173" s="30"/>
      <c r="AR173" s="30"/>
      <c r="AS173" s="30"/>
      <c r="AT173" s="30"/>
      <c r="AU173" s="30"/>
    </row>
    <row r="174" spans="43:47" x14ac:dyDescent="0.2">
      <c r="AQ174" s="30"/>
      <c r="AR174" s="30"/>
      <c r="AS174" s="30"/>
      <c r="AT174" s="30"/>
      <c r="AU174" s="30"/>
    </row>
    <row r="175" spans="43:47" x14ac:dyDescent="0.2">
      <c r="AQ175" s="30"/>
      <c r="AR175" s="30"/>
      <c r="AS175" s="30"/>
      <c r="AT175" s="30"/>
      <c r="AU175" s="30"/>
    </row>
    <row r="176" spans="43:47" x14ac:dyDescent="0.2">
      <c r="AQ176" s="30"/>
      <c r="AR176" s="30"/>
      <c r="AS176" s="30"/>
      <c r="AT176" s="30"/>
      <c r="AU176" s="30"/>
    </row>
    <row r="177" spans="43:47" x14ac:dyDescent="0.2">
      <c r="AQ177" s="30"/>
      <c r="AR177" s="30"/>
      <c r="AS177" s="30"/>
      <c r="AT177" s="30"/>
      <c r="AU177" s="30"/>
    </row>
    <row r="178" spans="43:47" x14ac:dyDescent="0.2">
      <c r="AQ178" s="30"/>
      <c r="AR178" s="30"/>
      <c r="AS178" s="30"/>
      <c r="AT178" s="30"/>
      <c r="AU178" s="30"/>
    </row>
    <row r="179" spans="43:47" x14ac:dyDescent="0.2">
      <c r="AQ179" s="30"/>
      <c r="AR179" s="30"/>
      <c r="AS179" s="30"/>
      <c r="AT179" s="30"/>
      <c r="AU179" s="30"/>
    </row>
    <row r="180" spans="43:47" x14ac:dyDescent="0.2">
      <c r="AQ180" s="30"/>
      <c r="AR180" s="30"/>
      <c r="AS180" s="30"/>
      <c r="AT180" s="30"/>
      <c r="AU180" s="30"/>
    </row>
    <row r="181" spans="43:47" x14ac:dyDescent="0.2">
      <c r="AQ181" s="30"/>
      <c r="AR181" s="30"/>
      <c r="AS181" s="30"/>
      <c r="AT181" s="30"/>
      <c r="AU181" s="30"/>
    </row>
    <row r="182" spans="43:47" x14ac:dyDescent="0.2">
      <c r="AQ182" s="30"/>
      <c r="AR182" s="30"/>
      <c r="AS182" s="30"/>
      <c r="AT182" s="30"/>
      <c r="AU182" s="30"/>
    </row>
    <row r="183" spans="43:47" x14ac:dyDescent="0.2">
      <c r="AQ183" s="30"/>
      <c r="AR183" s="30"/>
      <c r="AS183" s="30"/>
      <c r="AT183" s="30"/>
      <c r="AU183" s="30"/>
    </row>
    <row r="184" spans="43:47" x14ac:dyDescent="0.2">
      <c r="AQ184" s="30"/>
      <c r="AR184" s="30"/>
      <c r="AS184" s="30"/>
      <c r="AT184" s="30"/>
      <c r="AU184" s="30"/>
    </row>
    <row r="185" spans="43:47" x14ac:dyDescent="0.2">
      <c r="AQ185" s="30"/>
      <c r="AR185" s="30"/>
      <c r="AS185" s="30"/>
      <c r="AT185" s="30"/>
      <c r="AU185" s="30"/>
    </row>
    <row r="186" spans="43:47" x14ac:dyDescent="0.2">
      <c r="AQ186" s="30"/>
      <c r="AR186" s="30"/>
      <c r="AS186" s="30"/>
      <c r="AT186" s="30"/>
      <c r="AU186" s="30"/>
    </row>
    <row r="187" spans="43:47" x14ac:dyDescent="0.2">
      <c r="AQ187" s="30"/>
      <c r="AR187" s="30"/>
      <c r="AS187" s="30"/>
      <c r="AT187" s="30"/>
      <c r="AU187" s="30"/>
    </row>
    <row r="188" spans="43:47" x14ac:dyDescent="0.2">
      <c r="AQ188" s="30"/>
      <c r="AR188" s="30"/>
      <c r="AS188" s="30"/>
      <c r="AT188" s="30"/>
      <c r="AU188" s="30"/>
    </row>
    <row r="189" spans="43:47" x14ac:dyDescent="0.2">
      <c r="AQ189" s="30"/>
      <c r="AR189" s="30"/>
      <c r="AS189" s="30"/>
      <c r="AT189" s="30"/>
      <c r="AU189" s="30"/>
    </row>
    <row r="190" spans="43:47" x14ac:dyDescent="0.2">
      <c r="AQ190" s="30"/>
      <c r="AR190" s="30"/>
      <c r="AS190" s="30"/>
      <c r="AT190" s="30"/>
      <c r="AU190" s="30"/>
    </row>
    <row r="191" spans="43:47" x14ac:dyDescent="0.2">
      <c r="AQ191" s="30"/>
      <c r="AR191" s="30"/>
      <c r="AS191" s="30"/>
      <c r="AT191" s="30"/>
      <c r="AU191" s="30"/>
    </row>
    <row r="192" spans="43:47" x14ac:dyDescent="0.2">
      <c r="AQ192" s="30"/>
      <c r="AR192" s="30"/>
      <c r="AS192" s="30"/>
      <c r="AT192" s="30"/>
      <c r="AU192" s="30"/>
    </row>
    <row r="193" spans="43:47" x14ac:dyDescent="0.2">
      <c r="AQ193" s="30"/>
      <c r="AR193" s="30"/>
      <c r="AS193" s="30"/>
      <c r="AT193" s="30"/>
      <c r="AU193" s="30"/>
    </row>
    <row r="194" spans="43:47" x14ac:dyDescent="0.2">
      <c r="AQ194" s="30"/>
      <c r="AR194" s="30"/>
      <c r="AS194" s="30"/>
      <c r="AT194" s="30"/>
      <c r="AU194" s="30"/>
    </row>
    <row r="195" spans="43:47" x14ac:dyDescent="0.2">
      <c r="AQ195" s="30"/>
      <c r="AR195" s="30"/>
      <c r="AS195" s="30"/>
      <c r="AT195" s="30"/>
      <c r="AU195" s="30"/>
    </row>
    <row r="196" spans="43:47" x14ac:dyDescent="0.2">
      <c r="AQ196" s="30"/>
      <c r="AR196" s="30"/>
      <c r="AS196" s="30"/>
      <c r="AT196" s="30"/>
      <c r="AU196" s="30"/>
    </row>
    <row r="197" spans="43:47" x14ac:dyDescent="0.2">
      <c r="AQ197" s="30"/>
      <c r="AR197" s="30"/>
      <c r="AS197" s="30"/>
      <c r="AT197" s="30"/>
      <c r="AU197" s="30"/>
    </row>
    <row r="198" spans="43:47" x14ac:dyDescent="0.2">
      <c r="AQ198" s="30"/>
      <c r="AR198" s="30"/>
      <c r="AS198" s="30"/>
      <c r="AT198" s="30"/>
      <c r="AU198" s="30"/>
    </row>
    <row r="199" spans="43:47" x14ac:dyDescent="0.2">
      <c r="AQ199" s="30"/>
      <c r="AR199" s="30"/>
      <c r="AS199" s="30"/>
      <c r="AT199" s="30"/>
      <c r="AU199" s="30"/>
    </row>
    <row r="200" spans="43:47" x14ac:dyDescent="0.2">
      <c r="AQ200" s="30"/>
      <c r="AR200" s="30"/>
      <c r="AS200" s="30"/>
      <c r="AT200" s="30"/>
      <c r="AU200" s="30"/>
    </row>
    <row r="201" spans="43:47" x14ac:dyDescent="0.2">
      <c r="AQ201" s="30"/>
      <c r="AR201" s="30"/>
      <c r="AS201" s="30"/>
      <c r="AT201" s="30"/>
      <c r="AU201" s="30"/>
    </row>
    <row r="202" spans="43:47" x14ac:dyDescent="0.2">
      <c r="AQ202" s="30"/>
      <c r="AR202" s="30"/>
      <c r="AS202" s="30"/>
      <c r="AT202" s="30"/>
      <c r="AU202" s="30"/>
    </row>
    <row r="203" spans="43:47" x14ac:dyDescent="0.2">
      <c r="AQ203" s="30"/>
      <c r="AR203" s="30"/>
      <c r="AS203" s="30"/>
      <c r="AT203" s="30"/>
      <c r="AU203" s="30"/>
    </row>
    <row r="204" spans="43:47" x14ac:dyDescent="0.2">
      <c r="AQ204" s="30"/>
      <c r="AR204" s="30"/>
      <c r="AS204" s="30"/>
      <c r="AT204" s="30"/>
      <c r="AU204" s="30"/>
    </row>
    <row r="205" spans="43:47" x14ac:dyDescent="0.2">
      <c r="AQ205" s="30"/>
      <c r="AR205" s="30"/>
      <c r="AS205" s="30"/>
      <c r="AT205" s="30"/>
      <c r="AU205" s="30"/>
    </row>
    <row r="206" spans="43:47" x14ac:dyDescent="0.2">
      <c r="AQ206" s="30"/>
      <c r="AR206" s="30"/>
      <c r="AS206" s="30"/>
      <c r="AT206" s="30"/>
      <c r="AU206" s="30"/>
    </row>
    <row r="207" spans="43:47" x14ac:dyDescent="0.2">
      <c r="AQ207" s="30"/>
      <c r="AR207" s="30"/>
      <c r="AS207" s="30"/>
      <c r="AT207" s="30"/>
      <c r="AU207" s="30"/>
    </row>
    <row r="208" spans="43:47" x14ac:dyDescent="0.2">
      <c r="AQ208" s="30"/>
      <c r="AR208" s="30"/>
      <c r="AS208" s="30"/>
      <c r="AT208" s="30"/>
      <c r="AU208" s="30"/>
    </row>
    <row r="209" spans="43:47" x14ac:dyDescent="0.2">
      <c r="AQ209" s="30"/>
      <c r="AR209" s="30"/>
      <c r="AS209" s="30"/>
      <c r="AT209" s="30"/>
      <c r="AU209" s="30"/>
    </row>
    <row r="210" spans="43:47" x14ac:dyDescent="0.2">
      <c r="AQ210" s="30"/>
      <c r="AR210" s="30"/>
      <c r="AS210" s="30"/>
      <c r="AT210" s="30"/>
      <c r="AU210" s="30"/>
    </row>
    <row r="211" spans="43:47" x14ac:dyDescent="0.2">
      <c r="AQ211" s="30"/>
      <c r="AR211" s="30"/>
      <c r="AS211" s="30"/>
      <c r="AT211" s="30"/>
      <c r="AU211" s="30"/>
    </row>
    <row r="212" spans="43:47" x14ac:dyDescent="0.2">
      <c r="AQ212" s="30"/>
      <c r="AR212" s="30"/>
      <c r="AS212" s="30"/>
      <c r="AT212" s="30"/>
      <c r="AU212" s="30"/>
    </row>
    <row r="213" spans="43:47" x14ac:dyDescent="0.2">
      <c r="AQ213" s="30"/>
      <c r="AR213" s="30"/>
      <c r="AS213" s="30"/>
      <c r="AT213" s="30"/>
      <c r="AU213" s="30"/>
    </row>
    <row r="214" spans="43:47" x14ac:dyDescent="0.2">
      <c r="AQ214" s="30"/>
      <c r="AR214" s="30"/>
      <c r="AS214" s="30"/>
      <c r="AT214" s="30"/>
      <c r="AU214" s="30"/>
    </row>
    <row r="215" spans="43:47" x14ac:dyDescent="0.2">
      <c r="AQ215" s="30"/>
      <c r="AR215" s="30"/>
      <c r="AS215" s="30"/>
      <c r="AT215" s="30"/>
      <c r="AU215" s="30"/>
    </row>
    <row r="216" spans="43:47" x14ac:dyDescent="0.2">
      <c r="AQ216" s="30"/>
      <c r="AR216" s="30"/>
      <c r="AS216" s="30"/>
      <c r="AT216" s="30"/>
      <c r="AU216" s="30"/>
    </row>
    <row r="217" spans="43:47" x14ac:dyDescent="0.2">
      <c r="AQ217" s="30"/>
      <c r="AR217" s="30"/>
      <c r="AS217" s="30"/>
      <c r="AT217" s="30"/>
      <c r="AU217" s="30"/>
    </row>
    <row r="218" spans="43:47" x14ac:dyDescent="0.2">
      <c r="AQ218" s="30"/>
      <c r="AR218" s="30"/>
      <c r="AS218" s="30"/>
      <c r="AT218" s="30"/>
      <c r="AU218" s="30"/>
    </row>
    <row r="219" spans="43:47" x14ac:dyDescent="0.2">
      <c r="AQ219" s="30"/>
      <c r="AR219" s="30"/>
      <c r="AS219" s="30"/>
      <c r="AT219" s="30"/>
      <c r="AU219" s="30"/>
    </row>
    <row r="220" spans="43:47" x14ac:dyDescent="0.2">
      <c r="AQ220" s="30"/>
      <c r="AR220" s="30"/>
      <c r="AS220" s="30"/>
      <c r="AT220" s="30"/>
      <c r="AU220" s="30"/>
    </row>
    <row r="221" spans="43:47" x14ac:dyDescent="0.2">
      <c r="AQ221" s="30"/>
      <c r="AR221" s="30"/>
      <c r="AS221" s="30"/>
      <c r="AT221" s="30"/>
      <c r="AU221" s="30"/>
    </row>
    <row r="222" spans="43:47" x14ac:dyDescent="0.2">
      <c r="AQ222" s="30"/>
      <c r="AR222" s="30"/>
      <c r="AS222" s="30"/>
      <c r="AT222" s="30"/>
      <c r="AU222" s="30"/>
    </row>
    <row r="223" spans="43:47" x14ac:dyDescent="0.2">
      <c r="AQ223" s="30"/>
      <c r="AR223" s="30"/>
      <c r="AS223" s="30"/>
      <c r="AT223" s="30"/>
      <c r="AU223" s="30"/>
    </row>
    <row r="224" spans="43:47" x14ac:dyDescent="0.2">
      <c r="AQ224" s="30"/>
      <c r="AR224" s="30"/>
      <c r="AS224" s="30"/>
      <c r="AT224" s="30"/>
      <c r="AU224" s="30"/>
    </row>
    <row r="225" spans="43:47" x14ac:dyDescent="0.2">
      <c r="AQ225" s="30"/>
      <c r="AR225" s="30"/>
      <c r="AS225" s="30"/>
      <c r="AT225" s="30"/>
      <c r="AU225" s="30"/>
    </row>
    <row r="226" spans="43:47" x14ac:dyDescent="0.2">
      <c r="AQ226" s="30"/>
      <c r="AR226" s="30"/>
      <c r="AS226" s="30"/>
      <c r="AT226" s="30"/>
      <c r="AU226" s="30"/>
    </row>
    <row r="227" spans="43:47" x14ac:dyDescent="0.2">
      <c r="AQ227" s="30"/>
      <c r="AR227" s="30"/>
      <c r="AS227" s="30"/>
      <c r="AT227" s="30"/>
      <c r="AU227" s="30"/>
    </row>
    <row r="228" spans="43:47" x14ac:dyDescent="0.2">
      <c r="AQ228" s="30"/>
      <c r="AR228" s="30"/>
      <c r="AS228" s="30"/>
      <c r="AT228" s="30"/>
      <c r="AU228" s="30"/>
    </row>
    <row r="229" spans="43:47" x14ac:dyDescent="0.2">
      <c r="AQ229" s="30"/>
      <c r="AR229" s="30"/>
      <c r="AS229" s="30"/>
      <c r="AT229" s="30"/>
      <c r="AU229" s="30"/>
    </row>
    <row r="230" spans="43:47" x14ac:dyDescent="0.2">
      <c r="AQ230" s="30"/>
      <c r="AR230" s="30"/>
      <c r="AS230" s="30"/>
      <c r="AT230" s="30"/>
      <c r="AU230" s="30"/>
    </row>
    <row r="231" spans="43:47" x14ac:dyDescent="0.2">
      <c r="AQ231" s="30"/>
      <c r="AR231" s="30"/>
      <c r="AS231" s="30"/>
      <c r="AT231" s="30"/>
      <c r="AU231" s="30"/>
    </row>
    <row r="232" spans="43:47" x14ac:dyDescent="0.2">
      <c r="AQ232" s="30"/>
      <c r="AR232" s="30"/>
      <c r="AS232" s="30"/>
      <c r="AT232" s="30"/>
      <c r="AU232" s="30"/>
    </row>
    <row r="233" spans="43:47" x14ac:dyDescent="0.2">
      <c r="AQ233" s="30"/>
      <c r="AR233" s="30"/>
      <c r="AS233" s="30"/>
      <c r="AT233" s="30"/>
      <c r="AU233" s="30"/>
    </row>
    <row r="234" spans="43:47" x14ac:dyDescent="0.2">
      <c r="AQ234" s="30"/>
      <c r="AR234" s="30"/>
      <c r="AS234" s="30"/>
      <c r="AT234" s="30"/>
      <c r="AU234" s="30"/>
    </row>
    <row r="235" spans="43:47" x14ac:dyDescent="0.2">
      <c r="AQ235" s="30"/>
      <c r="AR235" s="30"/>
      <c r="AS235" s="30"/>
      <c r="AT235" s="30"/>
      <c r="AU235" s="30"/>
    </row>
    <row r="236" spans="43:47" x14ac:dyDescent="0.2">
      <c r="AQ236" s="30"/>
      <c r="AR236" s="30"/>
      <c r="AS236" s="30"/>
      <c r="AT236" s="30"/>
      <c r="AU236" s="30"/>
    </row>
    <row r="237" spans="43:47" x14ac:dyDescent="0.2">
      <c r="AQ237" s="30"/>
      <c r="AR237" s="30"/>
      <c r="AS237" s="30"/>
      <c r="AT237" s="30"/>
      <c r="AU237" s="30"/>
    </row>
    <row r="238" spans="43:47" x14ac:dyDescent="0.2">
      <c r="AQ238" s="30"/>
      <c r="AR238" s="30"/>
      <c r="AS238" s="30"/>
      <c r="AT238" s="30"/>
      <c r="AU238" s="30"/>
    </row>
    <row r="239" spans="43:47" x14ac:dyDescent="0.2">
      <c r="AQ239" s="30"/>
      <c r="AR239" s="30"/>
      <c r="AS239" s="30"/>
      <c r="AT239" s="30"/>
      <c r="AU239" s="30"/>
    </row>
    <row r="240" spans="43:47" x14ac:dyDescent="0.2">
      <c r="AQ240" s="30"/>
      <c r="AR240" s="30"/>
      <c r="AS240" s="30"/>
      <c r="AT240" s="30"/>
      <c r="AU240" s="30"/>
    </row>
    <row r="241" spans="43:47" x14ac:dyDescent="0.2">
      <c r="AQ241" s="30"/>
      <c r="AR241" s="30"/>
      <c r="AS241" s="30"/>
      <c r="AT241" s="30"/>
      <c r="AU241" s="30"/>
    </row>
    <row r="242" spans="43:47" x14ac:dyDescent="0.2">
      <c r="AQ242" s="30"/>
      <c r="AR242" s="30"/>
      <c r="AS242" s="30"/>
      <c r="AT242" s="30"/>
      <c r="AU242" s="30"/>
    </row>
    <row r="243" spans="43:47" x14ac:dyDescent="0.2">
      <c r="AQ243" s="30"/>
      <c r="AR243" s="30"/>
      <c r="AS243" s="30"/>
      <c r="AT243" s="30"/>
      <c r="AU243" s="30"/>
    </row>
    <row r="244" spans="43:47" x14ac:dyDescent="0.2">
      <c r="AQ244" s="30"/>
      <c r="AR244" s="30"/>
      <c r="AS244" s="30"/>
      <c r="AT244" s="30"/>
      <c r="AU244" s="30"/>
    </row>
    <row r="245" spans="43:47" x14ac:dyDescent="0.2">
      <c r="AQ245" s="30"/>
      <c r="AR245" s="30"/>
      <c r="AS245" s="30"/>
      <c r="AT245" s="30"/>
      <c r="AU245" s="30"/>
    </row>
    <row r="246" spans="43:47" x14ac:dyDescent="0.2">
      <c r="AQ246" s="30"/>
      <c r="AR246" s="30"/>
      <c r="AS246" s="30"/>
      <c r="AT246" s="30"/>
      <c r="AU246" s="30"/>
    </row>
    <row r="247" spans="43:47" x14ac:dyDescent="0.2">
      <c r="AQ247" s="30"/>
      <c r="AR247" s="30"/>
      <c r="AS247" s="30"/>
      <c r="AT247" s="30"/>
      <c r="AU247" s="30"/>
    </row>
    <row r="248" spans="43:47" x14ac:dyDescent="0.2">
      <c r="AQ248" s="30"/>
      <c r="AR248" s="30"/>
      <c r="AS248" s="30"/>
      <c r="AT248" s="30"/>
      <c r="AU248" s="30"/>
    </row>
    <row r="249" spans="43:47" x14ac:dyDescent="0.2">
      <c r="AQ249" s="30"/>
      <c r="AR249" s="30"/>
      <c r="AS249" s="30"/>
      <c r="AT249" s="30"/>
      <c r="AU249" s="30"/>
    </row>
    <row r="250" spans="43:47" x14ac:dyDescent="0.2">
      <c r="AQ250" s="30"/>
      <c r="AR250" s="30"/>
      <c r="AS250" s="30"/>
      <c r="AT250" s="30"/>
      <c r="AU250" s="30"/>
    </row>
    <row r="251" spans="43:47" x14ac:dyDescent="0.2">
      <c r="AQ251" s="30"/>
      <c r="AR251" s="30"/>
      <c r="AS251" s="30"/>
      <c r="AT251" s="30"/>
      <c r="AU251" s="30"/>
    </row>
    <row r="252" spans="43:47" x14ac:dyDescent="0.2">
      <c r="AQ252" s="30"/>
      <c r="AR252" s="30"/>
      <c r="AS252" s="30"/>
      <c r="AT252" s="30"/>
      <c r="AU252" s="30"/>
    </row>
    <row r="253" spans="43:47" x14ac:dyDescent="0.2">
      <c r="AQ253" s="30"/>
      <c r="AR253" s="30"/>
      <c r="AS253" s="30"/>
      <c r="AT253" s="30"/>
      <c r="AU253" s="30"/>
    </row>
    <row r="254" spans="43:47" x14ac:dyDescent="0.2">
      <c r="AQ254" s="30"/>
      <c r="AR254" s="30"/>
      <c r="AS254" s="30"/>
      <c r="AT254" s="30"/>
      <c r="AU254" s="30"/>
    </row>
    <row r="255" spans="43:47" x14ac:dyDescent="0.2">
      <c r="AQ255" s="30"/>
      <c r="AR255" s="30"/>
      <c r="AS255" s="30"/>
      <c r="AT255" s="30"/>
      <c r="AU255" s="30"/>
    </row>
    <row r="256" spans="43:47" x14ac:dyDescent="0.2">
      <c r="AQ256" s="30"/>
      <c r="AR256" s="30"/>
      <c r="AS256" s="30"/>
      <c r="AT256" s="30"/>
      <c r="AU256" s="30"/>
    </row>
    <row r="257" spans="43:47" x14ac:dyDescent="0.2">
      <c r="AQ257" s="30"/>
      <c r="AR257" s="30"/>
      <c r="AS257" s="30"/>
      <c r="AT257" s="30"/>
      <c r="AU257" s="30"/>
    </row>
    <row r="258" spans="43:47" x14ac:dyDescent="0.2">
      <c r="AQ258" s="30"/>
      <c r="AR258" s="30"/>
      <c r="AS258" s="30"/>
      <c r="AT258" s="30"/>
      <c r="AU258" s="30"/>
    </row>
    <row r="259" spans="43:47" x14ac:dyDescent="0.2">
      <c r="AQ259" s="30"/>
      <c r="AR259" s="30"/>
      <c r="AS259" s="30"/>
      <c r="AT259" s="30"/>
      <c r="AU259" s="30"/>
    </row>
    <row r="260" spans="43:47" x14ac:dyDescent="0.2">
      <c r="AQ260" s="30"/>
      <c r="AR260" s="30"/>
      <c r="AS260" s="30"/>
      <c r="AT260" s="30"/>
      <c r="AU260" s="30"/>
    </row>
    <row r="261" spans="43:47" x14ac:dyDescent="0.2">
      <c r="AQ261" s="30"/>
      <c r="AR261" s="30"/>
      <c r="AS261" s="30"/>
      <c r="AT261" s="30"/>
      <c r="AU261" s="30"/>
    </row>
    <row r="262" spans="43:47" x14ac:dyDescent="0.2">
      <c r="AQ262" s="30"/>
      <c r="AR262" s="30"/>
      <c r="AS262" s="30"/>
      <c r="AT262" s="30"/>
      <c r="AU262" s="30"/>
    </row>
    <row r="263" spans="43:47" x14ac:dyDescent="0.2">
      <c r="AQ263" s="30"/>
      <c r="AR263" s="30"/>
      <c r="AS263" s="30"/>
      <c r="AT263" s="30"/>
      <c r="AU263" s="30"/>
    </row>
    <row r="264" spans="43:47" x14ac:dyDescent="0.2">
      <c r="AQ264" s="30"/>
      <c r="AR264" s="30"/>
      <c r="AS264" s="30"/>
      <c r="AT264" s="30"/>
      <c r="AU264" s="30"/>
    </row>
  </sheetData>
  <mergeCells count="12">
    <mergeCell ref="A1:K1"/>
    <mergeCell ref="L1:AO1"/>
    <mergeCell ref="AP1:BA1"/>
    <mergeCell ref="A40:K40"/>
    <mergeCell ref="L40:AO40"/>
    <mergeCell ref="AP40:BA40"/>
    <mergeCell ref="A79:K79"/>
    <mergeCell ref="L79:AO79"/>
    <mergeCell ref="AP79:BA79"/>
    <mergeCell ref="A117:I117"/>
    <mergeCell ref="L117:AM117"/>
    <mergeCell ref="AP117:BA11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rarTresGraficos">
                <anchor mov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9</xdr:col>
                    <xdr:colOff>752475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668F-F0F8-45D8-9A06-6BBF7D2F050A}">
  <sheetPr codeName="Planilha5"/>
  <dimension ref="A1:BA265"/>
  <sheetViews>
    <sheetView topLeftCell="K39" zoomScale="210" zoomScaleNormal="210" workbookViewId="0">
      <selection activeCell="L41" sqref="L41:Q48"/>
    </sheetView>
  </sheetViews>
  <sheetFormatPr defaultColWidth="10.1640625" defaultRowHeight="12.75" x14ac:dyDescent="0.2"/>
  <cols>
    <col min="1" max="1" width="14.83203125" style="16" bestFit="1" customWidth="1"/>
    <col min="2" max="2" width="36.83203125" style="16" bestFit="1" customWidth="1"/>
    <col min="3" max="3" width="11.6640625" style="16" bestFit="1" customWidth="1"/>
    <col min="4" max="4" width="14.83203125" style="29" bestFit="1" customWidth="1"/>
    <col min="5" max="5" width="11.6640625" style="29" bestFit="1" customWidth="1"/>
    <col min="6" max="6" width="12.1640625" style="16" bestFit="1" customWidth="1"/>
    <col min="7" max="8" width="14.83203125" style="16" bestFit="1" customWidth="1"/>
    <col min="9" max="9" width="2.33203125" style="16" bestFit="1" customWidth="1"/>
    <col min="10" max="10" width="36.83203125" style="16" bestFit="1" customWidth="1"/>
    <col min="11" max="11" width="10.33203125" style="16" bestFit="1" customWidth="1"/>
    <col min="12" max="12" width="11.1640625" style="8" bestFit="1" customWidth="1"/>
    <col min="13" max="15" width="12.1640625" style="16" bestFit="1" customWidth="1"/>
    <col min="16" max="16" width="12.1640625" style="16" customWidth="1"/>
    <col min="17" max="17" width="12.1640625" style="16" bestFit="1" customWidth="1"/>
    <col min="18" max="18" width="1.83203125" style="16" bestFit="1" customWidth="1"/>
    <col min="19" max="21" width="12.1640625" style="16" bestFit="1" customWidth="1"/>
    <col min="22" max="22" width="12.1640625" style="16" customWidth="1"/>
    <col min="23" max="23" width="12.1640625" style="16" bestFit="1" customWidth="1"/>
    <col min="24" max="24" width="1.83203125" style="16" bestFit="1" customWidth="1"/>
    <col min="25" max="29" width="11.6640625" style="16" bestFit="1" customWidth="1"/>
    <col min="30" max="30" width="1.83203125" style="16" bestFit="1" customWidth="1"/>
    <col min="31" max="35" width="12.1640625" style="16" bestFit="1" customWidth="1"/>
    <col min="36" max="36" width="1.83203125" style="16" bestFit="1" customWidth="1"/>
    <col min="37" max="39" width="12.1640625" style="16" bestFit="1" customWidth="1"/>
    <col min="40" max="40" width="12.1640625" style="16" customWidth="1"/>
    <col min="41" max="41" width="12.1640625" style="16" bestFit="1" customWidth="1"/>
    <col min="42" max="42" width="2.33203125" style="16" bestFit="1" customWidth="1"/>
    <col min="43" max="53" width="10.83203125" style="16" customWidth="1"/>
    <col min="54" max="16384" width="10.1640625" style="16"/>
  </cols>
  <sheetData>
    <row r="1" spans="1:53" s="8" customFormat="1" ht="50.1" customHeight="1" thickBot="1" x14ac:dyDescent="0.25">
      <c r="A1" s="96"/>
      <c r="B1" s="97"/>
      <c r="C1" s="97"/>
      <c r="D1" s="97"/>
      <c r="E1" s="97"/>
      <c r="F1" s="97"/>
      <c r="G1" s="97"/>
      <c r="H1" s="97"/>
      <c r="I1" s="97"/>
      <c r="J1" s="97"/>
      <c r="K1" s="97"/>
      <c r="L1" s="97" t="s">
        <v>16</v>
      </c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8"/>
    </row>
    <row r="2" spans="1:53" s="8" customFormat="1" ht="13.5" thickBot="1" x14ac:dyDescent="0.25">
      <c r="A2" s="33" t="s">
        <v>12</v>
      </c>
      <c r="B2" s="33" t="s">
        <v>20</v>
      </c>
      <c r="C2" s="33" t="s">
        <v>2</v>
      </c>
      <c r="D2" s="33" t="s">
        <v>21</v>
      </c>
      <c r="E2" s="33" t="s">
        <v>22</v>
      </c>
      <c r="F2" s="34" t="s">
        <v>23</v>
      </c>
      <c r="G2" s="34" t="s">
        <v>24</v>
      </c>
      <c r="H2" s="34" t="s">
        <v>25</v>
      </c>
      <c r="I2" s="6"/>
      <c r="J2" s="55" t="s">
        <v>108</v>
      </c>
      <c r="K2" s="55" t="s">
        <v>109</v>
      </c>
      <c r="L2" s="6" t="s">
        <v>8</v>
      </c>
      <c r="M2" s="6">
        <f>$K3</f>
        <v>12000</v>
      </c>
      <c r="N2" s="57">
        <f>$K4</f>
        <v>14000</v>
      </c>
      <c r="O2" s="57">
        <f>$K5</f>
        <v>16000</v>
      </c>
      <c r="P2" s="57">
        <f>$K6</f>
        <v>18000</v>
      </c>
      <c r="Q2" s="57">
        <f>$K7</f>
        <v>20000</v>
      </c>
      <c r="R2" s="6" t="s">
        <v>66</v>
      </c>
      <c r="S2" s="52">
        <f>M$2</f>
        <v>12000</v>
      </c>
      <c r="T2" s="52">
        <f t="shared" ref="T2:W2" si="0">N$2</f>
        <v>14000</v>
      </c>
      <c r="U2" s="52">
        <f t="shared" si="0"/>
        <v>16000</v>
      </c>
      <c r="V2" s="52">
        <f t="shared" si="0"/>
        <v>18000</v>
      </c>
      <c r="W2" s="52">
        <f t="shared" si="0"/>
        <v>20000</v>
      </c>
      <c r="X2" s="55" t="s">
        <v>66</v>
      </c>
      <c r="Y2" s="53">
        <f>M$2</f>
        <v>12000</v>
      </c>
      <c r="Z2" s="53">
        <f t="shared" ref="Z2:AC2" si="1">N$2</f>
        <v>14000</v>
      </c>
      <c r="AA2" s="53">
        <f t="shared" si="1"/>
        <v>16000</v>
      </c>
      <c r="AB2" s="53">
        <f t="shared" si="1"/>
        <v>18000</v>
      </c>
      <c r="AC2" s="53">
        <f t="shared" si="1"/>
        <v>20000</v>
      </c>
      <c r="AD2" s="55" t="s">
        <v>66</v>
      </c>
      <c r="AE2" s="89">
        <f>M2</f>
        <v>12000</v>
      </c>
      <c r="AF2" s="89">
        <f t="shared" ref="AF2:AI2" si="2">N2</f>
        <v>14000</v>
      </c>
      <c r="AG2" s="89">
        <f t="shared" si="2"/>
        <v>16000</v>
      </c>
      <c r="AH2" s="89">
        <f t="shared" si="2"/>
        <v>18000</v>
      </c>
      <c r="AI2" s="89">
        <f t="shared" si="2"/>
        <v>20000</v>
      </c>
      <c r="AJ2" s="55" t="s">
        <v>66</v>
      </c>
      <c r="AK2" s="90">
        <f>M$2</f>
        <v>12000</v>
      </c>
      <c r="AL2" s="90">
        <f t="shared" ref="AL2:AO2" si="3">N$2</f>
        <v>14000</v>
      </c>
      <c r="AM2" s="90">
        <f t="shared" si="3"/>
        <v>16000</v>
      </c>
      <c r="AN2" s="90">
        <f t="shared" si="3"/>
        <v>18000</v>
      </c>
      <c r="AO2" s="90">
        <f t="shared" si="3"/>
        <v>20000</v>
      </c>
      <c r="AP2" s="82" t="s">
        <v>66</v>
      </c>
      <c r="AQ2" s="4"/>
      <c r="AR2" s="5"/>
      <c r="AS2" s="5"/>
      <c r="AT2" s="5"/>
      <c r="AU2" s="5"/>
      <c r="AV2" s="6"/>
      <c r="AW2" s="6"/>
      <c r="AX2" s="6"/>
      <c r="AY2" s="6"/>
      <c r="AZ2" s="6"/>
      <c r="BA2" s="7"/>
    </row>
    <row r="3" spans="1:53" x14ac:dyDescent="0.2">
      <c r="A3" s="47">
        <v>12000</v>
      </c>
      <c r="B3" s="47" t="s">
        <v>46</v>
      </c>
      <c r="C3" s="48">
        <v>1</v>
      </c>
      <c r="D3" s="49">
        <v>1</v>
      </c>
      <c r="E3" s="49">
        <v>0</v>
      </c>
      <c r="F3" s="49">
        <v>0</v>
      </c>
      <c r="G3" s="49">
        <v>1</v>
      </c>
      <c r="H3" s="49">
        <v>1</v>
      </c>
      <c r="I3" s="17"/>
      <c r="J3" s="17" t="str" cm="1">
        <f t="array" ref="J3:J10">_xlfn.UNIQUE(B3:B38)</f>
        <v>SOLVER_MAXIMUM_COST</v>
      </c>
      <c r="K3" s="17" cm="1">
        <f t="array" ref="K3:K8">_xlfn.UNIQUE(A3:A38)</f>
        <v>12000</v>
      </c>
      <c r="L3" s="9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>
        <f>M$4</f>
        <v>0.23283000000000001</v>
      </c>
      <c r="AF3" s="76">
        <f t="shared" ref="AF3:AI3" si="4">N$4</f>
        <v>0.20415000000000003</v>
      </c>
      <c r="AG3" s="76">
        <f t="shared" si="4"/>
        <v>0.18505874999999999</v>
      </c>
      <c r="AH3" s="76">
        <f t="shared" si="4"/>
        <v>0.16452888888888889</v>
      </c>
      <c r="AI3" s="76">
        <f t="shared" si="4"/>
        <v>0.14985499999999999</v>
      </c>
      <c r="AJ3" s="76"/>
      <c r="AK3" s="75">
        <f>SUMIFS($D$2:$D$38, $A$2:$A$38, AK$2, $B$2:$B$38,  $J$3)</f>
        <v>1</v>
      </c>
      <c r="AL3" s="75">
        <f t="shared" ref="AL3:AO10" si="5">SUMIFS($D$2:$D$38, $A$2:$A$38, AL$2, $B$2:$B$38,  $J$3)</f>
        <v>0.99414285714285711</v>
      </c>
      <c r="AM3" s="75">
        <f t="shared" si="5"/>
        <v>0.950125</v>
      </c>
      <c r="AN3" s="75">
        <f t="shared" si="5"/>
        <v>0.90205555555555561</v>
      </c>
      <c r="AO3" s="75">
        <f t="shared" si="5"/>
        <v>0.85829999999999995</v>
      </c>
      <c r="AP3" s="80"/>
      <c r="AQ3" s="19"/>
      <c r="AR3" s="20"/>
      <c r="AS3" s="20"/>
      <c r="AT3" s="20"/>
      <c r="AU3" s="20"/>
      <c r="AV3" s="17"/>
      <c r="AW3" s="17"/>
      <c r="AX3" s="17"/>
      <c r="AY3" s="17"/>
      <c r="AZ3" s="17"/>
      <c r="BA3" s="18"/>
    </row>
    <row r="4" spans="1:53" x14ac:dyDescent="0.2">
      <c r="A4" s="47">
        <v>12000</v>
      </c>
      <c r="B4" s="47" t="s">
        <v>50</v>
      </c>
      <c r="C4" s="48">
        <v>50</v>
      </c>
      <c r="D4" s="49">
        <v>0.23283000000000001</v>
      </c>
      <c r="E4" s="49">
        <v>2.1767791222213556E-3</v>
      </c>
      <c r="F4" s="49">
        <v>3.0784305569360422E-4</v>
      </c>
      <c r="G4" s="49">
        <v>0.23221136621835595</v>
      </c>
      <c r="H4" s="49">
        <v>0.23344863378164407</v>
      </c>
      <c r="I4" s="17"/>
      <c r="J4" s="17" t="str">
        <v>GREEDY_RANDOM</v>
      </c>
      <c r="K4" s="17">
        <v>14000</v>
      </c>
      <c r="L4" s="9" t="s">
        <v>102</v>
      </c>
      <c r="M4" s="75">
        <f>SUMIFS($D$3:$D$38, $A$3:$A$38, M$2, $B$3:$B$38,  $J4)</f>
        <v>0.23283000000000001</v>
      </c>
      <c r="N4" s="75">
        <f t="shared" ref="N4:Q10" si="6">SUMIFS($D$3:$D$38, $A$3:$A$38, N$2, $B$3:$B$38,  $J4)</f>
        <v>0.20415000000000003</v>
      </c>
      <c r="O4" s="75">
        <f t="shared" si="6"/>
        <v>0.18505874999999999</v>
      </c>
      <c r="P4" s="75">
        <f t="shared" si="6"/>
        <v>0.16452888888888889</v>
      </c>
      <c r="Q4" s="75">
        <f t="shared" si="6"/>
        <v>0.14985499999999999</v>
      </c>
      <c r="R4" s="76"/>
      <c r="S4" s="75">
        <f>-(SUMIFS($G$3:$G$38, $A$3:$A$38, S$2, $B$3:$B$38,  $J4)-M4)</f>
        <v>6.1863378164406235E-4</v>
      </c>
      <c r="T4" s="75">
        <f t="shared" ref="T4:W4" si="7">-(SUMIFS($G$3:$G$38, $A$3:$A$38, T$2, $B$3:$B$38,  $J4)-N4)</f>
        <v>4.9304998269375511E-4</v>
      </c>
      <c r="U4" s="75">
        <f t="shared" si="7"/>
        <v>4.6030342194230967E-4</v>
      </c>
      <c r="V4" s="75">
        <f t="shared" si="7"/>
        <v>4.1394044228520999E-4</v>
      </c>
      <c r="W4" s="75">
        <f t="shared" si="7"/>
        <v>3.8395295905757632E-4</v>
      </c>
      <c r="X4" s="76"/>
      <c r="Y4" s="75">
        <f>SUMIFS($H$3:$H$38, $A$3:$A$38, Y$2, $B$3:$B$38,  $J4)-M4</f>
        <v>6.1863378164406235E-4</v>
      </c>
      <c r="Z4" s="75">
        <f t="shared" ref="Z4:AC4" si="8">SUMIFS($H$3:$H$38, $A$3:$A$38, Z$2, $B$3:$B$38,  $J4)-N4</f>
        <v>4.9304998269375511E-4</v>
      </c>
      <c r="AA4" s="75">
        <f t="shared" si="8"/>
        <v>4.6030342194230967E-4</v>
      </c>
      <c r="AB4" s="75">
        <f t="shared" si="8"/>
        <v>4.1394044228520999E-4</v>
      </c>
      <c r="AC4" s="75">
        <f t="shared" si="8"/>
        <v>3.8395295905757632E-4</v>
      </c>
      <c r="AD4" s="76"/>
      <c r="AE4" s="76">
        <f t="shared" ref="AE4:AE10" si="9">M$4</f>
        <v>0.23283000000000001</v>
      </c>
      <c r="AF4" s="76">
        <f t="shared" ref="AF4:AF10" si="10">N$4</f>
        <v>0.20415000000000003</v>
      </c>
      <c r="AG4" s="76">
        <f t="shared" ref="AG4:AG10" si="11">O$4</f>
        <v>0.18505874999999999</v>
      </c>
      <c r="AH4" s="76">
        <f t="shared" ref="AH4:AH10" si="12">P$4</f>
        <v>0.16452888888888889</v>
      </c>
      <c r="AI4" s="76">
        <f t="shared" ref="AI4:AI10" si="13">Q$4</f>
        <v>0.14985499999999999</v>
      </c>
      <c r="AJ4" s="76"/>
      <c r="AK4" s="75">
        <f t="shared" ref="AK4:AK10" si="14">SUMIFS($D$2:$D$38, $A$2:$A$38, AK$2, $B$2:$B$38,  $J$3)</f>
        <v>1</v>
      </c>
      <c r="AL4" s="75">
        <f t="shared" si="5"/>
        <v>0.99414285714285711</v>
      </c>
      <c r="AM4" s="75">
        <f t="shared" si="5"/>
        <v>0.950125</v>
      </c>
      <c r="AN4" s="75">
        <f t="shared" si="5"/>
        <v>0.90205555555555561</v>
      </c>
      <c r="AO4" s="75">
        <f t="shared" si="5"/>
        <v>0.85829999999999995</v>
      </c>
      <c r="AP4" s="83"/>
      <c r="AQ4" s="19"/>
      <c r="AR4" s="20"/>
      <c r="AS4" s="20"/>
      <c r="AT4" s="20"/>
      <c r="AU4" s="20"/>
      <c r="AV4" s="17"/>
      <c r="AW4" s="17"/>
      <c r="AX4" s="17"/>
      <c r="AY4" s="17"/>
      <c r="AZ4" s="17"/>
      <c r="BA4" s="18"/>
    </row>
    <row r="5" spans="1:53" x14ac:dyDescent="0.2">
      <c r="A5" s="47">
        <v>12000</v>
      </c>
      <c r="B5" s="47" t="s">
        <v>52</v>
      </c>
      <c r="C5" s="48">
        <v>50</v>
      </c>
      <c r="D5" s="49">
        <v>0.99079333333333319</v>
      </c>
      <c r="E5" s="49">
        <v>1.4449693795843916E-3</v>
      </c>
      <c r="F5" s="49">
        <v>2.0434952938220834E-4</v>
      </c>
      <c r="G5" s="49">
        <v>0.99038267757936771</v>
      </c>
      <c r="H5" s="49">
        <v>0.99120398908729868</v>
      </c>
      <c r="I5" s="17"/>
      <c r="J5" s="17" t="str">
        <v>GREEDY_RANDOM_FALLBACK</v>
      </c>
      <c r="K5" s="17">
        <v>16000</v>
      </c>
      <c r="L5" s="9" t="s">
        <v>103</v>
      </c>
      <c r="M5" s="75">
        <f t="shared" ref="M5:M10" si="15">SUMIFS($D$3:$D$38, $A$3:$A$38, M$2, $B$3:$B$38,  $J5)</f>
        <v>0.99079333333333319</v>
      </c>
      <c r="N5" s="75">
        <f t="shared" si="6"/>
        <v>0.84971999999999992</v>
      </c>
      <c r="O5" s="75">
        <f t="shared" si="6"/>
        <v>0.75027500000000003</v>
      </c>
      <c r="P5" s="75">
        <f t="shared" si="6"/>
        <v>0.66456111111111138</v>
      </c>
      <c r="Q5" s="75">
        <f t="shared" si="6"/>
        <v>0.59751500000000002</v>
      </c>
      <c r="R5" s="76"/>
      <c r="S5" s="75">
        <f t="shared" ref="S5:S10" si="16">-(SUMIFS($G$3:$G$38, $A$3:$A$38, S$2, $B$3:$B$38,  $J5)-M5)</f>
        <v>4.1065575396548315E-4</v>
      </c>
      <c r="T5" s="75">
        <f t="shared" ref="T5:T10" si="17">-(SUMIFS($G$3:$G$38, $A$3:$A$38, T$2, $B$3:$B$38,  $J5)-N5)</f>
        <v>4.2529470508301248E-4</v>
      </c>
      <c r="U5" s="75">
        <f t="shared" ref="U5:U10" si="18">-(SUMIFS($G$3:$G$38, $A$3:$A$38, U$2, $B$3:$B$38,  $J5)-O5)</f>
        <v>3.7597422744972686E-4</v>
      </c>
      <c r="V5" s="75">
        <f t="shared" ref="V5:V10" si="19">-(SUMIFS($G$3:$G$38, $A$3:$A$38, V$2, $B$3:$B$38,  $J5)-P5)</f>
        <v>3.1900013200902855E-4</v>
      </c>
      <c r="W5" s="75">
        <f t="shared" ref="W5:W10" si="20">-(SUMIFS($G$3:$G$38, $A$3:$A$38, W$2, $B$3:$B$38,  $J5)-Q5)</f>
        <v>3.0494627724919621E-4</v>
      </c>
      <c r="X5" s="76"/>
      <c r="Y5" s="75">
        <f t="shared" ref="Y5:Y10" si="21">SUMIFS($H$3:$H$38, $A$3:$A$38, Y$2, $B$3:$B$38,  $J5)-M5</f>
        <v>4.1065575396548315E-4</v>
      </c>
      <c r="Z5" s="75">
        <f t="shared" ref="Z5:Z10" si="22">SUMIFS($H$3:$H$38, $A$3:$A$38, Z$2, $B$3:$B$38,  $J5)-N5</f>
        <v>4.2529470508301248E-4</v>
      </c>
      <c r="AA5" s="75">
        <f t="shared" ref="AA5:AA10" si="23">SUMIFS($H$3:$H$38, $A$3:$A$38, AA$2, $B$3:$B$38,  $J5)-O5</f>
        <v>3.7597422744972686E-4</v>
      </c>
      <c r="AB5" s="75">
        <f t="shared" ref="AB5:AB10" si="24">SUMIFS($H$3:$H$38, $A$3:$A$38, AB$2, $B$3:$B$38,  $J5)-P5</f>
        <v>3.1900013200902855E-4</v>
      </c>
      <c r="AC5" s="75">
        <f t="shared" ref="AC5:AC10" si="25">SUMIFS($H$3:$H$38, $A$3:$A$38, AC$2, $B$3:$B$38,  $J5)-Q5</f>
        <v>3.0494627724919621E-4</v>
      </c>
      <c r="AD5" s="76"/>
      <c r="AE5" s="76">
        <f t="shared" si="9"/>
        <v>0.23283000000000001</v>
      </c>
      <c r="AF5" s="76">
        <f t="shared" si="10"/>
        <v>0.20415000000000003</v>
      </c>
      <c r="AG5" s="76">
        <f t="shared" si="11"/>
        <v>0.18505874999999999</v>
      </c>
      <c r="AH5" s="76">
        <f t="shared" si="12"/>
        <v>0.16452888888888889</v>
      </c>
      <c r="AI5" s="76">
        <f t="shared" si="13"/>
        <v>0.14985499999999999</v>
      </c>
      <c r="AJ5" s="76"/>
      <c r="AK5" s="75">
        <f t="shared" si="14"/>
        <v>1</v>
      </c>
      <c r="AL5" s="75">
        <f t="shared" si="5"/>
        <v>0.99414285714285711</v>
      </c>
      <c r="AM5" s="75">
        <f t="shared" si="5"/>
        <v>0.950125</v>
      </c>
      <c r="AN5" s="75">
        <f t="shared" si="5"/>
        <v>0.90205555555555561</v>
      </c>
      <c r="AO5" s="75">
        <f t="shared" si="5"/>
        <v>0.85829999999999995</v>
      </c>
      <c r="AP5" s="83"/>
      <c r="AQ5" s="19"/>
      <c r="AR5" s="20"/>
      <c r="AS5" s="20"/>
      <c r="AT5" s="20"/>
      <c r="AU5" s="20"/>
      <c r="AV5" s="17"/>
      <c r="AW5" s="17"/>
      <c r="AX5" s="17"/>
      <c r="AY5" s="17"/>
      <c r="AZ5" s="17"/>
      <c r="BA5" s="18"/>
    </row>
    <row r="6" spans="1:53" x14ac:dyDescent="0.2">
      <c r="A6" s="47">
        <v>12000</v>
      </c>
      <c r="B6" s="47" t="s">
        <v>51</v>
      </c>
      <c r="C6" s="48">
        <v>1</v>
      </c>
      <c r="D6" s="49">
        <v>0.98883333333333334</v>
      </c>
      <c r="E6" s="49">
        <v>0</v>
      </c>
      <c r="F6" s="49">
        <v>0</v>
      </c>
      <c r="G6" s="49">
        <v>0.98883333333333334</v>
      </c>
      <c r="H6" s="49">
        <v>0.98883333333333334</v>
      </c>
      <c r="I6" s="17"/>
      <c r="J6" s="17" t="str">
        <v>GREEDY_CB</v>
      </c>
      <c r="K6" s="17">
        <v>18000</v>
      </c>
      <c r="L6" s="9" t="s">
        <v>104</v>
      </c>
      <c r="M6" s="75">
        <f t="shared" si="15"/>
        <v>0.98883333333333334</v>
      </c>
      <c r="N6" s="75">
        <f t="shared" si="6"/>
        <v>0.90792857142857142</v>
      </c>
      <c r="O6" s="75">
        <f t="shared" si="6"/>
        <v>0.84112500000000001</v>
      </c>
      <c r="P6" s="75">
        <f t="shared" si="6"/>
        <v>0.78494444444444444</v>
      </c>
      <c r="Q6" s="75">
        <f t="shared" si="6"/>
        <v>0.73714999999999997</v>
      </c>
      <c r="R6" s="76"/>
      <c r="S6" s="75">
        <f t="shared" si="16"/>
        <v>0</v>
      </c>
      <c r="T6" s="75">
        <f t="shared" si="17"/>
        <v>0</v>
      </c>
      <c r="U6" s="75">
        <f t="shared" si="18"/>
        <v>0</v>
      </c>
      <c r="V6" s="75">
        <f t="shared" si="19"/>
        <v>0</v>
      </c>
      <c r="W6" s="75">
        <f t="shared" si="20"/>
        <v>0</v>
      </c>
      <c r="X6" s="76"/>
      <c r="Y6" s="75">
        <f t="shared" si="21"/>
        <v>0</v>
      </c>
      <c r="Z6" s="75">
        <f t="shared" si="22"/>
        <v>0</v>
      </c>
      <c r="AA6" s="75">
        <f t="shared" si="23"/>
        <v>0</v>
      </c>
      <c r="AB6" s="75">
        <f t="shared" si="24"/>
        <v>0</v>
      </c>
      <c r="AC6" s="75">
        <f t="shared" si="25"/>
        <v>0</v>
      </c>
      <c r="AD6" s="76"/>
      <c r="AE6" s="76">
        <f t="shared" si="9"/>
        <v>0.23283000000000001</v>
      </c>
      <c r="AF6" s="76">
        <f t="shared" si="10"/>
        <v>0.20415000000000003</v>
      </c>
      <c r="AG6" s="76">
        <f t="shared" si="11"/>
        <v>0.18505874999999999</v>
      </c>
      <c r="AH6" s="76">
        <f t="shared" si="12"/>
        <v>0.16452888888888889</v>
      </c>
      <c r="AI6" s="76">
        <f t="shared" si="13"/>
        <v>0.14985499999999999</v>
      </c>
      <c r="AJ6" s="76"/>
      <c r="AK6" s="75">
        <f t="shared" si="14"/>
        <v>1</v>
      </c>
      <c r="AL6" s="75">
        <f t="shared" si="5"/>
        <v>0.99414285714285711</v>
      </c>
      <c r="AM6" s="75">
        <f t="shared" si="5"/>
        <v>0.950125</v>
      </c>
      <c r="AN6" s="75">
        <f t="shared" si="5"/>
        <v>0.90205555555555561</v>
      </c>
      <c r="AO6" s="75">
        <f t="shared" si="5"/>
        <v>0.85829999999999995</v>
      </c>
      <c r="AP6" s="83"/>
      <c r="AQ6" s="19"/>
      <c r="AR6" s="20"/>
      <c r="AS6" s="20"/>
      <c r="AT6" s="20"/>
      <c r="AU6" s="20"/>
      <c r="AV6" s="17"/>
      <c r="AW6" s="17"/>
      <c r="AX6" s="17"/>
      <c r="AY6" s="17"/>
      <c r="AZ6" s="17"/>
      <c r="BA6" s="18"/>
    </row>
    <row r="7" spans="1:53" x14ac:dyDescent="0.2">
      <c r="A7" s="47">
        <v>12000</v>
      </c>
      <c r="B7" s="47" t="s">
        <v>99</v>
      </c>
      <c r="C7" s="48">
        <v>50</v>
      </c>
      <c r="D7" s="49">
        <v>0.99998666666666647</v>
      </c>
      <c r="E7" s="49">
        <v>3.0860669992414995E-5</v>
      </c>
      <c r="F7" s="49">
        <v>4.3643578047193681E-6</v>
      </c>
      <c r="G7" s="49">
        <v>0.99997789616129618</v>
      </c>
      <c r="H7" s="49">
        <v>0.99999543717203676</v>
      </c>
      <c r="I7" s="17"/>
      <c r="J7" s="17" t="str">
        <v>SA_GREEDY_RANDOM</v>
      </c>
      <c r="K7" s="17">
        <v>20000</v>
      </c>
      <c r="L7" s="9" t="s">
        <v>105</v>
      </c>
      <c r="M7" s="75">
        <f t="shared" si="15"/>
        <v>0.99998666666666647</v>
      </c>
      <c r="N7" s="75">
        <f t="shared" si="6"/>
        <v>0.94924857142857144</v>
      </c>
      <c r="O7" s="75">
        <f t="shared" si="6"/>
        <v>0.89686999999999972</v>
      </c>
      <c r="P7" s="75">
        <f t="shared" si="6"/>
        <v>0.84508222222222218</v>
      </c>
      <c r="Q7" s="75">
        <f t="shared" si="6"/>
        <v>0.7994159999999999</v>
      </c>
      <c r="R7" s="76"/>
      <c r="S7" s="75">
        <f t="shared" si="16"/>
        <v>8.7705053702924474E-6</v>
      </c>
      <c r="T7" s="75">
        <f t="shared" si="17"/>
        <v>2.6740283182691282E-4</v>
      </c>
      <c r="U7" s="75">
        <f t="shared" si="18"/>
        <v>2.3253102523690394E-4</v>
      </c>
      <c r="V7" s="75">
        <f t="shared" si="19"/>
        <v>2.6121810041257465E-4</v>
      </c>
      <c r="W7" s="75">
        <f t="shared" si="20"/>
        <v>3.1444922149059806E-4</v>
      </c>
      <c r="X7" s="76"/>
      <c r="Y7" s="75">
        <f t="shared" si="21"/>
        <v>8.7705053702924474E-6</v>
      </c>
      <c r="Z7" s="75">
        <f t="shared" si="22"/>
        <v>2.6740283182691282E-4</v>
      </c>
      <c r="AA7" s="75">
        <f t="shared" si="23"/>
        <v>2.3253102523690394E-4</v>
      </c>
      <c r="AB7" s="75">
        <f t="shared" si="24"/>
        <v>2.6121810041257465E-4</v>
      </c>
      <c r="AC7" s="75">
        <f t="shared" si="25"/>
        <v>3.1444922149059806E-4</v>
      </c>
      <c r="AD7" s="76"/>
      <c r="AE7" s="76">
        <f t="shared" si="9"/>
        <v>0.23283000000000001</v>
      </c>
      <c r="AF7" s="76">
        <f t="shared" si="10"/>
        <v>0.20415000000000003</v>
      </c>
      <c r="AG7" s="76">
        <f t="shared" si="11"/>
        <v>0.18505874999999999</v>
      </c>
      <c r="AH7" s="76">
        <f t="shared" si="12"/>
        <v>0.16452888888888889</v>
      </c>
      <c r="AI7" s="76">
        <f t="shared" si="13"/>
        <v>0.14985499999999999</v>
      </c>
      <c r="AJ7" s="76"/>
      <c r="AK7" s="75">
        <f t="shared" si="14"/>
        <v>1</v>
      </c>
      <c r="AL7" s="75">
        <f t="shared" si="5"/>
        <v>0.99414285714285711</v>
      </c>
      <c r="AM7" s="75">
        <f t="shared" si="5"/>
        <v>0.950125</v>
      </c>
      <c r="AN7" s="75">
        <f t="shared" si="5"/>
        <v>0.90205555555555561</v>
      </c>
      <c r="AO7" s="75">
        <f t="shared" si="5"/>
        <v>0.85829999999999995</v>
      </c>
      <c r="AP7" s="83"/>
      <c r="AQ7" s="19"/>
      <c r="AR7" s="20"/>
      <c r="AS7" s="20"/>
      <c r="AT7" s="20"/>
      <c r="AU7" s="20"/>
      <c r="AV7" s="17"/>
      <c r="AW7" s="17"/>
      <c r="AX7" s="17"/>
      <c r="AY7" s="17"/>
      <c r="AZ7" s="17"/>
      <c r="BA7" s="18"/>
    </row>
    <row r="8" spans="1:53" x14ac:dyDescent="0.2">
      <c r="A8" s="47">
        <v>12000</v>
      </c>
      <c r="B8" s="47" t="s">
        <v>100</v>
      </c>
      <c r="C8" s="48">
        <v>50</v>
      </c>
      <c r="D8" s="49">
        <v>0.99999833333333332</v>
      </c>
      <c r="E8" s="49">
        <v>1.1785113019774493E-5</v>
      </c>
      <c r="F8" s="49">
        <v>1.6666666666664829E-6</v>
      </c>
      <c r="G8" s="49">
        <v>0.99999498404127141</v>
      </c>
      <c r="H8" s="49">
        <v>1.0000016826253952</v>
      </c>
      <c r="I8" s="17"/>
      <c r="J8" s="17" t="str">
        <v>SA_GREEDY_RANDOM_FALLBACK</v>
      </c>
      <c r="K8" s="17">
        <v>0</v>
      </c>
      <c r="L8" s="9" t="s">
        <v>106</v>
      </c>
      <c r="M8" s="75">
        <f t="shared" si="15"/>
        <v>0.99999833333333332</v>
      </c>
      <c r="N8" s="75">
        <f t="shared" si="6"/>
        <v>0.94951285714285771</v>
      </c>
      <c r="O8" s="75">
        <f t="shared" si="6"/>
        <v>0.89706124999999981</v>
      </c>
      <c r="P8" s="75">
        <f t="shared" si="6"/>
        <v>0.84514333333333314</v>
      </c>
      <c r="Q8" s="75">
        <f t="shared" si="6"/>
        <v>0.79933500000000013</v>
      </c>
      <c r="R8" s="76"/>
      <c r="S8" s="75">
        <f t="shared" si="16"/>
        <v>3.3492920619160316E-6</v>
      </c>
      <c r="T8" s="75">
        <f t="shared" si="17"/>
        <v>2.567639516627418E-4</v>
      </c>
      <c r="U8" s="75">
        <f t="shared" si="18"/>
        <v>2.4946046383678144E-4</v>
      </c>
      <c r="V8" s="75">
        <f t="shared" si="19"/>
        <v>2.6678436521976323E-4</v>
      </c>
      <c r="W8" s="75">
        <f t="shared" si="20"/>
        <v>2.6855996759556078E-4</v>
      </c>
      <c r="X8" s="76"/>
      <c r="Y8" s="75">
        <f t="shared" si="21"/>
        <v>3.3492920619160316E-6</v>
      </c>
      <c r="Z8" s="75">
        <f t="shared" si="22"/>
        <v>2.567639516627418E-4</v>
      </c>
      <c r="AA8" s="75">
        <f t="shared" si="23"/>
        <v>2.4946046383678144E-4</v>
      </c>
      <c r="AB8" s="75">
        <f t="shared" si="24"/>
        <v>2.6678436521976323E-4</v>
      </c>
      <c r="AC8" s="75">
        <f t="shared" si="25"/>
        <v>2.6855996759556078E-4</v>
      </c>
      <c r="AD8" s="77"/>
      <c r="AE8" s="76">
        <f t="shared" si="9"/>
        <v>0.23283000000000001</v>
      </c>
      <c r="AF8" s="76">
        <f t="shared" si="10"/>
        <v>0.20415000000000003</v>
      </c>
      <c r="AG8" s="76">
        <f t="shared" si="11"/>
        <v>0.18505874999999999</v>
      </c>
      <c r="AH8" s="76">
        <f t="shared" si="12"/>
        <v>0.16452888888888889</v>
      </c>
      <c r="AI8" s="76">
        <f t="shared" si="13"/>
        <v>0.14985499999999999</v>
      </c>
      <c r="AJ8" s="77"/>
      <c r="AK8" s="75">
        <f t="shared" si="14"/>
        <v>1</v>
      </c>
      <c r="AL8" s="75">
        <f t="shared" si="5"/>
        <v>0.99414285714285711</v>
      </c>
      <c r="AM8" s="75">
        <f t="shared" si="5"/>
        <v>0.950125</v>
      </c>
      <c r="AN8" s="75">
        <f t="shared" si="5"/>
        <v>0.90205555555555561</v>
      </c>
      <c r="AO8" s="75">
        <f t="shared" si="5"/>
        <v>0.85829999999999995</v>
      </c>
      <c r="AP8" s="83"/>
      <c r="AQ8" s="19"/>
      <c r="AR8" s="20"/>
      <c r="AS8" s="20"/>
      <c r="AT8" s="20"/>
      <c r="AU8" s="20"/>
      <c r="AV8" s="17"/>
      <c r="AW8" s="17"/>
      <c r="AX8" s="17"/>
      <c r="AY8" s="17"/>
      <c r="AZ8" s="17"/>
      <c r="BA8" s="18"/>
    </row>
    <row r="9" spans="1:53" x14ac:dyDescent="0.2">
      <c r="A9" s="47">
        <v>12000</v>
      </c>
      <c r="B9" s="47" t="s">
        <v>101</v>
      </c>
      <c r="C9" s="48">
        <v>50</v>
      </c>
      <c r="D9" s="49">
        <v>0.99999833333333332</v>
      </c>
      <c r="E9" s="49">
        <v>1.1785113019774486E-5</v>
      </c>
      <c r="F9" s="49">
        <v>1.666666666666482E-6</v>
      </c>
      <c r="G9" s="49">
        <v>0.99999498404127141</v>
      </c>
      <c r="H9" s="49">
        <v>1.0000016826253952</v>
      </c>
      <c r="I9" s="17"/>
      <c r="J9" s="17" t="str">
        <v>SA_GREEDY_CB</v>
      </c>
      <c r="K9" s="17"/>
      <c r="L9" s="9" t="s">
        <v>107</v>
      </c>
      <c r="M9" s="75">
        <f t="shared" si="15"/>
        <v>0.99999833333333332</v>
      </c>
      <c r="N9" s="75">
        <f t="shared" si="6"/>
        <v>0.93092428571428554</v>
      </c>
      <c r="O9" s="75">
        <f t="shared" si="6"/>
        <v>0.87288999999999972</v>
      </c>
      <c r="P9" s="75">
        <f t="shared" si="6"/>
        <v>0.82127555555555587</v>
      </c>
      <c r="Q9" s="75">
        <f t="shared" si="6"/>
        <v>0.77721100000000021</v>
      </c>
      <c r="R9" s="76"/>
      <c r="S9" s="75">
        <f t="shared" si="16"/>
        <v>3.3492920619160316E-6</v>
      </c>
      <c r="T9" s="75">
        <f t="shared" si="17"/>
        <v>2.5672202427895474E-4</v>
      </c>
      <c r="U9" s="75">
        <f t="shared" si="18"/>
        <v>3.0069973762825164E-4</v>
      </c>
      <c r="V9" s="75">
        <f t="shared" si="19"/>
        <v>2.4590373467647808E-4</v>
      </c>
      <c r="W9" s="75">
        <f t="shared" si="20"/>
        <v>3.1341025647135812E-4</v>
      </c>
      <c r="X9" s="76"/>
      <c r="Y9" s="75">
        <f t="shared" si="21"/>
        <v>3.3492920619160316E-6</v>
      </c>
      <c r="Z9" s="75">
        <f t="shared" si="22"/>
        <v>2.5672202427895474E-4</v>
      </c>
      <c r="AA9" s="75">
        <f t="shared" si="23"/>
        <v>3.0069973762825164E-4</v>
      </c>
      <c r="AB9" s="75">
        <f t="shared" si="24"/>
        <v>2.4590373467647808E-4</v>
      </c>
      <c r="AC9" s="75">
        <f t="shared" si="25"/>
        <v>3.1341025647135812E-4</v>
      </c>
      <c r="AD9" s="76"/>
      <c r="AE9" s="76">
        <f t="shared" si="9"/>
        <v>0.23283000000000001</v>
      </c>
      <c r="AF9" s="76">
        <f t="shared" si="10"/>
        <v>0.20415000000000003</v>
      </c>
      <c r="AG9" s="76">
        <f t="shared" si="11"/>
        <v>0.18505874999999999</v>
      </c>
      <c r="AH9" s="76">
        <f t="shared" si="12"/>
        <v>0.16452888888888889</v>
      </c>
      <c r="AI9" s="76">
        <f t="shared" si="13"/>
        <v>0.14985499999999999</v>
      </c>
      <c r="AJ9" s="76"/>
      <c r="AK9" s="75">
        <f t="shared" si="14"/>
        <v>1</v>
      </c>
      <c r="AL9" s="75">
        <f t="shared" si="5"/>
        <v>0.99414285714285711</v>
      </c>
      <c r="AM9" s="75">
        <f t="shared" si="5"/>
        <v>0.950125</v>
      </c>
      <c r="AN9" s="75">
        <f t="shared" si="5"/>
        <v>0.90205555555555561</v>
      </c>
      <c r="AO9" s="75">
        <f t="shared" si="5"/>
        <v>0.85829999999999995</v>
      </c>
      <c r="AP9" s="83"/>
      <c r="AQ9" s="19"/>
      <c r="AR9" s="20"/>
      <c r="AS9" s="20"/>
      <c r="AT9" s="20"/>
      <c r="AU9" s="20"/>
      <c r="AV9" s="17"/>
      <c r="AW9" s="17"/>
      <c r="AX9" s="17"/>
      <c r="AY9" s="17"/>
      <c r="AZ9" s="17"/>
      <c r="BA9" s="18"/>
    </row>
    <row r="10" spans="1:53" x14ac:dyDescent="0.2">
      <c r="A10" s="47">
        <v>14000</v>
      </c>
      <c r="B10" s="47" t="s">
        <v>46</v>
      </c>
      <c r="C10" s="48">
        <v>1</v>
      </c>
      <c r="D10" s="49">
        <v>0.99414285714285711</v>
      </c>
      <c r="E10" s="49">
        <v>0</v>
      </c>
      <c r="F10" s="49">
        <v>0</v>
      </c>
      <c r="G10" s="49">
        <v>0.99414285714285711</v>
      </c>
      <c r="H10" s="49">
        <v>0.99414285714285711</v>
      </c>
      <c r="I10" s="17"/>
      <c r="J10" s="16">
        <v>0</v>
      </c>
      <c r="L10" s="9"/>
      <c r="M10" s="75">
        <f t="shared" si="15"/>
        <v>0</v>
      </c>
      <c r="N10" s="75">
        <f t="shared" si="6"/>
        <v>0</v>
      </c>
      <c r="O10" s="75">
        <f t="shared" si="6"/>
        <v>0</v>
      </c>
      <c r="P10" s="75">
        <f t="shared" si="6"/>
        <v>0</v>
      </c>
      <c r="Q10" s="75">
        <f t="shared" si="6"/>
        <v>0</v>
      </c>
      <c r="R10" s="76"/>
      <c r="S10" s="75">
        <f t="shared" si="16"/>
        <v>0</v>
      </c>
      <c r="T10" s="75">
        <f t="shared" si="17"/>
        <v>0</v>
      </c>
      <c r="U10" s="75">
        <f t="shared" si="18"/>
        <v>0</v>
      </c>
      <c r="V10" s="75">
        <f t="shared" si="19"/>
        <v>0</v>
      </c>
      <c r="W10" s="75">
        <f t="shared" si="20"/>
        <v>0</v>
      </c>
      <c r="X10" s="76"/>
      <c r="Y10" s="75">
        <f t="shared" si="21"/>
        <v>0</v>
      </c>
      <c r="Z10" s="75">
        <f t="shared" si="22"/>
        <v>0</v>
      </c>
      <c r="AA10" s="75">
        <f t="shared" si="23"/>
        <v>0</v>
      </c>
      <c r="AB10" s="75">
        <f t="shared" si="24"/>
        <v>0</v>
      </c>
      <c r="AC10" s="75">
        <f t="shared" si="25"/>
        <v>0</v>
      </c>
      <c r="AD10" s="76"/>
      <c r="AE10" s="76">
        <f t="shared" si="9"/>
        <v>0.23283000000000001</v>
      </c>
      <c r="AF10" s="76">
        <f t="shared" si="10"/>
        <v>0.20415000000000003</v>
      </c>
      <c r="AG10" s="76">
        <f t="shared" si="11"/>
        <v>0.18505874999999999</v>
      </c>
      <c r="AH10" s="76">
        <f t="shared" si="12"/>
        <v>0.16452888888888889</v>
      </c>
      <c r="AI10" s="76">
        <f t="shared" si="13"/>
        <v>0.14985499999999999</v>
      </c>
      <c r="AJ10" s="76"/>
      <c r="AK10" s="75">
        <f t="shared" si="14"/>
        <v>1</v>
      </c>
      <c r="AL10" s="75">
        <f t="shared" si="5"/>
        <v>0.99414285714285711</v>
      </c>
      <c r="AM10" s="75">
        <f t="shared" si="5"/>
        <v>0.950125</v>
      </c>
      <c r="AN10" s="75">
        <f t="shared" si="5"/>
        <v>0.90205555555555561</v>
      </c>
      <c r="AO10" s="75">
        <f t="shared" si="5"/>
        <v>0.85829999999999995</v>
      </c>
      <c r="AP10" s="83"/>
      <c r="AQ10" s="19"/>
      <c r="AR10" s="20"/>
      <c r="AS10" s="20"/>
      <c r="AT10" s="20"/>
      <c r="AU10" s="20"/>
      <c r="AV10" s="17"/>
      <c r="AW10" s="17"/>
      <c r="AX10" s="17"/>
      <c r="AZ10" s="17"/>
      <c r="BA10" s="18"/>
    </row>
    <row r="11" spans="1:53" x14ac:dyDescent="0.2">
      <c r="A11" s="47">
        <v>14000</v>
      </c>
      <c r="B11" s="47" t="s">
        <v>50</v>
      </c>
      <c r="C11" s="48">
        <v>50</v>
      </c>
      <c r="D11" s="49">
        <v>0.20415000000000003</v>
      </c>
      <c r="E11" s="49">
        <v>1.7348889446145437E-3</v>
      </c>
      <c r="F11" s="49">
        <v>2.4535034746850327E-4</v>
      </c>
      <c r="G11" s="49">
        <v>0.20365695001730627</v>
      </c>
      <c r="H11" s="49">
        <v>0.20464304998269378</v>
      </c>
      <c r="I11" s="17"/>
      <c r="J11" s="17"/>
      <c r="K11" s="17"/>
      <c r="L11" s="11"/>
      <c r="M11" s="75"/>
      <c r="N11" s="75"/>
      <c r="O11" s="75"/>
      <c r="P11" s="75"/>
      <c r="Q11" s="75"/>
      <c r="R11" s="76"/>
      <c r="S11" s="75"/>
      <c r="T11" s="75"/>
      <c r="U11" s="75"/>
      <c r="V11" s="75"/>
      <c r="W11" s="75"/>
      <c r="X11" s="76"/>
      <c r="Y11" s="75"/>
      <c r="Z11" s="75"/>
      <c r="AA11" s="75"/>
      <c r="AB11" s="75"/>
      <c r="AC11" s="75"/>
      <c r="AD11" s="76"/>
      <c r="AE11" s="76"/>
      <c r="AF11" s="76"/>
      <c r="AG11" s="76"/>
      <c r="AH11" s="76"/>
      <c r="AI11" s="76"/>
      <c r="AJ11" s="76"/>
      <c r="AK11" s="75"/>
      <c r="AL11" s="75"/>
      <c r="AM11" s="75"/>
      <c r="AN11" s="75"/>
      <c r="AO11" s="81"/>
      <c r="AP11" s="83"/>
      <c r="AQ11" s="19"/>
      <c r="AR11" s="20"/>
      <c r="AS11" s="20"/>
      <c r="AT11" s="20"/>
      <c r="AU11" s="20"/>
      <c r="AV11" s="17"/>
      <c r="AW11" s="17"/>
      <c r="AX11" s="17"/>
      <c r="AY11" s="17"/>
      <c r="AZ11" s="17"/>
      <c r="BA11" s="18"/>
    </row>
    <row r="12" spans="1:53" x14ac:dyDescent="0.2">
      <c r="A12" s="47">
        <v>14000</v>
      </c>
      <c r="B12" s="47" t="s">
        <v>52</v>
      </c>
      <c r="C12" s="48">
        <v>50</v>
      </c>
      <c r="D12" s="49">
        <v>0.84971999999999992</v>
      </c>
      <c r="E12" s="49">
        <v>1.4964792778622772E-3</v>
      </c>
      <c r="F12" s="49">
        <v>2.1163412905631277E-4</v>
      </c>
      <c r="G12" s="49">
        <v>0.84929470529491691</v>
      </c>
      <c r="H12" s="49">
        <v>0.85014529470508293</v>
      </c>
      <c r="I12" s="17"/>
      <c r="J12" s="17"/>
      <c r="K12" s="17"/>
      <c r="L12" s="11"/>
      <c r="M12" s="75"/>
      <c r="N12" s="75"/>
      <c r="O12" s="75"/>
      <c r="P12" s="75"/>
      <c r="Q12" s="75"/>
      <c r="R12" s="76"/>
      <c r="S12" s="75"/>
      <c r="T12" s="75"/>
      <c r="U12" s="75"/>
      <c r="V12" s="75"/>
      <c r="W12" s="75"/>
      <c r="X12" s="76"/>
      <c r="Y12" s="75"/>
      <c r="Z12" s="75"/>
      <c r="AA12" s="75"/>
      <c r="AB12" s="75"/>
      <c r="AC12" s="75"/>
      <c r="AD12" s="76"/>
      <c r="AE12" s="76"/>
      <c r="AF12" s="76"/>
      <c r="AG12" s="76"/>
      <c r="AH12" s="76"/>
      <c r="AI12" s="76"/>
      <c r="AJ12" s="76"/>
      <c r="AK12" s="75"/>
      <c r="AL12" s="75"/>
      <c r="AM12" s="75"/>
      <c r="AN12" s="75"/>
      <c r="AO12" s="81"/>
      <c r="AP12" s="83"/>
      <c r="AQ12" s="19"/>
      <c r="AR12" s="20"/>
      <c r="AS12" s="20"/>
      <c r="AT12" s="20"/>
      <c r="AU12" s="20"/>
      <c r="AV12" s="17"/>
      <c r="AW12" s="17"/>
      <c r="AX12" s="17"/>
      <c r="AY12" s="17"/>
      <c r="AZ12" s="17"/>
      <c r="BA12" s="18"/>
    </row>
    <row r="13" spans="1:53" x14ac:dyDescent="0.2">
      <c r="A13" s="47">
        <v>14000</v>
      </c>
      <c r="B13" s="47" t="s">
        <v>51</v>
      </c>
      <c r="C13" s="48">
        <v>1</v>
      </c>
      <c r="D13" s="49">
        <v>0.90792857142857142</v>
      </c>
      <c r="E13" s="49">
        <v>0</v>
      </c>
      <c r="F13" s="49">
        <v>0</v>
      </c>
      <c r="G13" s="49">
        <v>0.90792857142857142</v>
      </c>
      <c r="H13" s="49">
        <v>0.90792857142857142</v>
      </c>
      <c r="I13" s="17"/>
      <c r="J13" s="17"/>
      <c r="K13" s="17"/>
      <c r="L13" s="12"/>
      <c r="M13" s="75"/>
      <c r="N13" s="75"/>
      <c r="O13" s="75"/>
      <c r="P13" s="75"/>
      <c r="Q13" s="75"/>
      <c r="R13" s="76"/>
      <c r="S13" s="75"/>
      <c r="T13" s="75"/>
      <c r="U13" s="75"/>
      <c r="V13" s="75"/>
      <c r="W13" s="75"/>
      <c r="X13" s="76"/>
      <c r="Y13" s="75"/>
      <c r="Z13" s="75"/>
      <c r="AA13" s="75"/>
      <c r="AB13" s="75"/>
      <c r="AC13" s="75"/>
      <c r="AD13" s="76"/>
      <c r="AE13" s="76"/>
      <c r="AF13" s="76"/>
      <c r="AG13" s="76"/>
      <c r="AH13" s="76"/>
      <c r="AI13" s="76"/>
      <c r="AJ13" s="76"/>
      <c r="AK13" s="75"/>
      <c r="AL13" s="75"/>
      <c r="AM13" s="75"/>
      <c r="AN13" s="75"/>
      <c r="AO13" s="81"/>
      <c r="AP13" s="83"/>
      <c r="AQ13" s="19"/>
      <c r="AR13" s="20"/>
      <c r="AS13" s="20"/>
      <c r="AT13" s="20"/>
      <c r="AU13" s="20"/>
      <c r="AV13" s="17"/>
      <c r="AW13" s="17"/>
      <c r="AX13" s="17"/>
      <c r="AY13" s="17"/>
      <c r="AZ13" s="17"/>
      <c r="BA13" s="18"/>
    </row>
    <row r="14" spans="1:53" x14ac:dyDescent="0.2">
      <c r="A14" s="47">
        <v>14000</v>
      </c>
      <c r="B14" s="47" t="s">
        <v>99</v>
      </c>
      <c r="C14" s="48">
        <v>50</v>
      </c>
      <c r="D14" s="49">
        <v>0.94924857142857144</v>
      </c>
      <c r="E14" s="49">
        <v>9.409070742900118E-4</v>
      </c>
      <c r="F14" s="49">
        <v>1.330643545393724E-4</v>
      </c>
      <c r="G14" s="49">
        <v>0.94898116859674453</v>
      </c>
      <c r="H14" s="49">
        <v>0.94951597426039835</v>
      </c>
      <c r="I14" s="17"/>
      <c r="J14" s="17"/>
      <c r="K14" s="17"/>
      <c r="L14" s="11"/>
      <c r="M14" s="75"/>
      <c r="N14" s="75"/>
      <c r="O14" s="75"/>
      <c r="P14" s="75"/>
      <c r="Q14" s="75"/>
      <c r="R14" s="76"/>
      <c r="S14" s="75"/>
      <c r="T14" s="75"/>
      <c r="U14" s="75"/>
      <c r="V14" s="75"/>
      <c r="W14" s="75"/>
      <c r="X14" s="76"/>
      <c r="Y14" s="75"/>
      <c r="Z14" s="75"/>
      <c r="AA14" s="75"/>
      <c r="AB14" s="75"/>
      <c r="AC14" s="75"/>
      <c r="AD14" s="76"/>
      <c r="AE14" s="76"/>
      <c r="AF14" s="76"/>
      <c r="AG14" s="76"/>
      <c r="AH14" s="76"/>
      <c r="AI14" s="76"/>
      <c r="AJ14" s="76"/>
      <c r="AK14" s="75"/>
      <c r="AL14" s="75"/>
      <c r="AM14" s="75"/>
      <c r="AN14" s="75"/>
      <c r="AO14" s="75"/>
      <c r="AP14" s="83"/>
      <c r="AQ14" s="19"/>
      <c r="AR14" s="20"/>
      <c r="AS14" s="20"/>
      <c r="AT14" s="20"/>
      <c r="AU14" s="20"/>
      <c r="AV14" s="17"/>
      <c r="AW14" s="17"/>
      <c r="AX14" s="17"/>
      <c r="AY14" s="17"/>
      <c r="AZ14" s="17"/>
      <c r="BA14" s="18"/>
    </row>
    <row r="15" spans="1:53" x14ac:dyDescent="0.2">
      <c r="A15" s="47">
        <v>14000</v>
      </c>
      <c r="B15" s="47" t="s">
        <v>100</v>
      </c>
      <c r="C15" s="48">
        <v>50</v>
      </c>
      <c r="D15" s="49">
        <v>0.94951285714285771</v>
      </c>
      <c r="E15" s="49">
        <v>9.0347217675888064E-4</v>
      </c>
      <c r="F15" s="49">
        <v>1.2777026055991512E-4</v>
      </c>
      <c r="G15" s="49">
        <v>0.94925609319119497</v>
      </c>
      <c r="H15" s="49">
        <v>0.94976962109452046</v>
      </c>
      <c r="I15" s="17"/>
      <c r="J15" s="17"/>
      <c r="K15" s="17"/>
      <c r="L15" s="9"/>
      <c r="M15" s="75"/>
      <c r="N15" s="75"/>
      <c r="O15" s="75"/>
      <c r="P15" s="75"/>
      <c r="Q15" s="75"/>
      <c r="R15" s="76"/>
      <c r="S15" s="75"/>
      <c r="T15" s="75"/>
      <c r="U15" s="75"/>
      <c r="V15" s="75"/>
      <c r="W15" s="75"/>
      <c r="X15" s="76"/>
      <c r="Y15" s="75"/>
      <c r="Z15" s="75"/>
      <c r="AA15" s="75"/>
      <c r="AB15" s="75"/>
      <c r="AC15" s="75"/>
      <c r="AD15" s="76"/>
      <c r="AE15" s="76"/>
      <c r="AF15" s="76"/>
      <c r="AG15" s="76"/>
      <c r="AH15" s="76"/>
      <c r="AI15" s="76"/>
      <c r="AJ15" s="76"/>
      <c r="AK15" s="75"/>
      <c r="AL15" s="75"/>
      <c r="AM15" s="75"/>
      <c r="AN15" s="75"/>
      <c r="AO15" s="75"/>
      <c r="AP15" s="83"/>
      <c r="AQ15" s="19"/>
      <c r="AR15" s="20"/>
      <c r="AS15" s="20"/>
      <c r="AT15" s="20"/>
      <c r="AU15" s="20"/>
      <c r="AV15" s="17"/>
      <c r="AW15" s="17"/>
      <c r="AX15" s="17"/>
      <c r="AY15" s="17"/>
      <c r="AZ15" s="17"/>
      <c r="BA15" s="18"/>
    </row>
    <row r="16" spans="1:53" x14ac:dyDescent="0.2">
      <c r="A16" s="47">
        <v>14000</v>
      </c>
      <c r="B16" s="47" t="s">
        <v>101</v>
      </c>
      <c r="C16" s="48">
        <v>50</v>
      </c>
      <c r="D16" s="49">
        <v>0.93092428571428554</v>
      </c>
      <c r="E16" s="49">
        <v>9.0332464738630814E-4</v>
      </c>
      <c r="F16" s="49">
        <v>1.2774939675596107E-4</v>
      </c>
      <c r="G16" s="49">
        <v>0.93066756369000658</v>
      </c>
      <c r="H16" s="49">
        <v>0.93118100773856449</v>
      </c>
      <c r="I16" s="17"/>
      <c r="J16" s="17"/>
      <c r="K16" s="17"/>
      <c r="L16" s="9"/>
      <c r="M16" s="75"/>
      <c r="N16" s="75"/>
      <c r="O16" s="75"/>
      <c r="P16" s="75"/>
      <c r="Q16" s="75"/>
      <c r="R16" s="76"/>
      <c r="S16" s="75"/>
      <c r="T16" s="75"/>
      <c r="U16" s="75"/>
      <c r="V16" s="75"/>
      <c r="W16" s="75"/>
      <c r="X16" s="76"/>
      <c r="Y16" s="75"/>
      <c r="Z16" s="87"/>
      <c r="AA16" s="75"/>
      <c r="AB16" s="75"/>
      <c r="AC16" s="75"/>
      <c r="AD16" s="76"/>
      <c r="AE16" s="76"/>
      <c r="AF16" s="76"/>
      <c r="AG16" s="76"/>
      <c r="AH16" s="76"/>
      <c r="AI16" s="76"/>
      <c r="AJ16" s="76"/>
      <c r="AK16" s="75"/>
      <c r="AL16" s="75"/>
      <c r="AM16" s="75"/>
      <c r="AN16" s="75"/>
      <c r="AO16" s="75"/>
      <c r="AP16" s="83"/>
      <c r="AQ16" s="19"/>
      <c r="AR16" s="20"/>
      <c r="AS16" s="20"/>
      <c r="AT16" s="20"/>
      <c r="AU16" s="20"/>
      <c r="AV16" s="17"/>
      <c r="AW16" s="17"/>
      <c r="AX16" s="17"/>
      <c r="AY16" s="17"/>
      <c r="AZ16" s="17"/>
      <c r="BA16" s="18"/>
    </row>
    <row r="17" spans="1:53" x14ac:dyDescent="0.2">
      <c r="A17" s="47">
        <v>16000</v>
      </c>
      <c r="B17" s="47" t="s">
        <v>46</v>
      </c>
      <c r="C17" s="48">
        <v>1</v>
      </c>
      <c r="D17" s="49">
        <v>0.950125</v>
      </c>
      <c r="E17" s="49">
        <v>0</v>
      </c>
      <c r="F17" s="49">
        <v>0</v>
      </c>
      <c r="G17" s="49">
        <v>0.950125</v>
      </c>
      <c r="H17" s="49">
        <v>0.950125</v>
      </c>
      <c r="I17" s="17"/>
      <c r="J17" s="17"/>
      <c r="K17" s="17"/>
      <c r="L17" s="9"/>
      <c r="M17" s="75"/>
      <c r="N17" s="75"/>
      <c r="O17" s="75"/>
      <c r="P17" s="75"/>
      <c r="Q17" s="75"/>
      <c r="R17" s="76"/>
      <c r="S17" s="75"/>
      <c r="T17" s="75"/>
      <c r="U17" s="75"/>
      <c r="V17" s="75"/>
      <c r="W17" s="75"/>
      <c r="X17" s="76"/>
      <c r="Y17" s="75"/>
      <c r="Z17" s="75"/>
      <c r="AA17" s="75"/>
      <c r="AB17" s="75"/>
      <c r="AC17" s="75"/>
      <c r="AD17" s="76"/>
      <c r="AE17" s="76"/>
      <c r="AF17" s="76"/>
      <c r="AG17" s="76"/>
      <c r="AH17" s="76"/>
      <c r="AI17" s="76"/>
      <c r="AJ17" s="76"/>
      <c r="AK17" s="75"/>
      <c r="AL17" s="75"/>
      <c r="AM17" s="75"/>
      <c r="AN17" s="75"/>
      <c r="AO17" s="75"/>
      <c r="AP17" s="83"/>
      <c r="AQ17" s="19"/>
      <c r="AR17" s="20"/>
      <c r="AS17" s="20"/>
      <c r="AT17" s="20"/>
      <c r="AU17" s="20"/>
      <c r="AV17" s="17"/>
      <c r="AW17" s="17"/>
      <c r="AX17" s="17"/>
      <c r="AY17" s="17"/>
      <c r="AZ17" s="17"/>
      <c r="BA17" s="18"/>
    </row>
    <row r="18" spans="1:53" x14ac:dyDescent="0.2">
      <c r="A18" s="47">
        <v>16000</v>
      </c>
      <c r="B18" s="47" t="s">
        <v>50</v>
      </c>
      <c r="C18" s="48">
        <v>50</v>
      </c>
      <c r="D18" s="49">
        <v>0.18505874999999999</v>
      </c>
      <c r="E18" s="49">
        <v>1.6196640217549262E-3</v>
      </c>
      <c r="F18" s="49">
        <v>2.2905508260535684E-4</v>
      </c>
      <c r="G18" s="49">
        <v>0.18459844657805768</v>
      </c>
      <c r="H18" s="49">
        <v>0.1855190534219423</v>
      </c>
      <c r="I18" s="17"/>
      <c r="J18" s="17"/>
      <c r="K18" s="17"/>
      <c r="L18" s="9"/>
      <c r="M18" s="75"/>
      <c r="N18" s="75"/>
      <c r="O18" s="75"/>
      <c r="P18" s="75"/>
      <c r="Q18" s="75"/>
      <c r="R18" s="76"/>
      <c r="S18" s="75"/>
      <c r="T18" s="75"/>
      <c r="U18" s="75"/>
      <c r="V18" s="75"/>
      <c r="W18" s="75"/>
      <c r="X18" s="76"/>
      <c r="Y18" s="75"/>
      <c r="Z18" s="87"/>
      <c r="AA18" s="75"/>
      <c r="AB18" s="75"/>
      <c r="AC18" s="75"/>
      <c r="AD18" s="76"/>
      <c r="AE18" s="76"/>
      <c r="AF18" s="76"/>
      <c r="AG18" s="76"/>
      <c r="AH18" s="76"/>
      <c r="AI18" s="76"/>
      <c r="AJ18" s="76"/>
      <c r="AK18" s="75"/>
      <c r="AL18" s="75"/>
      <c r="AM18" s="75"/>
      <c r="AN18" s="75"/>
      <c r="AO18" s="75"/>
      <c r="AP18" s="83"/>
      <c r="AQ18" s="19"/>
      <c r="AR18" s="20"/>
      <c r="AS18" s="20"/>
      <c r="AT18" s="20"/>
      <c r="AU18" s="20"/>
      <c r="AV18" s="17"/>
      <c r="AW18" s="17"/>
      <c r="AX18" s="17"/>
      <c r="AY18" s="17"/>
      <c r="AZ18" s="17"/>
      <c r="BA18" s="18"/>
    </row>
    <row r="19" spans="1:53" x14ac:dyDescent="0.2">
      <c r="A19" s="47">
        <v>16000</v>
      </c>
      <c r="B19" s="47" t="s">
        <v>52</v>
      </c>
      <c r="C19" s="48">
        <v>50</v>
      </c>
      <c r="D19" s="49">
        <v>0.75027500000000003</v>
      </c>
      <c r="E19" s="49">
        <v>1.3229359163525307E-3</v>
      </c>
      <c r="F19" s="49">
        <v>1.8709139150562272E-4</v>
      </c>
      <c r="G19" s="49">
        <v>0.7498990257725503</v>
      </c>
      <c r="H19" s="49">
        <v>0.75065097422744975</v>
      </c>
      <c r="I19" s="17"/>
      <c r="J19" s="17"/>
      <c r="K19" s="17"/>
      <c r="L19" s="9"/>
      <c r="M19" s="75"/>
      <c r="N19" s="75"/>
      <c r="O19" s="75"/>
      <c r="P19" s="75"/>
      <c r="Q19" s="75"/>
      <c r="R19" s="76"/>
      <c r="S19" s="75"/>
      <c r="T19" s="75"/>
      <c r="U19" s="75"/>
      <c r="V19" s="75"/>
      <c r="W19" s="75"/>
      <c r="X19" s="76"/>
      <c r="Y19" s="75"/>
      <c r="Z19" s="75"/>
      <c r="AA19" s="75"/>
      <c r="AB19" s="75"/>
      <c r="AC19" s="75"/>
      <c r="AD19" s="76"/>
      <c r="AE19" s="76"/>
      <c r="AF19" s="76"/>
      <c r="AG19" s="76"/>
      <c r="AH19" s="76"/>
      <c r="AI19" s="76"/>
      <c r="AJ19" s="76"/>
      <c r="AK19" s="75"/>
      <c r="AL19" s="75"/>
      <c r="AM19" s="75"/>
      <c r="AN19" s="75"/>
      <c r="AO19" s="75"/>
      <c r="AP19" s="83"/>
      <c r="AQ19" s="19"/>
      <c r="AR19" s="20"/>
      <c r="AS19" s="20"/>
      <c r="AT19" s="20"/>
      <c r="AU19" s="20"/>
      <c r="AV19" s="17"/>
      <c r="AW19" s="17"/>
      <c r="AX19" s="17"/>
      <c r="AY19" s="17"/>
      <c r="AZ19" s="17"/>
      <c r="BA19" s="18"/>
    </row>
    <row r="20" spans="1:53" x14ac:dyDescent="0.2">
      <c r="A20" s="47">
        <v>16000</v>
      </c>
      <c r="B20" s="47" t="s">
        <v>51</v>
      </c>
      <c r="C20" s="48">
        <v>1</v>
      </c>
      <c r="D20" s="49">
        <v>0.84112500000000001</v>
      </c>
      <c r="E20" s="49">
        <v>0</v>
      </c>
      <c r="F20" s="49">
        <v>0</v>
      </c>
      <c r="G20" s="49">
        <v>0.84112500000000001</v>
      </c>
      <c r="H20" s="49">
        <v>0.84112500000000001</v>
      </c>
      <c r="I20" s="17"/>
      <c r="J20" s="17"/>
      <c r="K20" s="17"/>
      <c r="L20" s="9"/>
      <c r="M20" s="75"/>
      <c r="N20" s="75"/>
      <c r="O20" s="75"/>
      <c r="P20" s="75"/>
      <c r="Q20" s="75"/>
      <c r="R20" s="76"/>
      <c r="S20" s="75"/>
      <c r="T20" s="75"/>
      <c r="U20" s="75"/>
      <c r="V20" s="75"/>
      <c r="W20" s="75"/>
      <c r="X20" s="76"/>
      <c r="Y20" s="75"/>
      <c r="Z20" s="75"/>
      <c r="AA20" s="75"/>
      <c r="AB20" s="75"/>
      <c r="AC20" s="75"/>
      <c r="AD20" s="76"/>
      <c r="AE20" s="76"/>
      <c r="AF20" s="76"/>
      <c r="AG20" s="76"/>
      <c r="AH20" s="76"/>
      <c r="AI20" s="76"/>
      <c r="AJ20" s="76"/>
      <c r="AK20" s="75"/>
      <c r="AL20" s="75"/>
      <c r="AM20" s="75"/>
      <c r="AN20" s="75"/>
      <c r="AO20" s="75"/>
      <c r="AP20" s="83"/>
      <c r="AQ20" s="19"/>
      <c r="AR20" s="20"/>
      <c r="AS20" s="20"/>
      <c r="AT20" s="20"/>
      <c r="AU20" s="20"/>
      <c r="AV20" s="17"/>
      <c r="AW20" s="17"/>
      <c r="AX20" s="17"/>
      <c r="AY20" s="17"/>
      <c r="AZ20" s="17"/>
      <c r="BA20" s="18"/>
    </row>
    <row r="21" spans="1:53" x14ac:dyDescent="0.2">
      <c r="A21" s="47">
        <v>16000</v>
      </c>
      <c r="B21" s="47" t="s">
        <v>99</v>
      </c>
      <c r="C21" s="48">
        <v>50</v>
      </c>
      <c r="D21" s="49">
        <v>0.89686999999999972</v>
      </c>
      <c r="E21" s="49">
        <v>8.1820407488795879E-4</v>
      </c>
      <c r="F21" s="49">
        <v>1.1571152994954828E-4</v>
      </c>
      <c r="G21" s="49">
        <v>0.89663746897476282</v>
      </c>
      <c r="H21" s="49">
        <v>0.89710253102523663</v>
      </c>
      <c r="I21" s="17"/>
      <c r="J21" s="17"/>
      <c r="K21" s="17"/>
      <c r="L21" s="9"/>
      <c r="M21" s="75"/>
      <c r="N21" s="75"/>
      <c r="O21" s="75"/>
      <c r="P21" s="75"/>
      <c r="Q21" s="75"/>
      <c r="R21" s="76"/>
      <c r="S21" s="75"/>
      <c r="T21" s="75"/>
      <c r="U21" s="75"/>
      <c r="V21" s="75"/>
      <c r="W21" s="75"/>
      <c r="X21" s="76"/>
      <c r="Y21" s="75"/>
      <c r="Z21" s="75"/>
      <c r="AA21" s="75"/>
      <c r="AB21" s="75"/>
      <c r="AC21" s="75"/>
      <c r="AD21" s="78"/>
      <c r="AE21" s="78"/>
      <c r="AF21" s="78"/>
      <c r="AG21" s="78"/>
      <c r="AH21" s="78"/>
      <c r="AI21" s="78"/>
      <c r="AJ21" s="78"/>
      <c r="AK21" s="75"/>
      <c r="AL21" s="75"/>
      <c r="AM21" s="75"/>
      <c r="AN21" s="75"/>
      <c r="AO21" s="75"/>
      <c r="AP21" s="83"/>
      <c r="AQ21" s="19"/>
      <c r="AR21" s="20"/>
      <c r="AS21" s="20"/>
      <c r="AT21" s="20"/>
      <c r="AU21" s="20"/>
      <c r="AV21" s="17"/>
      <c r="AW21" s="17"/>
      <c r="AX21" s="17"/>
      <c r="AY21" s="17"/>
      <c r="AZ21" s="17"/>
      <c r="BA21" s="18"/>
    </row>
    <row r="22" spans="1:53" x14ac:dyDescent="0.2">
      <c r="A22" s="47">
        <v>16000</v>
      </c>
      <c r="B22" s="47" t="s">
        <v>100</v>
      </c>
      <c r="C22" s="48">
        <v>50</v>
      </c>
      <c r="D22" s="49">
        <v>0.89706124999999981</v>
      </c>
      <c r="E22" s="49">
        <v>8.7777348345987954E-4</v>
      </c>
      <c r="F22" s="49">
        <v>1.2413591650004373E-4</v>
      </c>
      <c r="G22" s="49">
        <v>0.89681178953616303</v>
      </c>
      <c r="H22" s="49">
        <v>0.89731071046383659</v>
      </c>
      <c r="I22" s="17"/>
      <c r="J22" s="17"/>
      <c r="K22" s="17"/>
      <c r="L22" s="9"/>
      <c r="M22" s="75"/>
      <c r="N22" s="75"/>
      <c r="O22" s="75"/>
      <c r="P22" s="75"/>
      <c r="Q22" s="75"/>
      <c r="R22" s="76"/>
      <c r="S22" s="75"/>
      <c r="T22" s="75"/>
      <c r="U22" s="75"/>
      <c r="V22" s="75"/>
      <c r="W22" s="75"/>
      <c r="X22" s="76"/>
      <c r="Y22" s="75"/>
      <c r="Z22" s="75"/>
      <c r="AA22" s="75"/>
      <c r="AB22" s="75"/>
      <c r="AC22" s="75"/>
      <c r="AD22" s="78"/>
      <c r="AE22" s="78"/>
      <c r="AF22" s="78"/>
      <c r="AG22" s="78"/>
      <c r="AH22" s="78"/>
      <c r="AI22" s="78"/>
      <c r="AJ22" s="78"/>
      <c r="AK22" s="75"/>
      <c r="AL22" s="75"/>
      <c r="AM22" s="75"/>
      <c r="AN22" s="75"/>
      <c r="AO22" s="75"/>
      <c r="AP22" s="83"/>
      <c r="AQ22" s="19"/>
      <c r="AR22" s="20"/>
      <c r="AS22" s="20"/>
      <c r="AT22" s="20"/>
      <c r="AU22" s="20"/>
      <c r="AV22" s="17"/>
      <c r="AW22" s="17"/>
      <c r="AX22" s="17"/>
      <c r="AY22" s="17"/>
      <c r="AZ22" s="17"/>
      <c r="BA22" s="18"/>
    </row>
    <row r="23" spans="1:53" x14ac:dyDescent="0.2">
      <c r="A23" s="47">
        <v>16000</v>
      </c>
      <c r="B23" s="47" t="s">
        <v>101</v>
      </c>
      <c r="C23" s="48">
        <v>50</v>
      </c>
      <c r="D23" s="49">
        <v>0.87288999999999972</v>
      </c>
      <c r="E23" s="49">
        <v>1.0580684895466108E-3</v>
      </c>
      <c r="F23" s="49">
        <v>1.4963348078364324E-4</v>
      </c>
      <c r="G23" s="49">
        <v>0.87258930026237147</v>
      </c>
      <c r="H23" s="49">
        <v>0.87319069973762797</v>
      </c>
      <c r="I23" s="17"/>
      <c r="J23" s="17"/>
      <c r="K23" s="17"/>
      <c r="L23" s="9"/>
      <c r="M23" s="75"/>
      <c r="N23" s="75"/>
      <c r="O23" s="75"/>
      <c r="P23" s="75"/>
      <c r="Q23" s="75"/>
      <c r="R23" s="76"/>
      <c r="S23" s="75"/>
      <c r="T23" s="75"/>
      <c r="U23" s="75"/>
      <c r="V23" s="75"/>
      <c r="W23" s="75"/>
      <c r="X23" s="76"/>
      <c r="Y23" s="75"/>
      <c r="Z23" s="75"/>
      <c r="AA23" s="75"/>
      <c r="AB23" s="75"/>
      <c r="AC23" s="75"/>
      <c r="AD23" s="78"/>
      <c r="AE23" s="78"/>
      <c r="AF23" s="78"/>
      <c r="AG23" s="78"/>
      <c r="AH23" s="78"/>
      <c r="AI23" s="78"/>
      <c r="AJ23" s="78"/>
      <c r="AK23" s="75"/>
      <c r="AL23" s="75"/>
      <c r="AM23" s="75"/>
      <c r="AN23" s="75"/>
      <c r="AO23" s="75"/>
      <c r="AP23" s="83"/>
      <c r="AQ23" s="19"/>
      <c r="AR23" s="20"/>
      <c r="AS23" s="20"/>
      <c r="AT23" s="20"/>
      <c r="AU23" s="20"/>
      <c r="AV23" s="17"/>
      <c r="AW23" s="17"/>
      <c r="AX23" s="17"/>
      <c r="AY23" s="17"/>
      <c r="AZ23" s="17"/>
      <c r="BA23" s="18"/>
    </row>
    <row r="24" spans="1:53" x14ac:dyDescent="0.2">
      <c r="A24" s="47">
        <v>18000</v>
      </c>
      <c r="B24" s="47" t="s">
        <v>46</v>
      </c>
      <c r="C24" s="48">
        <v>1</v>
      </c>
      <c r="D24" s="49">
        <v>0.90205555555555561</v>
      </c>
      <c r="E24" s="49">
        <v>0</v>
      </c>
      <c r="F24" s="49">
        <v>0</v>
      </c>
      <c r="G24" s="49">
        <v>0.90205555555555561</v>
      </c>
      <c r="H24" s="49">
        <v>0.90205555555555561</v>
      </c>
      <c r="I24" s="17"/>
      <c r="J24" s="17"/>
      <c r="K24" s="17"/>
      <c r="L24" s="9"/>
      <c r="M24" s="75"/>
      <c r="N24" s="75"/>
      <c r="O24" s="75"/>
      <c r="P24" s="75"/>
      <c r="Q24" s="75"/>
      <c r="R24" s="76"/>
      <c r="S24" s="75"/>
      <c r="T24" s="75"/>
      <c r="U24" s="75"/>
      <c r="V24" s="75"/>
      <c r="W24" s="75"/>
      <c r="X24" s="76"/>
      <c r="Y24" s="75"/>
      <c r="Z24" s="75"/>
      <c r="AA24" s="75"/>
      <c r="AB24" s="75"/>
      <c r="AC24" s="75"/>
      <c r="AD24" s="78"/>
      <c r="AE24" s="78"/>
      <c r="AF24" s="78"/>
      <c r="AG24" s="78"/>
      <c r="AH24" s="78"/>
      <c r="AI24" s="78"/>
      <c r="AJ24" s="78"/>
      <c r="AK24" s="75"/>
      <c r="AL24" s="75"/>
      <c r="AM24" s="75"/>
      <c r="AN24" s="75"/>
      <c r="AO24" s="75"/>
      <c r="AP24" s="83"/>
      <c r="AQ24" s="19"/>
      <c r="AR24" s="20"/>
      <c r="AS24" s="20"/>
      <c r="AT24" s="20"/>
      <c r="AU24" s="20"/>
      <c r="AV24" s="17"/>
      <c r="AW24" s="17"/>
      <c r="AX24" s="17"/>
      <c r="AY24" s="17"/>
      <c r="AZ24" s="17"/>
      <c r="BA24" s="18"/>
    </row>
    <row r="25" spans="1:53" x14ac:dyDescent="0.2">
      <c r="A25" s="47">
        <v>18000</v>
      </c>
      <c r="B25" s="47" t="s">
        <v>50</v>
      </c>
      <c r="C25" s="48">
        <v>50</v>
      </c>
      <c r="D25" s="49">
        <v>0.16452888888888889</v>
      </c>
      <c r="E25" s="49">
        <v>1.4565271722066036E-3</v>
      </c>
      <c r="F25" s="49">
        <v>2.0598404808995111E-4</v>
      </c>
      <c r="G25" s="49">
        <v>0.16411494844660368</v>
      </c>
      <c r="H25" s="49">
        <v>0.1649428293311741</v>
      </c>
      <c r="I25" s="17"/>
      <c r="J25" s="17"/>
      <c r="K25" s="17"/>
      <c r="L25" s="9"/>
      <c r="M25" s="75"/>
      <c r="N25" s="75"/>
      <c r="O25" s="75"/>
      <c r="P25" s="75"/>
      <c r="Q25" s="75"/>
      <c r="R25" s="76"/>
      <c r="S25" s="75"/>
      <c r="T25" s="75"/>
      <c r="U25" s="75"/>
      <c r="V25" s="75"/>
      <c r="W25" s="75"/>
      <c r="X25" s="76"/>
      <c r="Y25" s="75"/>
      <c r="Z25" s="75"/>
      <c r="AA25" s="75"/>
      <c r="AB25" s="75"/>
      <c r="AC25" s="75"/>
      <c r="AD25" s="78"/>
      <c r="AE25" s="78"/>
      <c r="AF25" s="78"/>
      <c r="AG25" s="78"/>
      <c r="AH25" s="78"/>
      <c r="AI25" s="78"/>
      <c r="AJ25" s="78"/>
      <c r="AK25" s="75"/>
      <c r="AL25" s="75"/>
      <c r="AM25" s="75"/>
      <c r="AN25" s="75"/>
      <c r="AO25" s="75"/>
      <c r="AP25" s="83"/>
      <c r="AQ25" s="19"/>
      <c r="AR25" s="20"/>
      <c r="AS25" s="20"/>
      <c r="AT25" s="20"/>
      <c r="AU25" s="20"/>
      <c r="AV25" s="17"/>
      <c r="AW25" s="17"/>
      <c r="AX25" s="17"/>
      <c r="AY25" s="17"/>
      <c r="AZ25" s="17"/>
      <c r="BA25" s="18"/>
    </row>
    <row r="26" spans="1:53" x14ac:dyDescent="0.2">
      <c r="A26" s="47">
        <v>18000</v>
      </c>
      <c r="B26" s="47" t="s">
        <v>52</v>
      </c>
      <c r="C26" s="48">
        <v>50</v>
      </c>
      <c r="D26" s="49">
        <v>0.66456111111111138</v>
      </c>
      <c r="E26" s="49">
        <v>1.1224618634593491E-3</v>
      </c>
      <c r="F26" s="49">
        <v>1.5874007905507888E-4</v>
      </c>
      <c r="G26" s="49">
        <v>0.66424211097910235</v>
      </c>
      <c r="H26" s="49">
        <v>0.66488011124312041</v>
      </c>
      <c r="I26" s="17"/>
      <c r="J26" s="17"/>
      <c r="K26" s="17"/>
      <c r="L26" s="9"/>
      <c r="M26" s="75"/>
      <c r="N26" s="75"/>
      <c r="O26" s="75"/>
      <c r="P26" s="75"/>
      <c r="Q26" s="75"/>
      <c r="R26" s="76"/>
      <c r="S26" s="75"/>
      <c r="T26" s="75"/>
      <c r="U26" s="75"/>
      <c r="V26" s="75"/>
      <c r="W26" s="75"/>
      <c r="X26" s="76"/>
      <c r="Y26" s="75"/>
      <c r="Z26" s="75"/>
      <c r="AA26" s="75"/>
      <c r="AB26" s="75"/>
      <c r="AC26" s="75"/>
      <c r="AD26" s="78"/>
      <c r="AE26" s="78"/>
      <c r="AF26" s="78"/>
      <c r="AG26" s="78"/>
      <c r="AH26" s="78"/>
      <c r="AI26" s="78"/>
      <c r="AJ26" s="78"/>
      <c r="AK26" s="75"/>
      <c r="AL26" s="75"/>
      <c r="AM26" s="75"/>
      <c r="AN26" s="75"/>
      <c r="AO26" s="75"/>
      <c r="AP26" s="83"/>
      <c r="AQ26" s="19"/>
      <c r="AR26" s="20"/>
      <c r="AS26" s="20"/>
      <c r="AT26" s="20"/>
      <c r="AU26" s="20"/>
      <c r="AV26" s="17"/>
      <c r="AW26" s="17"/>
      <c r="AX26" s="17"/>
      <c r="AY26" s="17"/>
      <c r="AZ26" s="17"/>
      <c r="BA26" s="18"/>
    </row>
    <row r="27" spans="1:53" x14ac:dyDescent="0.2">
      <c r="A27" s="47">
        <v>18000</v>
      </c>
      <c r="B27" s="47" t="s">
        <v>51</v>
      </c>
      <c r="C27" s="48">
        <v>1</v>
      </c>
      <c r="D27" s="49">
        <v>0.78494444444444444</v>
      </c>
      <c r="E27" s="49">
        <v>0</v>
      </c>
      <c r="F27" s="49">
        <v>0</v>
      </c>
      <c r="G27" s="49">
        <v>0.78494444444444444</v>
      </c>
      <c r="H27" s="49">
        <v>0.78494444444444444</v>
      </c>
      <c r="I27" s="17"/>
      <c r="J27" s="17"/>
      <c r="K27" s="17"/>
      <c r="L27" s="9"/>
      <c r="M27" s="75"/>
      <c r="N27" s="75"/>
      <c r="O27" s="75"/>
      <c r="P27" s="75"/>
      <c r="Q27" s="75"/>
      <c r="R27" s="76"/>
      <c r="S27" s="75"/>
      <c r="T27" s="75"/>
      <c r="U27" s="75"/>
      <c r="V27" s="75"/>
      <c r="W27" s="75"/>
      <c r="X27" s="76"/>
      <c r="Y27" s="75"/>
      <c r="Z27" s="75"/>
      <c r="AA27" s="75"/>
      <c r="AB27" s="75"/>
      <c r="AC27" s="75"/>
      <c r="AD27" s="78"/>
      <c r="AE27" s="78"/>
      <c r="AF27" s="78"/>
      <c r="AG27" s="78"/>
      <c r="AH27" s="78"/>
      <c r="AI27" s="78"/>
      <c r="AJ27" s="78"/>
      <c r="AK27" s="75"/>
      <c r="AL27" s="75"/>
      <c r="AM27" s="75"/>
      <c r="AN27" s="75"/>
      <c r="AO27" s="75"/>
      <c r="AP27" s="83"/>
      <c r="AQ27" s="19"/>
      <c r="AR27" s="20"/>
      <c r="AS27" s="20"/>
      <c r="AT27" s="20"/>
      <c r="AU27" s="20"/>
      <c r="AV27" s="17"/>
      <c r="AW27" s="17"/>
      <c r="AX27" s="17"/>
      <c r="AY27" s="17"/>
      <c r="AZ27" s="17"/>
      <c r="BA27" s="18"/>
    </row>
    <row r="28" spans="1:53" x14ac:dyDescent="0.2">
      <c r="A28" s="47">
        <v>18000</v>
      </c>
      <c r="B28" s="47" t="s">
        <v>99</v>
      </c>
      <c r="C28" s="48">
        <v>50</v>
      </c>
      <c r="D28" s="49">
        <v>0.84508222222222218</v>
      </c>
      <c r="E28" s="49">
        <v>9.191449354951991E-4</v>
      </c>
      <c r="F28" s="49">
        <v>1.2998672335638541E-4</v>
      </c>
      <c r="G28" s="49">
        <v>0.8448210041218096</v>
      </c>
      <c r="H28" s="49">
        <v>0.84534344032263475</v>
      </c>
      <c r="I28" s="17"/>
      <c r="J28" s="17"/>
      <c r="K28" s="17"/>
      <c r="L28" s="9"/>
      <c r="M28" s="75"/>
      <c r="N28" s="75"/>
      <c r="O28" s="75"/>
      <c r="P28" s="75"/>
      <c r="Q28" s="75"/>
      <c r="R28" s="76"/>
      <c r="S28" s="75"/>
      <c r="T28" s="75"/>
      <c r="U28" s="75"/>
      <c r="V28" s="75"/>
      <c r="W28" s="75"/>
      <c r="X28" s="76"/>
      <c r="Y28" s="75"/>
      <c r="Z28" s="75"/>
      <c r="AA28" s="75"/>
      <c r="AB28" s="75"/>
      <c r="AC28" s="75"/>
      <c r="AD28" s="76"/>
      <c r="AE28" s="76"/>
      <c r="AF28" s="76"/>
      <c r="AG28" s="76"/>
      <c r="AH28" s="76"/>
      <c r="AI28" s="76"/>
      <c r="AJ28" s="76"/>
      <c r="AK28" s="75"/>
      <c r="AL28" s="75"/>
      <c r="AM28" s="75"/>
      <c r="AN28" s="75"/>
      <c r="AO28" s="75"/>
      <c r="AP28" s="83"/>
      <c r="AQ28" s="19"/>
      <c r="AR28" s="20"/>
      <c r="AS28" s="20"/>
      <c r="AT28" s="20"/>
      <c r="AU28" s="20"/>
      <c r="AV28" s="17"/>
      <c r="AW28" s="17"/>
      <c r="AX28" s="17"/>
      <c r="AY28" s="17"/>
      <c r="AZ28" s="17"/>
      <c r="BA28" s="18"/>
    </row>
    <row r="29" spans="1:53" x14ac:dyDescent="0.2">
      <c r="A29" s="47">
        <v>18000</v>
      </c>
      <c r="B29" s="47" t="s">
        <v>100</v>
      </c>
      <c r="C29" s="48">
        <v>50</v>
      </c>
      <c r="D29" s="49">
        <v>0.84514333333333314</v>
      </c>
      <c r="E29" s="49">
        <v>9.387308834025663E-4</v>
      </c>
      <c r="F29" s="49">
        <v>1.3275659467263857E-4</v>
      </c>
      <c r="G29" s="49">
        <v>0.84487654896811337</v>
      </c>
      <c r="H29" s="49">
        <v>0.8454101176985529</v>
      </c>
      <c r="I29" s="17"/>
      <c r="J29" s="17"/>
      <c r="K29" s="17"/>
      <c r="L29" s="9"/>
      <c r="M29" s="75"/>
      <c r="N29" s="75"/>
      <c r="O29" s="75"/>
      <c r="P29" s="75"/>
      <c r="Q29" s="75"/>
      <c r="R29" s="76"/>
      <c r="S29" s="75"/>
      <c r="T29" s="75"/>
      <c r="U29" s="75"/>
      <c r="V29" s="75"/>
      <c r="W29" s="75"/>
      <c r="X29" s="76"/>
      <c r="Y29" s="75"/>
      <c r="Z29" s="75"/>
      <c r="AA29" s="75"/>
      <c r="AB29" s="75"/>
      <c r="AC29" s="75"/>
      <c r="AD29" s="76"/>
      <c r="AE29" s="76"/>
      <c r="AF29" s="76"/>
      <c r="AG29" s="76"/>
      <c r="AH29" s="76"/>
      <c r="AI29" s="76"/>
      <c r="AJ29" s="76"/>
      <c r="AK29" s="75"/>
      <c r="AL29" s="75"/>
      <c r="AM29" s="75"/>
      <c r="AN29" s="75"/>
      <c r="AO29" s="75"/>
      <c r="AP29" s="83"/>
      <c r="AQ29" s="19"/>
      <c r="AR29" s="20"/>
      <c r="AS29" s="20"/>
      <c r="AT29" s="20"/>
      <c r="AU29" s="20"/>
      <c r="AV29" s="17"/>
      <c r="AW29" s="17"/>
      <c r="AX29" s="17"/>
      <c r="AY29" s="17"/>
      <c r="AZ29" s="17"/>
      <c r="BA29" s="18"/>
    </row>
    <row r="30" spans="1:53" x14ac:dyDescent="0.2">
      <c r="A30" s="47">
        <v>18000</v>
      </c>
      <c r="B30" s="47" t="s">
        <v>101</v>
      </c>
      <c r="C30" s="48">
        <v>50</v>
      </c>
      <c r="D30" s="49">
        <v>0.82127555555555587</v>
      </c>
      <c r="E30" s="49">
        <v>8.6525846405833618E-4</v>
      </c>
      <c r="F30" s="49">
        <v>1.2236602548294122E-4</v>
      </c>
      <c r="G30" s="49">
        <v>0.82102965182087939</v>
      </c>
      <c r="H30" s="49">
        <v>0.82152145929023235</v>
      </c>
      <c r="I30" s="17"/>
      <c r="J30" s="17"/>
      <c r="K30" s="17"/>
      <c r="L30" s="9"/>
      <c r="M30" s="75"/>
      <c r="N30" s="75"/>
      <c r="O30" s="75"/>
      <c r="P30" s="75"/>
      <c r="Q30" s="75"/>
      <c r="R30" s="76"/>
      <c r="S30" s="75"/>
      <c r="T30" s="75"/>
      <c r="U30" s="75"/>
      <c r="V30" s="75"/>
      <c r="W30" s="75"/>
      <c r="X30" s="76"/>
      <c r="Y30" s="75"/>
      <c r="Z30" s="75"/>
      <c r="AA30" s="75"/>
      <c r="AB30" s="75"/>
      <c r="AC30" s="75"/>
      <c r="AD30" s="76"/>
      <c r="AE30" s="76"/>
      <c r="AF30" s="76"/>
      <c r="AG30" s="76"/>
      <c r="AH30" s="76"/>
      <c r="AI30" s="76"/>
      <c r="AJ30" s="76"/>
      <c r="AK30" s="75"/>
      <c r="AL30" s="75"/>
      <c r="AM30" s="75"/>
      <c r="AN30" s="75"/>
      <c r="AO30" s="75"/>
      <c r="AP30" s="83"/>
      <c r="AQ30" s="19"/>
      <c r="AR30" s="20"/>
      <c r="AS30" s="20"/>
      <c r="AT30" s="20"/>
      <c r="AU30" s="20"/>
      <c r="AV30" s="17"/>
      <c r="AW30" s="17"/>
      <c r="AX30" s="17"/>
      <c r="AY30" s="17"/>
      <c r="AZ30" s="17"/>
      <c r="BA30" s="18"/>
    </row>
    <row r="31" spans="1:53" x14ac:dyDescent="0.2">
      <c r="A31" s="47">
        <v>20000</v>
      </c>
      <c r="B31" s="47" t="s">
        <v>46</v>
      </c>
      <c r="C31" s="48">
        <v>1</v>
      </c>
      <c r="D31" s="49">
        <v>0.85829999999999995</v>
      </c>
      <c r="E31" s="49">
        <v>0</v>
      </c>
      <c r="F31" s="49">
        <v>0</v>
      </c>
      <c r="G31" s="49">
        <v>0.85829999999999995</v>
      </c>
      <c r="H31" s="49">
        <v>0.85829999999999995</v>
      </c>
      <c r="I31" s="17"/>
      <c r="J31" s="17"/>
      <c r="K31" s="17"/>
      <c r="L31" s="9"/>
      <c r="M31" s="75"/>
      <c r="N31" s="75"/>
      <c r="O31" s="75"/>
      <c r="P31" s="75"/>
      <c r="Q31" s="75"/>
      <c r="R31" s="76"/>
      <c r="S31" s="75"/>
      <c r="T31" s="75"/>
      <c r="U31" s="75"/>
      <c r="V31" s="75"/>
      <c r="W31" s="75"/>
      <c r="X31" s="76"/>
      <c r="Y31" s="75"/>
      <c r="Z31" s="75"/>
      <c r="AA31" s="75"/>
      <c r="AB31" s="75"/>
      <c r="AC31" s="75"/>
      <c r="AD31" s="76"/>
      <c r="AE31" s="76"/>
      <c r="AF31" s="76"/>
      <c r="AG31" s="76"/>
      <c r="AH31" s="76"/>
      <c r="AI31" s="76"/>
      <c r="AJ31" s="76"/>
      <c r="AK31" s="75"/>
      <c r="AL31" s="75"/>
      <c r="AM31" s="75"/>
      <c r="AN31" s="75"/>
      <c r="AO31" s="75"/>
      <c r="AP31" s="83"/>
      <c r="AQ31" s="19"/>
      <c r="AR31" s="20"/>
      <c r="AS31" s="20"/>
      <c r="AT31" s="20"/>
      <c r="AU31" s="20"/>
      <c r="AV31" s="17"/>
      <c r="AW31" s="17"/>
      <c r="AX31" s="17"/>
      <c r="AY31" s="17"/>
      <c r="AZ31" s="17"/>
      <c r="BA31" s="18"/>
    </row>
    <row r="32" spans="1:53" x14ac:dyDescent="0.2">
      <c r="A32" s="47">
        <v>20000</v>
      </c>
      <c r="B32" s="47" t="s">
        <v>50</v>
      </c>
      <c r="C32" s="48">
        <v>50</v>
      </c>
      <c r="D32" s="49">
        <v>0.14985499999999999</v>
      </c>
      <c r="E32" s="49">
        <v>1.3510105816894008E-3</v>
      </c>
      <c r="F32" s="49">
        <v>1.9106174875347146E-4</v>
      </c>
      <c r="G32" s="49">
        <v>0.14947104704094241</v>
      </c>
      <c r="H32" s="49">
        <v>0.15023895295905756</v>
      </c>
      <c r="I32" s="17"/>
      <c r="J32" s="17"/>
      <c r="K32" s="17"/>
      <c r="L32" s="9"/>
      <c r="M32" s="75"/>
      <c r="N32" s="75"/>
      <c r="O32" s="75"/>
      <c r="P32" s="75"/>
      <c r="Q32" s="75"/>
      <c r="R32" s="76"/>
      <c r="S32" s="75"/>
      <c r="T32" s="75"/>
      <c r="U32" s="75"/>
      <c r="V32" s="75"/>
      <c r="W32" s="75"/>
      <c r="X32" s="76"/>
      <c r="Y32" s="75"/>
      <c r="Z32" s="75"/>
      <c r="AA32" s="75"/>
      <c r="AB32" s="75"/>
      <c r="AC32" s="75"/>
      <c r="AD32" s="76"/>
      <c r="AE32" s="76"/>
      <c r="AF32" s="76"/>
      <c r="AG32" s="76"/>
      <c r="AH32" s="76"/>
      <c r="AI32" s="76"/>
      <c r="AJ32" s="76"/>
      <c r="AK32" s="75"/>
      <c r="AL32" s="75"/>
      <c r="AM32" s="75"/>
      <c r="AN32" s="75"/>
      <c r="AO32" s="75"/>
      <c r="AP32" s="83"/>
      <c r="AQ32" s="19"/>
      <c r="AR32" s="20"/>
      <c r="AS32" s="20"/>
      <c r="AT32" s="20"/>
      <c r="AU32" s="20"/>
      <c r="AV32" s="17"/>
      <c r="AW32" s="17"/>
      <c r="AX32" s="17"/>
      <c r="AY32" s="17"/>
      <c r="AZ32" s="17"/>
      <c r="BA32" s="18"/>
    </row>
    <row r="33" spans="1:53" x14ac:dyDescent="0.2">
      <c r="A33" s="47">
        <v>20000</v>
      </c>
      <c r="B33" s="47" t="s">
        <v>52</v>
      </c>
      <c r="C33" s="48">
        <v>50</v>
      </c>
      <c r="D33" s="49">
        <v>0.59751500000000002</v>
      </c>
      <c r="E33" s="49">
        <v>1.0730107365801741E-3</v>
      </c>
      <c r="F33" s="49">
        <v>1.5174663362436266E-4</v>
      </c>
      <c r="G33" s="49">
        <v>0.59721005372275082</v>
      </c>
      <c r="H33" s="49">
        <v>0.59781994627724921</v>
      </c>
      <c r="I33" s="17"/>
      <c r="J33" s="17"/>
      <c r="K33" s="17"/>
      <c r="L33" s="9"/>
      <c r="M33" s="75"/>
      <c r="N33" s="75"/>
      <c r="O33" s="75"/>
      <c r="P33" s="75"/>
      <c r="Q33" s="75"/>
      <c r="R33" s="76"/>
      <c r="S33" s="75"/>
      <c r="T33" s="75"/>
      <c r="U33" s="75"/>
      <c r="V33" s="75"/>
      <c r="W33" s="75"/>
      <c r="X33" s="76"/>
      <c r="Y33" s="75"/>
      <c r="Z33" s="75"/>
      <c r="AA33" s="75"/>
      <c r="AB33" s="75"/>
      <c r="AC33" s="75"/>
      <c r="AD33" s="76"/>
      <c r="AE33" s="76"/>
      <c r="AF33" s="76"/>
      <c r="AG33" s="76"/>
      <c r="AH33" s="76"/>
      <c r="AI33" s="76"/>
      <c r="AJ33" s="76"/>
      <c r="AK33" s="75"/>
      <c r="AL33" s="75"/>
      <c r="AM33" s="75"/>
      <c r="AN33" s="75"/>
      <c r="AO33" s="75"/>
      <c r="AP33" s="83"/>
      <c r="AQ33" s="19"/>
      <c r="AR33" s="20"/>
      <c r="AS33" s="20"/>
      <c r="AT33" s="20"/>
      <c r="AU33" s="20"/>
      <c r="AV33" s="17"/>
      <c r="AW33" s="17"/>
      <c r="AX33" s="17"/>
      <c r="AY33" s="17"/>
      <c r="AZ33" s="17"/>
      <c r="BA33" s="18"/>
    </row>
    <row r="34" spans="1:53" x14ac:dyDescent="0.2">
      <c r="A34" s="47">
        <v>20000</v>
      </c>
      <c r="B34" s="47" t="s">
        <v>51</v>
      </c>
      <c r="C34" s="48">
        <v>1</v>
      </c>
      <c r="D34" s="49">
        <v>0.73714999999999997</v>
      </c>
      <c r="E34" s="49">
        <v>0</v>
      </c>
      <c r="F34" s="49">
        <v>0</v>
      </c>
      <c r="G34" s="49">
        <v>0.73714999999999997</v>
      </c>
      <c r="H34" s="49">
        <v>0.73714999999999997</v>
      </c>
      <c r="I34" s="17"/>
      <c r="J34" s="17"/>
      <c r="K34" s="17"/>
      <c r="L34" s="9"/>
      <c r="M34" s="75"/>
      <c r="N34" s="75"/>
      <c r="O34" s="75"/>
      <c r="P34" s="75"/>
      <c r="Q34" s="75"/>
      <c r="R34" s="76"/>
      <c r="S34" s="75"/>
      <c r="T34" s="75"/>
      <c r="U34" s="75"/>
      <c r="V34" s="75"/>
      <c r="W34" s="75"/>
      <c r="X34" s="76"/>
      <c r="Y34" s="75"/>
      <c r="Z34" s="75"/>
      <c r="AA34" s="75"/>
      <c r="AB34" s="75"/>
      <c r="AC34" s="75"/>
      <c r="AD34" s="76"/>
      <c r="AE34" s="76"/>
      <c r="AF34" s="76"/>
      <c r="AG34" s="76"/>
      <c r="AH34" s="76"/>
      <c r="AI34" s="76"/>
      <c r="AJ34" s="76"/>
      <c r="AK34" s="75"/>
      <c r="AL34" s="75"/>
      <c r="AM34" s="75"/>
      <c r="AN34" s="75"/>
      <c r="AO34" s="75"/>
      <c r="AP34" s="83"/>
      <c r="AQ34" s="19"/>
      <c r="AR34" s="20"/>
      <c r="AS34" s="20"/>
      <c r="AT34" s="20"/>
      <c r="AU34" s="20"/>
      <c r="AV34" s="17"/>
      <c r="AW34" s="17"/>
      <c r="AX34" s="17"/>
      <c r="AY34" s="17"/>
      <c r="AZ34" s="17"/>
      <c r="BA34" s="18"/>
    </row>
    <row r="35" spans="1:53" x14ac:dyDescent="0.2">
      <c r="A35" s="47">
        <v>20000</v>
      </c>
      <c r="B35" s="47" t="s">
        <v>99</v>
      </c>
      <c r="C35" s="48">
        <v>50</v>
      </c>
      <c r="D35" s="49">
        <v>0.7994159999999999</v>
      </c>
      <c r="E35" s="49">
        <v>1.1064486302709993E-3</v>
      </c>
      <c r="F35" s="49">
        <v>1.5647546589983815E-4</v>
      </c>
      <c r="G35" s="49">
        <v>0.79910155077850931</v>
      </c>
      <c r="H35" s="49">
        <v>0.7997304492214905</v>
      </c>
      <c r="I35" s="17"/>
      <c r="J35" s="17"/>
      <c r="K35" s="17"/>
      <c r="L35" s="9"/>
      <c r="M35" s="75"/>
      <c r="N35" s="75"/>
      <c r="O35" s="75"/>
      <c r="P35" s="75"/>
      <c r="Q35" s="75"/>
      <c r="R35" s="76"/>
      <c r="S35" s="75"/>
      <c r="T35" s="75"/>
      <c r="U35" s="75"/>
      <c r="V35" s="75"/>
      <c r="W35" s="75"/>
      <c r="X35" s="76"/>
      <c r="Y35" s="75"/>
      <c r="Z35" s="75"/>
      <c r="AA35" s="75"/>
      <c r="AB35" s="75"/>
      <c r="AC35" s="75"/>
      <c r="AD35" s="76"/>
      <c r="AE35" s="76"/>
      <c r="AF35" s="76"/>
      <c r="AG35" s="76"/>
      <c r="AH35" s="76"/>
      <c r="AI35" s="76"/>
      <c r="AJ35" s="76"/>
      <c r="AK35" s="75"/>
      <c r="AL35" s="75"/>
      <c r="AM35" s="75"/>
      <c r="AN35" s="75"/>
      <c r="AO35" s="75"/>
      <c r="AP35" s="83"/>
      <c r="AQ35" s="19"/>
      <c r="AR35" s="20"/>
      <c r="AS35" s="20"/>
      <c r="AT35" s="20"/>
      <c r="AU35" s="20"/>
      <c r="AV35" s="17"/>
      <c r="AW35" s="17"/>
      <c r="AX35" s="17"/>
      <c r="AY35" s="17"/>
      <c r="AZ35" s="17"/>
      <c r="BA35" s="18"/>
    </row>
    <row r="36" spans="1:53" x14ac:dyDescent="0.2">
      <c r="A36" s="47">
        <v>20000</v>
      </c>
      <c r="B36" s="47" t="s">
        <v>100</v>
      </c>
      <c r="C36" s="48">
        <v>50</v>
      </c>
      <c r="D36" s="49">
        <v>0.79933500000000013</v>
      </c>
      <c r="E36" s="49">
        <v>9.4497867376865227E-4</v>
      </c>
      <c r="F36" s="49">
        <v>1.3364016565969684E-4</v>
      </c>
      <c r="G36" s="49">
        <v>0.79906644003240457</v>
      </c>
      <c r="H36" s="49">
        <v>0.79960355996759569</v>
      </c>
      <c r="I36" s="17"/>
      <c r="J36" s="17"/>
      <c r="K36" s="17"/>
      <c r="L36" s="9"/>
      <c r="M36" s="75"/>
      <c r="N36" s="75"/>
      <c r="O36" s="75"/>
      <c r="P36" s="75"/>
      <c r="Q36" s="75"/>
      <c r="R36" s="76"/>
      <c r="S36" s="75"/>
      <c r="T36" s="75"/>
      <c r="U36" s="75"/>
      <c r="V36" s="75"/>
      <c r="W36" s="75"/>
      <c r="X36" s="76"/>
      <c r="Y36" s="75"/>
      <c r="Z36" s="75"/>
      <c r="AA36" s="75"/>
      <c r="AB36" s="75"/>
      <c r="AC36" s="75"/>
      <c r="AD36" s="76"/>
      <c r="AE36" s="76"/>
      <c r="AF36" s="76"/>
      <c r="AG36" s="76"/>
      <c r="AH36" s="76"/>
      <c r="AI36" s="76"/>
      <c r="AJ36" s="76"/>
      <c r="AK36" s="75"/>
      <c r="AL36" s="75"/>
      <c r="AM36" s="75"/>
      <c r="AN36" s="75"/>
      <c r="AO36" s="75"/>
      <c r="AP36" s="83"/>
      <c r="AQ36" s="19"/>
      <c r="AR36" s="20"/>
      <c r="AS36" s="20"/>
      <c r="AT36" s="20"/>
      <c r="AU36" s="20"/>
      <c r="AV36" s="17"/>
      <c r="AW36" s="17"/>
      <c r="AX36" s="17"/>
      <c r="AY36" s="17"/>
      <c r="AZ36" s="17"/>
      <c r="BA36" s="18"/>
    </row>
    <row r="37" spans="1:53" x14ac:dyDescent="0.2">
      <c r="A37" s="47">
        <v>20000</v>
      </c>
      <c r="B37" s="47" t="s">
        <v>101</v>
      </c>
      <c r="C37" s="48">
        <v>50</v>
      </c>
      <c r="D37" s="49">
        <v>0.77721100000000021</v>
      </c>
      <c r="E37" s="49">
        <v>1.1027928367632423E-3</v>
      </c>
      <c r="F37" s="49">
        <v>1.559584586238476E-4</v>
      </c>
      <c r="G37" s="49">
        <v>0.77689758974352885</v>
      </c>
      <c r="H37" s="49">
        <v>0.77752441025647157</v>
      </c>
      <c r="I37" s="17"/>
      <c r="J37" s="17"/>
      <c r="K37" s="17"/>
      <c r="L37" s="9"/>
      <c r="M37" s="75"/>
      <c r="N37" s="75"/>
      <c r="O37" s="75"/>
      <c r="P37" s="75"/>
      <c r="Q37" s="75"/>
      <c r="R37" s="76"/>
      <c r="S37" s="75"/>
      <c r="T37" s="75"/>
      <c r="U37" s="75"/>
      <c r="V37" s="75"/>
      <c r="W37" s="75"/>
      <c r="X37" s="76"/>
      <c r="Y37" s="75"/>
      <c r="Z37" s="75"/>
      <c r="AA37" s="75"/>
      <c r="AB37" s="75"/>
      <c r="AC37" s="75"/>
      <c r="AD37" s="76"/>
      <c r="AE37" s="76"/>
      <c r="AF37" s="76"/>
      <c r="AG37" s="76"/>
      <c r="AH37" s="76"/>
      <c r="AI37" s="76"/>
      <c r="AJ37" s="76"/>
      <c r="AK37" s="75"/>
      <c r="AL37" s="75"/>
      <c r="AM37" s="75"/>
      <c r="AN37" s="75"/>
      <c r="AO37" s="75"/>
      <c r="AP37" s="83"/>
      <c r="AQ37" s="19"/>
      <c r="AR37" s="20"/>
      <c r="AS37" s="20"/>
      <c r="AT37" s="20"/>
      <c r="AU37" s="20"/>
      <c r="AV37" s="17"/>
      <c r="AW37" s="17"/>
      <c r="AX37" s="17"/>
      <c r="AY37" s="17"/>
      <c r="AZ37" s="17"/>
      <c r="BA37" s="18"/>
    </row>
    <row r="38" spans="1:53" ht="13.5" thickBot="1" x14ac:dyDescent="0.25">
      <c r="A38" s="23"/>
      <c r="B38" s="24"/>
      <c r="C38" s="24"/>
      <c r="D38" s="25"/>
      <c r="E38" s="25"/>
      <c r="F38" s="24"/>
      <c r="G38" s="24"/>
      <c r="H38" s="24"/>
      <c r="I38" s="24"/>
      <c r="J38" s="24"/>
      <c r="K38" s="24"/>
      <c r="L38" s="13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84"/>
      <c r="AQ38" s="27"/>
      <c r="AR38" s="28"/>
      <c r="AS38" s="28"/>
      <c r="AT38" s="28"/>
      <c r="AU38" s="28"/>
      <c r="AV38" s="24"/>
      <c r="AW38" s="24"/>
      <c r="AX38" s="24"/>
      <c r="AY38" s="24"/>
      <c r="AZ38" s="24"/>
      <c r="BA38" s="26"/>
    </row>
    <row r="39" spans="1:53" ht="13.5" thickBot="1" x14ac:dyDescent="0.25">
      <c r="I39" s="16" t="s">
        <v>9</v>
      </c>
      <c r="AP39" s="16" t="s">
        <v>9</v>
      </c>
      <c r="AQ39" s="30"/>
      <c r="AR39" s="30"/>
      <c r="AS39" s="30"/>
      <c r="AT39" s="30"/>
      <c r="AU39" s="30"/>
    </row>
    <row r="40" spans="1:53" s="8" customFormat="1" ht="13.5" thickBot="1" x14ac:dyDescent="0.25">
      <c r="A40" s="96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 t="s">
        <v>17</v>
      </c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8"/>
    </row>
    <row r="41" spans="1:53" s="8" customFormat="1" ht="13.5" thickBot="1" x14ac:dyDescent="0.25">
      <c r="A41" s="33" t="s">
        <v>12</v>
      </c>
      <c r="B41" s="33" t="s">
        <v>20</v>
      </c>
      <c r="C41" s="33" t="s">
        <v>2</v>
      </c>
      <c r="D41" s="33" t="s">
        <v>21</v>
      </c>
      <c r="E41" s="33" t="s">
        <v>22</v>
      </c>
      <c r="F41" s="34" t="s">
        <v>23</v>
      </c>
      <c r="G41" s="34" t="s">
        <v>24</v>
      </c>
      <c r="H41" s="34" t="s">
        <v>25</v>
      </c>
      <c r="I41" s="6"/>
      <c r="J41" s="55" t="str">
        <f t="shared" ref="J41:AO41" si="26">J$2</f>
        <v>Vertical</v>
      </c>
      <c r="K41" s="55" t="str">
        <f t="shared" si="26"/>
        <v>Horizontal</v>
      </c>
      <c r="L41" s="55" t="str">
        <f t="shared" si="26"/>
        <v>Algoritmos</v>
      </c>
      <c r="M41" s="55">
        <f t="shared" si="26"/>
        <v>12000</v>
      </c>
      <c r="N41" s="57">
        <f t="shared" si="26"/>
        <v>14000</v>
      </c>
      <c r="O41" s="57">
        <f t="shared" si="26"/>
        <v>16000</v>
      </c>
      <c r="P41" s="57">
        <f t="shared" si="26"/>
        <v>18000</v>
      </c>
      <c r="Q41" s="57">
        <f t="shared" si="26"/>
        <v>20000</v>
      </c>
      <c r="R41" s="55" t="str">
        <f t="shared" si="26"/>
        <v>-</v>
      </c>
      <c r="S41" s="52">
        <f t="shared" si="26"/>
        <v>12000</v>
      </c>
      <c r="T41" s="52">
        <f t="shared" si="26"/>
        <v>14000</v>
      </c>
      <c r="U41" s="52">
        <f t="shared" si="26"/>
        <v>16000</v>
      </c>
      <c r="V41" s="52">
        <f t="shared" si="26"/>
        <v>18000</v>
      </c>
      <c r="W41" s="52">
        <f t="shared" si="26"/>
        <v>20000</v>
      </c>
      <c r="X41" s="55" t="str">
        <f t="shared" si="26"/>
        <v>-</v>
      </c>
      <c r="Y41" s="53">
        <f t="shared" si="26"/>
        <v>12000</v>
      </c>
      <c r="Z41" s="53">
        <f t="shared" si="26"/>
        <v>14000</v>
      </c>
      <c r="AA41" s="53">
        <f t="shared" si="26"/>
        <v>16000</v>
      </c>
      <c r="AB41" s="53">
        <f t="shared" si="26"/>
        <v>18000</v>
      </c>
      <c r="AC41" s="53">
        <f t="shared" si="26"/>
        <v>20000</v>
      </c>
      <c r="AD41" s="55" t="str">
        <f t="shared" si="26"/>
        <v>-</v>
      </c>
      <c r="AE41" s="89">
        <f>M41</f>
        <v>12000</v>
      </c>
      <c r="AF41" s="89">
        <f t="shared" ref="AF41:AI41" si="27">N41</f>
        <v>14000</v>
      </c>
      <c r="AG41" s="89">
        <f t="shared" si="27"/>
        <v>16000</v>
      </c>
      <c r="AH41" s="89">
        <f t="shared" si="27"/>
        <v>18000</v>
      </c>
      <c r="AI41" s="89">
        <f t="shared" si="27"/>
        <v>20000</v>
      </c>
      <c r="AJ41" s="55"/>
      <c r="AK41" s="90">
        <f t="shared" si="26"/>
        <v>12000</v>
      </c>
      <c r="AL41" s="90">
        <f t="shared" si="26"/>
        <v>14000</v>
      </c>
      <c r="AM41" s="90">
        <f t="shared" si="26"/>
        <v>16000</v>
      </c>
      <c r="AN41" s="90">
        <f t="shared" si="26"/>
        <v>18000</v>
      </c>
      <c r="AO41" s="90">
        <f t="shared" si="26"/>
        <v>20000</v>
      </c>
      <c r="AP41" s="85"/>
      <c r="AQ41" s="15"/>
      <c r="AR41" s="15"/>
      <c r="AS41" s="15"/>
      <c r="AT41" s="15"/>
      <c r="AU41" s="15"/>
      <c r="AV41" s="13"/>
      <c r="AW41" s="13"/>
      <c r="AX41" s="13"/>
      <c r="AY41" s="13"/>
      <c r="AZ41" s="13"/>
      <c r="BA41" s="14"/>
    </row>
    <row r="42" spans="1:53" x14ac:dyDescent="0.2">
      <c r="A42">
        <v>12000</v>
      </c>
      <c r="B42" t="s">
        <v>46</v>
      </c>
      <c r="C42" s="66">
        <v>1</v>
      </c>
      <c r="D42" s="67">
        <v>1119.38779148</v>
      </c>
      <c r="E42" s="67">
        <v>0</v>
      </c>
      <c r="F42" s="67">
        <v>0</v>
      </c>
      <c r="G42" s="67">
        <v>1119.38779148</v>
      </c>
      <c r="H42" s="67">
        <v>1119.38779148</v>
      </c>
      <c r="I42" s="17"/>
      <c r="J42" s="17" t="str">
        <f>$J3</f>
        <v>SOLVER_MAXIMUM_COST</v>
      </c>
      <c r="K42" s="17">
        <f>$K3</f>
        <v>12000</v>
      </c>
      <c r="L42" s="9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91">
        <f>M$43</f>
        <v>2.6667266000000004E-4</v>
      </c>
      <c r="AF42" s="91">
        <f t="shared" ref="AF42:AI42" si="28">N$43</f>
        <v>2.8935127999999999E-4</v>
      </c>
      <c r="AG42" s="91">
        <f t="shared" si="28"/>
        <v>3.1366603999999994E-4</v>
      </c>
      <c r="AH42" s="91">
        <f t="shared" si="28"/>
        <v>3.6096126000000007E-4</v>
      </c>
      <c r="AI42" s="91">
        <f t="shared" si="28"/>
        <v>3.471843E-4</v>
      </c>
      <c r="AJ42" s="17"/>
      <c r="AK42">
        <f>SUMIFS($D$42:$D$77, $A$42:$A$77, AK$41, $B$42:$B$77,  $J$42)</f>
        <v>1119.38779148</v>
      </c>
      <c r="AL42">
        <f t="shared" ref="AL42:AO49" si="29">SUMIFS($D$42:$D$77, $A$42:$A$77, AL$41, $B$42:$B$77,  $J$42)</f>
        <v>3606.574387395</v>
      </c>
      <c r="AM42">
        <f t="shared" si="29"/>
        <v>3604.0535430730001</v>
      </c>
      <c r="AN42">
        <f t="shared" si="29"/>
        <v>3604.6554710780001</v>
      </c>
      <c r="AO42">
        <f t="shared" si="29"/>
        <v>3603.0207222230001</v>
      </c>
      <c r="AP42" s="83"/>
      <c r="AQ42" s="20"/>
      <c r="AR42" s="20"/>
      <c r="AS42" s="20"/>
      <c r="AT42" s="20"/>
      <c r="AU42" s="20"/>
      <c r="AV42" s="17"/>
      <c r="AW42" s="17"/>
      <c r="AX42" s="17"/>
      <c r="AY42" s="17"/>
      <c r="AZ42" s="17"/>
      <c r="BA42" s="18"/>
    </row>
    <row r="43" spans="1:53" x14ac:dyDescent="0.2">
      <c r="A43">
        <v>12000</v>
      </c>
      <c r="B43" t="s">
        <v>50</v>
      </c>
      <c r="C43" s="66">
        <v>50</v>
      </c>
      <c r="D43" s="67">
        <v>2.6667266000000004E-4</v>
      </c>
      <c r="E43" s="67">
        <v>2.6864158922183412E-5</v>
      </c>
      <c r="F43" s="67">
        <v>3.7991657889497966E-6</v>
      </c>
      <c r="G43" s="67">
        <v>2.5903795050877796E-4</v>
      </c>
      <c r="H43" s="67">
        <v>2.7430736949122213E-4</v>
      </c>
      <c r="I43" s="17"/>
      <c r="J43" s="17" t="str">
        <f>$J4</f>
        <v>GREEDY_RANDOM</v>
      </c>
      <c r="K43" s="17">
        <f>$K4</f>
        <v>14000</v>
      </c>
      <c r="L43" s="9" t="str">
        <f>$L4</f>
        <v>GR</v>
      </c>
      <c r="M43">
        <f>SUMIFS($D$42:$D$77, $A$42:$A$77, M$2, $B$42:$B$77,  $J43)</f>
        <v>2.6667266000000004E-4</v>
      </c>
      <c r="N43">
        <f t="shared" ref="N43:Q49" si="30">SUMIFS($D$42:$D$77, $A$42:$A$77, N$2, $B$42:$B$77,  $J43)</f>
        <v>2.8935127999999999E-4</v>
      </c>
      <c r="O43">
        <f t="shared" si="30"/>
        <v>3.1366603999999994E-4</v>
      </c>
      <c r="P43">
        <f t="shared" si="30"/>
        <v>3.6096126000000007E-4</v>
      </c>
      <c r="Q43">
        <f t="shared" si="30"/>
        <v>3.471843E-4</v>
      </c>
      <c r="R43" s="36"/>
      <c r="S43" s="67">
        <f>-(SUMIFS($G$42:$G$77, $A$42:$A$77, S$2, $B$42:$B$77,  $J43)-M43)</f>
        <v>7.6347094912220816E-6</v>
      </c>
      <c r="T43" s="67">
        <f t="shared" ref="T43:W43" si="31">-(SUMIFS($G$42:$G$77, $A$42:$A$77, T$2, $B$42:$B$77,  $J43)-N43)</f>
        <v>9.855118039527825E-6</v>
      </c>
      <c r="U43" s="67">
        <f t="shared" si="31"/>
        <v>7.4096275832938145E-6</v>
      </c>
      <c r="V43" s="67">
        <f t="shared" si="31"/>
        <v>1.8747144099531029E-5</v>
      </c>
      <c r="W43" s="67">
        <f t="shared" si="31"/>
        <v>6.3358022600635026E-6</v>
      </c>
      <c r="X43" s="40"/>
      <c r="Y43" s="67">
        <f>SUMIFS($H$42:$H$77, $A$42:$A$77, Y$2, $B$42:$B$77,  $J43)-M43</f>
        <v>7.6347094912220816E-6</v>
      </c>
      <c r="Z43" s="67">
        <f t="shared" ref="Z43:AC43" si="32">SUMIFS($H$42:$H$77, $A$42:$A$77, Z$2, $B$42:$B$77,  $J43)-N43</f>
        <v>9.855118039527825E-6</v>
      </c>
      <c r="AA43" s="67">
        <f t="shared" si="32"/>
        <v>7.4096275832938145E-6</v>
      </c>
      <c r="AB43" s="67">
        <f t="shared" si="32"/>
        <v>1.8747144099531029E-5</v>
      </c>
      <c r="AC43" s="67">
        <f t="shared" si="32"/>
        <v>6.3358022600635026E-6</v>
      </c>
      <c r="AD43" s="40"/>
      <c r="AE43" s="91">
        <f t="shared" ref="AE43:AE49" si="33">M$43</f>
        <v>2.6667266000000004E-4</v>
      </c>
      <c r="AF43" s="91">
        <f t="shared" ref="AF43:AF49" si="34">N$43</f>
        <v>2.8935127999999999E-4</v>
      </c>
      <c r="AG43" s="91">
        <f t="shared" ref="AG43:AG49" si="35">O$43</f>
        <v>3.1366603999999994E-4</v>
      </c>
      <c r="AH43" s="91">
        <f t="shared" ref="AH43:AH49" si="36">P$43</f>
        <v>3.6096126000000007E-4</v>
      </c>
      <c r="AI43" s="91">
        <f t="shared" ref="AI43:AI49" si="37">Q$43</f>
        <v>3.471843E-4</v>
      </c>
      <c r="AJ43" s="40"/>
      <c r="AK43">
        <f t="shared" ref="AK43:AK49" si="38">SUMIFS($D$42:$D$77, $A$42:$A$77, AK$41, $B$42:$B$77,  $J$42)</f>
        <v>1119.38779148</v>
      </c>
      <c r="AL43">
        <f t="shared" si="29"/>
        <v>3606.574387395</v>
      </c>
      <c r="AM43">
        <f t="shared" si="29"/>
        <v>3604.0535430730001</v>
      </c>
      <c r="AN43">
        <f t="shared" si="29"/>
        <v>3604.6554710780001</v>
      </c>
      <c r="AO43">
        <f t="shared" si="29"/>
        <v>3603.0207222230001</v>
      </c>
      <c r="AP43" s="83"/>
      <c r="AQ43" s="20">
        <v>1</v>
      </c>
      <c r="AR43" s="20"/>
      <c r="AS43" s="20"/>
      <c r="AT43" s="20"/>
      <c r="AU43" s="20"/>
      <c r="AV43" s="17"/>
      <c r="AW43" s="17"/>
      <c r="AX43" s="17"/>
      <c r="AY43" s="17"/>
      <c r="AZ43" s="17"/>
      <c r="BA43" s="18"/>
    </row>
    <row r="44" spans="1:53" x14ac:dyDescent="0.2">
      <c r="A44">
        <v>12000</v>
      </c>
      <c r="B44" t="s">
        <v>52</v>
      </c>
      <c r="C44" s="66">
        <v>50</v>
      </c>
      <c r="D44" s="67">
        <v>9.6379844000000006E-4</v>
      </c>
      <c r="E44" s="67">
        <v>1.0898114389498578E-4</v>
      </c>
      <c r="F44" s="67">
        <v>1.5412261173922269E-5</v>
      </c>
      <c r="G44" s="67">
        <v>9.3282634159671748E-4</v>
      </c>
      <c r="H44" s="67">
        <v>9.9477053840328275E-4</v>
      </c>
      <c r="I44" s="17"/>
      <c r="J44" s="17" t="str">
        <f>$J5</f>
        <v>GREEDY_RANDOM_FALLBACK</v>
      </c>
      <c r="K44" s="17">
        <f>$K5</f>
        <v>16000</v>
      </c>
      <c r="L44" s="9" t="str">
        <f>$L5</f>
        <v>GRF</v>
      </c>
      <c r="M44">
        <f t="shared" ref="M44:M49" si="39">SUMIFS($D$42:$D$77, $A$42:$A$77, M$2, $B$42:$B$77,  $J44)</f>
        <v>9.6379844000000006E-4</v>
      </c>
      <c r="N44">
        <f t="shared" si="30"/>
        <v>9.2647148000000014E-4</v>
      </c>
      <c r="O44">
        <f t="shared" si="30"/>
        <v>9.6006887999999986E-4</v>
      </c>
      <c r="P44">
        <f t="shared" si="30"/>
        <v>9.9965965999999993E-4</v>
      </c>
      <c r="Q44">
        <f t="shared" si="30"/>
        <v>1.0132053E-3</v>
      </c>
      <c r="R44" s="36"/>
      <c r="S44" s="67">
        <f t="shared" ref="S44:S49" si="40">-(SUMIFS($G$42:$G$77, $A$42:$A$77, S$2, $B$42:$B$77,  $J44)-M44)</f>
        <v>3.097209840328258E-5</v>
      </c>
      <c r="T44" s="67">
        <f t="shared" ref="T44:T49" si="41">-(SUMIFS($G$42:$G$77, $A$42:$A$77, T$2, $B$42:$B$77,  $J44)-N44)</f>
        <v>2.503021965695408E-5</v>
      </c>
      <c r="U44" s="67">
        <f t="shared" ref="U44:U49" si="42">-(SUMIFS($G$42:$G$77, $A$42:$A$77, U$2, $B$42:$B$77,  $J44)-O44)</f>
        <v>8.8570966780385403E-6</v>
      </c>
      <c r="V44" s="67">
        <f t="shared" ref="V44:V49" si="43">-(SUMIFS($G$42:$G$77, $A$42:$A$77, V$2, $B$42:$B$77,  $J44)-P44)</f>
        <v>3.0360257372646525E-5</v>
      </c>
      <c r="W44" s="67">
        <f t="shared" ref="W44:W49" si="44">-(SUMIFS($G$42:$G$77, $A$42:$A$77, W$2, $B$42:$B$77,  $J44)-Q44)</f>
        <v>8.7433429508201616E-6</v>
      </c>
      <c r="X44" s="40"/>
      <c r="Y44" s="67">
        <f t="shared" ref="Y44:Y49" si="45">SUMIFS($H$42:$H$77, $A$42:$A$77, Y$2, $B$42:$B$77,  $J44)-M44</f>
        <v>3.0972098403282688E-5</v>
      </c>
      <c r="Z44" s="67">
        <f t="shared" ref="Z44:Z49" si="46">SUMIFS($H$42:$H$77, $A$42:$A$77, Z$2, $B$42:$B$77,  $J44)-N44</f>
        <v>2.503021965695408E-5</v>
      </c>
      <c r="AA44" s="67">
        <f t="shared" ref="AA44:AA49" si="47">SUMIFS($H$42:$H$77, $A$42:$A$77, AA$2, $B$42:$B$77,  $J44)-O44</f>
        <v>8.8570966780385403E-6</v>
      </c>
      <c r="AB44" s="67">
        <f t="shared" ref="AB44:AB49" si="48">SUMIFS($H$42:$H$77, $A$42:$A$77, AB$2, $B$42:$B$77,  $J44)-P44</f>
        <v>3.0360257372646525E-5</v>
      </c>
      <c r="AC44" s="67">
        <f t="shared" ref="AC44:AC49" si="49">SUMIFS($H$42:$H$77, $A$42:$A$77, AC$2, $B$42:$B$77,  $J44)-Q44</f>
        <v>8.7433429508201616E-6</v>
      </c>
      <c r="AD44" s="40"/>
      <c r="AE44" s="91">
        <f t="shared" si="33"/>
        <v>2.6667266000000004E-4</v>
      </c>
      <c r="AF44" s="91">
        <f t="shared" si="34"/>
        <v>2.8935127999999999E-4</v>
      </c>
      <c r="AG44" s="91">
        <f t="shared" si="35"/>
        <v>3.1366603999999994E-4</v>
      </c>
      <c r="AH44" s="91">
        <f t="shared" si="36"/>
        <v>3.6096126000000007E-4</v>
      </c>
      <c r="AI44" s="91">
        <f t="shared" si="37"/>
        <v>3.471843E-4</v>
      </c>
      <c r="AJ44" s="40"/>
      <c r="AK44">
        <f t="shared" si="38"/>
        <v>1119.38779148</v>
      </c>
      <c r="AL44">
        <f t="shared" si="29"/>
        <v>3606.574387395</v>
      </c>
      <c r="AM44">
        <f t="shared" si="29"/>
        <v>3604.0535430730001</v>
      </c>
      <c r="AN44">
        <f t="shared" si="29"/>
        <v>3604.6554710780001</v>
      </c>
      <c r="AO44">
        <f t="shared" si="29"/>
        <v>3603.0207222230001</v>
      </c>
      <c r="AP44" s="83"/>
      <c r="AQ44" s="20">
        <v>1</v>
      </c>
      <c r="AR44" s="20"/>
      <c r="AS44" s="20"/>
      <c r="AT44" s="20"/>
      <c r="AU44" s="20"/>
      <c r="AV44" s="17"/>
      <c r="AW44" s="17"/>
      <c r="AX44" s="17"/>
      <c r="AY44" s="17"/>
      <c r="AZ44" s="17"/>
      <c r="BA44" s="18"/>
    </row>
    <row r="45" spans="1:53" x14ac:dyDescent="0.2">
      <c r="A45">
        <v>12000</v>
      </c>
      <c r="B45" t="s">
        <v>51</v>
      </c>
      <c r="C45" s="66">
        <v>1</v>
      </c>
      <c r="D45" s="67">
        <v>1.0860850999999999E-2</v>
      </c>
      <c r="E45" s="67">
        <v>0</v>
      </c>
      <c r="F45" s="67">
        <v>0</v>
      </c>
      <c r="G45" s="67">
        <v>1.0860850999999999E-2</v>
      </c>
      <c r="H45" s="67">
        <v>1.0860850999999999E-2</v>
      </c>
      <c r="I45" s="17"/>
      <c r="J45" s="17" t="str">
        <f>$J6</f>
        <v>GREEDY_CB</v>
      </c>
      <c r="K45" s="17">
        <f>$K6</f>
        <v>18000</v>
      </c>
      <c r="L45" s="9" t="str">
        <f>$L6</f>
        <v>GCB</v>
      </c>
      <c r="M45">
        <f t="shared" si="39"/>
        <v>1.0860850999999999E-2</v>
      </c>
      <c r="N45">
        <f t="shared" si="30"/>
        <v>1.2753861999999999E-2</v>
      </c>
      <c r="O45">
        <f t="shared" si="30"/>
        <v>1.4100807E-2</v>
      </c>
      <c r="P45">
        <f t="shared" si="30"/>
        <v>1.5994049E-2</v>
      </c>
      <c r="Q45">
        <f t="shared" si="30"/>
        <v>1.7127897E-2</v>
      </c>
      <c r="R45" s="36"/>
      <c r="S45" s="67">
        <f t="shared" si="40"/>
        <v>0</v>
      </c>
      <c r="T45" s="67">
        <f t="shared" si="41"/>
        <v>0</v>
      </c>
      <c r="U45" s="67">
        <f t="shared" si="42"/>
        <v>0</v>
      </c>
      <c r="V45" s="67">
        <f t="shared" si="43"/>
        <v>0</v>
      </c>
      <c r="W45" s="67">
        <f t="shared" si="44"/>
        <v>0</v>
      </c>
      <c r="X45" s="40"/>
      <c r="Y45" s="67">
        <f t="shared" si="45"/>
        <v>0</v>
      </c>
      <c r="Z45" s="67">
        <f t="shared" si="46"/>
        <v>0</v>
      </c>
      <c r="AA45" s="67">
        <f t="shared" si="47"/>
        <v>0</v>
      </c>
      <c r="AB45" s="67">
        <f t="shared" si="48"/>
        <v>0</v>
      </c>
      <c r="AC45" s="67">
        <f t="shared" si="49"/>
        <v>0</v>
      </c>
      <c r="AD45" s="40"/>
      <c r="AE45" s="91">
        <f t="shared" si="33"/>
        <v>2.6667266000000004E-4</v>
      </c>
      <c r="AF45" s="91">
        <f t="shared" si="34"/>
        <v>2.8935127999999999E-4</v>
      </c>
      <c r="AG45" s="91">
        <f t="shared" si="35"/>
        <v>3.1366603999999994E-4</v>
      </c>
      <c r="AH45" s="91">
        <f t="shared" si="36"/>
        <v>3.6096126000000007E-4</v>
      </c>
      <c r="AI45" s="91">
        <f t="shared" si="37"/>
        <v>3.471843E-4</v>
      </c>
      <c r="AJ45" s="40"/>
      <c r="AK45">
        <f t="shared" si="38"/>
        <v>1119.38779148</v>
      </c>
      <c r="AL45">
        <f t="shared" si="29"/>
        <v>3606.574387395</v>
      </c>
      <c r="AM45">
        <f t="shared" si="29"/>
        <v>3604.0535430730001</v>
      </c>
      <c r="AN45">
        <f t="shared" si="29"/>
        <v>3604.6554710780001</v>
      </c>
      <c r="AO45">
        <f t="shared" si="29"/>
        <v>3603.0207222230001</v>
      </c>
      <c r="AP45" s="83"/>
      <c r="AQ45" s="20">
        <v>1</v>
      </c>
      <c r="AR45" s="20"/>
      <c r="AS45" s="20"/>
      <c r="AT45" s="20"/>
      <c r="AU45" s="20"/>
      <c r="AV45" s="17"/>
      <c r="AW45" s="17"/>
      <c r="AX45" s="17"/>
      <c r="AY45" s="17"/>
      <c r="AZ45" s="17"/>
      <c r="BA45" s="18"/>
    </row>
    <row r="46" spans="1:53" x14ac:dyDescent="0.2">
      <c r="A46">
        <v>12000</v>
      </c>
      <c r="B46" t="s">
        <v>99</v>
      </c>
      <c r="C46" s="66">
        <v>50</v>
      </c>
      <c r="D46" s="67">
        <v>1.4671271879999996E-2</v>
      </c>
      <c r="E46" s="67">
        <v>1.979887696326663E-3</v>
      </c>
      <c r="F46" s="67">
        <v>2.7999840321207907E-4</v>
      </c>
      <c r="G46" s="67">
        <v>1.4108594022469273E-2</v>
      </c>
      <c r="H46" s="67">
        <v>1.5233949737530719E-2</v>
      </c>
      <c r="I46" s="17"/>
      <c r="J46" s="17" t="str">
        <f>$J7</f>
        <v>SA_GREEDY_RANDOM</v>
      </c>
      <c r="K46" s="17">
        <f>$K7</f>
        <v>20000</v>
      </c>
      <c r="L46" s="9" t="str">
        <f>$L7</f>
        <v>SAGR</v>
      </c>
      <c r="M46">
        <f t="shared" si="39"/>
        <v>1.4671271879999996E-2</v>
      </c>
      <c r="N46">
        <f t="shared" si="30"/>
        <v>2.0304220380000005E-2</v>
      </c>
      <c r="O46">
        <f t="shared" si="30"/>
        <v>2.6320671679999994E-2</v>
      </c>
      <c r="P46">
        <f t="shared" si="30"/>
        <v>3.4104818599999996E-2</v>
      </c>
      <c r="Q46">
        <f t="shared" si="30"/>
        <v>3.8194759799999999E-2</v>
      </c>
      <c r="R46" s="36"/>
      <c r="S46" s="67">
        <f t="shared" si="40"/>
        <v>5.6267785753072279E-4</v>
      </c>
      <c r="T46" s="67">
        <f t="shared" si="41"/>
        <v>5.8275519279653992E-4</v>
      </c>
      <c r="U46" s="67">
        <f t="shared" si="42"/>
        <v>1.6665522709967753E-4</v>
      </c>
      <c r="V46" s="67">
        <f t="shared" si="43"/>
        <v>8.5015122851283403E-4</v>
      </c>
      <c r="W46" s="67">
        <f t="shared" si="44"/>
        <v>1.2731412550940485E-4</v>
      </c>
      <c r="X46" s="40"/>
      <c r="Y46" s="67">
        <f t="shared" si="45"/>
        <v>5.6267785753072279E-4</v>
      </c>
      <c r="Z46" s="67">
        <f t="shared" si="46"/>
        <v>5.8275519279653992E-4</v>
      </c>
      <c r="AA46" s="67">
        <f t="shared" si="47"/>
        <v>1.6665522709967753E-4</v>
      </c>
      <c r="AB46" s="67">
        <f t="shared" si="48"/>
        <v>8.5015122851283403E-4</v>
      </c>
      <c r="AC46" s="67">
        <f t="shared" si="49"/>
        <v>1.2731412550940485E-4</v>
      </c>
      <c r="AD46" s="40"/>
      <c r="AE46" s="91">
        <f t="shared" si="33"/>
        <v>2.6667266000000004E-4</v>
      </c>
      <c r="AF46" s="91">
        <f t="shared" si="34"/>
        <v>2.8935127999999999E-4</v>
      </c>
      <c r="AG46" s="91">
        <f t="shared" si="35"/>
        <v>3.1366603999999994E-4</v>
      </c>
      <c r="AH46" s="91">
        <f t="shared" si="36"/>
        <v>3.6096126000000007E-4</v>
      </c>
      <c r="AI46" s="91">
        <f t="shared" si="37"/>
        <v>3.471843E-4</v>
      </c>
      <c r="AJ46" s="40"/>
      <c r="AK46">
        <f t="shared" si="38"/>
        <v>1119.38779148</v>
      </c>
      <c r="AL46">
        <f t="shared" si="29"/>
        <v>3606.574387395</v>
      </c>
      <c r="AM46">
        <f t="shared" si="29"/>
        <v>3604.0535430730001</v>
      </c>
      <c r="AN46">
        <f t="shared" si="29"/>
        <v>3604.6554710780001</v>
      </c>
      <c r="AO46">
        <f t="shared" si="29"/>
        <v>3603.0207222230001</v>
      </c>
      <c r="AP46" s="83"/>
      <c r="AQ46" s="20">
        <v>1</v>
      </c>
      <c r="AR46" s="20"/>
      <c r="AS46" s="20"/>
      <c r="AT46" s="20"/>
      <c r="AU46" s="20"/>
      <c r="AV46" s="17"/>
      <c r="AW46" s="17"/>
      <c r="AX46" s="17"/>
      <c r="AY46" s="17"/>
      <c r="AZ46" s="17"/>
      <c r="BA46" s="18"/>
    </row>
    <row r="47" spans="1:53" x14ac:dyDescent="0.2">
      <c r="A47">
        <v>12000</v>
      </c>
      <c r="B47" t="s">
        <v>100</v>
      </c>
      <c r="C47" s="66">
        <v>50</v>
      </c>
      <c r="D47" s="67">
        <v>1.2137088700000003E-2</v>
      </c>
      <c r="E47" s="67">
        <v>1.4555358066450608E-3</v>
      </c>
      <c r="F47" s="67">
        <v>2.058438478277108E-4</v>
      </c>
      <c r="G47" s="67">
        <v>1.1723430000690037E-2</v>
      </c>
      <c r="H47" s="67">
        <v>1.255074739930997E-2</v>
      </c>
      <c r="I47" s="17"/>
      <c r="J47" s="17" t="str">
        <f>$J8</f>
        <v>SA_GREEDY_RANDOM_FALLBACK</v>
      </c>
      <c r="K47" s="17">
        <f>$K8</f>
        <v>0</v>
      </c>
      <c r="L47" s="9" t="str">
        <f>$L8</f>
        <v>SAGRF</v>
      </c>
      <c r="M47">
        <f t="shared" si="39"/>
        <v>1.2137088700000003E-2</v>
      </c>
      <c r="N47">
        <f t="shared" si="30"/>
        <v>1.7988359740000005E-2</v>
      </c>
      <c r="O47">
        <f t="shared" si="30"/>
        <v>2.4798854659999994E-2</v>
      </c>
      <c r="P47">
        <f t="shared" si="30"/>
        <v>3.1776659700000001E-2</v>
      </c>
      <c r="Q47">
        <f t="shared" si="30"/>
        <v>3.8351467260000008E-2</v>
      </c>
      <c r="R47" s="17"/>
      <c r="S47" s="67">
        <f t="shared" si="40"/>
        <v>4.1365869930996661E-4</v>
      </c>
      <c r="T47" s="67">
        <f t="shared" si="41"/>
        <v>3.9776962749962438E-4</v>
      </c>
      <c r="U47" s="67">
        <f t="shared" si="42"/>
        <v>4.1114262160592274E-4</v>
      </c>
      <c r="V47" s="67">
        <f t="shared" si="43"/>
        <v>3.2519439897445851E-4</v>
      </c>
      <c r="W47" s="67">
        <f t="shared" si="44"/>
        <v>4.0991348451201864E-4</v>
      </c>
      <c r="X47" s="17"/>
      <c r="Y47" s="67">
        <f t="shared" si="45"/>
        <v>4.1365869930996661E-4</v>
      </c>
      <c r="Z47" s="67">
        <f t="shared" si="46"/>
        <v>3.9776962749962438E-4</v>
      </c>
      <c r="AA47" s="67">
        <f t="shared" si="47"/>
        <v>4.1114262160592274E-4</v>
      </c>
      <c r="AB47" s="67">
        <f t="shared" si="48"/>
        <v>3.2519439897445851E-4</v>
      </c>
      <c r="AC47" s="67">
        <f t="shared" si="49"/>
        <v>4.0991348451201864E-4</v>
      </c>
      <c r="AE47" s="91">
        <f t="shared" si="33"/>
        <v>2.6667266000000004E-4</v>
      </c>
      <c r="AF47" s="91">
        <f t="shared" si="34"/>
        <v>2.8935127999999999E-4</v>
      </c>
      <c r="AG47" s="91">
        <f t="shared" si="35"/>
        <v>3.1366603999999994E-4</v>
      </c>
      <c r="AH47" s="91">
        <f t="shared" si="36"/>
        <v>3.6096126000000007E-4</v>
      </c>
      <c r="AI47" s="91">
        <f t="shared" si="37"/>
        <v>3.471843E-4</v>
      </c>
      <c r="AK47">
        <f t="shared" si="38"/>
        <v>1119.38779148</v>
      </c>
      <c r="AL47">
        <f t="shared" si="29"/>
        <v>3606.574387395</v>
      </c>
      <c r="AM47">
        <f t="shared" si="29"/>
        <v>3604.0535430730001</v>
      </c>
      <c r="AN47">
        <f t="shared" si="29"/>
        <v>3604.6554710780001</v>
      </c>
      <c r="AO47">
        <f t="shared" si="29"/>
        <v>3603.0207222230001</v>
      </c>
      <c r="AP47" s="83"/>
      <c r="AQ47" s="20">
        <v>1</v>
      </c>
      <c r="AR47" s="20"/>
      <c r="AS47" s="20"/>
      <c r="AT47" s="20"/>
      <c r="AU47" s="20"/>
      <c r="AV47" s="17"/>
      <c r="AW47" s="17"/>
      <c r="AX47" s="17"/>
      <c r="AY47" s="17"/>
      <c r="AZ47" s="17"/>
      <c r="BA47" s="18"/>
    </row>
    <row r="48" spans="1:53" x14ac:dyDescent="0.2">
      <c r="A48">
        <v>12000</v>
      </c>
      <c r="B48" t="s">
        <v>101</v>
      </c>
      <c r="C48" s="66">
        <v>50</v>
      </c>
      <c r="D48" s="67">
        <v>2.2655430100000006E-2</v>
      </c>
      <c r="E48" s="67">
        <v>1.3155049957571466E-3</v>
      </c>
      <c r="F48" s="67">
        <v>1.8604050063693173E-4</v>
      </c>
      <c r="G48" s="67">
        <v>2.22815677168169E-2</v>
      </c>
      <c r="H48" s="67">
        <v>2.3029292483183111E-2</v>
      </c>
      <c r="I48" s="17"/>
      <c r="J48" s="17" t="str">
        <f>$J9</f>
        <v>SA_GREEDY_CB</v>
      </c>
      <c r="K48" s="17">
        <f>$K9</f>
        <v>0</v>
      </c>
      <c r="L48" s="9" t="str">
        <f>$L9</f>
        <v>SAGCB</v>
      </c>
      <c r="M48">
        <f t="shared" si="39"/>
        <v>2.2655430100000006E-2</v>
      </c>
      <c r="N48">
        <f t="shared" si="30"/>
        <v>3.3260932040000003E-2</v>
      </c>
      <c r="O48">
        <f t="shared" si="30"/>
        <v>4.0680797379999994E-2</v>
      </c>
      <c r="P48">
        <f t="shared" si="30"/>
        <v>0.11029103380000001</v>
      </c>
      <c r="Q48">
        <f t="shared" si="30"/>
        <v>5.5339666240000002E-2</v>
      </c>
      <c r="R48" s="17"/>
      <c r="S48" s="67">
        <f t="shared" si="40"/>
        <v>3.7386238318310588E-4</v>
      </c>
      <c r="T48" s="67">
        <f t="shared" si="41"/>
        <v>8.2642211673254057E-4</v>
      </c>
      <c r="U48" s="67">
        <f t="shared" si="42"/>
        <v>5.6254256381434165E-4</v>
      </c>
      <c r="V48" s="67">
        <f t="shared" si="43"/>
        <v>0.11808704347198563</v>
      </c>
      <c r="W48" s="67">
        <f t="shared" si="44"/>
        <v>8.6828946614311842E-4</v>
      </c>
      <c r="X48" s="17"/>
      <c r="Y48" s="67">
        <f t="shared" si="45"/>
        <v>3.7386238318310588E-4</v>
      </c>
      <c r="Z48" s="67">
        <f t="shared" si="46"/>
        <v>8.2642211673254057E-4</v>
      </c>
      <c r="AA48" s="67">
        <f t="shared" si="47"/>
        <v>5.6254256381434165E-4</v>
      </c>
      <c r="AB48" s="67">
        <f t="shared" si="48"/>
        <v>0.11808704347198563</v>
      </c>
      <c r="AC48" s="67">
        <f t="shared" si="49"/>
        <v>8.6828946614311842E-4</v>
      </c>
      <c r="AD48" s="17"/>
      <c r="AE48" s="91">
        <f t="shared" si="33"/>
        <v>2.6667266000000004E-4</v>
      </c>
      <c r="AF48" s="91">
        <f t="shared" si="34"/>
        <v>2.8935127999999999E-4</v>
      </c>
      <c r="AG48" s="91">
        <f t="shared" si="35"/>
        <v>3.1366603999999994E-4</v>
      </c>
      <c r="AH48" s="91">
        <f t="shared" si="36"/>
        <v>3.6096126000000007E-4</v>
      </c>
      <c r="AI48" s="91">
        <f t="shared" si="37"/>
        <v>3.471843E-4</v>
      </c>
      <c r="AJ48" s="17"/>
      <c r="AK48">
        <f t="shared" si="38"/>
        <v>1119.38779148</v>
      </c>
      <c r="AL48">
        <f t="shared" si="29"/>
        <v>3606.574387395</v>
      </c>
      <c r="AM48">
        <f t="shared" si="29"/>
        <v>3604.0535430730001</v>
      </c>
      <c r="AN48">
        <f t="shared" si="29"/>
        <v>3604.6554710780001</v>
      </c>
      <c r="AO48">
        <f t="shared" si="29"/>
        <v>3603.0207222230001</v>
      </c>
      <c r="AP48" s="83"/>
      <c r="AQ48" s="20">
        <v>1</v>
      </c>
      <c r="AR48" s="20"/>
      <c r="AS48" s="20"/>
      <c r="AT48" s="20"/>
      <c r="AU48" s="20"/>
      <c r="AV48" s="17"/>
      <c r="AW48" s="17"/>
      <c r="AX48" s="17"/>
      <c r="AY48" s="17"/>
      <c r="AZ48" s="17"/>
      <c r="BA48" s="18"/>
    </row>
    <row r="49" spans="1:53" x14ac:dyDescent="0.2">
      <c r="A49">
        <v>14000</v>
      </c>
      <c r="B49" t="s">
        <v>46</v>
      </c>
      <c r="C49" s="66">
        <v>1</v>
      </c>
      <c r="D49" s="67">
        <v>3606.574387395</v>
      </c>
      <c r="E49" s="67">
        <v>0</v>
      </c>
      <c r="F49" s="67">
        <v>0</v>
      </c>
      <c r="G49" s="67">
        <v>3606.574387395</v>
      </c>
      <c r="H49" s="67">
        <v>3606.574387395</v>
      </c>
      <c r="I49" s="17"/>
      <c r="J49" s="17">
        <f>$J10</f>
        <v>0</v>
      </c>
      <c r="K49" s="17">
        <f>$K10</f>
        <v>0</v>
      </c>
      <c r="L49" s="9">
        <f>$L10</f>
        <v>0</v>
      </c>
      <c r="M49">
        <f t="shared" si="39"/>
        <v>0</v>
      </c>
      <c r="N49">
        <f t="shared" si="30"/>
        <v>0</v>
      </c>
      <c r="O49">
        <f t="shared" si="30"/>
        <v>0</v>
      </c>
      <c r="P49">
        <f t="shared" si="30"/>
        <v>0</v>
      </c>
      <c r="Q49">
        <f t="shared" si="30"/>
        <v>0</v>
      </c>
      <c r="R49" s="17"/>
      <c r="S49" s="67">
        <f t="shared" si="40"/>
        <v>0</v>
      </c>
      <c r="T49" s="67">
        <f t="shared" si="41"/>
        <v>0</v>
      </c>
      <c r="U49" s="67">
        <f t="shared" si="42"/>
        <v>0</v>
      </c>
      <c r="V49" s="67">
        <f t="shared" si="43"/>
        <v>0</v>
      </c>
      <c r="W49" s="67">
        <f t="shared" si="44"/>
        <v>0</v>
      </c>
      <c r="X49" s="17"/>
      <c r="Y49" s="67">
        <f t="shared" si="45"/>
        <v>0</v>
      </c>
      <c r="Z49" s="67">
        <f t="shared" si="46"/>
        <v>0</v>
      </c>
      <c r="AA49" s="67">
        <f t="shared" si="47"/>
        <v>0</v>
      </c>
      <c r="AB49" s="67">
        <f t="shared" si="48"/>
        <v>0</v>
      </c>
      <c r="AC49" s="67">
        <f t="shared" si="49"/>
        <v>0</v>
      </c>
      <c r="AD49" s="17"/>
      <c r="AE49" s="91">
        <f t="shared" si="33"/>
        <v>2.6667266000000004E-4</v>
      </c>
      <c r="AF49" s="91">
        <f t="shared" si="34"/>
        <v>2.8935127999999999E-4</v>
      </c>
      <c r="AG49" s="91">
        <f t="shared" si="35"/>
        <v>3.1366603999999994E-4</v>
      </c>
      <c r="AH49" s="91">
        <f t="shared" si="36"/>
        <v>3.6096126000000007E-4</v>
      </c>
      <c r="AI49" s="91">
        <f t="shared" si="37"/>
        <v>3.471843E-4</v>
      </c>
      <c r="AJ49" s="17"/>
      <c r="AK49">
        <f t="shared" si="38"/>
        <v>1119.38779148</v>
      </c>
      <c r="AL49">
        <f t="shared" si="29"/>
        <v>3606.574387395</v>
      </c>
      <c r="AM49">
        <f t="shared" si="29"/>
        <v>3604.0535430730001</v>
      </c>
      <c r="AN49">
        <f t="shared" si="29"/>
        <v>3604.6554710780001</v>
      </c>
      <c r="AO49">
        <f t="shared" si="29"/>
        <v>3603.0207222230001</v>
      </c>
      <c r="AP49" s="83"/>
      <c r="AQ49" s="20"/>
      <c r="AR49" s="20"/>
      <c r="AS49" s="20"/>
      <c r="AT49" s="20"/>
      <c r="AU49" s="20"/>
      <c r="AV49" s="17"/>
      <c r="AW49" s="17"/>
      <c r="AX49" s="17"/>
      <c r="AY49" s="17"/>
      <c r="AZ49" s="17"/>
      <c r="BA49" s="18"/>
    </row>
    <row r="50" spans="1:53" x14ac:dyDescent="0.2">
      <c r="A50">
        <v>14000</v>
      </c>
      <c r="B50" t="s">
        <v>50</v>
      </c>
      <c r="C50" s="66">
        <v>50</v>
      </c>
      <c r="D50" s="67">
        <v>2.8935127999999999E-4</v>
      </c>
      <c r="E50" s="67">
        <v>3.4677083327812939E-5</v>
      </c>
      <c r="F50" s="67">
        <v>4.9040801545734997E-6</v>
      </c>
      <c r="G50" s="67">
        <v>2.7949616196047217E-4</v>
      </c>
      <c r="H50" s="67">
        <v>2.9920639803952782E-4</v>
      </c>
      <c r="I50" s="17"/>
      <c r="J50" s="17"/>
      <c r="K50" s="17"/>
      <c r="L50" s="9"/>
      <c r="M50"/>
      <c r="N50"/>
      <c r="O50"/>
      <c r="P50"/>
      <c r="Q50"/>
      <c r="R50" s="17"/>
      <c r="S50"/>
      <c r="T50"/>
      <c r="U50"/>
      <c r="V50"/>
      <c r="W50"/>
      <c r="X50" s="17"/>
      <c r="Y50" s="67"/>
      <c r="Z50" s="67"/>
      <c r="AA50" s="67"/>
      <c r="AB50" s="67"/>
      <c r="AC50" s="67"/>
      <c r="AD50" s="17"/>
      <c r="AE50" s="17"/>
      <c r="AF50" s="17"/>
      <c r="AG50" s="17"/>
      <c r="AH50" s="17"/>
      <c r="AI50" s="17"/>
      <c r="AJ50" s="17"/>
      <c r="AK50"/>
      <c r="AL50"/>
      <c r="AM50"/>
      <c r="AN50"/>
      <c r="AO50"/>
      <c r="AP50" s="83"/>
      <c r="AQ50" s="20"/>
      <c r="AR50" s="20"/>
      <c r="AS50" s="20"/>
      <c r="AT50" s="20"/>
      <c r="AU50" s="20"/>
      <c r="AV50" s="17"/>
      <c r="AW50" s="17"/>
      <c r="AX50" s="17"/>
      <c r="AY50" s="17"/>
      <c r="AZ50" s="17"/>
      <c r="BA50" s="18"/>
    </row>
    <row r="51" spans="1:53" x14ac:dyDescent="0.2">
      <c r="A51">
        <v>14000</v>
      </c>
      <c r="B51" t="s">
        <v>52</v>
      </c>
      <c r="C51" s="66">
        <v>50</v>
      </c>
      <c r="D51" s="67">
        <v>9.2647148000000014E-4</v>
      </c>
      <c r="E51" s="67">
        <v>8.8073527813294612E-5</v>
      </c>
      <c r="F51" s="67">
        <v>1.2455477751960524E-5</v>
      </c>
      <c r="G51" s="67">
        <v>9.0144126034304606E-4</v>
      </c>
      <c r="H51" s="67">
        <v>9.5150169965695422E-4</v>
      </c>
      <c r="I51" s="17"/>
      <c r="J51" s="17"/>
      <c r="K51" s="17"/>
      <c r="L51" s="9"/>
      <c r="M51"/>
      <c r="N51"/>
      <c r="O51"/>
      <c r="P51"/>
      <c r="Q51"/>
      <c r="R51" s="17"/>
      <c r="S51"/>
      <c r="T51"/>
      <c r="U51"/>
      <c r="V51"/>
      <c r="W51"/>
      <c r="X51" s="17"/>
      <c r="Y51" s="67"/>
      <c r="Z51" s="67"/>
      <c r="AA51" s="67"/>
      <c r="AB51" s="67"/>
      <c r="AC51" s="67"/>
      <c r="AD51" s="17"/>
      <c r="AE51" s="17"/>
      <c r="AF51" s="17"/>
      <c r="AG51" s="17"/>
      <c r="AH51" s="17"/>
      <c r="AI51" s="17"/>
      <c r="AJ51" s="17"/>
      <c r="AK51"/>
      <c r="AL51"/>
      <c r="AM51"/>
      <c r="AN51"/>
      <c r="AO51"/>
      <c r="AP51" s="83"/>
      <c r="AQ51" s="20"/>
      <c r="AR51" s="20"/>
      <c r="AS51" s="20"/>
      <c r="AT51" s="20"/>
      <c r="AU51" s="20"/>
      <c r="AV51" s="17"/>
      <c r="AW51" s="17"/>
      <c r="AX51" s="17"/>
      <c r="AY51" s="17"/>
      <c r="AZ51" s="17"/>
      <c r="BA51" s="18"/>
    </row>
    <row r="52" spans="1:53" x14ac:dyDescent="0.2">
      <c r="A52">
        <v>14000</v>
      </c>
      <c r="B52" t="s">
        <v>51</v>
      </c>
      <c r="C52" s="66">
        <v>1</v>
      </c>
      <c r="D52" s="67">
        <v>1.2753861999999999E-2</v>
      </c>
      <c r="E52" s="67">
        <v>0</v>
      </c>
      <c r="F52" s="67">
        <v>0</v>
      </c>
      <c r="G52" s="67">
        <v>1.2753861999999999E-2</v>
      </c>
      <c r="H52" s="67">
        <v>1.2753861999999999E-2</v>
      </c>
      <c r="I52" s="17"/>
      <c r="J52" s="17"/>
      <c r="K52" s="17"/>
      <c r="L52" s="9"/>
      <c r="M52"/>
      <c r="N52"/>
      <c r="O52"/>
      <c r="P52"/>
      <c r="Q52"/>
      <c r="R52" s="17"/>
      <c r="S52"/>
      <c r="T52"/>
      <c r="U52"/>
      <c r="V52"/>
      <c r="W52"/>
      <c r="X52" s="17"/>
      <c r="Y52" s="67"/>
      <c r="Z52" s="67"/>
      <c r="AA52" s="67"/>
      <c r="AB52" s="67"/>
      <c r="AC52" s="67"/>
      <c r="AD52" s="17"/>
      <c r="AE52" s="17"/>
      <c r="AF52" s="17"/>
      <c r="AG52" s="17"/>
      <c r="AH52" s="17"/>
      <c r="AI52" s="17"/>
      <c r="AJ52" s="17"/>
      <c r="AK52"/>
      <c r="AL52"/>
      <c r="AM52"/>
      <c r="AN52"/>
      <c r="AO52"/>
      <c r="AP52" s="83"/>
      <c r="AQ52" s="20"/>
      <c r="AR52" s="20"/>
      <c r="AS52" s="20"/>
      <c r="AT52" s="20"/>
      <c r="AU52" s="20"/>
      <c r="AV52" s="17"/>
      <c r="AW52" s="17"/>
      <c r="AX52" s="17"/>
      <c r="AY52" s="17"/>
      <c r="AZ52" s="17"/>
      <c r="BA52" s="18"/>
    </row>
    <row r="53" spans="1:53" x14ac:dyDescent="0.2">
      <c r="A53">
        <v>14000</v>
      </c>
      <c r="B53" t="s">
        <v>99</v>
      </c>
      <c r="C53" s="66">
        <v>50</v>
      </c>
      <c r="D53" s="67">
        <v>2.0304220380000005E-2</v>
      </c>
      <c r="E53" s="67">
        <v>2.0505335704015058E-3</v>
      </c>
      <c r="F53" s="67">
        <v>2.8998923853631352E-4</v>
      </c>
      <c r="G53" s="67">
        <v>1.9721465187203465E-2</v>
      </c>
      <c r="H53" s="67">
        <v>2.0886975572796545E-2</v>
      </c>
      <c r="I53" s="17"/>
      <c r="J53" s="17"/>
      <c r="K53" s="17"/>
      <c r="L53" s="9"/>
      <c r="M53"/>
      <c r="N53"/>
      <c r="O53"/>
      <c r="P53"/>
      <c r="Q53"/>
      <c r="R53" s="17"/>
      <c r="S53"/>
      <c r="T53"/>
      <c r="U53"/>
      <c r="V53"/>
      <c r="W53"/>
      <c r="X53" s="17"/>
      <c r="Y53" s="67"/>
      <c r="Z53" s="67"/>
      <c r="AA53" s="67"/>
      <c r="AB53" s="67"/>
      <c r="AC53" s="67"/>
      <c r="AD53" s="17"/>
      <c r="AE53" s="17"/>
      <c r="AF53" s="17"/>
      <c r="AG53" s="17"/>
      <c r="AH53" s="17"/>
      <c r="AI53" s="17"/>
      <c r="AJ53" s="17"/>
      <c r="AK53"/>
      <c r="AL53"/>
      <c r="AM53"/>
      <c r="AN53"/>
      <c r="AO53"/>
      <c r="AP53" s="83"/>
      <c r="AQ53" s="20"/>
      <c r="AR53" s="20"/>
      <c r="AS53" s="20"/>
      <c r="AT53" s="20"/>
      <c r="AU53" s="20"/>
      <c r="AV53" s="17"/>
      <c r="AW53" s="17"/>
      <c r="AX53" s="17"/>
      <c r="AY53" s="17"/>
      <c r="AZ53" s="17"/>
      <c r="BA53" s="18"/>
    </row>
    <row r="54" spans="1:53" x14ac:dyDescent="0.2">
      <c r="A54">
        <v>14000</v>
      </c>
      <c r="B54" t="s">
        <v>100</v>
      </c>
      <c r="C54" s="66">
        <v>50</v>
      </c>
      <c r="D54" s="67">
        <v>1.7988359740000005E-2</v>
      </c>
      <c r="E54" s="67">
        <v>1.3996271239728828E-3</v>
      </c>
      <c r="F54" s="67">
        <v>1.9793716609877002E-4</v>
      </c>
      <c r="G54" s="67">
        <v>1.759059011250038E-2</v>
      </c>
      <c r="H54" s="67">
        <v>1.8386129367499629E-2</v>
      </c>
      <c r="I54" s="17"/>
      <c r="J54" s="17"/>
      <c r="K54" s="17"/>
      <c r="L54" s="9"/>
      <c r="M54"/>
      <c r="N54"/>
      <c r="O54"/>
      <c r="P54"/>
      <c r="Q54"/>
      <c r="R54" s="17"/>
      <c r="S54"/>
      <c r="T54"/>
      <c r="U54"/>
      <c r="V54"/>
      <c r="W54"/>
      <c r="X54" s="17"/>
      <c r="Y54" s="67"/>
      <c r="Z54" s="67"/>
      <c r="AA54" s="67"/>
      <c r="AB54" s="67"/>
      <c r="AC54" s="67"/>
      <c r="AD54" s="17"/>
      <c r="AE54" s="17"/>
      <c r="AF54" s="17"/>
      <c r="AG54" s="17"/>
      <c r="AH54" s="17"/>
      <c r="AI54" s="17"/>
      <c r="AJ54" s="17"/>
      <c r="AK54"/>
      <c r="AL54"/>
      <c r="AM54"/>
      <c r="AN54"/>
      <c r="AO54"/>
      <c r="AP54" s="83"/>
      <c r="AQ54" s="20"/>
      <c r="AR54" s="20"/>
      <c r="AS54" s="20"/>
      <c r="AT54" s="20"/>
      <c r="AU54" s="20"/>
      <c r="AV54" s="17"/>
      <c r="AW54" s="17"/>
      <c r="AX54" s="17"/>
      <c r="AY54" s="17"/>
      <c r="AZ54" s="17"/>
      <c r="BA54" s="18"/>
    </row>
    <row r="55" spans="1:53" x14ac:dyDescent="0.2">
      <c r="A55">
        <v>14000</v>
      </c>
      <c r="B55" t="s">
        <v>101</v>
      </c>
      <c r="C55" s="66">
        <v>50</v>
      </c>
      <c r="D55" s="67">
        <v>3.3260932040000003E-2</v>
      </c>
      <c r="E55" s="67">
        <v>2.9079213958613319E-3</v>
      </c>
      <c r="F55" s="67">
        <v>4.1124218763419971E-4</v>
      </c>
      <c r="G55" s="67">
        <v>3.2434509923267463E-2</v>
      </c>
      <c r="H55" s="67">
        <v>3.4087354156732544E-2</v>
      </c>
      <c r="I55" s="17"/>
      <c r="J55" s="17"/>
      <c r="K55" s="17"/>
      <c r="L55" s="9"/>
      <c r="M55"/>
      <c r="N55"/>
      <c r="O55"/>
      <c r="P55"/>
      <c r="Q55"/>
      <c r="R55" s="17"/>
      <c r="S55"/>
      <c r="T55"/>
      <c r="U55"/>
      <c r="V55"/>
      <c r="W55"/>
      <c r="X55" s="17"/>
      <c r="Y55" s="67"/>
      <c r="Z55" s="67"/>
      <c r="AA55" s="67"/>
      <c r="AB55" s="67"/>
      <c r="AC55" s="67"/>
      <c r="AD55" s="17"/>
      <c r="AE55" s="17"/>
      <c r="AF55" s="17"/>
      <c r="AG55" s="17"/>
      <c r="AH55" s="17"/>
      <c r="AI55" s="17"/>
      <c r="AJ55" s="17"/>
      <c r="AK55"/>
      <c r="AL55"/>
      <c r="AM55"/>
      <c r="AN55"/>
      <c r="AO55"/>
      <c r="AP55" s="83"/>
      <c r="AQ55" s="20"/>
      <c r="AR55" s="20"/>
      <c r="AS55" s="20"/>
      <c r="AT55" s="20"/>
      <c r="AU55" s="20"/>
      <c r="AV55" s="17"/>
      <c r="AW55" s="17"/>
      <c r="AX55" s="17"/>
      <c r="AY55" s="17"/>
      <c r="AZ55" s="17"/>
      <c r="BA55" s="18"/>
    </row>
    <row r="56" spans="1:53" x14ac:dyDescent="0.2">
      <c r="A56">
        <v>16000</v>
      </c>
      <c r="B56" t="s">
        <v>46</v>
      </c>
      <c r="C56" s="66">
        <v>1</v>
      </c>
      <c r="D56" s="67">
        <v>3604.0535430730001</v>
      </c>
      <c r="E56" s="67">
        <v>0</v>
      </c>
      <c r="F56" s="67">
        <v>0</v>
      </c>
      <c r="G56" s="67">
        <v>3604.0535430730001</v>
      </c>
      <c r="H56" s="67">
        <v>3604.0535430730001</v>
      </c>
      <c r="I56" s="17"/>
      <c r="J56" s="17"/>
      <c r="K56" s="17"/>
      <c r="L56" s="9"/>
      <c r="M56"/>
      <c r="N56"/>
      <c r="O56"/>
      <c r="P56"/>
      <c r="Q56"/>
      <c r="R56" s="17"/>
      <c r="S56"/>
      <c r="T56"/>
      <c r="U56"/>
      <c r="V56"/>
      <c r="W56"/>
      <c r="X56" s="17"/>
      <c r="Y56" s="67"/>
      <c r="Z56" s="67"/>
      <c r="AA56" s="67"/>
      <c r="AB56" s="67"/>
      <c r="AC56" s="67"/>
      <c r="AD56" s="17"/>
      <c r="AE56" s="17"/>
      <c r="AF56" s="17"/>
      <c r="AG56" s="17"/>
      <c r="AH56" s="17"/>
      <c r="AI56" s="17"/>
      <c r="AJ56" s="17"/>
      <c r="AK56"/>
      <c r="AL56"/>
      <c r="AM56"/>
      <c r="AN56"/>
      <c r="AO56"/>
      <c r="AP56" s="83"/>
      <c r="AQ56" s="20"/>
      <c r="AR56" s="20"/>
      <c r="AS56" s="20"/>
      <c r="AT56" s="20"/>
      <c r="AU56" s="20"/>
      <c r="AV56" s="17"/>
      <c r="AW56" s="17"/>
      <c r="AX56" s="17"/>
      <c r="AY56" s="17"/>
      <c r="AZ56" s="17"/>
      <c r="BA56" s="18"/>
    </row>
    <row r="57" spans="1:53" x14ac:dyDescent="0.2">
      <c r="A57">
        <v>16000</v>
      </c>
      <c r="B57" t="s">
        <v>50</v>
      </c>
      <c r="C57" s="66">
        <v>50</v>
      </c>
      <c r="D57" s="67">
        <v>3.1366603999999994E-4</v>
      </c>
      <c r="E57" s="67">
        <v>2.6072165965274469E-5</v>
      </c>
      <c r="F57" s="67">
        <v>3.687161070853337E-6</v>
      </c>
      <c r="G57" s="67">
        <v>3.0625641241670612E-4</v>
      </c>
      <c r="H57" s="67">
        <v>3.2107566758329375E-4</v>
      </c>
      <c r="J57" s="17"/>
      <c r="K57" s="17"/>
      <c r="L57" s="9"/>
      <c r="M57"/>
      <c r="N57"/>
      <c r="O57"/>
      <c r="P57"/>
      <c r="Q57"/>
      <c r="S57"/>
      <c r="T57"/>
      <c r="U57"/>
      <c r="V57"/>
      <c r="W57"/>
      <c r="Y57" s="67"/>
      <c r="Z57" s="67"/>
      <c r="AA57" s="67"/>
      <c r="AB57" s="67"/>
      <c r="AC57" s="67"/>
      <c r="AK57"/>
      <c r="AL57"/>
      <c r="AM57"/>
      <c r="AN57"/>
      <c r="AO57"/>
      <c r="AP57" s="83"/>
    </row>
    <row r="58" spans="1:53" x14ac:dyDescent="0.2">
      <c r="A58">
        <v>16000</v>
      </c>
      <c r="B58" t="s">
        <v>52</v>
      </c>
      <c r="C58" s="66">
        <v>50</v>
      </c>
      <c r="D58" s="67">
        <v>9.6006887999999986E-4</v>
      </c>
      <c r="E58" s="67">
        <v>3.1165357767906864E-5</v>
      </c>
      <c r="F58" s="67">
        <v>4.4074471631583575E-6</v>
      </c>
      <c r="G58" s="67">
        <v>9.5121178332196132E-4</v>
      </c>
      <c r="H58" s="67">
        <v>9.689259766780384E-4</v>
      </c>
      <c r="I58" s="17"/>
      <c r="J58" s="17"/>
      <c r="K58" s="17"/>
      <c r="L58" s="9"/>
      <c r="M58"/>
      <c r="N58"/>
      <c r="O58"/>
      <c r="P58"/>
      <c r="Q58"/>
      <c r="R58" s="17"/>
      <c r="S58"/>
      <c r="T58"/>
      <c r="U58"/>
      <c r="V58"/>
      <c r="W58"/>
      <c r="X58" s="17"/>
      <c r="Y58" s="67"/>
      <c r="Z58" s="67"/>
      <c r="AA58" s="67"/>
      <c r="AB58" s="67"/>
      <c r="AC58" s="67"/>
      <c r="AD58" s="17"/>
      <c r="AE58" s="17"/>
      <c r="AF58" s="17"/>
      <c r="AG58" s="17"/>
      <c r="AH58" s="17"/>
      <c r="AI58" s="17"/>
      <c r="AJ58" s="17"/>
      <c r="AK58"/>
      <c r="AL58"/>
      <c r="AM58"/>
      <c r="AN58"/>
      <c r="AO58"/>
      <c r="AP58" s="83"/>
      <c r="AQ58" s="20"/>
      <c r="AR58" s="20"/>
      <c r="AS58" s="20"/>
      <c r="AT58" s="20"/>
      <c r="AU58" s="20"/>
      <c r="AV58" s="17"/>
      <c r="AW58" s="17"/>
      <c r="AX58" s="17"/>
      <c r="AY58" s="17"/>
      <c r="AZ58" s="17"/>
      <c r="BA58" s="18"/>
    </row>
    <row r="59" spans="1:53" x14ac:dyDescent="0.2">
      <c r="A59">
        <v>16000</v>
      </c>
      <c r="B59" t="s">
        <v>51</v>
      </c>
      <c r="C59" s="66">
        <v>1</v>
      </c>
      <c r="D59" s="67">
        <v>1.4100807E-2</v>
      </c>
      <c r="E59" s="67">
        <v>0</v>
      </c>
      <c r="F59" s="67">
        <v>0</v>
      </c>
      <c r="G59" s="67">
        <v>1.4100807E-2</v>
      </c>
      <c r="H59" s="67">
        <v>1.4100807E-2</v>
      </c>
      <c r="I59" s="17"/>
      <c r="J59" s="17"/>
      <c r="K59" s="17"/>
      <c r="L59" s="9"/>
      <c r="M59"/>
      <c r="N59"/>
      <c r="O59"/>
      <c r="P59"/>
      <c r="Q59"/>
      <c r="R59" s="17"/>
      <c r="S59"/>
      <c r="T59"/>
      <c r="U59"/>
      <c r="V59"/>
      <c r="W59"/>
      <c r="X59" s="17"/>
      <c r="Y59" s="67"/>
      <c r="Z59" s="67"/>
      <c r="AA59" s="67"/>
      <c r="AB59" s="67"/>
      <c r="AC59" s="67"/>
      <c r="AD59" s="17"/>
      <c r="AE59" s="17"/>
      <c r="AF59" s="17"/>
      <c r="AG59" s="17"/>
      <c r="AH59" s="17"/>
      <c r="AI59" s="17"/>
      <c r="AJ59" s="17"/>
      <c r="AK59"/>
      <c r="AL59"/>
      <c r="AM59"/>
      <c r="AN59"/>
      <c r="AO59"/>
      <c r="AP59" s="83"/>
      <c r="AQ59" s="20"/>
      <c r="AR59" s="20"/>
      <c r="AS59" s="20"/>
      <c r="AT59" s="20"/>
      <c r="AU59" s="20"/>
      <c r="AV59" s="17"/>
      <c r="AW59" s="17"/>
      <c r="AX59" s="17"/>
      <c r="AY59" s="17"/>
      <c r="AZ59" s="17"/>
      <c r="BA59" s="18"/>
    </row>
    <row r="60" spans="1:53" x14ac:dyDescent="0.2">
      <c r="A60">
        <v>16000</v>
      </c>
      <c r="B60" t="s">
        <v>99</v>
      </c>
      <c r="C60" s="66">
        <v>50</v>
      </c>
      <c r="D60" s="67">
        <v>2.6320671679999994E-2</v>
      </c>
      <c r="E60" s="67">
        <v>5.8640770957503496E-4</v>
      </c>
      <c r="F60" s="67">
        <v>8.2930573596115748E-5</v>
      </c>
      <c r="G60" s="67">
        <v>2.6154016452900317E-2</v>
      </c>
      <c r="H60" s="67">
        <v>2.6487326907099672E-2</v>
      </c>
      <c r="I60" s="17"/>
      <c r="J60" s="17"/>
      <c r="K60" s="17"/>
      <c r="L60" s="9"/>
      <c r="M60"/>
      <c r="N60"/>
      <c r="O60"/>
      <c r="P60"/>
      <c r="Q60"/>
      <c r="R60" s="17"/>
      <c r="S60"/>
      <c r="T60"/>
      <c r="U60"/>
      <c r="V60"/>
      <c r="W60"/>
      <c r="X60" s="17"/>
      <c r="Y60" s="67"/>
      <c r="Z60" s="67"/>
      <c r="AA60" s="67"/>
      <c r="AB60" s="67"/>
      <c r="AC60" s="67"/>
      <c r="AD60" s="17"/>
      <c r="AE60" s="17"/>
      <c r="AF60" s="17"/>
      <c r="AG60" s="17"/>
      <c r="AH60" s="17"/>
      <c r="AI60" s="22"/>
      <c r="AJ60" s="17"/>
      <c r="AK60"/>
      <c r="AL60"/>
      <c r="AM60"/>
      <c r="AN60"/>
      <c r="AO60"/>
      <c r="AP60" s="83"/>
      <c r="AQ60" s="20"/>
      <c r="AR60" s="20"/>
      <c r="AS60" s="20"/>
      <c r="AT60" s="20"/>
      <c r="AU60" s="20"/>
      <c r="AV60" s="17"/>
      <c r="AW60" s="17"/>
      <c r="AX60" s="17"/>
      <c r="AY60" s="17"/>
      <c r="AZ60" s="17"/>
      <c r="BA60" s="18"/>
    </row>
    <row r="61" spans="1:53" x14ac:dyDescent="0.2">
      <c r="A61">
        <v>16000</v>
      </c>
      <c r="B61" t="s">
        <v>100</v>
      </c>
      <c r="C61" s="66">
        <v>50</v>
      </c>
      <c r="D61" s="67">
        <v>2.4798854659999994E-2</v>
      </c>
      <c r="E61" s="67">
        <v>1.4466825147968587E-3</v>
      </c>
      <c r="F61" s="67">
        <v>2.0459180328737334E-4</v>
      </c>
      <c r="G61" s="67">
        <v>2.4387712038394072E-2</v>
      </c>
      <c r="H61" s="67">
        <v>2.5209997281605917E-2</v>
      </c>
      <c r="I61" s="17"/>
      <c r="J61" s="17"/>
      <c r="K61" s="17"/>
      <c r="L61" s="9"/>
      <c r="M61"/>
      <c r="N61"/>
      <c r="O61"/>
      <c r="P61"/>
      <c r="Q61"/>
      <c r="R61" s="17"/>
      <c r="S61"/>
      <c r="T61"/>
      <c r="U61"/>
      <c r="V61"/>
      <c r="W61"/>
      <c r="X61" s="17"/>
      <c r="Y61" s="67"/>
      <c r="Z61" s="67"/>
      <c r="AA61" s="67"/>
      <c r="AB61" s="67"/>
      <c r="AC61" s="67"/>
      <c r="AD61" s="17"/>
      <c r="AE61" s="17"/>
      <c r="AF61" s="17"/>
      <c r="AG61" s="17"/>
      <c r="AH61" s="17"/>
      <c r="AI61" s="17"/>
      <c r="AJ61" s="17"/>
      <c r="AK61" s="74"/>
      <c r="AL61"/>
      <c r="AM61"/>
      <c r="AN61"/>
      <c r="AO61"/>
      <c r="AP61" s="83"/>
      <c r="AQ61" s="20"/>
      <c r="AR61" s="20"/>
      <c r="AS61" s="20"/>
      <c r="AT61" s="20"/>
      <c r="AU61" s="20"/>
      <c r="AV61" s="17"/>
      <c r="AW61" s="17"/>
      <c r="AX61" s="17"/>
      <c r="AY61" s="17"/>
      <c r="AZ61" s="17"/>
      <c r="BA61" s="18"/>
    </row>
    <row r="62" spans="1:53" x14ac:dyDescent="0.2">
      <c r="A62">
        <v>16000</v>
      </c>
      <c r="B62" t="s">
        <v>101</v>
      </c>
      <c r="C62" s="66">
        <v>50</v>
      </c>
      <c r="D62" s="67">
        <v>4.0680797379999994E-2</v>
      </c>
      <c r="E62" s="67">
        <v>1.9794116399813322E-3</v>
      </c>
      <c r="F62" s="67">
        <v>2.7993107867807699E-4</v>
      </c>
      <c r="G62" s="67">
        <v>4.0118254816185653E-2</v>
      </c>
      <c r="H62" s="67">
        <v>4.1243339943814336E-2</v>
      </c>
      <c r="I62" s="17"/>
      <c r="J62" s="17"/>
      <c r="K62" s="17"/>
      <c r="L62" s="9"/>
      <c r="M62"/>
      <c r="N62"/>
      <c r="O62"/>
      <c r="P62"/>
      <c r="Q62"/>
      <c r="R62" s="17"/>
      <c r="S62"/>
      <c r="T62"/>
      <c r="U62"/>
      <c r="V62"/>
      <c r="W62"/>
      <c r="X62" s="17"/>
      <c r="Y62" s="67"/>
      <c r="Z62" s="67"/>
      <c r="AA62" s="67"/>
      <c r="AB62" s="67"/>
      <c r="AC62" s="67"/>
      <c r="AD62" s="17"/>
      <c r="AE62" s="17"/>
      <c r="AF62" s="17"/>
      <c r="AG62" s="17"/>
      <c r="AH62" s="17"/>
      <c r="AI62" s="17"/>
      <c r="AJ62" s="17"/>
      <c r="AK62" s="74"/>
      <c r="AL62"/>
      <c r="AM62"/>
      <c r="AN62"/>
      <c r="AO62"/>
      <c r="AP62" s="83"/>
      <c r="AQ62" s="20"/>
      <c r="AR62" s="20"/>
      <c r="AS62" s="20"/>
      <c r="AT62" s="20"/>
      <c r="AU62" s="20"/>
      <c r="AV62" s="17"/>
      <c r="AW62" s="17"/>
      <c r="AX62" s="17"/>
      <c r="AY62" s="17"/>
      <c r="AZ62" s="17"/>
      <c r="BA62" s="18"/>
    </row>
    <row r="63" spans="1:53" x14ac:dyDescent="0.2">
      <c r="A63">
        <v>18000</v>
      </c>
      <c r="B63" t="s">
        <v>46</v>
      </c>
      <c r="C63" s="66">
        <v>1</v>
      </c>
      <c r="D63" s="67">
        <v>3604.6554710780001</v>
      </c>
      <c r="E63" s="67">
        <v>0</v>
      </c>
      <c r="F63" s="67">
        <v>0</v>
      </c>
      <c r="G63" s="67">
        <v>3604.6554710780001</v>
      </c>
      <c r="H63" s="67">
        <v>3604.6554710780001</v>
      </c>
      <c r="I63" s="17"/>
      <c r="J63" s="17"/>
      <c r="K63" s="17"/>
      <c r="L63" s="9"/>
      <c r="M63"/>
      <c r="N63"/>
      <c r="O63"/>
      <c r="P63"/>
      <c r="Q63"/>
      <c r="R63" s="17"/>
      <c r="S63"/>
      <c r="T63"/>
      <c r="U63"/>
      <c r="V63"/>
      <c r="W63"/>
      <c r="X63" s="17"/>
      <c r="Y63" s="67"/>
      <c r="Z63" s="67"/>
      <c r="AA63" s="67"/>
      <c r="AB63" s="67"/>
      <c r="AC63" s="67"/>
      <c r="AD63" s="17"/>
      <c r="AE63" s="17"/>
      <c r="AF63" s="17"/>
      <c r="AG63" s="17"/>
      <c r="AH63" s="17"/>
      <c r="AI63" s="17"/>
      <c r="AJ63" s="17"/>
      <c r="AK63" s="74"/>
      <c r="AL63"/>
      <c r="AM63"/>
      <c r="AN63"/>
      <c r="AO63"/>
      <c r="AP63" s="83"/>
      <c r="AQ63" s="20"/>
      <c r="AR63" s="20"/>
      <c r="AS63" s="20"/>
      <c r="AT63" s="20"/>
      <c r="AU63" s="20"/>
      <c r="AV63" s="17"/>
      <c r="AW63" s="17"/>
      <c r="AX63" s="17"/>
      <c r="AY63" s="17"/>
      <c r="AZ63" s="17"/>
      <c r="BA63" s="18"/>
    </row>
    <row r="64" spans="1:53" x14ac:dyDescent="0.2">
      <c r="A64">
        <v>18000</v>
      </c>
      <c r="B64" t="s">
        <v>50</v>
      </c>
      <c r="C64" s="66">
        <v>50</v>
      </c>
      <c r="D64" s="67">
        <v>3.6096126000000007E-4</v>
      </c>
      <c r="E64" s="67">
        <v>6.5965346684888665E-5</v>
      </c>
      <c r="F64" s="67">
        <v>9.3289087928412633E-6</v>
      </c>
      <c r="G64" s="67">
        <v>3.4221411590046905E-4</v>
      </c>
      <c r="H64" s="67">
        <v>3.797084040995311E-4</v>
      </c>
      <c r="I64" s="17"/>
      <c r="J64" s="17"/>
      <c r="K64" s="17"/>
      <c r="L64" s="9"/>
      <c r="M64"/>
      <c r="N64"/>
      <c r="O64"/>
      <c r="P64"/>
      <c r="Q64"/>
      <c r="R64" s="17"/>
      <c r="S64"/>
      <c r="T64"/>
      <c r="U64"/>
      <c r="V64"/>
      <c r="W64"/>
      <c r="X64" s="17"/>
      <c r="Y64" s="67"/>
      <c r="Z64" s="67"/>
      <c r="AA64" s="67"/>
      <c r="AB64" s="67"/>
      <c r="AC64" s="67"/>
      <c r="AD64" s="17"/>
      <c r="AE64" s="17"/>
      <c r="AF64" s="17"/>
      <c r="AG64" s="17"/>
      <c r="AH64" s="17"/>
      <c r="AI64" s="17"/>
      <c r="AJ64" s="17"/>
      <c r="AK64" s="74"/>
      <c r="AL64"/>
      <c r="AM64"/>
      <c r="AN64"/>
      <c r="AO64"/>
      <c r="AP64" s="83"/>
      <c r="AQ64" s="20"/>
      <c r="AR64" s="20"/>
      <c r="AS64" s="20"/>
      <c r="AT64" s="20"/>
      <c r="AU64" s="20"/>
      <c r="AV64" s="17"/>
      <c r="AW64" s="17"/>
      <c r="AX64" s="17"/>
      <c r="AY64" s="17"/>
      <c r="AZ64" s="17"/>
      <c r="BA64" s="18"/>
    </row>
    <row r="65" spans="1:53" x14ac:dyDescent="0.2">
      <c r="A65">
        <v>18000</v>
      </c>
      <c r="B65" t="s">
        <v>52</v>
      </c>
      <c r="C65" s="66">
        <v>50</v>
      </c>
      <c r="D65" s="67">
        <v>9.9965965999999993E-4</v>
      </c>
      <c r="E65" s="67">
        <v>1.0682826634266795E-4</v>
      </c>
      <c r="F65" s="67">
        <v>1.5107798310660623E-5</v>
      </c>
      <c r="G65" s="67">
        <v>9.692994026273534E-4</v>
      </c>
      <c r="H65" s="67">
        <v>1.0300199173726465E-3</v>
      </c>
      <c r="I65" s="17"/>
      <c r="J65" s="17"/>
      <c r="K65" s="17"/>
      <c r="L65" s="9"/>
      <c r="M65"/>
      <c r="N65"/>
      <c r="O65"/>
      <c r="P65"/>
      <c r="Q65"/>
      <c r="R65" s="17"/>
      <c r="S65"/>
      <c r="T65"/>
      <c r="U65"/>
      <c r="V65"/>
      <c r="W65"/>
      <c r="X65" s="17"/>
      <c r="Y65" s="67"/>
      <c r="Z65" s="67"/>
      <c r="AA65" s="67"/>
      <c r="AB65" s="67"/>
      <c r="AC65" s="67"/>
      <c r="AD65" s="17"/>
      <c r="AE65" s="17"/>
      <c r="AF65" s="17"/>
      <c r="AG65" s="17"/>
      <c r="AH65" s="17"/>
      <c r="AI65" s="17"/>
      <c r="AJ65" s="17"/>
      <c r="AK65" s="74"/>
      <c r="AL65"/>
      <c r="AM65"/>
      <c r="AN65"/>
      <c r="AO65"/>
      <c r="AP65" s="83"/>
      <c r="AQ65" s="20"/>
      <c r="AR65" s="20"/>
      <c r="AS65" s="20"/>
      <c r="AT65" s="20"/>
      <c r="AU65" s="20"/>
      <c r="AV65" s="17"/>
      <c r="AW65" s="17"/>
      <c r="AX65" s="17"/>
      <c r="AY65" s="17"/>
      <c r="AZ65" s="17"/>
      <c r="BA65" s="18"/>
    </row>
    <row r="66" spans="1:53" x14ac:dyDescent="0.2">
      <c r="A66">
        <v>18000</v>
      </c>
      <c r="B66" t="s">
        <v>51</v>
      </c>
      <c r="C66" s="66">
        <v>1</v>
      </c>
      <c r="D66" s="67">
        <v>1.5994049E-2</v>
      </c>
      <c r="E66" s="67">
        <v>0</v>
      </c>
      <c r="F66" s="67">
        <v>0</v>
      </c>
      <c r="G66" s="67">
        <v>1.5994049E-2</v>
      </c>
      <c r="H66" s="67">
        <v>1.5994049E-2</v>
      </c>
      <c r="I66" s="17"/>
      <c r="J66" s="17"/>
      <c r="K66" s="17"/>
      <c r="L66" s="9"/>
      <c r="M66"/>
      <c r="N66"/>
      <c r="O66"/>
      <c r="P66"/>
      <c r="Q66"/>
      <c r="R66" s="17"/>
      <c r="S66"/>
      <c r="T66"/>
      <c r="U66"/>
      <c r="V66"/>
      <c r="W66"/>
      <c r="X66" s="17"/>
      <c r="Y66" s="67"/>
      <c r="Z66" s="67"/>
      <c r="AA66" s="67"/>
      <c r="AB66" s="67"/>
      <c r="AC66" s="67"/>
      <c r="AD66" s="17"/>
      <c r="AE66" s="17"/>
      <c r="AF66" s="17"/>
      <c r="AG66" s="17"/>
      <c r="AH66" s="17"/>
      <c r="AI66" s="17"/>
      <c r="AJ66" s="17"/>
      <c r="AK66" s="74"/>
      <c r="AL66"/>
      <c r="AM66"/>
      <c r="AN66"/>
      <c r="AO66"/>
      <c r="AP66" s="83"/>
      <c r="AQ66" s="20"/>
      <c r="AR66" s="20"/>
      <c r="AS66" s="20"/>
      <c r="AT66" s="20"/>
      <c r="AU66" s="20"/>
      <c r="AV66" s="17"/>
      <c r="AW66" s="17"/>
      <c r="AX66" s="17"/>
      <c r="AY66" s="17"/>
      <c r="AZ66" s="17"/>
      <c r="BA66" s="18"/>
    </row>
    <row r="67" spans="1:53" x14ac:dyDescent="0.2">
      <c r="A67">
        <v>18000</v>
      </c>
      <c r="B67" t="s">
        <v>99</v>
      </c>
      <c r="C67" s="66">
        <v>50</v>
      </c>
      <c r="D67" s="67">
        <v>3.4104818599999996E-2</v>
      </c>
      <c r="E67" s="67">
        <v>2.9914167313002081E-3</v>
      </c>
      <c r="F67" s="67">
        <v>4.2305021121145469E-4</v>
      </c>
      <c r="G67" s="67">
        <v>3.3254667371487162E-2</v>
      </c>
      <c r="H67" s="67">
        <v>3.495496982851283E-2</v>
      </c>
      <c r="I67" s="17"/>
      <c r="J67" s="17"/>
      <c r="K67" s="17"/>
      <c r="L67" s="9"/>
      <c r="M67"/>
      <c r="N67"/>
      <c r="O67"/>
      <c r="P67"/>
      <c r="Q67"/>
      <c r="R67" s="17"/>
      <c r="S67"/>
      <c r="T67"/>
      <c r="U67"/>
      <c r="V67"/>
      <c r="W67"/>
      <c r="X67" s="17"/>
      <c r="Y67" s="67"/>
      <c r="Z67" s="67"/>
      <c r="AA67" s="67"/>
      <c r="AB67" s="67"/>
      <c r="AC67" s="67"/>
      <c r="AD67" s="17"/>
      <c r="AE67" s="17"/>
      <c r="AF67" s="17"/>
      <c r="AG67" s="17"/>
      <c r="AH67" s="17"/>
      <c r="AI67" s="17"/>
      <c r="AJ67" s="17"/>
      <c r="AK67" s="74"/>
      <c r="AL67"/>
      <c r="AM67"/>
      <c r="AN67"/>
      <c r="AO67"/>
      <c r="AP67" s="83"/>
      <c r="AQ67" s="20"/>
      <c r="AR67" s="20"/>
      <c r="AS67" s="20"/>
      <c r="AT67" s="20"/>
      <c r="AU67" s="20"/>
      <c r="AV67" s="17"/>
      <c r="AW67" s="17"/>
      <c r="AX67" s="17"/>
      <c r="AY67" s="17"/>
      <c r="AZ67" s="17"/>
      <c r="BA67" s="18"/>
    </row>
    <row r="68" spans="1:53" x14ac:dyDescent="0.2">
      <c r="A68">
        <v>18000</v>
      </c>
      <c r="B68" t="s">
        <v>100</v>
      </c>
      <c r="C68" s="66">
        <v>50</v>
      </c>
      <c r="D68" s="67">
        <v>3.1776659700000001E-2</v>
      </c>
      <c r="E68" s="67">
        <v>1.1442575548811652E-3</v>
      </c>
      <c r="F68" s="67">
        <v>1.61822455296082E-4</v>
      </c>
      <c r="G68" s="67">
        <v>3.1451465301025543E-2</v>
      </c>
      <c r="H68" s="67">
        <v>3.210185409897446E-2</v>
      </c>
      <c r="I68" s="17"/>
      <c r="J68" s="17"/>
      <c r="K68" s="17"/>
      <c r="L68" s="9"/>
      <c r="M68"/>
      <c r="N68"/>
      <c r="O68"/>
      <c r="P68"/>
      <c r="Q68"/>
      <c r="R68" s="17"/>
      <c r="S68"/>
      <c r="T68"/>
      <c r="U68"/>
      <c r="V68"/>
      <c r="W68"/>
      <c r="X68" s="17"/>
      <c r="Y68" s="67"/>
      <c r="Z68" s="67"/>
      <c r="AA68" s="67"/>
      <c r="AB68" s="67"/>
      <c r="AC68" s="67"/>
      <c r="AD68" s="17"/>
      <c r="AE68" s="17"/>
      <c r="AF68" s="17"/>
      <c r="AG68" s="17"/>
      <c r="AH68" s="17"/>
      <c r="AI68" s="17"/>
      <c r="AJ68" s="17"/>
      <c r="AK68" s="74"/>
      <c r="AL68"/>
      <c r="AM68"/>
      <c r="AN68"/>
      <c r="AO68"/>
      <c r="AP68" s="83"/>
      <c r="AQ68" s="20"/>
      <c r="AR68" s="20"/>
      <c r="AS68" s="20"/>
      <c r="AT68" s="20"/>
      <c r="AU68" s="20"/>
      <c r="AV68" s="17"/>
      <c r="AW68" s="17"/>
      <c r="AX68" s="17"/>
      <c r="AY68" s="17"/>
      <c r="AZ68" s="17"/>
      <c r="BA68" s="18"/>
    </row>
    <row r="69" spans="1:53" x14ac:dyDescent="0.2">
      <c r="A69">
        <v>18000</v>
      </c>
      <c r="B69" t="s">
        <v>101</v>
      </c>
      <c r="C69" s="66">
        <v>50</v>
      </c>
      <c r="D69" s="67">
        <v>0.11029103380000001</v>
      </c>
      <c r="E69" s="67">
        <v>0.41551143578279298</v>
      </c>
      <c r="F69" s="67">
        <v>5.8762190780514319E-2</v>
      </c>
      <c r="G69" s="67">
        <v>-7.7960096719856264E-3</v>
      </c>
      <c r="H69" s="67">
        <v>0.22837807727198564</v>
      </c>
      <c r="I69" s="17"/>
      <c r="J69" s="17"/>
      <c r="K69" s="17"/>
      <c r="L69" s="9"/>
      <c r="M69"/>
      <c r="N69"/>
      <c r="O69"/>
      <c r="P69"/>
      <c r="Q69"/>
      <c r="R69" s="17"/>
      <c r="S69"/>
      <c r="T69"/>
      <c r="U69"/>
      <c r="V69"/>
      <c r="W69"/>
      <c r="X69" s="17"/>
      <c r="Y69" s="67"/>
      <c r="Z69" s="67"/>
      <c r="AA69" s="67"/>
      <c r="AB69" s="67"/>
      <c r="AC69" s="67"/>
      <c r="AD69" s="17"/>
      <c r="AE69" s="17"/>
      <c r="AF69" s="17"/>
      <c r="AG69" s="17"/>
      <c r="AH69" s="17"/>
      <c r="AI69" s="17"/>
      <c r="AJ69" s="17"/>
      <c r="AK69"/>
      <c r="AL69"/>
      <c r="AM69"/>
      <c r="AN69"/>
      <c r="AO69"/>
      <c r="AP69" s="83"/>
      <c r="AQ69" s="20"/>
      <c r="AR69" s="20"/>
      <c r="AS69" s="20"/>
      <c r="AT69" s="20"/>
      <c r="AU69" s="20"/>
      <c r="AV69" s="17"/>
      <c r="AW69" s="17"/>
      <c r="AX69" s="17"/>
      <c r="AY69" s="17"/>
      <c r="AZ69" s="17"/>
      <c r="BA69" s="18"/>
    </row>
    <row r="70" spans="1:53" x14ac:dyDescent="0.2">
      <c r="A70">
        <v>20000</v>
      </c>
      <c r="B70" t="s">
        <v>46</v>
      </c>
      <c r="C70" s="66">
        <v>1</v>
      </c>
      <c r="D70" s="67">
        <v>3603.0207222230001</v>
      </c>
      <c r="E70" s="67">
        <v>0</v>
      </c>
      <c r="F70" s="67">
        <v>0</v>
      </c>
      <c r="G70" s="67">
        <v>3603.0207222230001</v>
      </c>
      <c r="H70" s="67">
        <v>3603.0207222230001</v>
      </c>
      <c r="I70" s="17"/>
      <c r="J70" s="17"/>
      <c r="K70" s="17"/>
      <c r="L70" s="9"/>
      <c r="M70"/>
      <c r="N70"/>
      <c r="O70"/>
      <c r="P70"/>
      <c r="Q70"/>
      <c r="R70" s="17"/>
      <c r="S70"/>
      <c r="T70"/>
      <c r="U70"/>
      <c r="V70"/>
      <c r="W70"/>
      <c r="X70" s="17"/>
      <c r="Y70" s="67"/>
      <c r="Z70" s="67"/>
      <c r="AA70" s="67"/>
      <c r="AB70" s="67"/>
      <c r="AC70" s="67"/>
      <c r="AD70" s="17"/>
      <c r="AE70" s="17"/>
      <c r="AF70" s="17"/>
      <c r="AG70" s="17"/>
      <c r="AH70" s="17"/>
      <c r="AI70" s="17"/>
      <c r="AJ70" s="17"/>
      <c r="AK70"/>
      <c r="AL70"/>
      <c r="AM70"/>
      <c r="AN70"/>
      <c r="AO70"/>
      <c r="AP70" s="83"/>
      <c r="AQ70" s="20"/>
      <c r="AR70" s="20"/>
      <c r="AS70" s="20"/>
      <c r="AT70" s="20"/>
      <c r="AU70" s="20"/>
      <c r="AV70" s="17"/>
      <c r="AW70" s="17"/>
      <c r="AX70" s="17"/>
      <c r="AY70" s="17"/>
      <c r="AZ70" s="17"/>
      <c r="BA70" s="18"/>
    </row>
    <row r="71" spans="1:53" x14ac:dyDescent="0.2">
      <c r="A71">
        <v>20000</v>
      </c>
      <c r="B71" t="s">
        <v>50</v>
      </c>
      <c r="C71" s="66">
        <v>50</v>
      </c>
      <c r="D71" s="67">
        <v>3.471843E-4</v>
      </c>
      <c r="E71" s="67">
        <v>2.2293709932194237E-5</v>
      </c>
      <c r="F71" s="67">
        <v>3.1528066941720862E-6</v>
      </c>
      <c r="G71" s="67">
        <v>3.4084849773993649E-4</v>
      </c>
      <c r="H71" s="67">
        <v>3.535201022600635E-4</v>
      </c>
      <c r="I71" s="17"/>
      <c r="J71" s="17"/>
      <c r="K71" s="17"/>
      <c r="L71" s="9"/>
      <c r="M71"/>
      <c r="N71"/>
      <c r="O71"/>
      <c r="P71"/>
      <c r="Q71"/>
      <c r="R71" s="17"/>
      <c r="S71"/>
      <c r="T71"/>
      <c r="U71"/>
      <c r="V71"/>
      <c r="W71"/>
      <c r="X71" s="17"/>
      <c r="Y71" s="67"/>
      <c r="Z71" s="67"/>
      <c r="AA71" s="67"/>
      <c r="AB71" s="67"/>
      <c r="AC71" s="67"/>
      <c r="AD71" s="17"/>
      <c r="AE71" s="17"/>
      <c r="AF71" s="17"/>
      <c r="AG71" s="17"/>
      <c r="AH71" s="17"/>
      <c r="AI71" s="17"/>
      <c r="AJ71" s="17"/>
      <c r="AK71"/>
      <c r="AL71"/>
      <c r="AM71"/>
      <c r="AN71"/>
      <c r="AO71"/>
      <c r="AP71" s="83"/>
      <c r="AQ71" s="20"/>
      <c r="AR71" s="20"/>
      <c r="AS71" s="20"/>
      <c r="AT71" s="20"/>
      <c r="AU71" s="20"/>
      <c r="AV71" s="17"/>
      <c r="AW71" s="17"/>
      <c r="AX71" s="17"/>
      <c r="AY71" s="17"/>
      <c r="AZ71" s="17"/>
      <c r="BA71" s="18"/>
    </row>
    <row r="72" spans="1:53" x14ac:dyDescent="0.2">
      <c r="A72">
        <v>20000</v>
      </c>
      <c r="B72" t="s">
        <v>52</v>
      </c>
      <c r="C72" s="66">
        <v>50</v>
      </c>
      <c r="D72" s="67">
        <v>1.0132053E-3</v>
      </c>
      <c r="E72" s="67">
        <v>3.0765093919033277E-5</v>
      </c>
      <c r="F72" s="67">
        <v>4.3508413067978894E-6</v>
      </c>
      <c r="G72" s="67">
        <v>1.0044619570491798E-3</v>
      </c>
      <c r="H72" s="67">
        <v>1.0219486429508201E-3</v>
      </c>
      <c r="I72" s="17"/>
      <c r="J72" s="17"/>
      <c r="K72" s="17"/>
      <c r="L72" s="9"/>
      <c r="M72"/>
      <c r="N72"/>
      <c r="O72"/>
      <c r="P72"/>
      <c r="Q72"/>
      <c r="R72" s="17"/>
      <c r="S72"/>
      <c r="T72"/>
      <c r="U72"/>
      <c r="V72"/>
      <c r="W72"/>
      <c r="X72" s="17"/>
      <c r="Y72" s="67"/>
      <c r="Z72" s="67"/>
      <c r="AA72" s="67"/>
      <c r="AB72" s="67"/>
      <c r="AC72" s="67"/>
      <c r="AD72" s="17"/>
      <c r="AE72" s="17"/>
      <c r="AF72" s="17"/>
      <c r="AG72" s="17"/>
      <c r="AH72" s="17"/>
      <c r="AI72" s="17"/>
      <c r="AJ72" s="17"/>
      <c r="AK72"/>
      <c r="AL72"/>
      <c r="AM72"/>
      <c r="AN72"/>
      <c r="AO72"/>
      <c r="AP72" s="83"/>
      <c r="AQ72" s="20"/>
      <c r="AR72" s="20"/>
      <c r="AS72" s="20"/>
      <c r="AT72" s="20"/>
      <c r="AU72" s="20"/>
      <c r="AV72" s="17"/>
      <c r="AW72" s="17"/>
      <c r="AX72" s="17"/>
      <c r="AY72" s="17"/>
      <c r="AZ72" s="17"/>
      <c r="BA72" s="18"/>
    </row>
    <row r="73" spans="1:53" x14ac:dyDescent="0.2">
      <c r="A73">
        <v>20000</v>
      </c>
      <c r="B73" t="s">
        <v>51</v>
      </c>
      <c r="C73" s="66">
        <v>1</v>
      </c>
      <c r="D73" s="67">
        <v>1.7127897E-2</v>
      </c>
      <c r="E73" s="67">
        <v>0</v>
      </c>
      <c r="F73" s="67">
        <v>0</v>
      </c>
      <c r="G73" s="79">
        <v>1.7127897E-2</v>
      </c>
      <c r="H73" s="67">
        <v>1.7127897E-2</v>
      </c>
      <c r="I73" s="17"/>
      <c r="J73" s="17"/>
      <c r="K73" s="17"/>
      <c r="L73" s="9"/>
      <c r="M73"/>
      <c r="N73"/>
      <c r="O73"/>
      <c r="P73"/>
      <c r="Q73"/>
      <c r="R73" s="17"/>
      <c r="S73"/>
      <c r="T73"/>
      <c r="U73"/>
      <c r="V73"/>
      <c r="W73"/>
      <c r="X73" s="17"/>
      <c r="Y73" s="67"/>
      <c r="Z73" s="67"/>
      <c r="AA73" s="67"/>
      <c r="AB73" s="67"/>
      <c r="AC73" s="67"/>
      <c r="AD73" s="17"/>
      <c r="AE73" s="17"/>
      <c r="AF73" s="17"/>
      <c r="AG73" s="17"/>
      <c r="AH73" s="17"/>
      <c r="AI73" s="17"/>
      <c r="AJ73" s="17"/>
      <c r="AK73"/>
      <c r="AL73"/>
      <c r="AM73"/>
      <c r="AN73"/>
      <c r="AO73"/>
      <c r="AP73" s="83"/>
      <c r="AQ73" s="20"/>
      <c r="AR73" s="20"/>
      <c r="AS73" s="20"/>
      <c r="AT73" s="20"/>
      <c r="AU73" s="20"/>
      <c r="AV73" s="17"/>
      <c r="AW73" s="17"/>
      <c r="AX73" s="17"/>
      <c r="AY73" s="17"/>
      <c r="AZ73" s="17"/>
      <c r="BA73" s="18"/>
    </row>
    <row r="74" spans="1:53" x14ac:dyDescent="0.2">
      <c r="A74">
        <v>20000</v>
      </c>
      <c r="B74" t="s">
        <v>99</v>
      </c>
      <c r="C74" s="66">
        <v>50</v>
      </c>
      <c r="D74" s="67">
        <v>3.8194759799999999E-2</v>
      </c>
      <c r="E74" s="67">
        <v>4.4797865651021151E-4</v>
      </c>
      <c r="F74" s="67">
        <v>6.3353749169041935E-5</v>
      </c>
      <c r="G74" s="67">
        <v>3.8067445674490594E-2</v>
      </c>
      <c r="H74" s="67">
        <v>3.8322073925509403E-2</v>
      </c>
      <c r="I74" s="17"/>
      <c r="J74" s="17"/>
      <c r="K74" s="17"/>
      <c r="L74" s="9"/>
      <c r="M74"/>
      <c r="N74"/>
      <c r="O74"/>
      <c r="P74"/>
      <c r="Q74"/>
      <c r="R74" s="17"/>
      <c r="S74"/>
      <c r="T74"/>
      <c r="U74"/>
      <c r="V74"/>
      <c r="W74"/>
      <c r="X74" s="17"/>
      <c r="Y74" s="67"/>
      <c r="Z74" s="67"/>
      <c r="AA74" s="67"/>
      <c r="AB74" s="67"/>
      <c r="AC74" s="67"/>
      <c r="AD74" s="17"/>
      <c r="AE74" s="17"/>
      <c r="AF74" s="17"/>
      <c r="AG74" s="17"/>
      <c r="AH74" s="17"/>
      <c r="AI74" s="17"/>
      <c r="AJ74" s="17"/>
      <c r="AK74"/>
      <c r="AL74"/>
      <c r="AM74"/>
      <c r="AN74"/>
      <c r="AO74"/>
      <c r="AP74" s="83"/>
      <c r="AQ74" s="20"/>
      <c r="AR74" s="20"/>
      <c r="AS74" s="20"/>
      <c r="AT74" s="20"/>
      <c r="AU74" s="20"/>
      <c r="AV74" s="17"/>
      <c r="AW74" s="17"/>
      <c r="AX74" s="17"/>
      <c r="AY74" s="17"/>
      <c r="AZ74" s="17"/>
      <c r="BA74" s="18"/>
    </row>
    <row r="75" spans="1:53" x14ac:dyDescent="0.2">
      <c r="A75" s="47">
        <v>20000</v>
      </c>
      <c r="B75" s="47" t="s">
        <v>100</v>
      </c>
      <c r="C75" s="47">
        <v>50</v>
      </c>
      <c r="D75" s="47">
        <v>3.8351467260000008E-2</v>
      </c>
      <c r="E75" s="47">
        <v>1.4423575651356189E-3</v>
      </c>
      <c r="F75" s="47">
        <v>2.0398016304062271E-4</v>
      </c>
      <c r="G75" s="47">
        <v>3.7941553775487989E-2</v>
      </c>
      <c r="H75" s="47">
        <v>3.8761380744512026E-2</v>
      </c>
      <c r="I75" s="17"/>
      <c r="J75" s="17"/>
      <c r="K75" s="17"/>
      <c r="L75" s="9"/>
      <c r="M75"/>
      <c r="N75"/>
      <c r="O75"/>
      <c r="P75"/>
      <c r="Q75"/>
      <c r="R75" s="17"/>
      <c r="S75"/>
      <c r="T75"/>
      <c r="U75"/>
      <c r="V75"/>
      <c r="W75"/>
      <c r="X75" s="17"/>
      <c r="Y75" s="67"/>
      <c r="Z75" s="67"/>
      <c r="AA75" s="67"/>
      <c r="AB75" s="67"/>
      <c r="AC75" s="67"/>
      <c r="AD75" s="17"/>
      <c r="AE75" s="17"/>
      <c r="AF75" s="17"/>
      <c r="AG75" s="17"/>
      <c r="AH75" s="17"/>
      <c r="AI75" s="17"/>
      <c r="AJ75" s="17"/>
      <c r="AK75"/>
      <c r="AL75"/>
      <c r="AM75"/>
      <c r="AN75"/>
      <c r="AO75"/>
      <c r="AP75" s="83"/>
      <c r="AQ75" s="20"/>
      <c r="AR75" s="20"/>
      <c r="AS75" s="20"/>
      <c r="AT75" s="20"/>
      <c r="AU75" s="20"/>
      <c r="AV75" s="17"/>
      <c r="AW75" s="17"/>
      <c r="AX75" s="17"/>
      <c r="AY75" s="17"/>
      <c r="AZ75" s="17"/>
      <c r="BA75" s="18"/>
    </row>
    <row r="76" spans="1:53" x14ac:dyDescent="0.2">
      <c r="A76" s="47">
        <v>20000</v>
      </c>
      <c r="B76" s="47" t="s">
        <v>101</v>
      </c>
      <c r="C76" s="47">
        <v>50</v>
      </c>
      <c r="D76" s="47">
        <v>5.5339666240000002E-2</v>
      </c>
      <c r="E76" s="47">
        <v>3.0552395262380609E-3</v>
      </c>
      <c r="F76" s="47">
        <v>4.3207611743042149E-4</v>
      </c>
      <c r="G76" s="47">
        <v>5.4471376773856883E-2</v>
      </c>
      <c r="H76" s="47">
        <v>5.620795570614312E-2</v>
      </c>
      <c r="I76" s="17"/>
      <c r="J76" s="17"/>
      <c r="K76" s="17"/>
      <c r="L76" s="9"/>
      <c r="M76"/>
      <c r="N76"/>
      <c r="O76"/>
      <c r="P76"/>
      <c r="Q76"/>
      <c r="R76" s="17"/>
      <c r="S76"/>
      <c r="T76"/>
      <c r="U76"/>
      <c r="V76"/>
      <c r="W76"/>
      <c r="X76" s="17"/>
      <c r="Y76" s="67"/>
      <c r="Z76" s="67"/>
      <c r="AA76" s="67"/>
      <c r="AB76" s="67"/>
      <c r="AC76" s="67"/>
      <c r="AD76" s="17"/>
      <c r="AE76" s="17"/>
      <c r="AF76" s="17"/>
      <c r="AG76" s="17"/>
      <c r="AH76" s="17"/>
      <c r="AI76" s="17"/>
      <c r="AJ76" s="17"/>
      <c r="AK76"/>
      <c r="AL76"/>
      <c r="AM76"/>
      <c r="AN76"/>
      <c r="AO76"/>
      <c r="AP76" s="83"/>
      <c r="AQ76" s="20"/>
      <c r="AR76" s="20"/>
      <c r="AS76" s="20"/>
      <c r="AT76" s="20"/>
      <c r="AU76" s="20"/>
      <c r="AV76" s="17"/>
      <c r="AW76" s="17"/>
      <c r="AX76" s="17"/>
      <c r="AY76" s="17"/>
      <c r="AZ76" s="17"/>
      <c r="BA76" s="18"/>
    </row>
    <row r="77" spans="1:53" ht="13.5" thickBot="1" x14ac:dyDescent="0.25">
      <c r="A77" s="23"/>
      <c r="B77" s="24"/>
      <c r="C77" s="24"/>
      <c r="D77" s="25"/>
      <c r="E77" s="25"/>
      <c r="F77" s="24"/>
      <c r="G77" s="24"/>
      <c r="H77" s="24"/>
      <c r="I77" s="24"/>
      <c r="J77" s="24"/>
      <c r="K77" s="24"/>
      <c r="L77" s="13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84"/>
      <c r="AQ77" s="28"/>
      <c r="AR77" s="28"/>
      <c r="AS77" s="28"/>
      <c r="AT77" s="28"/>
      <c r="AU77" s="28"/>
      <c r="AV77" s="24"/>
      <c r="AW77" s="24"/>
      <c r="AX77" s="24"/>
      <c r="AY77" s="24"/>
      <c r="AZ77" s="24"/>
      <c r="BA77" s="26"/>
    </row>
    <row r="78" spans="1:53" ht="13.5" thickBot="1" x14ac:dyDescent="0.25">
      <c r="AQ78" s="30"/>
      <c r="AR78" s="30"/>
      <c r="AS78" s="30"/>
      <c r="AT78" s="30"/>
      <c r="AU78" s="30"/>
    </row>
    <row r="79" spans="1:53" s="8" customFormat="1" ht="13.5" thickBot="1" x14ac:dyDescent="0.25">
      <c r="A79" s="96"/>
      <c r="B79" s="97"/>
      <c r="C79" s="97"/>
      <c r="D79" s="97"/>
      <c r="E79" s="97"/>
      <c r="F79" s="97"/>
      <c r="G79" s="97"/>
      <c r="H79" s="97"/>
      <c r="I79" s="97"/>
      <c r="J79" s="97"/>
      <c r="K79" s="97"/>
      <c r="L79" s="97" t="s">
        <v>29</v>
      </c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8"/>
    </row>
    <row r="80" spans="1:53" s="8" customFormat="1" ht="13.5" thickBot="1" x14ac:dyDescent="0.25">
      <c r="A80" s="45" t="s">
        <v>12</v>
      </c>
      <c r="B80" s="45" t="s">
        <v>20</v>
      </c>
      <c r="C80" s="45" t="s">
        <v>2</v>
      </c>
      <c r="D80" s="45" t="s">
        <v>21</v>
      </c>
      <c r="E80" s="45" t="s">
        <v>22</v>
      </c>
      <c r="F80" s="46" t="s">
        <v>23</v>
      </c>
      <c r="G80" s="46" t="s">
        <v>24</v>
      </c>
      <c r="H80" s="46" t="s">
        <v>25</v>
      </c>
      <c r="I80" s="6"/>
      <c r="J80" s="55" t="str">
        <f t="shared" ref="J80:AO80" si="50">J$2</f>
        <v>Vertical</v>
      </c>
      <c r="K80" s="55" t="str">
        <f t="shared" si="50"/>
        <v>Horizontal</v>
      </c>
      <c r="L80" s="55" t="str">
        <f t="shared" si="50"/>
        <v>Algoritmos</v>
      </c>
      <c r="M80" s="55">
        <f t="shared" si="50"/>
        <v>12000</v>
      </c>
      <c r="N80" s="57">
        <f t="shared" si="50"/>
        <v>14000</v>
      </c>
      <c r="O80" s="57">
        <f t="shared" si="50"/>
        <v>16000</v>
      </c>
      <c r="P80" s="57">
        <f t="shared" si="50"/>
        <v>18000</v>
      </c>
      <c r="Q80" s="57">
        <f t="shared" si="50"/>
        <v>20000</v>
      </c>
      <c r="R80" s="55" t="str">
        <f t="shared" si="50"/>
        <v>-</v>
      </c>
      <c r="S80" s="52">
        <f t="shared" si="50"/>
        <v>12000</v>
      </c>
      <c r="T80" s="52">
        <f t="shared" si="50"/>
        <v>14000</v>
      </c>
      <c r="U80" s="52">
        <f t="shared" si="50"/>
        <v>16000</v>
      </c>
      <c r="V80" s="52">
        <f t="shared" si="50"/>
        <v>18000</v>
      </c>
      <c r="W80" s="52">
        <f t="shared" si="50"/>
        <v>20000</v>
      </c>
      <c r="X80" s="55" t="str">
        <f t="shared" si="50"/>
        <v>-</v>
      </c>
      <c r="Y80" s="53">
        <f t="shared" si="50"/>
        <v>12000</v>
      </c>
      <c r="Z80" s="53">
        <f t="shared" si="50"/>
        <v>14000</v>
      </c>
      <c r="AA80" s="53">
        <f t="shared" si="50"/>
        <v>16000</v>
      </c>
      <c r="AB80" s="53">
        <f t="shared" si="50"/>
        <v>18000</v>
      </c>
      <c r="AC80" s="53">
        <f t="shared" si="50"/>
        <v>20000</v>
      </c>
      <c r="AD80" s="55" t="str">
        <f t="shared" si="50"/>
        <v>-</v>
      </c>
      <c r="AE80" s="89">
        <f>M80</f>
        <v>12000</v>
      </c>
      <c r="AF80" s="89">
        <f t="shared" ref="AF80:AI80" si="51">N80</f>
        <v>14000</v>
      </c>
      <c r="AG80" s="89">
        <f t="shared" si="51"/>
        <v>16000</v>
      </c>
      <c r="AH80" s="89">
        <f t="shared" si="51"/>
        <v>18000</v>
      </c>
      <c r="AI80" s="89">
        <f t="shared" si="51"/>
        <v>20000</v>
      </c>
      <c r="AJ80" s="55"/>
      <c r="AK80" s="90">
        <f t="shared" si="50"/>
        <v>12000</v>
      </c>
      <c r="AL80" s="90">
        <f t="shared" si="50"/>
        <v>14000</v>
      </c>
      <c r="AM80" s="90">
        <f t="shared" si="50"/>
        <v>16000</v>
      </c>
      <c r="AN80" s="90">
        <f t="shared" si="50"/>
        <v>18000</v>
      </c>
      <c r="AO80" s="90">
        <f t="shared" si="50"/>
        <v>20000</v>
      </c>
      <c r="AP80" s="85"/>
      <c r="AQ80" s="15"/>
      <c r="AR80" s="15"/>
      <c r="AS80" s="15"/>
      <c r="AT80" s="15"/>
      <c r="AU80" s="15"/>
      <c r="AV80" s="13"/>
      <c r="AW80" s="13"/>
      <c r="AX80" s="13"/>
      <c r="AY80" s="13"/>
      <c r="AZ80" s="13"/>
      <c r="BA80" s="14"/>
    </row>
    <row r="81" spans="1:53" x14ac:dyDescent="0.2">
      <c r="A81" s="92">
        <v>12000</v>
      </c>
      <c r="B81" s="92" t="s">
        <v>46</v>
      </c>
      <c r="C81" s="93">
        <v>1</v>
      </c>
      <c r="D81" s="94">
        <v>0</v>
      </c>
      <c r="E81" s="94">
        <v>0</v>
      </c>
      <c r="F81" s="94">
        <v>0</v>
      </c>
      <c r="G81" s="94">
        <v>0</v>
      </c>
      <c r="H81" s="94">
        <v>0</v>
      </c>
      <c r="I81" s="17"/>
      <c r="J81" s="17" t="str">
        <f>$J42</f>
        <v>SOLVER_MAXIMUM_COST</v>
      </c>
      <c r="K81" s="17">
        <f>$K42</f>
        <v>12000</v>
      </c>
      <c r="L81" s="9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91">
        <f>M$82</f>
        <v>9206.0400000000009</v>
      </c>
      <c r="AF81" s="91">
        <f t="shared" ref="AF81:AH81" si="52">N$82</f>
        <v>11141.9</v>
      </c>
      <c r="AG81" s="91">
        <f t="shared" si="52"/>
        <v>13039.06</v>
      </c>
      <c r="AH81" s="91">
        <f t="shared" si="52"/>
        <v>15038.48</v>
      </c>
      <c r="AI81" s="91">
        <f>Q$82</f>
        <v>17002.900000000001</v>
      </c>
      <c r="AJ81" s="17"/>
      <c r="AK81">
        <f>SUMIFS($D$81:$D$117, $A$81:$A$117, AK$2, $B$81:$B$117,  $J$81)</f>
        <v>0</v>
      </c>
      <c r="AL81">
        <f t="shared" ref="AL81:AO88" si="53">SUMIFS($D$81:$D$117, $A$81:$A$117, AL$2, $B$81:$B$117,  $J$81)</f>
        <v>82</v>
      </c>
      <c r="AM81">
        <f t="shared" si="53"/>
        <v>798</v>
      </c>
      <c r="AN81">
        <f t="shared" si="53"/>
        <v>1763</v>
      </c>
      <c r="AO81">
        <f t="shared" si="53"/>
        <v>2834</v>
      </c>
      <c r="AP81" s="83"/>
      <c r="AQ81" s="20"/>
      <c r="AR81" s="20"/>
      <c r="AS81" s="20"/>
      <c r="AT81" s="20"/>
      <c r="AU81" s="20"/>
      <c r="AV81" s="17"/>
      <c r="AW81" s="17"/>
      <c r="AX81" s="17"/>
      <c r="AY81" s="17"/>
      <c r="AZ81" s="17"/>
      <c r="BA81" s="18"/>
    </row>
    <row r="82" spans="1:53" x14ac:dyDescent="0.2">
      <c r="A82" s="92">
        <v>12000</v>
      </c>
      <c r="B82" s="92" t="s">
        <v>50</v>
      </c>
      <c r="C82" s="93">
        <v>50</v>
      </c>
      <c r="D82" s="94">
        <v>9206.0400000000009</v>
      </c>
      <c r="E82" s="94">
        <v>26.121349466656266</v>
      </c>
      <c r="F82" s="94">
        <v>3.6941166683232503</v>
      </c>
      <c r="G82" s="94">
        <v>9198.6163946202723</v>
      </c>
      <c r="H82" s="94">
        <v>9213.4636053797294</v>
      </c>
      <c r="I82" s="17"/>
      <c r="J82" s="17" t="str">
        <f>$J43</f>
        <v>GREEDY_RANDOM</v>
      </c>
      <c r="K82" s="17">
        <f>$K43</f>
        <v>14000</v>
      </c>
      <c r="L82" s="9" t="str">
        <f>$L43</f>
        <v>GR</v>
      </c>
      <c r="M82">
        <f>SUMIFS($D$81:$D$117, $A$81:$A$117, M$2, $B$81:$B$117,  $J82)</f>
        <v>9206.0400000000009</v>
      </c>
      <c r="N82">
        <f t="shared" ref="N82:Q88" si="54">SUMIFS($D$81:$D$117, $A$81:$A$117, N$2, $B$81:$B$117,  $J82)</f>
        <v>11141.9</v>
      </c>
      <c r="O82">
        <f t="shared" si="54"/>
        <v>13039.06</v>
      </c>
      <c r="P82">
        <f t="shared" si="54"/>
        <v>15038.48</v>
      </c>
      <c r="Q82">
        <f t="shared" si="54"/>
        <v>17002.900000000001</v>
      </c>
      <c r="R82" s="36"/>
      <c r="S82">
        <f>-(SUMIFS($G$81:$G$117, $A$81:$A$117, S$2, $B$81:$B$117,  $J82)-M82)</f>
        <v>7.4236053797285422</v>
      </c>
      <c r="T82">
        <f t="shared" ref="T82:W82" si="55">-(SUMIFS($G$81:$G$117, $A$81:$A$117, T$2, $B$81:$B$117,  $J82)-N82)</f>
        <v>6.9026997577129805</v>
      </c>
      <c r="U82">
        <f t="shared" si="55"/>
        <v>7.3648547510765638</v>
      </c>
      <c r="V82">
        <f t="shared" si="55"/>
        <v>7.450927961133857</v>
      </c>
      <c r="W82">
        <f t="shared" si="55"/>
        <v>7.6790591811513877</v>
      </c>
      <c r="X82" s="40"/>
      <c r="Y82" s="67">
        <f>SUMIFS($H$81:$H$117, $A$81:$A$117, Y$2, $B$81:$B$117,  $J82)-M82</f>
        <v>7.4236053797285422</v>
      </c>
      <c r="Z82" s="67">
        <f t="shared" ref="Z82:AC82" si="56">SUMIFS($H$81:$H$117, $A$81:$A$117, Z$2, $B$81:$B$117,  $J82)-N82</f>
        <v>6.9026997577129805</v>
      </c>
      <c r="AA82" s="67">
        <f t="shared" si="56"/>
        <v>7.3648547510765638</v>
      </c>
      <c r="AB82" s="67">
        <f t="shared" si="56"/>
        <v>7.450927961133857</v>
      </c>
      <c r="AC82" s="67">
        <f t="shared" si="56"/>
        <v>7.6790591811513877</v>
      </c>
      <c r="AD82" s="40"/>
      <c r="AE82" s="91">
        <f t="shared" ref="AE82:AE88" si="57">M$82</f>
        <v>9206.0400000000009</v>
      </c>
      <c r="AF82" s="91">
        <f t="shared" ref="AF82:AF88" si="58">N$82</f>
        <v>11141.9</v>
      </c>
      <c r="AG82" s="91">
        <f t="shared" ref="AG82:AG88" si="59">O$82</f>
        <v>13039.06</v>
      </c>
      <c r="AH82" s="91">
        <f t="shared" ref="AH82:AH88" si="60">P$82</f>
        <v>15038.48</v>
      </c>
      <c r="AI82" s="91">
        <f t="shared" ref="AI82:AI88" si="61">Q$82</f>
        <v>17002.900000000001</v>
      </c>
      <c r="AJ82" s="40"/>
      <c r="AK82">
        <f t="shared" ref="AK82:AK88" si="62">SUMIFS($D$81:$D$117, $A$81:$A$117, AK$2, $B$81:$B$117,  $J$81)</f>
        <v>0</v>
      </c>
      <c r="AL82">
        <f t="shared" si="53"/>
        <v>82</v>
      </c>
      <c r="AM82">
        <f t="shared" si="53"/>
        <v>798</v>
      </c>
      <c r="AN82">
        <f t="shared" si="53"/>
        <v>1763</v>
      </c>
      <c r="AO82">
        <f t="shared" si="53"/>
        <v>2834</v>
      </c>
      <c r="AP82" s="83"/>
      <c r="AQ82" s="20"/>
      <c r="AR82" s="20"/>
      <c r="AS82" s="20"/>
      <c r="AT82" s="20"/>
      <c r="AU82" s="20"/>
      <c r="AV82" s="17"/>
      <c r="AW82" s="17"/>
      <c r="AX82" s="17"/>
      <c r="AY82" s="17"/>
      <c r="AZ82" s="17"/>
      <c r="BA82" s="18"/>
    </row>
    <row r="83" spans="1:53" x14ac:dyDescent="0.2">
      <c r="A83" s="92">
        <v>12000</v>
      </c>
      <c r="B83" s="92" t="s">
        <v>52</v>
      </c>
      <c r="C83" s="93">
        <v>50</v>
      </c>
      <c r="D83" s="94">
        <v>110.48</v>
      </c>
      <c r="E83" s="94">
        <v>17.339632555012713</v>
      </c>
      <c r="F83" s="94">
        <v>2.4521943525865022</v>
      </c>
      <c r="G83" s="94">
        <v>105.552130952414</v>
      </c>
      <c r="H83" s="94">
        <v>115.407869047586</v>
      </c>
      <c r="I83" s="17"/>
      <c r="J83" s="17" t="str">
        <f>$J44</f>
        <v>GREEDY_RANDOM_FALLBACK</v>
      </c>
      <c r="K83" s="17">
        <f>$K44</f>
        <v>16000</v>
      </c>
      <c r="L83" s="9" t="str">
        <f>$L44</f>
        <v>GRF</v>
      </c>
      <c r="M83">
        <f t="shared" ref="M83:M88" si="63">SUMIFS($D$81:$D$117, $A$81:$A$117, M$2, $B$81:$B$117,  $J83)</f>
        <v>110.48</v>
      </c>
      <c r="N83">
        <f t="shared" si="54"/>
        <v>2103.92</v>
      </c>
      <c r="O83">
        <f t="shared" si="54"/>
        <v>3995.6</v>
      </c>
      <c r="P83">
        <f t="shared" si="54"/>
        <v>6037.9</v>
      </c>
      <c r="Q83">
        <f t="shared" si="54"/>
        <v>8049.7</v>
      </c>
      <c r="R83" s="36"/>
      <c r="S83">
        <f t="shared" ref="S83:S88" si="64">-(SUMIFS($G$81:$G$117, $A$81:$A$117, S$2, $B$81:$B$117,  $J83)-M83)</f>
        <v>4.9278690475860003</v>
      </c>
      <c r="T83">
        <f t="shared" ref="T83:T88" si="65">-(SUMIFS($G$81:$G$117, $A$81:$A$117, T$2, $B$81:$B$117,  $J83)-N83)</f>
        <v>5.9541258711615228</v>
      </c>
      <c r="U83">
        <f t="shared" ref="U83:U88" si="66">-(SUMIFS($G$81:$G$117, $A$81:$A$117, U$2, $B$81:$B$117,  $J83)-O83)</f>
        <v>6.0155876391959282</v>
      </c>
      <c r="V83">
        <f t="shared" ref="V83:V88" si="67">-(SUMIFS($G$81:$G$117, $A$81:$A$117, V$2, $B$81:$B$117,  $J83)-P83)</f>
        <v>5.7420023761624179</v>
      </c>
      <c r="W83">
        <f t="shared" ref="W83:W88" si="68">-(SUMIFS($G$81:$G$117, $A$81:$A$117, W$2, $B$81:$B$117,  $J83)-Q83)</f>
        <v>6.0989255449849225</v>
      </c>
      <c r="X83" s="40"/>
      <c r="Y83" s="67">
        <f t="shared" ref="Y83:Y88" si="69">SUMIFS($H$81:$H$117, $A$81:$A$117, Y$2, $B$81:$B$117,  $J83)-M83</f>
        <v>4.9278690475860003</v>
      </c>
      <c r="Z83" s="67">
        <f t="shared" ref="Z83:Z88" si="70">SUMIFS($H$81:$H$117, $A$81:$A$117, Z$2, $B$81:$B$117,  $J83)-N83</f>
        <v>5.9541258711615228</v>
      </c>
      <c r="AA83" s="67">
        <f t="shared" ref="AA83:AA88" si="71">SUMIFS($H$81:$H$117, $A$81:$A$117, AA$2, $B$81:$B$117,  $J83)-O83</f>
        <v>6.0155876391959282</v>
      </c>
      <c r="AB83" s="67">
        <f t="shared" ref="AB83:AB88" si="72">SUMIFS($H$81:$H$117, $A$81:$A$117, AB$2, $B$81:$B$117,  $J83)-P83</f>
        <v>5.7420023761624179</v>
      </c>
      <c r="AC83" s="67">
        <f t="shared" ref="AC83:AC88" si="73">SUMIFS($H$81:$H$117, $A$81:$A$117, AC$2, $B$81:$B$117,  $J83)-Q83</f>
        <v>6.0989255449849225</v>
      </c>
      <c r="AD83" s="40"/>
      <c r="AE83" s="91">
        <f t="shared" si="57"/>
        <v>9206.0400000000009</v>
      </c>
      <c r="AF83" s="91">
        <f t="shared" si="58"/>
        <v>11141.9</v>
      </c>
      <c r="AG83" s="91">
        <f t="shared" si="59"/>
        <v>13039.06</v>
      </c>
      <c r="AH83" s="91">
        <f t="shared" si="60"/>
        <v>15038.48</v>
      </c>
      <c r="AI83" s="91">
        <f t="shared" si="61"/>
        <v>17002.900000000001</v>
      </c>
      <c r="AJ83" s="40"/>
      <c r="AK83">
        <f t="shared" si="62"/>
        <v>0</v>
      </c>
      <c r="AL83">
        <f t="shared" si="53"/>
        <v>82</v>
      </c>
      <c r="AM83">
        <f t="shared" si="53"/>
        <v>798</v>
      </c>
      <c r="AN83">
        <f t="shared" si="53"/>
        <v>1763</v>
      </c>
      <c r="AO83">
        <f t="shared" si="53"/>
        <v>2834</v>
      </c>
      <c r="AP83" s="83"/>
      <c r="AQ83" s="20"/>
      <c r="AR83" s="20"/>
      <c r="AS83" s="20"/>
      <c r="AT83" s="20"/>
      <c r="AU83" s="20"/>
      <c r="AV83" s="17"/>
      <c r="AW83" s="17"/>
      <c r="AX83" s="17"/>
      <c r="AY83" s="17"/>
      <c r="AZ83" s="17"/>
      <c r="BA83" s="18"/>
    </row>
    <row r="84" spans="1:53" x14ac:dyDescent="0.2">
      <c r="A84" s="92">
        <v>12000</v>
      </c>
      <c r="B84" s="92" t="s">
        <v>51</v>
      </c>
      <c r="C84" s="93">
        <v>1</v>
      </c>
      <c r="D84" s="94">
        <v>134</v>
      </c>
      <c r="E84" s="94">
        <v>0</v>
      </c>
      <c r="F84" s="94">
        <v>0</v>
      </c>
      <c r="G84" s="94">
        <v>134</v>
      </c>
      <c r="H84" s="94">
        <v>134</v>
      </c>
      <c r="I84" s="17"/>
      <c r="J84" s="17" t="str">
        <f>$J45</f>
        <v>GREEDY_CB</v>
      </c>
      <c r="K84" s="17">
        <f>$K45</f>
        <v>18000</v>
      </c>
      <c r="L84" s="9" t="str">
        <f>$L45</f>
        <v>GCB</v>
      </c>
      <c r="M84">
        <f t="shared" si="63"/>
        <v>134</v>
      </c>
      <c r="N84">
        <f t="shared" si="54"/>
        <v>1289</v>
      </c>
      <c r="O84">
        <f t="shared" si="54"/>
        <v>2542</v>
      </c>
      <c r="P84">
        <f t="shared" si="54"/>
        <v>3871</v>
      </c>
      <c r="Q84">
        <f t="shared" si="54"/>
        <v>5257</v>
      </c>
      <c r="R84" s="36"/>
      <c r="S84">
        <f t="shared" si="64"/>
        <v>0</v>
      </c>
      <c r="T84">
        <f t="shared" si="65"/>
        <v>0</v>
      </c>
      <c r="U84">
        <f t="shared" si="66"/>
        <v>0</v>
      </c>
      <c r="V84">
        <f t="shared" si="67"/>
        <v>0</v>
      </c>
      <c r="W84">
        <f t="shared" si="68"/>
        <v>0</v>
      </c>
      <c r="X84" s="40"/>
      <c r="Y84" s="67">
        <f t="shared" si="69"/>
        <v>0</v>
      </c>
      <c r="Z84" s="67">
        <f t="shared" si="70"/>
        <v>0</v>
      </c>
      <c r="AA84" s="67">
        <f t="shared" si="71"/>
        <v>0</v>
      </c>
      <c r="AB84" s="67">
        <f t="shared" si="72"/>
        <v>0</v>
      </c>
      <c r="AC84" s="67">
        <f t="shared" si="73"/>
        <v>0</v>
      </c>
      <c r="AD84" s="40"/>
      <c r="AE84" s="91">
        <f t="shared" si="57"/>
        <v>9206.0400000000009</v>
      </c>
      <c r="AF84" s="91">
        <f t="shared" si="58"/>
        <v>11141.9</v>
      </c>
      <c r="AG84" s="91">
        <f t="shared" si="59"/>
        <v>13039.06</v>
      </c>
      <c r="AH84" s="91">
        <f t="shared" si="60"/>
        <v>15038.48</v>
      </c>
      <c r="AI84" s="91">
        <f t="shared" si="61"/>
        <v>17002.900000000001</v>
      </c>
      <c r="AJ84" s="40"/>
      <c r="AK84">
        <f t="shared" si="62"/>
        <v>0</v>
      </c>
      <c r="AL84">
        <f t="shared" si="53"/>
        <v>82</v>
      </c>
      <c r="AM84">
        <f t="shared" si="53"/>
        <v>798</v>
      </c>
      <c r="AN84">
        <f t="shared" si="53"/>
        <v>1763</v>
      </c>
      <c r="AO84">
        <f t="shared" si="53"/>
        <v>2834</v>
      </c>
      <c r="AP84" s="86"/>
      <c r="AQ84" s="20"/>
      <c r="AR84" s="20"/>
      <c r="AS84" s="20"/>
      <c r="AT84" s="20"/>
      <c r="AU84" s="20"/>
      <c r="AV84" s="17"/>
      <c r="AW84" s="17"/>
      <c r="AX84" s="17"/>
      <c r="AY84" s="17"/>
      <c r="AZ84" s="17"/>
      <c r="BA84" s="18"/>
    </row>
    <row r="85" spans="1:53" x14ac:dyDescent="0.2">
      <c r="A85" s="92">
        <v>12000</v>
      </c>
      <c r="B85" s="92" t="s">
        <v>99</v>
      </c>
      <c r="C85" s="93">
        <v>50</v>
      </c>
      <c r="D85" s="94">
        <v>0.16</v>
      </c>
      <c r="E85" s="94">
        <v>0.37032803990902058</v>
      </c>
      <c r="F85" s="94">
        <v>5.2372293656638168E-2</v>
      </c>
      <c r="G85" s="94">
        <v>5.4753935555959227E-2</v>
      </c>
      <c r="H85" s="94">
        <v>0.26524606444404075</v>
      </c>
      <c r="I85" s="17"/>
      <c r="J85" s="17" t="str">
        <f>$J46</f>
        <v>SA_GREEDY_RANDOM</v>
      </c>
      <c r="K85" s="17">
        <f>$K46</f>
        <v>20000</v>
      </c>
      <c r="L85" s="9" t="str">
        <f>$L46</f>
        <v>SAGR</v>
      </c>
      <c r="M85">
        <f t="shared" si="63"/>
        <v>0.16</v>
      </c>
      <c r="N85">
        <f t="shared" si="54"/>
        <v>710.52</v>
      </c>
      <c r="O85">
        <f t="shared" si="54"/>
        <v>1650.08</v>
      </c>
      <c r="P85">
        <f t="shared" si="54"/>
        <v>2788.52</v>
      </c>
      <c r="Q85">
        <f t="shared" si="54"/>
        <v>4011.68</v>
      </c>
      <c r="R85" s="36"/>
      <c r="S85">
        <f t="shared" si="64"/>
        <v>0.10524606444404078</v>
      </c>
      <c r="T85">
        <f t="shared" si="65"/>
        <v>3.7436396455766499</v>
      </c>
      <c r="U85">
        <f t="shared" si="66"/>
        <v>3.7204964037912305</v>
      </c>
      <c r="V85">
        <f t="shared" si="67"/>
        <v>4.7019258074260506</v>
      </c>
      <c r="W85">
        <f t="shared" si="68"/>
        <v>6.2889844298115349</v>
      </c>
      <c r="X85" s="40"/>
      <c r="Y85" s="67">
        <f t="shared" si="69"/>
        <v>0.10524606444404075</v>
      </c>
      <c r="Z85" s="67">
        <f t="shared" si="70"/>
        <v>3.7436396455766499</v>
      </c>
      <c r="AA85" s="67">
        <f t="shared" si="71"/>
        <v>3.7204964037912305</v>
      </c>
      <c r="AB85" s="67">
        <f t="shared" si="72"/>
        <v>4.7019258074260506</v>
      </c>
      <c r="AC85" s="67">
        <f t="shared" si="73"/>
        <v>6.2889844298115349</v>
      </c>
      <c r="AD85" s="40"/>
      <c r="AE85" s="91">
        <f t="shared" si="57"/>
        <v>9206.0400000000009</v>
      </c>
      <c r="AF85" s="91">
        <f t="shared" si="58"/>
        <v>11141.9</v>
      </c>
      <c r="AG85" s="91">
        <f t="shared" si="59"/>
        <v>13039.06</v>
      </c>
      <c r="AH85" s="91">
        <f t="shared" si="60"/>
        <v>15038.48</v>
      </c>
      <c r="AI85" s="91">
        <f t="shared" si="61"/>
        <v>17002.900000000001</v>
      </c>
      <c r="AJ85" s="40"/>
      <c r="AK85">
        <f t="shared" si="62"/>
        <v>0</v>
      </c>
      <c r="AL85">
        <f t="shared" si="53"/>
        <v>82</v>
      </c>
      <c r="AM85">
        <f t="shared" si="53"/>
        <v>798</v>
      </c>
      <c r="AN85">
        <f t="shared" si="53"/>
        <v>1763</v>
      </c>
      <c r="AO85">
        <f t="shared" si="53"/>
        <v>2834</v>
      </c>
      <c r="AP85" s="86"/>
      <c r="AQ85" s="20"/>
      <c r="AR85" s="20"/>
      <c r="AS85" s="20"/>
      <c r="AT85" s="20"/>
      <c r="AU85" s="20"/>
      <c r="AV85" s="17"/>
      <c r="AW85" s="17"/>
      <c r="AX85" s="17"/>
      <c r="AY85" s="17"/>
      <c r="AZ85" s="17"/>
      <c r="BA85" s="18"/>
    </row>
    <row r="86" spans="1:53" x14ac:dyDescent="0.2">
      <c r="A86" s="92">
        <v>12000</v>
      </c>
      <c r="B86" s="92" t="s">
        <v>100</v>
      </c>
      <c r="C86" s="93">
        <v>50</v>
      </c>
      <c r="D86" s="94">
        <v>0.02</v>
      </c>
      <c r="E86" s="94">
        <v>0.1414213562373095</v>
      </c>
      <c r="F86" s="94">
        <v>0.02</v>
      </c>
      <c r="G86" s="94">
        <v>-2.0191504742584774E-2</v>
      </c>
      <c r="H86" s="94">
        <v>6.0191504742584778E-2</v>
      </c>
      <c r="I86" s="17"/>
      <c r="J86" s="17" t="str">
        <f>$J47</f>
        <v>SA_GREEDY_RANDOM_FALLBACK</v>
      </c>
      <c r="K86" s="17">
        <f>$K47</f>
        <v>0</v>
      </c>
      <c r="L86" s="9" t="str">
        <f>$L47</f>
        <v>SAGRF</v>
      </c>
      <c r="M86">
        <f t="shared" si="63"/>
        <v>0.02</v>
      </c>
      <c r="N86">
        <f t="shared" si="54"/>
        <v>706.82</v>
      </c>
      <c r="O86">
        <f t="shared" si="54"/>
        <v>1647.02</v>
      </c>
      <c r="P86">
        <f t="shared" si="54"/>
        <v>2787.42</v>
      </c>
      <c r="Q86">
        <f t="shared" si="54"/>
        <v>4013.3</v>
      </c>
      <c r="R86" s="17"/>
      <c r="S86">
        <f t="shared" si="64"/>
        <v>4.0191504742584774E-2</v>
      </c>
      <c r="T86">
        <f t="shared" si="65"/>
        <v>3.594695323278529</v>
      </c>
      <c r="U86">
        <f t="shared" si="66"/>
        <v>3.991367421389441</v>
      </c>
      <c r="V86">
        <f t="shared" si="67"/>
        <v>4.8021185739553403</v>
      </c>
      <c r="W86">
        <f t="shared" si="68"/>
        <v>5.3711993519114003</v>
      </c>
      <c r="X86" s="17"/>
      <c r="Y86" s="67">
        <f t="shared" si="69"/>
        <v>4.0191504742584774E-2</v>
      </c>
      <c r="Z86" s="67">
        <f t="shared" si="70"/>
        <v>3.594695323278529</v>
      </c>
      <c r="AA86" s="67">
        <f t="shared" si="71"/>
        <v>3.991367421389441</v>
      </c>
      <c r="AB86" s="67">
        <f t="shared" si="72"/>
        <v>4.8021185739553403</v>
      </c>
      <c r="AC86" s="67">
        <f t="shared" si="73"/>
        <v>5.3711993519114003</v>
      </c>
      <c r="AE86" s="91">
        <f t="shared" si="57"/>
        <v>9206.0400000000009</v>
      </c>
      <c r="AF86" s="91">
        <f t="shared" si="58"/>
        <v>11141.9</v>
      </c>
      <c r="AG86" s="91">
        <f t="shared" si="59"/>
        <v>13039.06</v>
      </c>
      <c r="AH86" s="91">
        <f t="shared" si="60"/>
        <v>15038.48</v>
      </c>
      <c r="AI86" s="91">
        <f t="shared" si="61"/>
        <v>17002.900000000001</v>
      </c>
      <c r="AK86">
        <f t="shared" si="62"/>
        <v>0</v>
      </c>
      <c r="AL86">
        <f t="shared" si="53"/>
        <v>82</v>
      </c>
      <c r="AM86">
        <f t="shared" si="53"/>
        <v>798</v>
      </c>
      <c r="AN86">
        <f t="shared" si="53"/>
        <v>1763</v>
      </c>
      <c r="AO86">
        <f t="shared" si="53"/>
        <v>2834</v>
      </c>
      <c r="AP86" s="83"/>
      <c r="AQ86" s="20"/>
      <c r="AR86" s="20"/>
      <c r="AS86" s="20"/>
      <c r="AT86" s="20"/>
      <c r="AU86" s="20"/>
      <c r="AV86" s="17"/>
      <c r="AW86" s="17"/>
      <c r="AX86" s="17"/>
      <c r="AY86" s="17"/>
      <c r="AZ86" s="17"/>
      <c r="BA86" s="18"/>
    </row>
    <row r="87" spans="1:53" x14ac:dyDescent="0.2">
      <c r="A87" s="92">
        <v>12000</v>
      </c>
      <c r="B87" s="92" t="s">
        <v>101</v>
      </c>
      <c r="C87" s="93">
        <v>50</v>
      </c>
      <c r="D87" s="94">
        <v>0.02</v>
      </c>
      <c r="E87" s="94">
        <v>0.1414213562373095</v>
      </c>
      <c r="F87" s="94">
        <v>0.02</v>
      </c>
      <c r="G87" s="94">
        <v>-2.0191504742584774E-2</v>
      </c>
      <c r="H87" s="94">
        <v>6.0191504742584778E-2</v>
      </c>
      <c r="I87" s="17"/>
      <c r="J87" s="17" t="str">
        <f>$J48</f>
        <v>SA_GREEDY_CB</v>
      </c>
      <c r="K87" s="17">
        <f>$K48</f>
        <v>0</v>
      </c>
      <c r="L87" s="9" t="str">
        <f>$L48</f>
        <v>SAGCB</v>
      </c>
      <c r="M87">
        <f t="shared" si="63"/>
        <v>0.02</v>
      </c>
      <c r="N87">
        <f t="shared" si="54"/>
        <v>967.06</v>
      </c>
      <c r="O87">
        <f t="shared" si="54"/>
        <v>2033.76</v>
      </c>
      <c r="P87">
        <f t="shared" si="54"/>
        <v>3217.04</v>
      </c>
      <c r="Q87">
        <f t="shared" si="54"/>
        <v>4455.78</v>
      </c>
      <c r="R87" s="17"/>
      <c r="S87">
        <f t="shared" si="64"/>
        <v>4.0191504742584774E-2</v>
      </c>
      <c r="T87">
        <f t="shared" si="65"/>
        <v>3.5941083399056879</v>
      </c>
      <c r="U87">
        <f t="shared" si="66"/>
        <v>4.8111958020522252</v>
      </c>
      <c r="V87">
        <f t="shared" si="67"/>
        <v>4.426267224176172</v>
      </c>
      <c r="W87">
        <f t="shared" si="68"/>
        <v>6.2682051294268604</v>
      </c>
      <c r="X87" s="17"/>
      <c r="Y87" s="67">
        <f t="shared" si="69"/>
        <v>4.0191504742584774E-2</v>
      </c>
      <c r="Z87" s="67">
        <f t="shared" si="70"/>
        <v>3.5941083399056879</v>
      </c>
      <c r="AA87" s="67">
        <f t="shared" si="71"/>
        <v>4.8111958020522252</v>
      </c>
      <c r="AB87" s="67">
        <f t="shared" si="72"/>
        <v>4.426267224176172</v>
      </c>
      <c r="AC87" s="67">
        <f t="shared" si="73"/>
        <v>6.2682051294268604</v>
      </c>
      <c r="AD87" s="17"/>
      <c r="AE87" s="91">
        <f t="shared" si="57"/>
        <v>9206.0400000000009</v>
      </c>
      <c r="AF87" s="91">
        <f t="shared" si="58"/>
        <v>11141.9</v>
      </c>
      <c r="AG87" s="91">
        <f t="shared" si="59"/>
        <v>13039.06</v>
      </c>
      <c r="AH87" s="91">
        <f t="shared" si="60"/>
        <v>15038.48</v>
      </c>
      <c r="AI87" s="91">
        <f t="shared" si="61"/>
        <v>17002.900000000001</v>
      </c>
      <c r="AJ87" s="17"/>
      <c r="AK87">
        <f t="shared" si="62"/>
        <v>0</v>
      </c>
      <c r="AL87">
        <f t="shared" si="53"/>
        <v>82</v>
      </c>
      <c r="AM87">
        <f t="shared" si="53"/>
        <v>798</v>
      </c>
      <c r="AN87">
        <f t="shared" si="53"/>
        <v>1763</v>
      </c>
      <c r="AO87">
        <f t="shared" si="53"/>
        <v>2834</v>
      </c>
      <c r="AP87" s="83"/>
      <c r="AQ87" s="20"/>
      <c r="AR87" s="20"/>
      <c r="AS87" s="20"/>
      <c r="AT87" s="20"/>
      <c r="AU87" s="20"/>
      <c r="AV87" s="17"/>
      <c r="AW87" s="17"/>
      <c r="AX87" s="17"/>
      <c r="AY87" s="17"/>
      <c r="AZ87" s="17"/>
      <c r="BA87" s="18"/>
    </row>
    <row r="88" spans="1:53" x14ac:dyDescent="0.2">
      <c r="A88" s="92">
        <v>14000</v>
      </c>
      <c r="B88" s="92" t="s">
        <v>46</v>
      </c>
      <c r="C88" s="93">
        <v>1</v>
      </c>
      <c r="D88" s="94">
        <v>82</v>
      </c>
      <c r="E88" s="94">
        <v>0</v>
      </c>
      <c r="F88" s="94">
        <v>0</v>
      </c>
      <c r="G88" s="94">
        <v>82</v>
      </c>
      <c r="H88" s="94">
        <v>82</v>
      </c>
      <c r="I88" s="17"/>
      <c r="J88" s="17">
        <f>$J49</f>
        <v>0</v>
      </c>
      <c r="K88" s="17">
        <f>$K49</f>
        <v>0</v>
      </c>
      <c r="L88" s="9">
        <f>$L49</f>
        <v>0</v>
      </c>
      <c r="M88">
        <f t="shared" si="63"/>
        <v>0</v>
      </c>
      <c r="N88">
        <f t="shared" si="54"/>
        <v>0</v>
      </c>
      <c r="O88">
        <f t="shared" si="54"/>
        <v>0</v>
      </c>
      <c r="P88">
        <f t="shared" si="54"/>
        <v>0</v>
      </c>
      <c r="Q88">
        <f t="shared" si="54"/>
        <v>0</v>
      </c>
      <c r="R88" s="17"/>
      <c r="S88">
        <f t="shared" si="64"/>
        <v>0</v>
      </c>
      <c r="T88">
        <f t="shared" si="65"/>
        <v>0</v>
      </c>
      <c r="U88">
        <f t="shared" si="66"/>
        <v>0</v>
      </c>
      <c r="V88">
        <f t="shared" si="67"/>
        <v>0</v>
      </c>
      <c r="W88">
        <f t="shared" si="68"/>
        <v>0</v>
      </c>
      <c r="X88" s="17"/>
      <c r="Y88" s="67">
        <f t="shared" si="69"/>
        <v>0</v>
      </c>
      <c r="Z88" s="67">
        <f t="shared" si="70"/>
        <v>0</v>
      </c>
      <c r="AA88" s="67">
        <f t="shared" si="71"/>
        <v>0</v>
      </c>
      <c r="AB88" s="67">
        <f t="shared" si="72"/>
        <v>0</v>
      </c>
      <c r="AC88" s="67">
        <f t="shared" si="73"/>
        <v>0</v>
      </c>
      <c r="AD88" s="17"/>
      <c r="AE88" s="91">
        <f t="shared" si="57"/>
        <v>9206.0400000000009</v>
      </c>
      <c r="AF88" s="91">
        <f t="shared" si="58"/>
        <v>11141.9</v>
      </c>
      <c r="AG88" s="91">
        <f t="shared" si="59"/>
        <v>13039.06</v>
      </c>
      <c r="AH88" s="91">
        <f t="shared" si="60"/>
        <v>15038.48</v>
      </c>
      <c r="AI88" s="91">
        <f t="shared" si="61"/>
        <v>17002.900000000001</v>
      </c>
      <c r="AJ88" s="17"/>
      <c r="AK88">
        <f t="shared" si="62"/>
        <v>0</v>
      </c>
      <c r="AL88">
        <f t="shared" si="53"/>
        <v>82</v>
      </c>
      <c r="AM88">
        <f t="shared" si="53"/>
        <v>798</v>
      </c>
      <c r="AN88">
        <f t="shared" si="53"/>
        <v>1763</v>
      </c>
      <c r="AO88">
        <f t="shared" si="53"/>
        <v>2834</v>
      </c>
      <c r="AP88" s="83"/>
      <c r="AQ88" s="20"/>
      <c r="AR88" s="20"/>
      <c r="AS88" s="20"/>
      <c r="AT88" s="20"/>
      <c r="AU88" s="20"/>
      <c r="AV88" s="17"/>
      <c r="AW88" s="17"/>
      <c r="AX88" s="17"/>
      <c r="AY88" s="17"/>
      <c r="AZ88" s="17"/>
      <c r="BA88" s="18"/>
    </row>
    <row r="89" spans="1:53" x14ac:dyDescent="0.2">
      <c r="A89" s="92">
        <v>14000</v>
      </c>
      <c r="B89" s="92" t="s">
        <v>50</v>
      </c>
      <c r="C89" s="93">
        <v>50</v>
      </c>
      <c r="D89" s="94">
        <v>11141.9</v>
      </c>
      <c r="E89" s="94">
        <v>24.288445224603631</v>
      </c>
      <c r="F89" s="94">
        <v>3.4349048645590488</v>
      </c>
      <c r="G89" s="94">
        <v>11134.997300242287</v>
      </c>
      <c r="H89" s="94">
        <v>11148.802699757713</v>
      </c>
      <c r="I89" s="17"/>
      <c r="J89" s="17"/>
      <c r="K89" s="17"/>
      <c r="L89" s="9"/>
      <c r="M89"/>
      <c r="N89"/>
      <c r="O89"/>
      <c r="P89"/>
      <c r="Q89"/>
      <c r="R89" s="17"/>
      <c r="S89"/>
      <c r="T89"/>
      <c r="U89"/>
      <c r="V89"/>
      <c r="W89"/>
      <c r="X89" s="17"/>
      <c r="Y89" s="67"/>
      <c r="Z89" s="67"/>
      <c r="AA89" s="67"/>
      <c r="AB89" s="67"/>
      <c r="AC89" s="67"/>
      <c r="AD89" s="17"/>
      <c r="AE89" s="17"/>
      <c r="AF89" s="17"/>
      <c r="AG89" s="17"/>
      <c r="AH89" s="17"/>
      <c r="AI89" s="17"/>
      <c r="AJ89" s="17"/>
      <c r="AK89"/>
      <c r="AL89"/>
      <c r="AM89"/>
      <c r="AN89"/>
      <c r="AO89"/>
      <c r="AP89" s="83"/>
      <c r="AQ89" s="20"/>
      <c r="AR89" s="20"/>
      <c r="AS89" s="20"/>
      <c r="AT89" s="20"/>
      <c r="AU89" s="20"/>
      <c r="AV89" s="17"/>
      <c r="AW89" s="17"/>
      <c r="AX89" s="17"/>
      <c r="AY89" s="17"/>
      <c r="AZ89" s="17"/>
      <c r="BA89" s="18"/>
    </row>
    <row r="90" spans="1:53" x14ac:dyDescent="0.2">
      <c r="A90" s="92">
        <v>14000</v>
      </c>
      <c r="B90" s="92" t="s">
        <v>52</v>
      </c>
      <c r="C90" s="93">
        <v>50</v>
      </c>
      <c r="D90" s="94">
        <v>2103.92</v>
      </c>
      <c r="E90" s="94">
        <v>20.950709890071955</v>
      </c>
      <c r="F90" s="94">
        <v>2.9628778067883892</v>
      </c>
      <c r="G90" s="94">
        <v>2097.9658741288385</v>
      </c>
      <c r="H90" s="94">
        <v>2109.8741258711616</v>
      </c>
      <c r="I90" s="17"/>
      <c r="J90" s="17"/>
      <c r="K90" s="17"/>
      <c r="L90" s="9"/>
      <c r="M90"/>
      <c r="N90"/>
      <c r="O90"/>
      <c r="P90"/>
      <c r="Q90"/>
      <c r="R90" s="17"/>
      <c r="S90"/>
      <c r="T90"/>
      <c r="U90"/>
      <c r="V90"/>
      <c r="W90"/>
      <c r="X90" s="17"/>
      <c r="Y90" s="67"/>
      <c r="Z90" s="67"/>
      <c r="AA90" s="67"/>
      <c r="AB90" s="67"/>
      <c r="AC90" s="67"/>
      <c r="AD90" s="17"/>
      <c r="AE90" s="17"/>
      <c r="AF90" s="17"/>
      <c r="AG90" s="17"/>
      <c r="AH90" s="17"/>
      <c r="AI90" s="17"/>
      <c r="AJ90" s="17"/>
      <c r="AK90"/>
      <c r="AL90"/>
      <c r="AM90"/>
      <c r="AN90"/>
      <c r="AO90"/>
      <c r="AP90" s="83"/>
      <c r="AQ90" s="20"/>
      <c r="AR90" s="20"/>
      <c r="AS90" s="20"/>
      <c r="AT90" s="20"/>
      <c r="AU90" s="20"/>
      <c r="AV90" s="17"/>
      <c r="AW90" s="17"/>
      <c r="AX90" s="17"/>
      <c r="AY90" s="17"/>
      <c r="AZ90" s="17"/>
      <c r="BA90" s="18"/>
    </row>
    <row r="91" spans="1:53" x14ac:dyDescent="0.2">
      <c r="A91" s="92">
        <v>14000</v>
      </c>
      <c r="B91" s="92" t="s">
        <v>51</v>
      </c>
      <c r="C91" s="93">
        <v>1</v>
      </c>
      <c r="D91" s="94">
        <v>1289</v>
      </c>
      <c r="E91" s="94">
        <v>0</v>
      </c>
      <c r="F91" s="94">
        <v>0</v>
      </c>
      <c r="G91" s="94">
        <v>1289</v>
      </c>
      <c r="H91" s="94">
        <v>1289</v>
      </c>
      <c r="I91" s="17"/>
      <c r="J91" s="17"/>
      <c r="K91" s="17"/>
      <c r="L91" s="9"/>
      <c r="M91"/>
      <c r="N91"/>
      <c r="O91"/>
      <c r="P91"/>
      <c r="Q91"/>
      <c r="R91" s="17"/>
      <c r="S91"/>
      <c r="T91"/>
      <c r="U91"/>
      <c r="V91"/>
      <c r="W91"/>
      <c r="X91" s="17"/>
      <c r="Y91" s="67"/>
      <c r="Z91" s="67"/>
      <c r="AA91" s="67"/>
      <c r="AB91" s="67"/>
      <c r="AC91" s="67"/>
      <c r="AD91" s="17"/>
      <c r="AE91" s="17"/>
      <c r="AF91" s="17"/>
      <c r="AG91" s="17"/>
      <c r="AH91" s="17"/>
      <c r="AI91" s="17"/>
      <c r="AJ91" s="17"/>
      <c r="AK91"/>
      <c r="AL91"/>
      <c r="AM91"/>
      <c r="AN91"/>
      <c r="AO91"/>
      <c r="AP91" s="83"/>
      <c r="AQ91" s="20"/>
      <c r="AR91" s="20"/>
      <c r="AS91" s="20"/>
      <c r="AT91" s="20"/>
      <c r="AU91" s="20"/>
      <c r="AV91" s="17"/>
      <c r="AW91" s="17"/>
      <c r="AX91" s="17"/>
      <c r="AY91" s="17"/>
      <c r="AZ91" s="17"/>
      <c r="BA91" s="18"/>
    </row>
    <row r="92" spans="1:53" x14ac:dyDescent="0.2">
      <c r="A92" s="92">
        <v>14000</v>
      </c>
      <c r="B92" s="92" t="s">
        <v>99</v>
      </c>
      <c r="C92" s="93">
        <v>50</v>
      </c>
      <c r="D92" s="94">
        <v>710.52</v>
      </c>
      <c r="E92" s="94">
        <v>13.172699040060094</v>
      </c>
      <c r="F92" s="94">
        <v>1.8629009635512033</v>
      </c>
      <c r="G92" s="94">
        <v>706.77636035442333</v>
      </c>
      <c r="H92" s="94">
        <v>714.26363964557663</v>
      </c>
      <c r="I92" s="17"/>
      <c r="J92" s="17"/>
      <c r="K92" s="17"/>
      <c r="L92" s="9"/>
      <c r="M92"/>
      <c r="N92"/>
      <c r="O92"/>
      <c r="P92"/>
      <c r="Q92"/>
      <c r="R92" s="17"/>
      <c r="S92"/>
      <c r="T92"/>
      <c r="U92"/>
      <c r="V92"/>
      <c r="W92"/>
      <c r="X92" s="17"/>
      <c r="Y92" s="67"/>
      <c r="Z92" s="67"/>
      <c r="AA92" s="67"/>
      <c r="AB92" s="67"/>
      <c r="AC92" s="67"/>
      <c r="AD92" s="17"/>
      <c r="AE92" s="17"/>
      <c r="AF92" s="17"/>
      <c r="AG92" s="17"/>
      <c r="AH92" s="17"/>
      <c r="AI92" s="17"/>
      <c r="AJ92" s="17"/>
      <c r="AK92"/>
      <c r="AL92"/>
      <c r="AM92"/>
      <c r="AN92"/>
      <c r="AO92"/>
      <c r="AP92" s="83"/>
      <c r="AQ92" s="20"/>
      <c r="AR92" s="20"/>
      <c r="AS92" s="20"/>
      <c r="AT92" s="20"/>
      <c r="AU92" s="20"/>
      <c r="AV92" s="17"/>
      <c r="AW92" s="17"/>
      <c r="AX92" s="17"/>
      <c r="AY92" s="17"/>
      <c r="AZ92" s="17"/>
      <c r="BA92" s="18"/>
    </row>
    <row r="93" spans="1:53" x14ac:dyDescent="0.2">
      <c r="A93" s="92">
        <v>14000</v>
      </c>
      <c r="B93" s="92" t="s">
        <v>100</v>
      </c>
      <c r="C93" s="93">
        <v>50</v>
      </c>
      <c r="D93" s="94">
        <v>706.82</v>
      </c>
      <c r="E93" s="94">
        <v>12.648610474624299</v>
      </c>
      <c r="F93" s="94">
        <v>1.7887836478388073</v>
      </c>
      <c r="G93" s="94">
        <v>703.22530467672152</v>
      </c>
      <c r="H93" s="94">
        <v>710.41469532327858</v>
      </c>
      <c r="I93" s="17"/>
      <c r="J93" s="17"/>
      <c r="K93" s="17"/>
      <c r="L93" s="9"/>
      <c r="M93"/>
      <c r="N93"/>
      <c r="O93"/>
      <c r="P93"/>
      <c r="Q93"/>
      <c r="R93" s="17"/>
      <c r="S93"/>
      <c r="T93"/>
      <c r="U93"/>
      <c r="V93"/>
      <c r="W93"/>
      <c r="X93" s="17"/>
      <c r="Y93" s="67"/>
      <c r="Z93" s="67"/>
      <c r="AA93" s="67"/>
      <c r="AB93" s="67"/>
      <c r="AC93" s="67"/>
      <c r="AD93" s="17"/>
      <c r="AE93" s="17"/>
      <c r="AF93" s="17"/>
      <c r="AG93" s="17"/>
      <c r="AH93" s="17"/>
      <c r="AI93" s="17"/>
      <c r="AJ93" s="17"/>
      <c r="AK93"/>
      <c r="AL93"/>
      <c r="AM93"/>
      <c r="AN93"/>
      <c r="AO93"/>
      <c r="AP93" s="83"/>
      <c r="AQ93" s="20"/>
      <c r="AR93" s="20"/>
      <c r="AS93" s="20"/>
      <c r="AT93" s="20"/>
      <c r="AU93" s="20"/>
      <c r="AV93" s="17"/>
      <c r="AW93" s="17"/>
      <c r="AX93" s="17"/>
      <c r="AY93" s="17"/>
      <c r="AZ93" s="17"/>
      <c r="BA93" s="18"/>
    </row>
    <row r="94" spans="1:53" x14ac:dyDescent="0.2">
      <c r="A94" s="92">
        <v>14000</v>
      </c>
      <c r="B94" s="92" t="s">
        <v>101</v>
      </c>
      <c r="C94" s="93">
        <v>50</v>
      </c>
      <c r="D94" s="94">
        <v>967.06</v>
      </c>
      <c r="E94" s="94">
        <v>12.646545063408279</v>
      </c>
      <c r="F94" s="94">
        <v>1.7884915545834501</v>
      </c>
      <c r="G94" s="94">
        <v>963.46589166009426</v>
      </c>
      <c r="H94" s="94">
        <v>970.65410833990563</v>
      </c>
      <c r="I94" s="17"/>
      <c r="J94" s="17"/>
      <c r="K94" s="17"/>
      <c r="L94" s="9"/>
      <c r="M94"/>
      <c r="N94"/>
      <c r="O94"/>
      <c r="P94"/>
      <c r="Q94"/>
      <c r="R94" s="17"/>
      <c r="S94"/>
      <c r="T94"/>
      <c r="U94"/>
      <c r="V94"/>
      <c r="W94"/>
      <c r="X94" s="17"/>
      <c r="Y94" s="67"/>
      <c r="Z94" s="67"/>
      <c r="AA94" s="67"/>
      <c r="AB94" s="67"/>
      <c r="AC94" s="67"/>
      <c r="AD94" s="17"/>
      <c r="AE94" s="17"/>
      <c r="AF94" s="17"/>
      <c r="AG94" s="17"/>
      <c r="AH94" s="17"/>
      <c r="AI94" s="17"/>
      <c r="AJ94" s="17"/>
      <c r="AK94"/>
      <c r="AL94"/>
      <c r="AM94"/>
      <c r="AN94"/>
      <c r="AO94"/>
      <c r="AP94" s="83"/>
      <c r="AQ94" s="20"/>
      <c r="AR94" s="20"/>
      <c r="AS94" s="20"/>
      <c r="AT94" s="20"/>
      <c r="AU94" s="20"/>
      <c r="AV94" s="17"/>
      <c r="AW94" s="17"/>
      <c r="AX94" s="17"/>
      <c r="AY94" s="17"/>
      <c r="AZ94" s="17"/>
      <c r="BA94" s="18"/>
    </row>
    <row r="95" spans="1:53" x14ac:dyDescent="0.2">
      <c r="A95" s="92">
        <v>16000</v>
      </c>
      <c r="B95" s="92" t="s">
        <v>46</v>
      </c>
      <c r="C95" s="93">
        <v>1</v>
      </c>
      <c r="D95" s="94">
        <v>798</v>
      </c>
      <c r="E95" s="94">
        <v>0</v>
      </c>
      <c r="F95" s="94">
        <v>0</v>
      </c>
      <c r="G95" s="94">
        <v>798</v>
      </c>
      <c r="H95" s="94">
        <v>798</v>
      </c>
      <c r="I95" s="17"/>
      <c r="J95" s="17"/>
      <c r="K95" s="17"/>
      <c r="L95" s="9"/>
      <c r="M95"/>
      <c r="N95"/>
      <c r="O95"/>
      <c r="P95"/>
      <c r="Q95"/>
      <c r="R95" s="17"/>
      <c r="S95"/>
      <c r="T95"/>
      <c r="U95"/>
      <c r="V95"/>
      <c r="W95"/>
      <c r="X95" s="17"/>
      <c r="Y95" s="67"/>
      <c r="Z95" s="67"/>
      <c r="AA95" s="67"/>
      <c r="AB95" s="67"/>
      <c r="AC95" s="67"/>
      <c r="AD95" s="17"/>
      <c r="AE95" s="17"/>
      <c r="AF95" s="17"/>
      <c r="AG95" s="17"/>
      <c r="AH95" s="17"/>
      <c r="AI95" s="17"/>
      <c r="AJ95" s="17"/>
      <c r="AK95"/>
      <c r="AL95"/>
      <c r="AM95"/>
      <c r="AN95"/>
      <c r="AO95"/>
      <c r="AP95" s="83"/>
      <c r="AQ95" s="20"/>
      <c r="AR95" s="20"/>
      <c r="AS95" s="20"/>
      <c r="AT95" s="20"/>
      <c r="AU95" s="20"/>
      <c r="AV95" s="17"/>
      <c r="AW95" s="17"/>
      <c r="AX95" s="17"/>
      <c r="AY95" s="17"/>
      <c r="AZ95" s="17"/>
      <c r="BA95" s="18"/>
    </row>
    <row r="96" spans="1:53" x14ac:dyDescent="0.2">
      <c r="A96" s="92">
        <v>16000</v>
      </c>
      <c r="B96" s="92" t="s">
        <v>50</v>
      </c>
      <c r="C96" s="93">
        <v>50</v>
      </c>
      <c r="D96" s="94">
        <v>13039.06</v>
      </c>
      <c r="E96" s="94">
        <v>25.914624348078842</v>
      </c>
      <c r="F96" s="94">
        <v>3.6648813216857126</v>
      </c>
      <c r="G96" s="94">
        <v>13031.695145248923</v>
      </c>
      <c r="H96" s="94">
        <v>13046.424854751076</v>
      </c>
      <c r="I96" s="17"/>
      <c r="J96" s="17"/>
      <c r="K96" s="17"/>
      <c r="L96" s="9"/>
      <c r="M96"/>
      <c r="N96"/>
      <c r="O96"/>
      <c r="P96"/>
      <c r="Q96"/>
      <c r="R96" s="17"/>
      <c r="S96"/>
      <c r="T96"/>
      <c r="U96"/>
      <c r="V96"/>
      <c r="W96"/>
      <c r="X96" s="17"/>
      <c r="Y96" s="67"/>
      <c r="Z96" s="67"/>
      <c r="AA96" s="67"/>
      <c r="AB96" s="67"/>
      <c r="AC96" s="67"/>
      <c r="AD96" s="17"/>
      <c r="AE96" s="17"/>
      <c r="AF96" s="17"/>
      <c r="AG96" s="17"/>
      <c r="AH96" s="17"/>
      <c r="AI96" s="17"/>
      <c r="AJ96" s="17"/>
      <c r="AK96"/>
      <c r="AL96"/>
      <c r="AM96"/>
      <c r="AN96"/>
      <c r="AO96"/>
      <c r="AP96" s="83"/>
      <c r="AQ96" s="20"/>
      <c r="AR96" s="20"/>
      <c r="AS96" s="20"/>
      <c r="AT96" s="20"/>
      <c r="AU96" s="20"/>
      <c r="AV96" s="17"/>
      <c r="AW96" s="17"/>
      <c r="AX96" s="17"/>
      <c r="AY96" s="17"/>
      <c r="AZ96" s="17"/>
      <c r="BA96" s="18"/>
    </row>
    <row r="97" spans="1:53" x14ac:dyDescent="0.2">
      <c r="A97" s="92">
        <v>16000</v>
      </c>
      <c r="B97" s="92" t="s">
        <v>52</v>
      </c>
      <c r="C97" s="93">
        <v>50</v>
      </c>
      <c r="D97" s="94">
        <v>3995.6</v>
      </c>
      <c r="E97" s="94">
        <v>21.166974661640491</v>
      </c>
      <c r="F97" s="94">
        <v>2.9934622640899637</v>
      </c>
      <c r="G97" s="94">
        <v>3989.584412360804</v>
      </c>
      <c r="H97" s="94">
        <v>4001.6155876391958</v>
      </c>
      <c r="I97" s="17"/>
      <c r="J97" s="17"/>
      <c r="K97" s="17"/>
      <c r="L97" s="9"/>
      <c r="M97"/>
      <c r="N97"/>
      <c r="O97"/>
      <c r="P97"/>
      <c r="Q97"/>
      <c r="R97" s="17"/>
      <c r="S97"/>
      <c r="T97"/>
      <c r="U97"/>
      <c r="V97"/>
      <c r="W97"/>
      <c r="X97" s="17"/>
      <c r="Y97" s="67"/>
      <c r="Z97" s="67"/>
      <c r="AA97" s="67"/>
      <c r="AB97" s="67"/>
      <c r="AC97" s="67"/>
      <c r="AD97" s="17"/>
      <c r="AE97" s="17"/>
      <c r="AF97" s="17"/>
      <c r="AG97" s="17"/>
      <c r="AH97" s="17"/>
      <c r="AI97" s="17"/>
      <c r="AJ97" s="17"/>
      <c r="AK97"/>
      <c r="AL97"/>
      <c r="AM97"/>
      <c r="AN97"/>
      <c r="AO97"/>
      <c r="AP97" s="83"/>
      <c r="AQ97" s="20"/>
      <c r="AR97" s="20"/>
      <c r="AS97" s="20"/>
      <c r="AT97" s="20"/>
      <c r="AU97" s="20"/>
      <c r="AV97" s="17"/>
      <c r="AW97" s="17"/>
      <c r="AX97" s="17"/>
      <c r="AY97" s="17"/>
      <c r="AZ97" s="17"/>
      <c r="BA97" s="18"/>
    </row>
    <row r="98" spans="1:53" x14ac:dyDescent="0.2">
      <c r="A98" s="92">
        <v>16000</v>
      </c>
      <c r="B98" s="92" t="s">
        <v>51</v>
      </c>
      <c r="C98" s="93">
        <v>1</v>
      </c>
      <c r="D98" s="94">
        <v>2542</v>
      </c>
      <c r="E98" s="94">
        <v>0</v>
      </c>
      <c r="F98" s="94">
        <v>0</v>
      </c>
      <c r="G98" s="94">
        <v>2542</v>
      </c>
      <c r="H98" s="94">
        <v>2542</v>
      </c>
      <c r="I98" s="17"/>
      <c r="J98" s="17"/>
      <c r="K98" s="17"/>
      <c r="L98" s="9"/>
      <c r="M98"/>
      <c r="N98"/>
      <c r="O98"/>
      <c r="P98"/>
      <c r="Q98"/>
      <c r="R98" s="17"/>
      <c r="S98"/>
      <c r="T98"/>
      <c r="U98"/>
      <c r="V98"/>
      <c r="W98"/>
      <c r="X98" s="17"/>
      <c r="Y98" s="67"/>
      <c r="Z98" s="67"/>
      <c r="AA98" s="67"/>
      <c r="AB98" s="67"/>
      <c r="AC98" s="67"/>
      <c r="AD98" s="17"/>
      <c r="AE98" s="17"/>
      <c r="AF98" s="17"/>
      <c r="AG98" s="17"/>
      <c r="AH98" s="17"/>
      <c r="AI98" s="17"/>
      <c r="AJ98" s="17"/>
      <c r="AK98"/>
      <c r="AL98"/>
      <c r="AM98"/>
      <c r="AN98"/>
      <c r="AO98"/>
      <c r="AP98" s="83"/>
      <c r="AQ98" s="20"/>
      <c r="AR98" s="20"/>
      <c r="AS98" s="20"/>
      <c r="AT98" s="20"/>
      <c r="AU98" s="20"/>
      <c r="AV98" s="17"/>
      <c r="AW98" s="17"/>
      <c r="AX98" s="17"/>
      <c r="AY98" s="17"/>
      <c r="AZ98" s="17"/>
      <c r="BA98" s="18"/>
    </row>
    <row r="99" spans="1:53" x14ac:dyDescent="0.2">
      <c r="A99" s="92">
        <v>16000</v>
      </c>
      <c r="B99" s="92" t="s">
        <v>99</v>
      </c>
      <c r="C99" s="93">
        <v>50</v>
      </c>
      <c r="D99" s="94">
        <v>1650.08</v>
      </c>
      <c r="E99" s="94">
        <v>13.091265198207394</v>
      </c>
      <c r="F99" s="94">
        <v>1.85138447919278</v>
      </c>
      <c r="G99" s="94">
        <v>1646.3595035962087</v>
      </c>
      <c r="H99" s="94">
        <v>1653.8004964037912</v>
      </c>
      <c r="I99" s="17"/>
      <c r="J99" s="17"/>
      <c r="K99" s="17"/>
      <c r="L99" s="9"/>
      <c r="M99"/>
      <c r="N99"/>
      <c r="O99"/>
      <c r="P99"/>
      <c r="Q99"/>
      <c r="R99" s="17"/>
      <c r="S99"/>
      <c r="T99"/>
      <c r="U99"/>
      <c r="V99"/>
      <c r="W99"/>
      <c r="X99" s="17"/>
      <c r="Y99" s="67"/>
      <c r="Z99" s="67"/>
      <c r="AA99" s="67"/>
      <c r="AB99" s="67"/>
      <c r="AC99" s="67"/>
      <c r="AD99" s="17"/>
      <c r="AE99" s="17"/>
      <c r="AF99" s="17"/>
      <c r="AG99" s="17"/>
      <c r="AH99" s="17"/>
      <c r="AI99" s="17"/>
      <c r="AJ99" s="17"/>
      <c r="AK99"/>
      <c r="AL99"/>
      <c r="AM99"/>
      <c r="AN99"/>
      <c r="AO99"/>
      <c r="AP99" s="83"/>
      <c r="AQ99" s="20"/>
      <c r="AR99" s="20"/>
      <c r="AS99" s="20"/>
      <c r="AT99" s="20"/>
      <c r="AU99" s="20"/>
      <c r="AV99" s="17"/>
      <c r="AW99" s="17"/>
      <c r="AX99" s="17"/>
      <c r="AY99" s="17"/>
      <c r="AZ99" s="17"/>
      <c r="BA99" s="18"/>
    </row>
    <row r="100" spans="1:53" x14ac:dyDescent="0.2">
      <c r="A100" s="92">
        <v>16000</v>
      </c>
      <c r="B100" s="92" t="s">
        <v>100</v>
      </c>
      <c r="C100" s="93">
        <v>50</v>
      </c>
      <c r="D100" s="94">
        <v>1647.02</v>
      </c>
      <c r="E100" s="94">
        <v>14.044375735358207</v>
      </c>
      <c r="F100" s="94">
        <v>1.9861746640007185</v>
      </c>
      <c r="G100" s="94">
        <v>1643.0286325786105</v>
      </c>
      <c r="H100" s="94">
        <v>1651.0113674213894</v>
      </c>
      <c r="I100" s="17"/>
      <c r="J100" s="17"/>
      <c r="K100" s="17"/>
      <c r="L100" s="9"/>
      <c r="M100"/>
      <c r="N100"/>
      <c r="O100"/>
      <c r="P100"/>
      <c r="Q100"/>
      <c r="R100" s="17"/>
      <c r="S100"/>
      <c r="T100"/>
      <c r="U100"/>
      <c r="V100"/>
      <c r="W100"/>
      <c r="X100" s="17"/>
      <c r="Y100" s="67"/>
      <c r="Z100" s="67"/>
      <c r="AA100" s="67"/>
      <c r="AB100" s="67"/>
      <c r="AC100" s="67"/>
      <c r="AD100" s="17"/>
      <c r="AE100" s="17"/>
      <c r="AF100" s="17"/>
      <c r="AG100" s="17"/>
      <c r="AH100" s="17"/>
      <c r="AI100" s="17"/>
      <c r="AJ100" s="17"/>
      <c r="AK100"/>
      <c r="AL100"/>
      <c r="AM100"/>
      <c r="AN100"/>
      <c r="AO100"/>
      <c r="AP100" s="83"/>
      <c r="AQ100" s="20"/>
      <c r="AR100" s="20"/>
      <c r="AS100" s="20"/>
      <c r="AT100" s="20"/>
      <c r="AU100" s="20"/>
      <c r="AV100" s="17"/>
      <c r="AW100" s="17"/>
      <c r="AX100" s="17"/>
      <c r="AY100" s="17"/>
      <c r="AZ100" s="17"/>
      <c r="BA100" s="18"/>
    </row>
    <row r="101" spans="1:53" x14ac:dyDescent="0.2">
      <c r="A101" s="92">
        <v>16000</v>
      </c>
      <c r="B101" s="92" t="s">
        <v>101</v>
      </c>
      <c r="C101" s="93">
        <v>50</v>
      </c>
      <c r="D101" s="94">
        <v>2033.76</v>
      </c>
      <c r="E101" s="94">
        <v>16.929095832745634</v>
      </c>
      <c r="F101" s="94">
        <v>2.394135692538272</v>
      </c>
      <c r="G101" s="94">
        <v>2028.9488041979478</v>
      </c>
      <c r="H101" s="94">
        <v>2038.5711958020522</v>
      </c>
      <c r="I101" s="17"/>
      <c r="J101" s="17"/>
      <c r="K101" s="17"/>
      <c r="L101" s="9"/>
      <c r="M101"/>
      <c r="N101"/>
      <c r="O101"/>
      <c r="P101"/>
      <c r="Q101"/>
      <c r="R101" s="17"/>
      <c r="S101"/>
      <c r="T101"/>
      <c r="U101"/>
      <c r="V101"/>
      <c r="W101"/>
      <c r="X101" s="17"/>
      <c r="Y101" s="67"/>
      <c r="Z101" s="67"/>
      <c r="AA101" s="67"/>
      <c r="AB101" s="67"/>
      <c r="AC101" s="67"/>
      <c r="AD101" s="17"/>
      <c r="AE101" s="17"/>
      <c r="AF101" s="17"/>
      <c r="AG101" s="17"/>
      <c r="AH101" s="17"/>
      <c r="AI101" s="17"/>
      <c r="AJ101" s="17"/>
      <c r="AK101"/>
      <c r="AL101"/>
      <c r="AM101"/>
      <c r="AN101"/>
      <c r="AO101"/>
      <c r="AP101" s="83"/>
      <c r="AQ101" s="20"/>
      <c r="AR101" s="20"/>
      <c r="AS101" s="20"/>
      <c r="AT101" s="20"/>
      <c r="AU101" s="20"/>
      <c r="AV101" s="17"/>
      <c r="AW101" s="17"/>
      <c r="AX101" s="17"/>
      <c r="AY101" s="17"/>
      <c r="AZ101" s="17"/>
      <c r="BA101" s="18"/>
    </row>
    <row r="102" spans="1:53" x14ac:dyDescent="0.2">
      <c r="A102" s="92">
        <v>18000</v>
      </c>
      <c r="B102" s="92" t="s">
        <v>46</v>
      </c>
      <c r="C102" s="93">
        <v>1</v>
      </c>
      <c r="D102" s="94">
        <v>1763</v>
      </c>
      <c r="E102" s="94">
        <v>0</v>
      </c>
      <c r="F102" s="94">
        <v>0</v>
      </c>
      <c r="G102" s="94">
        <v>1763</v>
      </c>
      <c r="H102" s="94">
        <v>1763</v>
      </c>
      <c r="I102" s="17"/>
      <c r="J102" s="17"/>
      <c r="K102" s="17"/>
      <c r="L102" s="9"/>
      <c r="M102"/>
      <c r="N102"/>
      <c r="O102"/>
      <c r="P102"/>
      <c r="Q102"/>
      <c r="R102" s="17"/>
      <c r="S102"/>
      <c r="T102"/>
      <c r="U102"/>
      <c r="V102"/>
      <c r="W102"/>
      <c r="X102" s="17"/>
      <c r="Y102" s="67"/>
      <c r="Z102" s="67"/>
      <c r="AA102" s="67"/>
      <c r="AB102" s="67"/>
      <c r="AC102" s="67"/>
      <c r="AD102" s="17"/>
      <c r="AE102" s="17"/>
      <c r="AF102" s="17"/>
      <c r="AG102" s="17"/>
      <c r="AH102" s="17"/>
      <c r="AI102" s="17"/>
      <c r="AJ102" s="17"/>
      <c r="AK102"/>
      <c r="AL102"/>
      <c r="AM102" s="74"/>
      <c r="AN102"/>
      <c r="AO102"/>
      <c r="AP102" s="83"/>
      <c r="AQ102" s="20"/>
      <c r="AR102" s="20"/>
      <c r="AS102" s="20"/>
      <c r="AT102" s="20"/>
      <c r="AU102" s="20"/>
      <c r="AV102" s="17"/>
      <c r="AW102" s="17"/>
      <c r="AX102" s="17"/>
      <c r="AY102" s="17"/>
      <c r="AZ102" s="17"/>
      <c r="BA102" s="18"/>
    </row>
    <row r="103" spans="1:53" x14ac:dyDescent="0.2">
      <c r="A103" s="92">
        <v>18000</v>
      </c>
      <c r="B103" s="92" t="s">
        <v>50</v>
      </c>
      <c r="C103" s="93">
        <v>50</v>
      </c>
      <c r="D103" s="94">
        <v>15038.48</v>
      </c>
      <c r="E103" s="94">
        <v>26.217489099718875</v>
      </c>
      <c r="F103" s="94">
        <v>3.7077128656191216</v>
      </c>
      <c r="G103" s="94">
        <v>15031.029072038866</v>
      </c>
      <c r="H103" s="94">
        <v>15045.930927961133</v>
      </c>
      <c r="I103" s="17"/>
      <c r="J103" s="17"/>
      <c r="K103" s="17"/>
      <c r="L103" s="9"/>
      <c r="M103"/>
      <c r="N103"/>
      <c r="O103"/>
      <c r="P103"/>
      <c r="Q103"/>
      <c r="R103" s="17"/>
      <c r="S103"/>
      <c r="T103"/>
      <c r="U103"/>
      <c r="V103"/>
      <c r="W103"/>
      <c r="X103" s="17"/>
      <c r="Y103" s="67"/>
      <c r="Z103" s="67"/>
      <c r="AA103" s="67"/>
      <c r="AB103" s="67"/>
      <c r="AC103" s="67"/>
      <c r="AD103" s="17"/>
      <c r="AE103" s="17"/>
      <c r="AF103" s="17"/>
      <c r="AG103" s="17"/>
      <c r="AH103" s="17"/>
      <c r="AI103" s="17"/>
      <c r="AJ103" s="17"/>
      <c r="AK103"/>
      <c r="AL103"/>
      <c r="AM103"/>
      <c r="AN103"/>
      <c r="AO103"/>
      <c r="AP103" s="83"/>
      <c r="AQ103" s="20"/>
      <c r="AR103" s="20"/>
      <c r="AS103" s="20"/>
      <c r="AT103" s="20"/>
      <c r="AU103" s="20"/>
      <c r="AV103" s="17"/>
      <c r="AW103" s="17"/>
      <c r="AX103" s="17"/>
      <c r="AY103" s="17"/>
      <c r="AZ103" s="17"/>
      <c r="BA103" s="18"/>
    </row>
    <row r="104" spans="1:53" x14ac:dyDescent="0.2">
      <c r="A104" s="92">
        <v>18000</v>
      </c>
      <c r="B104" s="92" t="s">
        <v>52</v>
      </c>
      <c r="C104" s="93">
        <v>50</v>
      </c>
      <c r="D104" s="94">
        <v>6037.9</v>
      </c>
      <c r="E104" s="94">
        <v>20.204313542268277</v>
      </c>
      <c r="F104" s="94">
        <v>2.8573214229914186</v>
      </c>
      <c r="G104" s="94">
        <v>6032.1579976238372</v>
      </c>
      <c r="H104" s="94">
        <v>6043.6420023761621</v>
      </c>
      <c r="I104" s="17"/>
      <c r="J104" s="17"/>
      <c r="K104" s="17"/>
      <c r="L104" s="9"/>
      <c r="M104"/>
      <c r="N104"/>
      <c r="O104"/>
      <c r="P104"/>
      <c r="Q104"/>
      <c r="R104" s="17"/>
      <c r="S104"/>
      <c r="T104"/>
      <c r="U104"/>
      <c r="V104"/>
      <c r="W104"/>
      <c r="X104" s="17"/>
      <c r="Y104" s="67"/>
      <c r="Z104" s="67"/>
      <c r="AA104" s="67"/>
      <c r="AB104" s="67"/>
      <c r="AC104" s="67"/>
      <c r="AD104" s="17"/>
      <c r="AE104" s="17"/>
      <c r="AF104" s="17"/>
      <c r="AG104" s="17"/>
      <c r="AH104" s="17"/>
      <c r="AI104" s="17"/>
      <c r="AJ104" s="17"/>
      <c r="AK104"/>
      <c r="AL104"/>
      <c r="AM104"/>
      <c r="AN104"/>
      <c r="AO104"/>
      <c r="AP104" s="83"/>
      <c r="AQ104" s="20"/>
      <c r="AR104" s="20"/>
      <c r="AS104" s="20"/>
      <c r="AT104" s="20"/>
      <c r="AU104" s="20"/>
      <c r="AV104" s="17"/>
      <c r="AW104" s="17"/>
      <c r="AX104" s="17"/>
      <c r="AY104" s="17"/>
      <c r="AZ104" s="17"/>
      <c r="BA104" s="18"/>
    </row>
    <row r="105" spans="1:53" x14ac:dyDescent="0.2">
      <c r="A105" s="92">
        <v>18000</v>
      </c>
      <c r="B105" s="92" t="s">
        <v>51</v>
      </c>
      <c r="C105" s="93">
        <v>1</v>
      </c>
      <c r="D105" s="94">
        <v>3871</v>
      </c>
      <c r="E105" s="94">
        <v>0</v>
      </c>
      <c r="F105" s="94">
        <v>0</v>
      </c>
      <c r="G105" s="94">
        <v>3871</v>
      </c>
      <c r="H105" s="94">
        <v>3871</v>
      </c>
      <c r="I105" s="17"/>
      <c r="J105" s="17"/>
      <c r="K105" s="17"/>
      <c r="L105" s="9"/>
      <c r="M105"/>
      <c r="N105"/>
      <c r="O105"/>
      <c r="P105"/>
      <c r="Q105"/>
      <c r="R105" s="17"/>
      <c r="S105"/>
      <c r="T105"/>
      <c r="U105"/>
      <c r="V105"/>
      <c r="W105"/>
      <c r="X105" s="17"/>
      <c r="Y105" s="67"/>
      <c r="Z105" s="67"/>
      <c r="AA105" s="67"/>
      <c r="AB105" s="67"/>
      <c r="AC105" s="67"/>
      <c r="AD105" s="17"/>
      <c r="AE105" s="17"/>
      <c r="AF105" s="17"/>
      <c r="AG105" s="17"/>
      <c r="AH105" s="17"/>
      <c r="AI105" s="17"/>
      <c r="AJ105" s="17"/>
      <c r="AK105"/>
      <c r="AL105"/>
      <c r="AM105"/>
      <c r="AN105"/>
      <c r="AO105"/>
      <c r="AP105" s="83"/>
      <c r="AQ105" s="20"/>
      <c r="AR105" s="20"/>
      <c r="AS105" s="20"/>
      <c r="AT105" s="20"/>
      <c r="AU105" s="20"/>
      <c r="AV105" s="17"/>
      <c r="AW105" s="17"/>
      <c r="AX105" s="17"/>
      <c r="AY105" s="17"/>
      <c r="AZ105" s="17"/>
      <c r="BA105" s="18"/>
    </row>
    <row r="106" spans="1:53" x14ac:dyDescent="0.2">
      <c r="A106" s="92">
        <v>18000</v>
      </c>
      <c r="B106" s="92" t="s">
        <v>99</v>
      </c>
      <c r="C106" s="93">
        <v>50</v>
      </c>
      <c r="D106" s="94">
        <v>2788.52</v>
      </c>
      <c r="E106" s="94">
        <v>16.544608838913451</v>
      </c>
      <c r="F106" s="94">
        <v>2.3397610204149188</v>
      </c>
      <c r="G106" s="94">
        <v>2783.8180741925739</v>
      </c>
      <c r="H106" s="94">
        <v>2793.221925807426</v>
      </c>
      <c r="I106" s="17"/>
      <c r="J106" s="17"/>
      <c r="K106" s="17"/>
      <c r="L106" s="9"/>
      <c r="M106"/>
      <c r="N106"/>
      <c r="O106"/>
      <c r="P106"/>
      <c r="Q106"/>
      <c r="R106" s="17"/>
      <c r="S106"/>
      <c r="T106"/>
      <c r="U106"/>
      <c r="V106"/>
      <c r="W106"/>
      <c r="X106" s="17"/>
      <c r="Y106" s="67"/>
      <c r="Z106" s="67"/>
      <c r="AA106" s="67"/>
      <c r="AB106" s="67"/>
      <c r="AC106" s="67"/>
      <c r="AD106" s="17"/>
      <c r="AE106" s="17"/>
      <c r="AF106" s="17"/>
      <c r="AG106" s="17"/>
      <c r="AH106" s="17"/>
      <c r="AI106" s="17"/>
      <c r="AJ106" s="17"/>
      <c r="AK106"/>
      <c r="AL106"/>
      <c r="AM106"/>
      <c r="AN106"/>
      <c r="AO106"/>
      <c r="AP106" s="83"/>
      <c r="AQ106" s="20"/>
      <c r="AR106" s="20"/>
      <c r="AS106" s="20"/>
      <c r="AT106" s="20"/>
      <c r="AU106" s="20"/>
      <c r="AV106" s="17"/>
      <c r="AW106" s="17"/>
      <c r="AX106" s="17"/>
      <c r="AY106" s="17"/>
      <c r="AZ106" s="17"/>
      <c r="BA106" s="18"/>
    </row>
    <row r="107" spans="1:53" x14ac:dyDescent="0.2">
      <c r="A107" s="92">
        <v>18000</v>
      </c>
      <c r="B107" s="92" t="s">
        <v>100</v>
      </c>
      <c r="C107" s="93">
        <v>50</v>
      </c>
      <c r="D107" s="94">
        <v>2787.42</v>
      </c>
      <c r="E107" s="94">
        <v>16.89715590124624</v>
      </c>
      <c r="F107" s="94">
        <v>2.3896187041075008</v>
      </c>
      <c r="G107" s="94">
        <v>2782.6178814260447</v>
      </c>
      <c r="H107" s="94">
        <v>2792.2221185739554</v>
      </c>
      <c r="I107" s="17"/>
      <c r="J107" s="17"/>
      <c r="K107" s="17"/>
      <c r="L107" s="9"/>
      <c r="M107"/>
      <c r="N107"/>
      <c r="O107"/>
      <c r="P107"/>
      <c r="Q107"/>
      <c r="R107" s="17"/>
      <c r="S107"/>
      <c r="T107"/>
      <c r="U107"/>
      <c r="V107"/>
      <c r="W107"/>
      <c r="X107" s="17"/>
      <c r="Y107" s="67"/>
      <c r="Z107" s="67"/>
      <c r="AA107" s="67"/>
      <c r="AB107" s="67"/>
      <c r="AC107" s="67"/>
      <c r="AD107" s="17"/>
      <c r="AE107" s="17"/>
      <c r="AF107" s="17"/>
      <c r="AG107" s="17"/>
      <c r="AH107" s="17"/>
      <c r="AI107" s="17"/>
      <c r="AJ107" s="17"/>
      <c r="AK107"/>
      <c r="AL107"/>
      <c r="AM107"/>
      <c r="AN107"/>
      <c r="AO107"/>
      <c r="AP107" s="83"/>
      <c r="AQ107" s="20"/>
      <c r="AR107" s="20"/>
      <c r="AS107" s="20"/>
      <c r="AT107" s="20"/>
      <c r="AU107" s="20"/>
      <c r="AV107" s="17"/>
      <c r="AW107" s="17"/>
      <c r="AX107" s="17"/>
      <c r="AY107" s="17"/>
      <c r="AZ107" s="17"/>
      <c r="BA107" s="18"/>
    </row>
    <row r="108" spans="1:53" x14ac:dyDescent="0.2">
      <c r="A108" s="92">
        <v>18000</v>
      </c>
      <c r="B108" s="92" t="s">
        <v>101</v>
      </c>
      <c r="C108" s="93">
        <v>50</v>
      </c>
      <c r="D108" s="94">
        <v>3217.04</v>
      </c>
      <c r="E108" s="94">
        <v>15.574652353050038</v>
      </c>
      <c r="F108" s="94">
        <v>2.2025884586929401</v>
      </c>
      <c r="G108" s="94">
        <v>3212.6137327758238</v>
      </c>
      <c r="H108" s="94">
        <v>3221.4662672241761</v>
      </c>
      <c r="I108" s="17"/>
      <c r="J108" s="17"/>
      <c r="K108" s="17"/>
      <c r="L108" s="9"/>
      <c r="M108"/>
      <c r="N108"/>
      <c r="O108"/>
      <c r="P108"/>
      <c r="Q108"/>
      <c r="R108" s="17"/>
      <c r="S108"/>
      <c r="T108"/>
      <c r="U108"/>
      <c r="V108"/>
      <c r="W108"/>
      <c r="X108" s="17"/>
      <c r="Y108" s="67"/>
      <c r="Z108" s="67"/>
      <c r="AA108" s="67"/>
      <c r="AB108" s="67"/>
      <c r="AC108" s="67"/>
      <c r="AD108" s="17"/>
      <c r="AE108" s="17"/>
      <c r="AF108" s="17"/>
      <c r="AG108" s="17"/>
      <c r="AH108" s="17"/>
      <c r="AI108" s="17"/>
      <c r="AJ108" s="17"/>
      <c r="AK108"/>
      <c r="AL108"/>
      <c r="AM108"/>
      <c r="AN108"/>
      <c r="AO108"/>
      <c r="AP108" s="83"/>
      <c r="AQ108" s="20"/>
      <c r="AR108" s="20"/>
      <c r="AS108" s="20"/>
      <c r="AT108" s="20"/>
      <c r="AU108" s="20"/>
      <c r="AV108" s="17"/>
      <c r="AW108" s="17"/>
      <c r="AX108" s="17"/>
      <c r="AY108" s="17"/>
      <c r="AZ108" s="17"/>
      <c r="BA108" s="18"/>
    </row>
    <row r="109" spans="1:53" x14ac:dyDescent="0.2">
      <c r="A109" s="92">
        <v>20000</v>
      </c>
      <c r="B109" s="92" t="s">
        <v>46</v>
      </c>
      <c r="C109" s="93">
        <v>1</v>
      </c>
      <c r="D109" s="94">
        <v>2834</v>
      </c>
      <c r="E109" s="94">
        <v>0</v>
      </c>
      <c r="F109" s="94">
        <v>0</v>
      </c>
      <c r="G109" s="94">
        <v>2834</v>
      </c>
      <c r="H109" s="94">
        <v>2834</v>
      </c>
      <c r="I109" s="17"/>
      <c r="J109" s="17"/>
      <c r="K109" s="17"/>
      <c r="L109" s="9"/>
      <c r="M109"/>
      <c r="N109"/>
      <c r="O109"/>
      <c r="P109"/>
      <c r="Q109"/>
      <c r="R109" s="17"/>
      <c r="S109"/>
      <c r="T109"/>
      <c r="U109"/>
      <c r="V109"/>
      <c r="W109"/>
      <c r="X109" s="17"/>
      <c r="Y109" s="67"/>
      <c r="Z109" s="67"/>
      <c r="AA109" s="67"/>
      <c r="AB109" s="67"/>
      <c r="AC109" s="67"/>
      <c r="AD109" s="17"/>
      <c r="AE109" s="17"/>
      <c r="AF109" s="17"/>
      <c r="AG109" s="17"/>
      <c r="AH109" s="17"/>
      <c r="AI109" s="17"/>
      <c r="AJ109" s="17"/>
      <c r="AK109"/>
      <c r="AL109"/>
      <c r="AM109"/>
      <c r="AN109"/>
      <c r="AO109"/>
      <c r="AP109" s="83"/>
      <c r="AQ109" s="20"/>
      <c r="AR109" s="20"/>
      <c r="AS109" s="20"/>
      <c r="AT109" s="20"/>
      <c r="AU109" s="20"/>
      <c r="AV109" s="17"/>
      <c r="AW109" s="17"/>
      <c r="AX109" s="17"/>
      <c r="AY109" s="17"/>
      <c r="AZ109" s="17"/>
      <c r="BA109" s="18"/>
    </row>
    <row r="110" spans="1:53" x14ac:dyDescent="0.2">
      <c r="A110" s="92">
        <v>20000</v>
      </c>
      <c r="B110" s="92" t="s">
        <v>50</v>
      </c>
      <c r="C110" s="93">
        <v>50</v>
      </c>
      <c r="D110" s="94">
        <v>17002.900000000001</v>
      </c>
      <c r="E110" s="94">
        <v>27.020211633788023</v>
      </c>
      <c r="F110" s="94">
        <v>3.8212349750694306</v>
      </c>
      <c r="G110" s="94">
        <v>16995.22094081885</v>
      </c>
      <c r="H110" s="94">
        <v>17010.579059181153</v>
      </c>
      <c r="I110" s="17"/>
      <c r="J110" s="17"/>
      <c r="K110" s="17"/>
      <c r="L110" s="9"/>
      <c r="M110"/>
      <c r="N110"/>
      <c r="O110"/>
      <c r="P110"/>
      <c r="Q110"/>
      <c r="R110" s="17"/>
      <c r="S110"/>
      <c r="T110"/>
      <c r="U110"/>
      <c r="V110"/>
      <c r="W110"/>
      <c r="X110" s="17"/>
      <c r="Y110" s="67"/>
      <c r="Z110" s="67"/>
      <c r="AA110" s="67"/>
      <c r="AB110" s="67"/>
      <c r="AC110" s="67"/>
      <c r="AD110" s="17"/>
      <c r="AE110" s="17"/>
      <c r="AF110" s="17"/>
      <c r="AG110" s="17"/>
      <c r="AH110" s="17"/>
      <c r="AI110" s="17"/>
      <c r="AJ110" s="17"/>
      <c r="AK110"/>
      <c r="AL110"/>
      <c r="AM110"/>
      <c r="AN110"/>
      <c r="AO110"/>
      <c r="AP110" s="83"/>
      <c r="AQ110" s="20"/>
      <c r="AR110" s="88"/>
      <c r="AS110" s="20"/>
      <c r="AT110" s="20"/>
      <c r="AU110" s="20"/>
      <c r="AV110" s="17"/>
      <c r="AW110" s="17"/>
      <c r="AX110" s="17"/>
      <c r="AY110" s="17"/>
      <c r="AZ110" s="17"/>
      <c r="BA110" s="18"/>
    </row>
    <row r="111" spans="1:53" x14ac:dyDescent="0.2">
      <c r="A111" s="92">
        <v>20000</v>
      </c>
      <c r="B111" s="92" t="s">
        <v>52</v>
      </c>
      <c r="C111" s="93">
        <v>50</v>
      </c>
      <c r="D111" s="94">
        <v>8049.7</v>
      </c>
      <c r="E111" s="94">
        <v>21.460214731603465</v>
      </c>
      <c r="F111" s="94">
        <v>3.0349326724872507</v>
      </c>
      <c r="G111" s="94">
        <v>8043.6010744550149</v>
      </c>
      <c r="H111" s="94">
        <v>8055.7989255449847</v>
      </c>
      <c r="I111" s="17"/>
      <c r="J111" s="17"/>
      <c r="K111" s="17"/>
      <c r="L111" s="9"/>
      <c r="M111"/>
      <c r="N111"/>
      <c r="O111"/>
      <c r="P111"/>
      <c r="Q111"/>
      <c r="R111" s="17"/>
      <c r="S111"/>
      <c r="T111"/>
      <c r="U111"/>
      <c r="V111"/>
      <c r="W111"/>
      <c r="X111" s="17"/>
      <c r="Y111" s="67"/>
      <c r="Z111" s="67"/>
      <c r="AA111" s="67"/>
      <c r="AB111" s="67"/>
      <c r="AC111" s="67"/>
      <c r="AD111" s="17"/>
      <c r="AE111" s="17"/>
      <c r="AF111" s="17"/>
      <c r="AG111" s="17"/>
      <c r="AH111" s="17"/>
      <c r="AI111" s="17"/>
      <c r="AJ111" s="17"/>
      <c r="AK111"/>
      <c r="AL111"/>
      <c r="AM111"/>
      <c r="AN111"/>
      <c r="AO111"/>
      <c r="AP111" s="83"/>
      <c r="AQ111" s="20"/>
      <c r="AR111" s="20"/>
      <c r="AS111" s="20"/>
      <c r="AT111" s="20"/>
      <c r="AU111" s="20"/>
      <c r="AV111" s="17"/>
      <c r="AW111" s="17"/>
      <c r="AX111" s="17"/>
      <c r="AY111" s="17"/>
      <c r="AZ111" s="17"/>
      <c r="BA111" s="18"/>
    </row>
    <row r="112" spans="1:53" x14ac:dyDescent="0.2">
      <c r="A112" s="92">
        <v>20000</v>
      </c>
      <c r="B112" s="92" t="s">
        <v>51</v>
      </c>
      <c r="C112" s="93">
        <v>1</v>
      </c>
      <c r="D112" s="94">
        <v>5257</v>
      </c>
      <c r="E112" s="94">
        <v>0</v>
      </c>
      <c r="F112" s="94">
        <v>0</v>
      </c>
      <c r="G112" s="94">
        <v>5257</v>
      </c>
      <c r="H112" s="94">
        <v>5257</v>
      </c>
      <c r="I112" s="17"/>
      <c r="J112" s="17"/>
      <c r="K112" s="17"/>
      <c r="L112" s="9"/>
      <c r="M112"/>
      <c r="N112"/>
      <c r="O112"/>
      <c r="P112"/>
      <c r="Q112"/>
      <c r="R112" s="17"/>
      <c r="S112"/>
      <c r="T112"/>
      <c r="U112"/>
      <c r="V112"/>
      <c r="W112"/>
      <c r="X112" s="17"/>
      <c r="Y112" s="67"/>
      <c r="Z112" s="67"/>
      <c r="AA112" s="67"/>
      <c r="AB112" s="67"/>
      <c r="AC112" s="67"/>
      <c r="AD112" s="17"/>
      <c r="AE112" s="17"/>
      <c r="AF112" s="17"/>
      <c r="AG112" s="17"/>
      <c r="AH112" s="17"/>
      <c r="AI112" s="17"/>
      <c r="AJ112" s="17"/>
      <c r="AK112"/>
      <c r="AL112"/>
      <c r="AM112"/>
      <c r="AN112"/>
      <c r="AO112"/>
      <c r="AP112" s="83"/>
      <c r="AQ112" s="20"/>
      <c r="AR112" s="20"/>
      <c r="AS112" s="20"/>
      <c r="AT112" s="20"/>
      <c r="AU112" s="20"/>
      <c r="AV112" s="17"/>
      <c r="AW112" s="17"/>
      <c r="AX112" s="17"/>
      <c r="AY112" s="17"/>
      <c r="AZ112" s="17"/>
      <c r="BA112" s="18"/>
    </row>
    <row r="113" spans="1:53" x14ac:dyDescent="0.2">
      <c r="A113" s="94">
        <v>20000</v>
      </c>
      <c r="B113" s="94" t="s">
        <v>99</v>
      </c>
      <c r="C113" s="94">
        <v>50</v>
      </c>
      <c r="D113" s="94">
        <v>4011.68</v>
      </c>
      <c r="E113" s="94">
        <v>22.128972605419996</v>
      </c>
      <c r="F113" s="94">
        <v>3.1295093179967641</v>
      </c>
      <c r="G113" s="94">
        <v>4005.3910155701883</v>
      </c>
      <c r="H113" s="94">
        <v>4017.9689844298114</v>
      </c>
      <c r="I113" s="17"/>
      <c r="J113" s="17"/>
      <c r="K113" s="17"/>
      <c r="L113" s="9"/>
      <c r="M113"/>
      <c r="N113"/>
      <c r="O113"/>
      <c r="P113"/>
      <c r="Q113"/>
      <c r="R113" s="17"/>
      <c r="S113"/>
      <c r="T113"/>
      <c r="U113"/>
      <c r="V113"/>
      <c r="W113"/>
      <c r="X113" s="17"/>
      <c r="Y113" s="67"/>
      <c r="Z113" s="67"/>
      <c r="AA113" s="67"/>
      <c r="AB113" s="67"/>
      <c r="AC113" s="67"/>
      <c r="AD113" s="17"/>
      <c r="AE113" s="17"/>
      <c r="AF113" s="17"/>
      <c r="AG113" s="17"/>
      <c r="AH113" s="17"/>
      <c r="AI113" s="17"/>
      <c r="AJ113" s="17"/>
      <c r="AK113"/>
      <c r="AL113"/>
      <c r="AM113"/>
      <c r="AN113"/>
      <c r="AO113"/>
      <c r="AP113" s="83"/>
      <c r="AQ113" s="20"/>
      <c r="AR113" s="20"/>
      <c r="AS113" s="20"/>
      <c r="AT113" s="20"/>
      <c r="AU113" s="20"/>
      <c r="AV113" s="17"/>
      <c r="AW113" s="17"/>
      <c r="AX113" s="17"/>
      <c r="AY113" s="17"/>
      <c r="AZ113" s="17"/>
      <c r="BA113" s="18"/>
    </row>
    <row r="114" spans="1:53" ht="12" customHeight="1" x14ac:dyDescent="0.2">
      <c r="A114" s="94">
        <v>20000</v>
      </c>
      <c r="B114" s="94" t="s">
        <v>100</v>
      </c>
      <c r="C114" s="94">
        <v>50</v>
      </c>
      <c r="D114" s="94">
        <v>4013.3</v>
      </c>
      <c r="E114" s="94">
        <v>18.899573475372939</v>
      </c>
      <c r="F114" s="94">
        <v>2.6728033131939219</v>
      </c>
      <c r="G114" s="94">
        <v>4007.9288006480888</v>
      </c>
      <c r="H114" s="94">
        <v>4018.6711993519116</v>
      </c>
      <c r="I114" s="17"/>
      <c r="J114" s="17"/>
      <c r="K114" s="17"/>
      <c r="L114" s="9"/>
      <c r="M114"/>
      <c r="N114"/>
      <c r="O114"/>
      <c r="P114"/>
      <c r="Q114"/>
      <c r="R114" s="17"/>
      <c r="S114"/>
      <c r="T114"/>
      <c r="U114"/>
      <c r="V114"/>
      <c r="W114"/>
      <c r="X114" s="17"/>
      <c r="Y114" s="67"/>
      <c r="Z114" s="67"/>
      <c r="AA114" s="67"/>
      <c r="AB114" s="67"/>
      <c r="AC114" s="67"/>
      <c r="AD114" s="17"/>
      <c r="AE114" s="17"/>
      <c r="AF114" s="17"/>
      <c r="AG114" s="17"/>
      <c r="AH114" s="17"/>
      <c r="AI114" s="17"/>
      <c r="AJ114" s="17"/>
      <c r="AK114"/>
      <c r="AL114"/>
      <c r="AM114"/>
      <c r="AN114"/>
      <c r="AO114"/>
      <c r="AP114" s="83"/>
      <c r="AQ114" s="20"/>
      <c r="AR114" s="20"/>
      <c r="AS114" s="20"/>
      <c r="AT114" s="20"/>
      <c r="AU114" s="20"/>
      <c r="AV114" s="17"/>
      <c r="AW114" s="17"/>
      <c r="AX114" s="17"/>
      <c r="AY114" s="17"/>
      <c r="AZ114" s="17"/>
      <c r="BA114" s="18"/>
    </row>
    <row r="115" spans="1:53" x14ac:dyDescent="0.2">
      <c r="A115" s="67">
        <v>20000</v>
      </c>
      <c r="B115" s="67" t="s">
        <v>101</v>
      </c>
      <c r="C115" s="67">
        <v>50</v>
      </c>
      <c r="D115" s="67">
        <v>4455.78</v>
      </c>
      <c r="E115" s="67">
        <v>22.055856735264907</v>
      </c>
      <c r="F115" s="67">
        <v>3.1191691724769606</v>
      </c>
      <c r="G115" s="67">
        <v>4449.5117948705729</v>
      </c>
      <c r="H115" s="67">
        <v>4462.0482051294266</v>
      </c>
      <c r="I115" s="17"/>
      <c r="J115" s="17"/>
      <c r="K115" s="17"/>
      <c r="L115" s="9"/>
      <c r="M115"/>
      <c r="N115"/>
      <c r="O115"/>
      <c r="P115"/>
      <c r="Q115"/>
      <c r="R115" s="17"/>
      <c r="S115"/>
      <c r="T115"/>
      <c r="U115"/>
      <c r="V115"/>
      <c r="W115"/>
      <c r="X115" s="17"/>
      <c r="Y115" s="67"/>
      <c r="Z115" s="67"/>
      <c r="AA115" s="67"/>
      <c r="AB115" s="67"/>
      <c r="AC115" s="67"/>
      <c r="AD115" s="17"/>
      <c r="AE115" s="17"/>
      <c r="AF115" s="17"/>
      <c r="AG115" s="17"/>
      <c r="AH115" s="17"/>
      <c r="AI115" s="17"/>
      <c r="AJ115" s="17"/>
      <c r="AK115"/>
      <c r="AL115"/>
      <c r="AM115"/>
      <c r="AN115"/>
      <c r="AO115"/>
      <c r="AP115" s="83"/>
      <c r="AQ115" s="20"/>
      <c r="AR115" s="20"/>
      <c r="AS115" s="20"/>
      <c r="AT115" s="20"/>
      <c r="AU115" s="20"/>
      <c r="AV115" s="17"/>
      <c r="AW115" s="17"/>
      <c r="AX115" s="17"/>
      <c r="AY115" s="17"/>
      <c r="AZ115" s="17"/>
      <c r="BA115" s="18"/>
    </row>
    <row r="116" spans="1:53" x14ac:dyDescent="0.2">
      <c r="A116" s="47"/>
      <c r="B116" s="47"/>
      <c r="C116" s="48"/>
      <c r="D116" s="49"/>
      <c r="E116" s="49"/>
      <c r="F116" s="49"/>
      <c r="G116" s="49"/>
      <c r="H116" s="49"/>
      <c r="I116" s="17"/>
      <c r="J116" s="17"/>
      <c r="K116" s="17"/>
      <c r="L116" s="9"/>
      <c r="M116"/>
      <c r="N116"/>
      <c r="O116"/>
      <c r="P116"/>
      <c r="Q116"/>
      <c r="R116" s="17"/>
      <c r="S116"/>
      <c r="T116"/>
      <c r="U116"/>
      <c r="V116"/>
      <c r="W116"/>
      <c r="X116" s="17"/>
      <c r="Y116" s="67"/>
      <c r="Z116" s="67"/>
      <c r="AA116" s="67"/>
      <c r="AB116" s="67"/>
      <c r="AC116" s="67"/>
      <c r="AD116" s="17"/>
      <c r="AE116" s="17"/>
      <c r="AF116" s="17"/>
      <c r="AG116" s="17"/>
      <c r="AH116" s="17"/>
      <c r="AI116" s="17"/>
      <c r="AJ116" s="17"/>
      <c r="AK116"/>
      <c r="AL116"/>
      <c r="AM116"/>
      <c r="AN116"/>
      <c r="AO116"/>
      <c r="AP116" s="83"/>
      <c r="AQ116" s="20"/>
      <c r="AR116" s="20"/>
      <c r="AS116" s="20"/>
      <c r="AT116" s="20"/>
      <c r="AU116" s="20"/>
      <c r="AV116" s="17"/>
      <c r="AW116" s="17"/>
      <c r="AX116" s="17"/>
      <c r="AY116" s="17"/>
      <c r="AZ116" s="17"/>
      <c r="BA116" s="18"/>
    </row>
    <row r="117" spans="1:53" ht="13.5" thickBot="1" x14ac:dyDescent="0.25">
      <c r="A117" s="17"/>
      <c r="B117" s="17"/>
      <c r="C117" s="17"/>
      <c r="D117" s="21"/>
      <c r="E117" s="21"/>
      <c r="F117" s="17"/>
      <c r="G117" s="17"/>
      <c r="H117" s="17"/>
      <c r="I117" s="17"/>
      <c r="J117" s="17"/>
      <c r="K117" s="17"/>
      <c r="L117" s="9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84"/>
      <c r="AQ117" s="20"/>
      <c r="AR117" s="20"/>
      <c r="AS117" s="20"/>
      <c r="AT117" s="20"/>
      <c r="AU117" s="20"/>
      <c r="AV117" s="17"/>
      <c r="AW117" s="17"/>
      <c r="AX117" s="17"/>
      <c r="AY117" s="17"/>
      <c r="AZ117" s="17"/>
      <c r="BA117" s="17"/>
    </row>
    <row r="118" spans="1:53" s="8" customFormat="1" ht="13.5" thickBot="1" x14ac:dyDescent="0.25">
      <c r="A118" s="96"/>
      <c r="B118" s="97"/>
      <c r="C118" s="97"/>
      <c r="D118" s="97"/>
      <c r="E118" s="97"/>
      <c r="F118" s="97"/>
      <c r="G118" s="97"/>
      <c r="H118" s="97"/>
      <c r="I118" s="97"/>
      <c r="J118" s="55"/>
      <c r="K118" s="55"/>
      <c r="L118" s="97" t="s">
        <v>19</v>
      </c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57"/>
      <c r="AO118" s="55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8"/>
    </row>
    <row r="119" spans="1:53" s="8" customFormat="1" ht="13.5" thickBot="1" x14ac:dyDescent="0.25">
      <c r="A119" s="4" t="s">
        <v>12</v>
      </c>
      <c r="B119" s="5" t="s">
        <v>20</v>
      </c>
      <c r="C119" s="5" t="s">
        <v>2</v>
      </c>
      <c r="D119" s="5" t="s">
        <v>21</v>
      </c>
      <c r="E119" s="5" t="s">
        <v>22</v>
      </c>
      <c r="F119" s="5" t="s">
        <v>23</v>
      </c>
      <c r="G119" s="5" t="s">
        <v>24</v>
      </c>
      <c r="H119" s="5" t="s">
        <v>25</v>
      </c>
      <c r="I119" s="6"/>
      <c r="J119" s="55"/>
      <c r="K119" s="55"/>
      <c r="L119" s="41" t="s">
        <v>8</v>
      </c>
      <c r="M119" s="51"/>
      <c r="N119" s="55"/>
      <c r="O119" s="55"/>
      <c r="P119" s="57"/>
      <c r="Q119" s="51"/>
      <c r="R119" s="51"/>
      <c r="S119" s="52"/>
      <c r="T119" s="52"/>
      <c r="U119" s="52"/>
      <c r="V119" s="52"/>
      <c r="W119" s="52"/>
      <c r="X119" s="52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4"/>
      <c r="AL119" s="54"/>
      <c r="AM119" s="54"/>
      <c r="AN119" s="54"/>
      <c r="AO119" s="54"/>
      <c r="AP119" s="7"/>
      <c r="AQ119" s="15"/>
      <c r="AR119" s="15"/>
      <c r="AS119" s="15"/>
      <c r="AT119" s="15"/>
      <c r="AU119" s="15"/>
      <c r="AV119" s="13"/>
      <c r="AW119" s="13"/>
      <c r="AX119" s="13"/>
      <c r="AY119" s="13"/>
      <c r="AZ119" s="13"/>
      <c r="BA119" s="14"/>
    </row>
    <row r="120" spans="1:53" x14ac:dyDescent="0.2">
      <c r="A120" s="47">
        <v>21052</v>
      </c>
      <c r="B120" s="47" t="s">
        <v>4</v>
      </c>
      <c r="C120" s="48">
        <v>1</v>
      </c>
      <c r="D120" s="49">
        <v>240.03955999999999</v>
      </c>
      <c r="E120" s="49">
        <v>0</v>
      </c>
      <c r="F120" s="49">
        <v>0</v>
      </c>
      <c r="G120" s="49">
        <v>240.03955999999999</v>
      </c>
      <c r="H120" s="49">
        <v>240.03955999999999</v>
      </c>
      <c r="I120" s="17"/>
      <c r="J120" s="17"/>
      <c r="K120" s="17"/>
      <c r="L120" s="9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36"/>
      <c r="AL120" s="36"/>
      <c r="AM120" s="36"/>
      <c r="AN120" s="36"/>
      <c r="AO120" s="36"/>
      <c r="AP120" s="18"/>
      <c r="AQ120" s="20"/>
      <c r="AR120" s="20"/>
      <c r="AS120" s="20"/>
      <c r="AT120" s="20"/>
      <c r="AU120" s="20"/>
      <c r="AV120" s="17"/>
      <c r="AW120" s="17"/>
      <c r="AX120" s="17"/>
      <c r="AY120" s="17"/>
      <c r="AZ120" s="17"/>
      <c r="BA120" s="18"/>
    </row>
    <row r="121" spans="1:53" x14ac:dyDescent="0.2">
      <c r="A121" s="47">
        <v>21052</v>
      </c>
      <c r="B121" s="47" t="s">
        <v>3</v>
      </c>
      <c r="C121" s="48">
        <v>1</v>
      </c>
      <c r="D121" s="49">
        <v>259.23682600000001</v>
      </c>
      <c r="E121" s="49">
        <v>0</v>
      </c>
      <c r="F121" s="49">
        <v>0</v>
      </c>
      <c r="G121" s="49">
        <v>259.23682600000001</v>
      </c>
      <c r="H121" s="49">
        <v>259.23682600000001</v>
      </c>
      <c r="I121" s="17"/>
      <c r="J121" s="17"/>
      <c r="K121" s="17"/>
      <c r="L121" s="9"/>
      <c r="M121" s="36"/>
      <c r="N121" s="36"/>
      <c r="O121" s="36"/>
      <c r="P121" s="36"/>
      <c r="Q121" s="36"/>
      <c r="R121" s="36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36"/>
      <c r="AL121" s="36"/>
      <c r="AM121" s="36"/>
      <c r="AN121" s="36"/>
      <c r="AO121" s="36"/>
      <c r="AP121" s="18"/>
      <c r="AQ121" s="20"/>
      <c r="AR121" s="20"/>
      <c r="AS121" s="20"/>
      <c r="AT121" s="20"/>
      <c r="AU121" s="20"/>
      <c r="AV121" s="17"/>
      <c r="AW121" s="17"/>
      <c r="AX121" s="17"/>
      <c r="AY121" s="17"/>
      <c r="AZ121" s="17"/>
      <c r="BA121" s="18"/>
    </row>
    <row r="122" spans="1:53" x14ac:dyDescent="0.2">
      <c r="A122" s="47">
        <v>21052</v>
      </c>
      <c r="B122" s="47" t="s">
        <v>5</v>
      </c>
      <c r="C122" s="48">
        <v>35</v>
      </c>
      <c r="D122" s="49">
        <v>278.44477879999999</v>
      </c>
      <c r="E122" s="49">
        <v>1.1854071971725677</v>
      </c>
      <c r="F122" s="49">
        <v>0.20037038725524023</v>
      </c>
      <c r="G122" s="49">
        <v>277.89808936408502</v>
      </c>
      <c r="H122" s="49">
        <v>278.99146823591497</v>
      </c>
      <c r="I122" s="17"/>
      <c r="J122" s="17"/>
      <c r="K122" s="17"/>
      <c r="L122" s="9"/>
      <c r="M122" s="36"/>
      <c r="N122" s="36"/>
      <c r="O122" s="36"/>
      <c r="P122" s="36"/>
      <c r="Q122" s="36"/>
      <c r="R122" s="36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36"/>
      <c r="AL122" s="36"/>
      <c r="AM122" s="36"/>
      <c r="AN122" s="36"/>
      <c r="AO122" s="36"/>
      <c r="AP122" s="18"/>
      <c r="AQ122" s="20"/>
      <c r="AR122" s="20"/>
      <c r="AS122" s="20"/>
      <c r="AT122" s="20"/>
      <c r="AU122" s="20"/>
      <c r="AV122" s="17"/>
      <c r="AW122" s="17"/>
      <c r="AX122" s="17"/>
      <c r="AY122" s="17"/>
      <c r="AZ122" s="17"/>
      <c r="BA122" s="18"/>
    </row>
    <row r="123" spans="1:53" x14ac:dyDescent="0.2">
      <c r="A123" s="47">
        <v>21052</v>
      </c>
      <c r="B123" s="47" t="s">
        <v>6</v>
      </c>
      <c r="C123" s="48">
        <v>35</v>
      </c>
      <c r="D123" s="49">
        <v>264.48115568571427</v>
      </c>
      <c r="E123" s="49">
        <v>0.89622205749700412</v>
      </c>
      <c r="F123" s="49">
        <v>0.15148917701502765</v>
      </c>
      <c r="G123" s="49">
        <v>264.0678334684743</v>
      </c>
      <c r="H123" s="49">
        <v>264.89447790295424</v>
      </c>
      <c r="I123" s="17"/>
      <c r="J123" s="17"/>
      <c r="K123" s="17"/>
      <c r="L123" s="9"/>
      <c r="M123" s="36"/>
      <c r="N123" s="36"/>
      <c r="O123" s="36"/>
      <c r="P123" s="36"/>
      <c r="Q123" s="36"/>
      <c r="R123" s="36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36"/>
      <c r="AL123" s="36"/>
      <c r="AM123" s="36"/>
      <c r="AN123" s="36"/>
      <c r="AO123" s="36"/>
      <c r="AP123" s="18"/>
      <c r="AQ123" s="20"/>
      <c r="AR123" s="20"/>
      <c r="AS123" s="20"/>
      <c r="AT123" s="20"/>
      <c r="AU123" s="20"/>
      <c r="AV123" s="17"/>
      <c r="AW123" s="17"/>
      <c r="AX123" s="17"/>
      <c r="AY123" s="17"/>
      <c r="AZ123" s="17"/>
      <c r="BA123" s="18"/>
    </row>
    <row r="124" spans="1:53" x14ac:dyDescent="0.2">
      <c r="A124" s="47">
        <v>21052</v>
      </c>
      <c r="B124" s="47" t="s">
        <v>7</v>
      </c>
      <c r="C124" s="48">
        <v>35</v>
      </c>
      <c r="D124" s="49">
        <v>272.36241111428569</v>
      </c>
      <c r="E124" s="49">
        <v>0.78093778429691774</v>
      </c>
      <c r="F124" s="49">
        <v>0.1320025782153601</v>
      </c>
      <c r="G124" s="49">
        <v>272.00225602344409</v>
      </c>
      <c r="H124" s="49">
        <v>272.72256620512729</v>
      </c>
      <c r="I124" s="17"/>
      <c r="J124" s="17"/>
      <c r="K124" s="17"/>
      <c r="L124" s="9"/>
      <c r="M124" s="36"/>
      <c r="N124" s="36"/>
      <c r="O124" s="36"/>
      <c r="P124" s="36"/>
      <c r="Q124" s="36"/>
      <c r="R124" s="36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36"/>
      <c r="AL124" s="36"/>
      <c r="AM124" s="36"/>
      <c r="AN124" s="36"/>
      <c r="AO124" s="36"/>
      <c r="AP124" s="18"/>
      <c r="AQ124" s="20"/>
      <c r="AR124" s="20"/>
      <c r="AS124" s="20"/>
      <c r="AT124" s="20"/>
      <c r="AU124" s="20"/>
      <c r="AV124" s="17"/>
      <c r="AW124" s="17"/>
      <c r="AX124" s="17"/>
      <c r="AY124" s="17"/>
      <c r="AZ124" s="17"/>
      <c r="BA124" s="18"/>
    </row>
    <row r="125" spans="1:53" x14ac:dyDescent="0.2">
      <c r="A125" s="47">
        <v>62936</v>
      </c>
      <c r="B125" s="47" t="s">
        <v>4</v>
      </c>
      <c r="C125" s="48">
        <v>1</v>
      </c>
      <c r="D125" s="49">
        <v>241.47233800000001</v>
      </c>
      <c r="E125" s="49">
        <v>0</v>
      </c>
      <c r="F125" s="49">
        <v>0</v>
      </c>
      <c r="G125" s="49">
        <v>241.47233800000001</v>
      </c>
      <c r="H125" s="49">
        <v>241.47233800000001</v>
      </c>
      <c r="I125" s="17"/>
      <c r="J125" s="17"/>
      <c r="K125" s="17"/>
      <c r="L125" s="9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AK125" s="36"/>
      <c r="AL125" s="36"/>
      <c r="AM125" s="36"/>
      <c r="AN125" s="36"/>
      <c r="AO125" s="36"/>
      <c r="AP125" s="18"/>
      <c r="AQ125" s="20"/>
      <c r="AR125" s="20"/>
      <c r="AS125" s="20"/>
      <c r="AT125" s="20"/>
      <c r="AU125" s="20"/>
      <c r="AV125" s="17"/>
      <c r="AW125" s="17"/>
      <c r="AX125" s="17"/>
      <c r="AY125" s="17"/>
      <c r="AZ125" s="17"/>
      <c r="BA125" s="18"/>
    </row>
    <row r="126" spans="1:53" x14ac:dyDescent="0.2">
      <c r="A126" s="47">
        <v>62936</v>
      </c>
      <c r="B126" s="47" t="s">
        <v>3</v>
      </c>
      <c r="C126" s="48">
        <v>1</v>
      </c>
      <c r="D126" s="49">
        <v>260.091702</v>
      </c>
      <c r="E126" s="49">
        <v>0</v>
      </c>
      <c r="F126" s="49">
        <v>0</v>
      </c>
      <c r="G126" s="49">
        <v>260.091702</v>
      </c>
      <c r="H126" s="49">
        <v>260.091702</v>
      </c>
      <c r="I126" s="17"/>
      <c r="J126" s="17"/>
      <c r="K126" s="17"/>
      <c r="L126" s="9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8"/>
      <c r="AQ126" s="20"/>
      <c r="AR126" s="20"/>
      <c r="AS126" s="20"/>
      <c r="AT126" s="20"/>
      <c r="AU126" s="20"/>
      <c r="AV126" s="17"/>
      <c r="AW126" s="17"/>
      <c r="AX126" s="17"/>
      <c r="AY126" s="17"/>
      <c r="AZ126" s="17"/>
      <c r="BA126" s="18"/>
    </row>
    <row r="127" spans="1:53" x14ac:dyDescent="0.2">
      <c r="A127" s="47">
        <v>62936</v>
      </c>
      <c r="B127" s="47" t="s">
        <v>5</v>
      </c>
      <c r="C127" s="48">
        <v>35</v>
      </c>
      <c r="D127" s="49">
        <v>279.09656231428568</v>
      </c>
      <c r="E127" s="49">
        <v>0.67244784875087971</v>
      </c>
      <c r="F127" s="49">
        <v>0.1136644320909688</v>
      </c>
      <c r="G127" s="49">
        <v>278.78644091803238</v>
      </c>
      <c r="H127" s="49">
        <v>279.40668371053897</v>
      </c>
      <c r="I127" s="17"/>
      <c r="J127" s="17"/>
      <c r="K127" s="17"/>
      <c r="L127" s="9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8"/>
      <c r="AQ127" s="20"/>
      <c r="AR127" s="20"/>
      <c r="AS127" s="20"/>
      <c r="AT127" s="20"/>
      <c r="AU127" s="20"/>
      <c r="AV127" s="17"/>
      <c r="AW127" s="17"/>
      <c r="AX127" s="17"/>
      <c r="AY127" s="17"/>
      <c r="AZ127" s="17"/>
      <c r="BA127" s="18"/>
    </row>
    <row r="128" spans="1:53" x14ac:dyDescent="0.2">
      <c r="A128" s="47">
        <v>62936</v>
      </c>
      <c r="B128" s="47" t="s">
        <v>6</v>
      </c>
      <c r="C128" s="48">
        <v>35</v>
      </c>
      <c r="D128" s="49">
        <v>264.50905405714281</v>
      </c>
      <c r="E128" s="49">
        <v>0.62025553142825884</v>
      </c>
      <c r="F128" s="49">
        <v>0.10484232028109802</v>
      </c>
      <c r="G128" s="49">
        <v>264.22300286105724</v>
      </c>
      <c r="H128" s="49">
        <v>264.79510525322837</v>
      </c>
      <c r="I128" s="17"/>
      <c r="J128" s="17"/>
      <c r="K128" s="17"/>
      <c r="L128" s="9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8"/>
      <c r="AQ128" s="20"/>
      <c r="AR128" s="20"/>
      <c r="AS128" s="20"/>
      <c r="AT128" s="20"/>
      <c r="AU128" s="20"/>
      <c r="AV128" s="17"/>
      <c r="AW128" s="17"/>
      <c r="AX128" s="17"/>
      <c r="AY128" s="17"/>
      <c r="AZ128" s="17"/>
      <c r="BA128" s="18"/>
    </row>
    <row r="129" spans="1:53" x14ac:dyDescent="0.2">
      <c r="A129" s="47">
        <v>62936</v>
      </c>
      <c r="B129" s="47" t="s">
        <v>7</v>
      </c>
      <c r="C129" s="48">
        <v>35</v>
      </c>
      <c r="D129" s="49">
        <v>272.99618337142857</v>
      </c>
      <c r="E129" s="49">
        <v>0.47628312858290189</v>
      </c>
      <c r="F129" s="49">
        <v>8.0506542515449739E-2</v>
      </c>
      <c r="G129" s="49">
        <v>272.77652977431705</v>
      </c>
      <c r="H129" s="49">
        <v>273.21583696854009</v>
      </c>
      <c r="I129" s="17"/>
      <c r="J129" s="17"/>
      <c r="K129" s="17"/>
      <c r="L129" s="9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8"/>
      <c r="AQ129" s="20"/>
      <c r="AR129" s="20"/>
      <c r="AS129" s="20"/>
      <c r="AT129" s="20"/>
      <c r="AU129" s="20"/>
      <c r="AV129" s="17"/>
      <c r="AW129" s="17"/>
      <c r="AX129" s="17"/>
      <c r="AY129" s="17"/>
      <c r="AZ129" s="17"/>
      <c r="BA129" s="18"/>
    </row>
    <row r="130" spans="1:53" x14ac:dyDescent="0.2">
      <c r="A130" s="47">
        <v>104717</v>
      </c>
      <c r="B130" s="47" t="s">
        <v>4</v>
      </c>
      <c r="C130" s="48">
        <v>1</v>
      </c>
      <c r="D130" s="49">
        <v>241.34255999999999</v>
      </c>
      <c r="E130" s="49">
        <v>0</v>
      </c>
      <c r="F130" s="49">
        <v>0</v>
      </c>
      <c r="G130" s="49">
        <v>241.34255999999999</v>
      </c>
      <c r="H130" s="49">
        <v>241.34255999999999</v>
      </c>
      <c r="I130" s="17"/>
      <c r="J130" s="17"/>
      <c r="K130" s="17"/>
      <c r="L130" s="9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8"/>
      <c r="AQ130" s="20"/>
      <c r="AR130" s="20"/>
      <c r="AS130" s="20"/>
      <c r="AT130" s="20"/>
      <c r="AU130" s="20"/>
      <c r="AV130" s="17"/>
      <c r="AW130" s="17"/>
      <c r="AX130" s="17"/>
      <c r="AY130" s="17"/>
      <c r="AZ130" s="17"/>
      <c r="BA130" s="18"/>
    </row>
    <row r="131" spans="1:53" x14ac:dyDescent="0.2">
      <c r="A131" s="47">
        <v>104717</v>
      </c>
      <c r="B131" s="47" t="s">
        <v>3</v>
      </c>
      <c r="C131" s="48">
        <v>1</v>
      </c>
      <c r="D131" s="49">
        <v>259.4633</v>
      </c>
      <c r="E131" s="49">
        <v>0</v>
      </c>
      <c r="F131" s="49">
        <v>0</v>
      </c>
      <c r="G131" s="49">
        <v>259.4633</v>
      </c>
      <c r="H131" s="49">
        <v>259.4633</v>
      </c>
      <c r="I131" s="17"/>
      <c r="J131" s="17"/>
      <c r="K131" s="17"/>
      <c r="L131" s="9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8"/>
      <c r="AQ131" s="20"/>
      <c r="AR131" s="20"/>
      <c r="AS131" s="20"/>
      <c r="AT131" s="20"/>
      <c r="AU131" s="20"/>
      <c r="AV131" s="17"/>
      <c r="AW131" s="17"/>
      <c r="AX131" s="17"/>
      <c r="AY131" s="17"/>
      <c r="AZ131" s="17"/>
      <c r="BA131" s="18"/>
    </row>
    <row r="132" spans="1:53" x14ac:dyDescent="0.2">
      <c r="A132" s="47">
        <v>104717</v>
      </c>
      <c r="B132" s="47" t="s">
        <v>5</v>
      </c>
      <c r="C132" s="48">
        <v>35</v>
      </c>
      <c r="D132" s="49">
        <v>279.13472982857149</v>
      </c>
      <c r="E132" s="49">
        <v>0.41656030001680278</v>
      </c>
      <c r="F132" s="49">
        <v>7.041154198203764E-2</v>
      </c>
      <c r="G132" s="49">
        <v>278.94261937405093</v>
      </c>
      <c r="H132" s="49">
        <v>279.32684028309205</v>
      </c>
      <c r="I132" s="17"/>
      <c r="J132" s="17"/>
      <c r="K132" s="17"/>
      <c r="L132" s="9"/>
      <c r="M132" s="17"/>
      <c r="N132" s="17"/>
      <c r="O132" s="17"/>
      <c r="P132" s="17"/>
      <c r="Q132" s="17"/>
      <c r="R132" s="17"/>
      <c r="S132" s="17"/>
      <c r="T132" s="22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8"/>
      <c r="AQ132" s="20"/>
      <c r="AR132" s="20"/>
      <c r="AS132" s="20"/>
      <c r="AT132" s="20"/>
      <c r="AU132" s="20"/>
      <c r="AV132" s="17"/>
      <c r="AW132" s="17"/>
      <c r="AX132" s="17"/>
      <c r="AY132" s="17"/>
      <c r="AZ132" s="17"/>
      <c r="BA132" s="18"/>
    </row>
    <row r="133" spans="1:53" x14ac:dyDescent="0.2">
      <c r="A133" s="47">
        <v>104717</v>
      </c>
      <c r="B133" s="47" t="s">
        <v>6</v>
      </c>
      <c r="C133" s="48">
        <v>35</v>
      </c>
      <c r="D133" s="49">
        <v>264.55226557142856</v>
      </c>
      <c r="E133" s="49">
        <v>0.45874453125949233</v>
      </c>
      <c r="F133" s="49">
        <v>7.7541978485479779E-2</v>
      </c>
      <c r="G133" s="49">
        <v>264.34070047411728</v>
      </c>
      <c r="H133" s="49">
        <v>264.76383066873984</v>
      </c>
      <c r="I133" s="17"/>
      <c r="J133" s="17"/>
      <c r="K133" s="17"/>
      <c r="L133" s="9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8"/>
      <c r="AQ133" s="20"/>
      <c r="AR133" s="20"/>
      <c r="AS133" s="20"/>
      <c r="AT133" s="20"/>
      <c r="AU133" s="20"/>
      <c r="AV133" s="17"/>
      <c r="AW133" s="17"/>
      <c r="AX133" s="17"/>
      <c r="AY133" s="17"/>
      <c r="AZ133" s="17"/>
      <c r="BA133" s="18"/>
    </row>
    <row r="134" spans="1:53" x14ac:dyDescent="0.2">
      <c r="A134" s="47">
        <v>104717</v>
      </c>
      <c r="B134" s="47" t="s">
        <v>7</v>
      </c>
      <c r="C134" s="48">
        <v>35</v>
      </c>
      <c r="D134" s="49">
        <v>273.08601851428568</v>
      </c>
      <c r="E134" s="49">
        <v>0.41075959966093306</v>
      </c>
      <c r="F134" s="49">
        <v>6.9431044664803945E-2</v>
      </c>
      <c r="G134" s="49">
        <v>272.89658324312239</v>
      </c>
      <c r="H134" s="49">
        <v>273.27545378544897</v>
      </c>
      <c r="I134" s="17"/>
      <c r="J134" s="17"/>
      <c r="K134" s="17"/>
      <c r="L134" s="9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8"/>
      <c r="AQ134" s="20"/>
      <c r="AR134" s="20"/>
      <c r="AS134" s="20"/>
      <c r="AT134" s="20"/>
      <c r="AU134" s="20"/>
      <c r="AV134" s="17"/>
      <c r="AW134" s="17"/>
      <c r="AX134" s="17"/>
      <c r="AY134" s="17"/>
      <c r="AZ134" s="17"/>
      <c r="BA134" s="18"/>
    </row>
    <row r="135" spans="1:53" ht="13.5" thickBot="1" x14ac:dyDescent="0.25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13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6"/>
      <c r="AQ135" s="28"/>
      <c r="AR135" s="28"/>
      <c r="AS135" s="28"/>
      <c r="AT135" s="28"/>
      <c r="AU135" s="28"/>
      <c r="AV135" s="24"/>
      <c r="AW135" s="24"/>
      <c r="AX135" s="24"/>
      <c r="AY135" s="24"/>
      <c r="AZ135" s="24"/>
      <c r="BA135" s="26"/>
    </row>
    <row r="136" spans="1:53" x14ac:dyDescent="0.2">
      <c r="AQ136" s="30"/>
      <c r="AR136" s="30"/>
      <c r="AS136" s="30"/>
      <c r="AT136" s="30"/>
      <c r="AU136" s="30"/>
    </row>
    <row r="137" spans="1:53" x14ac:dyDescent="0.2">
      <c r="AQ137" s="30"/>
      <c r="AR137" s="30"/>
      <c r="AS137" s="30"/>
      <c r="AT137" s="30"/>
      <c r="AU137" s="30"/>
    </row>
    <row r="138" spans="1:53" x14ac:dyDescent="0.2">
      <c r="AQ138" s="30"/>
      <c r="AR138" s="30"/>
      <c r="AS138" s="30"/>
      <c r="AT138" s="30"/>
      <c r="AU138" s="30"/>
    </row>
    <row r="139" spans="1:53" x14ac:dyDescent="0.2">
      <c r="AQ139" s="30"/>
      <c r="AR139" s="30"/>
      <c r="AS139" s="30"/>
      <c r="AT139" s="30"/>
      <c r="AU139" s="30"/>
    </row>
    <row r="140" spans="1:53" x14ac:dyDescent="0.2">
      <c r="AQ140" s="30"/>
      <c r="AR140" s="30"/>
      <c r="AS140" s="30"/>
      <c r="AT140" s="30"/>
      <c r="AU140" s="30"/>
    </row>
    <row r="141" spans="1:53" x14ac:dyDescent="0.2">
      <c r="AQ141" s="30"/>
      <c r="AR141" s="30"/>
      <c r="AS141" s="30"/>
      <c r="AT141" s="30"/>
      <c r="AU141" s="30"/>
    </row>
    <row r="142" spans="1:53" x14ac:dyDescent="0.2">
      <c r="AQ142" s="30"/>
      <c r="AR142" s="30"/>
      <c r="AS142" s="30"/>
      <c r="AT142" s="30"/>
      <c r="AU142" s="30"/>
    </row>
    <row r="143" spans="1:53" x14ac:dyDescent="0.2">
      <c r="AQ143" s="30"/>
      <c r="AR143" s="30"/>
      <c r="AS143" s="30"/>
      <c r="AT143" s="30"/>
      <c r="AU143" s="30"/>
    </row>
    <row r="144" spans="1:53" x14ac:dyDescent="0.2">
      <c r="AQ144" s="30"/>
      <c r="AR144" s="30"/>
      <c r="AS144" s="30"/>
      <c r="AT144" s="30"/>
      <c r="AU144" s="30"/>
    </row>
    <row r="145" spans="43:47" x14ac:dyDescent="0.2">
      <c r="AQ145" s="30"/>
      <c r="AR145" s="30"/>
      <c r="AS145" s="30"/>
      <c r="AT145" s="30"/>
      <c r="AU145" s="30"/>
    </row>
    <row r="146" spans="43:47" x14ac:dyDescent="0.2">
      <c r="AQ146" s="30"/>
      <c r="AR146" s="30"/>
      <c r="AS146" s="30"/>
      <c r="AT146" s="30"/>
      <c r="AU146" s="30"/>
    </row>
    <row r="147" spans="43:47" x14ac:dyDescent="0.2">
      <c r="AQ147" s="30"/>
      <c r="AR147" s="30"/>
      <c r="AS147" s="30"/>
      <c r="AT147" s="30"/>
      <c r="AU147" s="30"/>
    </row>
    <row r="148" spans="43:47" x14ac:dyDescent="0.2">
      <c r="AQ148" s="30"/>
      <c r="AR148" s="30"/>
      <c r="AS148" s="30"/>
      <c r="AT148" s="30"/>
      <c r="AU148" s="30"/>
    </row>
    <row r="149" spans="43:47" x14ac:dyDescent="0.2">
      <c r="AQ149" s="30"/>
      <c r="AR149" s="30"/>
      <c r="AS149" s="30"/>
      <c r="AT149" s="30"/>
      <c r="AU149" s="30"/>
    </row>
    <row r="150" spans="43:47" x14ac:dyDescent="0.2">
      <c r="AQ150" s="30"/>
      <c r="AR150" s="30"/>
      <c r="AS150" s="30"/>
      <c r="AT150" s="30"/>
      <c r="AU150" s="30"/>
    </row>
    <row r="151" spans="43:47" x14ac:dyDescent="0.2">
      <c r="AQ151" s="30"/>
      <c r="AR151" s="30"/>
      <c r="AS151" s="30"/>
      <c r="AT151" s="30"/>
      <c r="AU151" s="30"/>
    </row>
    <row r="152" spans="43:47" x14ac:dyDescent="0.2">
      <c r="AQ152" s="30"/>
      <c r="AR152" s="30"/>
      <c r="AS152" s="30"/>
      <c r="AT152" s="30"/>
      <c r="AU152" s="30"/>
    </row>
    <row r="153" spans="43:47" x14ac:dyDescent="0.2">
      <c r="AQ153" s="30"/>
      <c r="AR153" s="30"/>
      <c r="AS153" s="30"/>
      <c r="AT153" s="30"/>
      <c r="AU153" s="30"/>
    </row>
    <row r="154" spans="43:47" x14ac:dyDescent="0.2">
      <c r="AQ154" s="30"/>
      <c r="AR154" s="30"/>
      <c r="AS154" s="30"/>
      <c r="AT154" s="30"/>
      <c r="AU154" s="30"/>
    </row>
    <row r="155" spans="43:47" x14ac:dyDescent="0.2">
      <c r="AQ155" s="30"/>
      <c r="AR155" s="30"/>
      <c r="AS155" s="30"/>
      <c r="AT155" s="30"/>
      <c r="AU155" s="30"/>
    </row>
    <row r="156" spans="43:47" x14ac:dyDescent="0.2">
      <c r="AQ156" s="30"/>
      <c r="AR156" s="30"/>
      <c r="AS156" s="30"/>
      <c r="AT156" s="30"/>
      <c r="AU156" s="30"/>
    </row>
    <row r="157" spans="43:47" x14ac:dyDescent="0.2">
      <c r="AQ157" s="30"/>
      <c r="AR157" s="30"/>
      <c r="AS157" s="30"/>
      <c r="AT157" s="30"/>
      <c r="AU157" s="30"/>
    </row>
    <row r="158" spans="43:47" x14ac:dyDescent="0.2">
      <c r="AQ158" s="30"/>
      <c r="AR158" s="30"/>
      <c r="AS158" s="30"/>
      <c r="AT158" s="30"/>
      <c r="AU158" s="30"/>
    </row>
    <row r="159" spans="43:47" x14ac:dyDescent="0.2">
      <c r="AQ159" s="30"/>
      <c r="AR159" s="30"/>
      <c r="AS159" s="30"/>
      <c r="AT159" s="30"/>
      <c r="AU159" s="30"/>
    </row>
    <row r="160" spans="43:47" x14ac:dyDescent="0.2">
      <c r="AQ160" s="30"/>
      <c r="AR160" s="30"/>
      <c r="AS160" s="30"/>
      <c r="AT160" s="30"/>
      <c r="AU160" s="30"/>
    </row>
    <row r="161" spans="43:47" x14ac:dyDescent="0.2">
      <c r="AQ161" s="30"/>
      <c r="AR161" s="30"/>
      <c r="AS161" s="30"/>
      <c r="AT161" s="30"/>
      <c r="AU161" s="30"/>
    </row>
    <row r="162" spans="43:47" x14ac:dyDescent="0.2">
      <c r="AQ162" s="30"/>
      <c r="AR162" s="30"/>
      <c r="AS162" s="30"/>
      <c r="AT162" s="30"/>
      <c r="AU162" s="30"/>
    </row>
    <row r="163" spans="43:47" x14ac:dyDescent="0.2">
      <c r="AQ163" s="30"/>
      <c r="AR163" s="30"/>
      <c r="AS163" s="30"/>
      <c r="AT163" s="30"/>
      <c r="AU163" s="30"/>
    </row>
    <row r="164" spans="43:47" x14ac:dyDescent="0.2">
      <c r="AQ164" s="30"/>
      <c r="AR164" s="30"/>
      <c r="AS164" s="30"/>
      <c r="AT164" s="30"/>
      <c r="AU164" s="30"/>
    </row>
    <row r="165" spans="43:47" x14ac:dyDescent="0.2">
      <c r="AQ165" s="30"/>
      <c r="AR165" s="30"/>
      <c r="AS165" s="30"/>
      <c r="AT165" s="30"/>
      <c r="AU165" s="30"/>
    </row>
    <row r="166" spans="43:47" x14ac:dyDescent="0.2">
      <c r="AQ166" s="30"/>
      <c r="AR166" s="30"/>
      <c r="AS166" s="30"/>
      <c r="AT166" s="30"/>
      <c r="AU166" s="30"/>
    </row>
    <row r="167" spans="43:47" x14ac:dyDescent="0.2">
      <c r="AQ167" s="30"/>
      <c r="AR167" s="30"/>
      <c r="AS167" s="30"/>
      <c r="AT167" s="30"/>
      <c r="AU167" s="30"/>
    </row>
    <row r="168" spans="43:47" x14ac:dyDescent="0.2">
      <c r="AQ168" s="30"/>
      <c r="AR168" s="30"/>
      <c r="AS168" s="30"/>
      <c r="AT168" s="30"/>
      <c r="AU168" s="30"/>
    </row>
    <row r="169" spans="43:47" x14ac:dyDescent="0.2">
      <c r="AQ169" s="30"/>
      <c r="AR169" s="30"/>
      <c r="AS169" s="30"/>
      <c r="AT169" s="30"/>
      <c r="AU169" s="30"/>
    </row>
    <row r="170" spans="43:47" x14ac:dyDescent="0.2">
      <c r="AQ170" s="30"/>
      <c r="AR170" s="30"/>
      <c r="AS170" s="30"/>
      <c r="AT170" s="30"/>
      <c r="AU170" s="30"/>
    </row>
    <row r="171" spans="43:47" x14ac:dyDescent="0.2">
      <c r="AQ171" s="30"/>
      <c r="AR171" s="30"/>
      <c r="AS171" s="30"/>
      <c r="AT171" s="30"/>
      <c r="AU171" s="30"/>
    </row>
    <row r="172" spans="43:47" x14ac:dyDescent="0.2">
      <c r="AQ172" s="30"/>
      <c r="AR172" s="30"/>
      <c r="AS172" s="30"/>
      <c r="AT172" s="30"/>
      <c r="AU172" s="30"/>
    </row>
    <row r="173" spans="43:47" x14ac:dyDescent="0.2">
      <c r="AQ173" s="30"/>
      <c r="AR173" s="30"/>
      <c r="AS173" s="30"/>
      <c r="AT173" s="30"/>
      <c r="AU173" s="30"/>
    </row>
    <row r="174" spans="43:47" x14ac:dyDescent="0.2">
      <c r="AQ174" s="30"/>
      <c r="AR174" s="30"/>
      <c r="AS174" s="30"/>
      <c r="AT174" s="30"/>
      <c r="AU174" s="30"/>
    </row>
    <row r="175" spans="43:47" x14ac:dyDescent="0.2">
      <c r="AQ175" s="30"/>
      <c r="AR175" s="30"/>
      <c r="AS175" s="30"/>
      <c r="AT175" s="30"/>
      <c r="AU175" s="30"/>
    </row>
    <row r="176" spans="43:47" x14ac:dyDescent="0.2">
      <c r="AQ176" s="30"/>
      <c r="AR176" s="30"/>
      <c r="AS176" s="30"/>
      <c r="AT176" s="30"/>
      <c r="AU176" s="30"/>
    </row>
    <row r="177" spans="43:47" x14ac:dyDescent="0.2">
      <c r="AQ177" s="30"/>
      <c r="AR177" s="30"/>
      <c r="AS177" s="30"/>
      <c r="AT177" s="30"/>
      <c r="AU177" s="30"/>
    </row>
    <row r="178" spans="43:47" x14ac:dyDescent="0.2">
      <c r="AQ178" s="30"/>
      <c r="AR178" s="30"/>
      <c r="AS178" s="30"/>
      <c r="AT178" s="30"/>
      <c r="AU178" s="30"/>
    </row>
    <row r="179" spans="43:47" x14ac:dyDescent="0.2">
      <c r="AQ179" s="30"/>
      <c r="AR179" s="30"/>
      <c r="AS179" s="30"/>
      <c r="AT179" s="30"/>
      <c r="AU179" s="30"/>
    </row>
    <row r="180" spans="43:47" x14ac:dyDescent="0.2">
      <c r="AQ180" s="30"/>
      <c r="AR180" s="30"/>
      <c r="AS180" s="30"/>
      <c r="AT180" s="30"/>
      <c r="AU180" s="30"/>
    </row>
    <row r="181" spans="43:47" x14ac:dyDescent="0.2">
      <c r="AQ181" s="30"/>
      <c r="AR181" s="30"/>
      <c r="AS181" s="30"/>
      <c r="AT181" s="30"/>
      <c r="AU181" s="30"/>
    </row>
    <row r="182" spans="43:47" x14ac:dyDescent="0.2">
      <c r="AQ182" s="30"/>
      <c r="AR182" s="30"/>
      <c r="AS182" s="30"/>
      <c r="AT182" s="30"/>
      <c r="AU182" s="30"/>
    </row>
    <row r="183" spans="43:47" x14ac:dyDescent="0.2">
      <c r="AQ183" s="30"/>
      <c r="AR183" s="30"/>
      <c r="AS183" s="30"/>
      <c r="AT183" s="30"/>
      <c r="AU183" s="30"/>
    </row>
    <row r="184" spans="43:47" x14ac:dyDescent="0.2">
      <c r="AQ184" s="30"/>
      <c r="AR184" s="30"/>
      <c r="AS184" s="30"/>
      <c r="AT184" s="30"/>
      <c r="AU184" s="30"/>
    </row>
    <row r="185" spans="43:47" x14ac:dyDescent="0.2">
      <c r="AQ185" s="30"/>
      <c r="AR185" s="30"/>
      <c r="AS185" s="30"/>
      <c r="AT185" s="30"/>
      <c r="AU185" s="30"/>
    </row>
    <row r="186" spans="43:47" x14ac:dyDescent="0.2">
      <c r="AQ186" s="30"/>
      <c r="AR186" s="30"/>
      <c r="AS186" s="30"/>
      <c r="AT186" s="30"/>
      <c r="AU186" s="30"/>
    </row>
    <row r="187" spans="43:47" x14ac:dyDescent="0.2">
      <c r="AQ187" s="30"/>
      <c r="AR187" s="30"/>
      <c r="AS187" s="30"/>
      <c r="AT187" s="30"/>
      <c r="AU187" s="30"/>
    </row>
    <row r="188" spans="43:47" x14ac:dyDescent="0.2">
      <c r="AQ188" s="30"/>
      <c r="AR188" s="30"/>
      <c r="AS188" s="30"/>
      <c r="AT188" s="30"/>
      <c r="AU188" s="30"/>
    </row>
    <row r="189" spans="43:47" x14ac:dyDescent="0.2">
      <c r="AQ189" s="30"/>
      <c r="AR189" s="30"/>
      <c r="AS189" s="30"/>
      <c r="AT189" s="30"/>
      <c r="AU189" s="30"/>
    </row>
    <row r="190" spans="43:47" x14ac:dyDescent="0.2">
      <c r="AQ190" s="30"/>
      <c r="AR190" s="30"/>
      <c r="AS190" s="30"/>
      <c r="AT190" s="30"/>
      <c r="AU190" s="30"/>
    </row>
    <row r="191" spans="43:47" x14ac:dyDescent="0.2">
      <c r="AQ191" s="30"/>
      <c r="AR191" s="30"/>
      <c r="AS191" s="30"/>
      <c r="AT191" s="30"/>
      <c r="AU191" s="30"/>
    </row>
    <row r="192" spans="43:47" x14ac:dyDescent="0.2">
      <c r="AQ192" s="30"/>
      <c r="AR192" s="30"/>
      <c r="AS192" s="30"/>
      <c r="AT192" s="30"/>
      <c r="AU192" s="30"/>
    </row>
    <row r="193" spans="43:47" x14ac:dyDescent="0.2">
      <c r="AQ193" s="30"/>
      <c r="AR193" s="30"/>
      <c r="AS193" s="30"/>
      <c r="AT193" s="30"/>
      <c r="AU193" s="30"/>
    </row>
    <row r="194" spans="43:47" x14ac:dyDescent="0.2">
      <c r="AQ194" s="30"/>
      <c r="AR194" s="30"/>
      <c r="AS194" s="30"/>
      <c r="AT194" s="30"/>
      <c r="AU194" s="30"/>
    </row>
    <row r="195" spans="43:47" x14ac:dyDescent="0.2">
      <c r="AQ195" s="30"/>
      <c r="AR195" s="30"/>
      <c r="AS195" s="30"/>
      <c r="AT195" s="30"/>
      <c r="AU195" s="30"/>
    </row>
    <row r="196" spans="43:47" x14ac:dyDescent="0.2">
      <c r="AQ196" s="30"/>
      <c r="AR196" s="30"/>
      <c r="AS196" s="30"/>
      <c r="AT196" s="30"/>
      <c r="AU196" s="30"/>
    </row>
    <row r="197" spans="43:47" x14ac:dyDescent="0.2">
      <c r="AQ197" s="30"/>
      <c r="AR197" s="30"/>
      <c r="AS197" s="30"/>
      <c r="AT197" s="30"/>
      <c r="AU197" s="30"/>
    </row>
    <row r="198" spans="43:47" x14ac:dyDescent="0.2">
      <c r="AQ198" s="30"/>
      <c r="AR198" s="30"/>
      <c r="AS198" s="30"/>
      <c r="AT198" s="30"/>
      <c r="AU198" s="30"/>
    </row>
    <row r="199" spans="43:47" x14ac:dyDescent="0.2">
      <c r="AQ199" s="30"/>
      <c r="AR199" s="30"/>
      <c r="AS199" s="30"/>
      <c r="AT199" s="30"/>
      <c r="AU199" s="30"/>
    </row>
    <row r="200" spans="43:47" x14ac:dyDescent="0.2">
      <c r="AQ200" s="30"/>
      <c r="AR200" s="30"/>
      <c r="AS200" s="30"/>
      <c r="AT200" s="30"/>
      <c r="AU200" s="30"/>
    </row>
    <row r="201" spans="43:47" x14ac:dyDescent="0.2">
      <c r="AQ201" s="30"/>
      <c r="AR201" s="30"/>
      <c r="AS201" s="30"/>
      <c r="AT201" s="30"/>
      <c r="AU201" s="30"/>
    </row>
    <row r="202" spans="43:47" x14ac:dyDescent="0.2">
      <c r="AQ202" s="30"/>
      <c r="AR202" s="30"/>
      <c r="AS202" s="30"/>
      <c r="AT202" s="30"/>
      <c r="AU202" s="30"/>
    </row>
    <row r="203" spans="43:47" x14ac:dyDescent="0.2">
      <c r="AQ203" s="30"/>
      <c r="AR203" s="30"/>
      <c r="AS203" s="30"/>
      <c r="AT203" s="30"/>
      <c r="AU203" s="30"/>
    </row>
    <row r="204" spans="43:47" x14ac:dyDescent="0.2">
      <c r="AQ204" s="30"/>
      <c r="AR204" s="30"/>
      <c r="AS204" s="30"/>
      <c r="AT204" s="30"/>
      <c r="AU204" s="30"/>
    </row>
    <row r="205" spans="43:47" x14ac:dyDescent="0.2">
      <c r="AQ205" s="30"/>
      <c r="AR205" s="30"/>
      <c r="AS205" s="30"/>
      <c r="AT205" s="30"/>
      <c r="AU205" s="30"/>
    </row>
    <row r="206" spans="43:47" x14ac:dyDescent="0.2">
      <c r="AQ206" s="30"/>
      <c r="AR206" s="30"/>
      <c r="AS206" s="30"/>
      <c r="AT206" s="30"/>
      <c r="AU206" s="30"/>
    </row>
    <row r="207" spans="43:47" x14ac:dyDescent="0.2">
      <c r="AQ207" s="30"/>
      <c r="AR207" s="30"/>
      <c r="AS207" s="30"/>
      <c r="AT207" s="30"/>
      <c r="AU207" s="30"/>
    </row>
    <row r="208" spans="43:47" x14ac:dyDescent="0.2">
      <c r="AQ208" s="30"/>
      <c r="AR208" s="30"/>
      <c r="AS208" s="30"/>
      <c r="AT208" s="30"/>
      <c r="AU208" s="30"/>
    </row>
    <row r="209" spans="43:47" x14ac:dyDescent="0.2">
      <c r="AQ209" s="30"/>
      <c r="AR209" s="30"/>
      <c r="AS209" s="30"/>
      <c r="AT209" s="30"/>
      <c r="AU209" s="30"/>
    </row>
    <row r="210" spans="43:47" x14ac:dyDescent="0.2">
      <c r="AQ210" s="30"/>
      <c r="AR210" s="30"/>
      <c r="AS210" s="30"/>
      <c r="AT210" s="30"/>
      <c r="AU210" s="30"/>
    </row>
    <row r="211" spans="43:47" x14ac:dyDescent="0.2">
      <c r="AQ211" s="30"/>
      <c r="AR211" s="30"/>
      <c r="AS211" s="30"/>
      <c r="AT211" s="30"/>
      <c r="AU211" s="30"/>
    </row>
    <row r="212" spans="43:47" x14ac:dyDescent="0.2">
      <c r="AQ212" s="30"/>
      <c r="AR212" s="30"/>
      <c r="AS212" s="30"/>
      <c r="AT212" s="30"/>
      <c r="AU212" s="30"/>
    </row>
    <row r="213" spans="43:47" x14ac:dyDescent="0.2">
      <c r="AQ213" s="30"/>
      <c r="AR213" s="30"/>
      <c r="AS213" s="30"/>
      <c r="AT213" s="30"/>
      <c r="AU213" s="30"/>
    </row>
    <row r="214" spans="43:47" x14ac:dyDescent="0.2">
      <c r="AQ214" s="30"/>
      <c r="AR214" s="30"/>
      <c r="AS214" s="30"/>
      <c r="AT214" s="30"/>
      <c r="AU214" s="30"/>
    </row>
    <row r="215" spans="43:47" x14ac:dyDescent="0.2">
      <c r="AQ215" s="30"/>
      <c r="AR215" s="30"/>
      <c r="AS215" s="30"/>
      <c r="AT215" s="30"/>
      <c r="AU215" s="30"/>
    </row>
    <row r="216" spans="43:47" x14ac:dyDescent="0.2">
      <c r="AQ216" s="30"/>
      <c r="AR216" s="30"/>
      <c r="AS216" s="30"/>
      <c r="AT216" s="30"/>
      <c r="AU216" s="30"/>
    </row>
    <row r="217" spans="43:47" x14ac:dyDescent="0.2">
      <c r="AQ217" s="30"/>
      <c r="AR217" s="30"/>
      <c r="AS217" s="30"/>
      <c r="AT217" s="30"/>
      <c r="AU217" s="30"/>
    </row>
    <row r="218" spans="43:47" x14ac:dyDescent="0.2">
      <c r="AQ218" s="30"/>
      <c r="AR218" s="30"/>
      <c r="AS218" s="30"/>
      <c r="AT218" s="30"/>
      <c r="AU218" s="30"/>
    </row>
    <row r="219" spans="43:47" x14ac:dyDescent="0.2">
      <c r="AQ219" s="30"/>
      <c r="AR219" s="30"/>
      <c r="AS219" s="30"/>
      <c r="AT219" s="30"/>
      <c r="AU219" s="30"/>
    </row>
    <row r="220" spans="43:47" x14ac:dyDescent="0.2">
      <c r="AQ220" s="30"/>
      <c r="AR220" s="30"/>
      <c r="AS220" s="30"/>
      <c r="AT220" s="30"/>
      <c r="AU220" s="30"/>
    </row>
    <row r="221" spans="43:47" x14ac:dyDescent="0.2">
      <c r="AQ221" s="30"/>
      <c r="AR221" s="30"/>
      <c r="AS221" s="30"/>
      <c r="AT221" s="30"/>
      <c r="AU221" s="30"/>
    </row>
    <row r="222" spans="43:47" x14ac:dyDescent="0.2">
      <c r="AQ222" s="30"/>
      <c r="AR222" s="30"/>
      <c r="AS222" s="30"/>
      <c r="AT222" s="30"/>
      <c r="AU222" s="30"/>
    </row>
    <row r="223" spans="43:47" x14ac:dyDescent="0.2">
      <c r="AQ223" s="30"/>
      <c r="AR223" s="30"/>
      <c r="AS223" s="30"/>
      <c r="AT223" s="30"/>
      <c r="AU223" s="30"/>
    </row>
    <row r="224" spans="43:47" x14ac:dyDescent="0.2">
      <c r="AQ224" s="30"/>
      <c r="AR224" s="30"/>
      <c r="AS224" s="30"/>
      <c r="AT224" s="30"/>
      <c r="AU224" s="30"/>
    </row>
    <row r="225" spans="43:47" x14ac:dyDescent="0.2">
      <c r="AQ225" s="30"/>
      <c r="AR225" s="30"/>
      <c r="AS225" s="30"/>
      <c r="AT225" s="30"/>
      <c r="AU225" s="30"/>
    </row>
    <row r="226" spans="43:47" x14ac:dyDescent="0.2">
      <c r="AQ226" s="30"/>
      <c r="AR226" s="30"/>
      <c r="AS226" s="30"/>
      <c r="AT226" s="30"/>
      <c r="AU226" s="30"/>
    </row>
    <row r="227" spans="43:47" x14ac:dyDescent="0.2">
      <c r="AQ227" s="30"/>
      <c r="AR227" s="30"/>
      <c r="AS227" s="30"/>
      <c r="AT227" s="30"/>
      <c r="AU227" s="30"/>
    </row>
    <row r="228" spans="43:47" x14ac:dyDescent="0.2">
      <c r="AQ228" s="30"/>
      <c r="AR228" s="30"/>
      <c r="AS228" s="30"/>
      <c r="AT228" s="30"/>
      <c r="AU228" s="30"/>
    </row>
    <row r="229" spans="43:47" x14ac:dyDescent="0.2">
      <c r="AQ229" s="30"/>
      <c r="AR229" s="30"/>
      <c r="AS229" s="30"/>
      <c r="AT229" s="30"/>
      <c r="AU229" s="30"/>
    </row>
    <row r="230" spans="43:47" x14ac:dyDescent="0.2">
      <c r="AQ230" s="30"/>
      <c r="AR230" s="30"/>
      <c r="AS230" s="30"/>
      <c r="AT230" s="30"/>
      <c r="AU230" s="30"/>
    </row>
    <row r="231" spans="43:47" x14ac:dyDescent="0.2">
      <c r="AQ231" s="30"/>
      <c r="AR231" s="30"/>
      <c r="AS231" s="30"/>
      <c r="AT231" s="30"/>
      <c r="AU231" s="30"/>
    </row>
    <row r="232" spans="43:47" x14ac:dyDescent="0.2">
      <c r="AQ232" s="30"/>
      <c r="AR232" s="30"/>
      <c r="AS232" s="30"/>
      <c r="AT232" s="30"/>
      <c r="AU232" s="30"/>
    </row>
    <row r="233" spans="43:47" x14ac:dyDescent="0.2">
      <c r="AQ233" s="30"/>
      <c r="AR233" s="30"/>
      <c r="AS233" s="30"/>
      <c r="AT233" s="30"/>
      <c r="AU233" s="30"/>
    </row>
    <row r="234" spans="43:47" x14ac:dyDescent="0.2">
      <c r="AQ234" s="30"/>
      <c r="AR234" s="30"/>
      <c r="AS234" s="30"/>
      <c r="AT234" s="30"/>
      <c r="AU234" s="30"/>
    </row>
    <row r="235" spans="43:47" x14ac:dyDescent="0.2">
      <c r="AQ235" s="30"/>
      <c r="AR235" s="30"/>
      <c r="AS235" s="30"/>
      <c r="AT235" s="30"/>
      <c r="AU235" s="30"/>
    </row>
    <row r="236" spans="43:47" x14ac:dyDescent="0.2">
      <c r="AQ236" s="30"/>
      <c r="AR236" s="30"/>
      <c r="AS236" s="30"/>
      <c r="AT236" s="30"/>
      <c r="AU236" s="30"/>
    </row>
    <row r="237" spans="43:47" x14ac:dyDescent="0.2">
      <c r="AQ237" s="30"/>
      <c r="AR237" s="30"/>
      <c r="AS237" s="30"/>
      <c r="AT237" s="30"/>
      <c r="AU237" s="30"/>
    </row>
    <row r="238" spans="43:47" x14ac:dyDescent="0.2">
      <c r="AQ238" s="30"/>
      <c r="AR238" s="30"/>
      <c r="AS238" s="30"/>
      <c r="AT238" s="30"/>
      <c r="AU238" s="30"/>
    </row>
    <row r="239" spans="43:47" x14ac:dyDescent="0.2">
      <c r="AQ239" s="30"/>
      <c r="AR239" s="30"/>
      <c r="AS239" s="30"/>
      <c r="AT239" s="30"/>
      <c r="AU239" s="30"/>
    </row>
    <row r="240" spans="43:47" x14ac:dyDescent="0.2">
      <c r="AQ240" s="30"/>
      <c r="AR240" s="30"/>
      <c r="AS240" s="30"/>
      <c r="AT240" s="30"/>
      <c r="AU240" s="30"/>
    </row>
    <row r="241" spans="43:47" x14ac:dyDescent="0.2">
      <c r="AQ241" s="30"/>
      <c r="AR241" s="30"/>
      <c r="AS241" s="30"/>
      <c r="AT241" s="30"/>
      <c r="AU241" s="30"/>
    </row>
    <row r="242" spans="43:47" x14ac:dyDescent="0.2">
      <c r="AQ242" s="30"/>
      <c r="AR242" s="30"/>
      <c r="AS242" s="30"/>
      <c r="AT242" s="30"/>
      <c r="AU242" s="30"/>
    </row>
    <row r="243" spans="43:47" x14ac:dyDescent="0.2">
      <c r="AQ243" s="30"/>
      <c r="AR243" s="30"/>
      <c r="AS243" s="30"/>
      <c r="AT243" s="30"/>
      <c r="AU243" s="30"/>
    </row>
    <row r="244" spans="43:47" x14ac:dyDescent="0.2">
      <c r="AQ244" s="30"/>
      <c r="AR244" s="30"/>
      <c r="AS244" s="30"/>
      <c r="AT244" s="30"/>
      <c r="AU244" s="30"/>
    </row>
    <row r="245" spans="43:47" x14ac:dyDescent="0.2">
      <c r="AQ245" s="30"/>
      <c r="AR245" s="30"/>
      <c r="AS245" s="30"/>
      <c r="AT245" s="30"/>
      <c r="AU245" s="30"/>
    </row>
    <row r="246" spans="43:47" x14ac:dyDescent="0.2">
      <c r="AQ246" s="30"/>
      <c r="AR246" s="30"/>
      <c r="AS246" s="30"/>
      <c r="AT246" s="30"/>
      <c r="AU246" s="30"/>
    </row>
    <row r="247" spans="43:47" x14ac:dyDescent="0.2">
      <c r="AQ247" s="30"/>
      <c r="AR247" s="30"/>
      <c r="AS247" s="30"/>
      <c r="AT247" s="30"/>
      <c r="AU247" s="30"/>
    </row>
    <row r="248" spans="43:47" x14ac:dyDescent="0.2">
      <c r="AQ248" s="30"/>
      <c r="AR248" s="30"/>
      <c r="AS248" s="30"/>
      <c r="AT248" s="30"/>
      <c r="AU248" s="30"/>
    </row>
    <row r="249" spans="43:47" x14ac:dyDescent="0.2">
      <c r="AQ249" s="30"/>
      <c r="AR249" s="30"/>
      <c r="AS249" s="30"/>
      <c r="AT249" s="30"/>
      <c r="AU249" s="30"/>
    </row>
    <row r="250" spans="43:47" x14ac:dyDescent="0.2">
      <c r="AQ250" s="30"/>
      <c r="AR250" s="30"/>
      <c r="AS250" s="30"/>
      <c r="AT250" s="30"/>
      <c r="AU250" s="30"/>
    </row>
    <row r="251" spans="43:47" x14ac:dyDescent="0.2">
      <c r="AQ251" s="30"/>
      <c r="AR251" s="30"/>
      <c r="AS251" s="30"/>
      <c r="AT251" s="30"/>
      <c r="AU251" s="30"/>
    </row>
    <row r="252" spans="43:47" x14ac:dyDescent="0.2">
      <c r="AQ252" s="30"/>
      <c r="AR252" s="30"/>
      <c r="AS252" s="30"/>
      <c r="AT252" s="30"/>
      <c r="AU252" s="30"/>
    </row>
    <row r="253" spans="43:47" x14ac:dyDescent="0.2">
      <c r="AQ253" s="30"/>
      <c r="AR253" s="30"/>
      <c r="AS253" s="30"/>
      <c r="AT253" s="30"/>
      <c r="AU253" s="30"/>
    </row>
    <row r="254" spans="43:47" x14ac:dyDescent="0.2">
      <c r="AQ254" s="30"/>
      <c r="AR254" s="30"/>
      <c r="AS254" s="30"/>
      <c r="AT254" s="30"/>
      <c r="AU254" s="30"/>
    </row>
    <row r="255" spans="43:47" x14ac:dyDescent="0.2">
      <c r="AQ255" s="30"/>
      <c r="AR255" s="30"/>
      <c r="AS255" s="30"/>
      <c r="AT255" s="30"/>
      <c r="AU255" s="30"/>
    </row>
    <row r="256" spans="43:47" x14ac:dyDescent="0.2">
      <c r="AQ256" s="30"/>
      <c r="AR256" s="30"/>
      <c r="AS256" s="30"/>
      <c r="AT256" s="30"/>
      <c r="AU256" s="30"/>
    </row>
    <row r="257" spans="43:47" x14ac:dyDescent="0.2">
      <c r="AQ257" s="30"/>
      <c r="AR257" s="30"/>
      <c r="AS257" s="30"/>
      <c r="AT257" s="30"/>
      <c r="AU257" s="30"/>
    </row>
    <row r="258" spans="43:47" x14ac:dyDescent="0.2">
      <c r="AQ258" s="30"/>
      <c r="AR258" s="30"/>
      <c r="AS258" s="30"/>
      <c r="AT258" s="30"/>
      <c r="AU258" s="30"/>
    </row>
    <row r="259" spans="43:47" x14ac:dyDescent="0.2">
      <c r="AQ259" s="30"/>
      <c r="AR259" s="30"/>
      <c r="AS259" s="30"/>
      <c r="AT259" s="30"/>
      <c r="AU259" s="30"/>
    </row>
    <row r="260" spans="43:47" x14ac:dyDescent="0.2">
      <c r="AQ260" s="30"/>
      <c r="AR260" s="30"/>
      <c r="AS260" s="30"/>
      <c r="AT260" s="30"/>
      <c r="AU260" s="30"/>
    </row>
    <row r="261" spans="43:47" x14ac:dyDescent="0.2">
      <c r="AQ261" s="30"/>
      <c r="AR261" s="30"/>
      <c r="AS261" s="30"/>
      <c r="AT261" s="30"/>
      <c r="AU261" s="30"/>
    </row>
    <row r="262" spans="43:47" x14ac:dyDescent="0.2">
      <c r="AQ262" s="30"/>
      <c r="AR262" s="30"/>
      <c r="AS262" s="30"/>
      <c r="AT262" s="30"/>
      <c r="AU262" s="30"/>
    </row>
    <row r="263" spans="43:47" x14ac:dyDescent="0.2">
      <c r="AQ263" s="30"/>
      <c r="AR263" s="30"/>
      <c r="AS263" s="30"/>
      <c r="AT263" s="30"/>
      <c r="AU263" s="30"/>
    </row>
    <row r="264" spans="43:47" x14ac:dyDescent="0.2">
      <c r="AQ264" s="30"/>
      <c r="AR264" s="30"/>
      <c r="AS264" s="30"/>
      <c r="AT264" s="30"/>
      <c r="AU264" s="30"/>
    </row>
    <row r="265" spans="43:47" x14ac:dyDescent="0.2">
      <c r="AQ265" s="30"/>
      <c r="AR265" s="30"/>
      <c r="AS265" s="30"/>
      <c r="AT265" s="30"/>
      <c r="AU265" s="30"/>
    </row>
  </sheetData>
  <mergeCells count="12">
    <mergeCell ref="AP79:BA79"/>
    <mergeCell ref="A118:I118"/>
    <mergeCell ref="L118:AM118"/>
    <mergeCell ref="AP118:BA118"/>
    <mergeCell ref="A79:K79"/>
    <mergeCell ref="L79:AO79"/>
    <mergeCell ref="AP1:BA1"/>
    <mergeCell ref="AP40:BA40"/>
    <mergeCell ref="L1:AO1"/>
    <mergeCell ref="A1:K1"/>
    <mergeCell ref="L40:AO40"/>
    <mergeCell ref="A40:K4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TresGraficos">
                <anchor moveWithCells="1">
                  <from>
                    <xdr:col>0</xdr:col>
                    <xdr:colOff>28575</xdr:colOff>
                    <xdr:row>0</xdr:row>
                    <xdr:rowOff>47625</xdr:rowOff>
                  </from>
                  <to>
                    <xdr:col>10</xdr:col>
                    <xdr:colOff>542925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C50EF-C200-448C-AECE-1B3BEB95E33F}">
  <sheetPr codeName="Planilha6"/>
  <dimension ref="A1:AH205"/>
  <sheetViews>
    <sheetView topLeftCell="H1" zoomScaleNormal="100" workbookViewId="0">
      <selection activeCell="S4" sqref="S4"/>
    </sheetView>
  </sheetViews>
  <sheetFormatPr defaultColWidth="10.1640625" defaultRowHeight="12.75" x14ac:dyDescent="0.2"/>
  <cols>
    <col min="1" max="1" width="8.33203125" style="16" bestFit="1" customWidth="1"/>
    <col min="2" max="2" width="21.1640625" style="16" bestFit="1" customWidth="1"/>
    <col min="3" max="3" width="3.83203125" style="16" bestFit="1" customWidth="1"/>
    <col min="4" max="4" width="18.33203125" style="29" bestFit="1" customWidth="1"/>
    <col min="5" max="5" width="15" style="29" bestFit="1" customWidth="1"/>
    <col min="6" max="6" width="15" style="16" bestFit="1" customWidth="1"/>
    <col min="7" max="8" width="18.33203125" style="16" bestFit="1" customWidth="1"/>
    <col min="9" max="9" width="2.33203125" style="16" bestFit="1" customWidth="1"/>
    <col min="10" max="10" width="11.1640625" style="8" bestFit="1" customWidth="1"/>
    <col min="11" max="11" width="16.1640625" style="16" bestFit="1" customWidth="1"/>
    <col min="12" max="12" width="17.33203125" style="16" bestFit="1" customWidth="1"/>
    <col min="13" max="13" width="18.33203125" style="16" bestFit="1" customWidth="1"/>
    <col min="14" max="14" width="13.83203125" style="16" bestFit="1" customWidth="1"/>
    <col min="15" max="16" width="15" style="16" bestFit="1" customWidth="1"/>
    <col min="17" max="17" width="13.83203125" style="16" bestFit="1" customWidth="1"/>
    <col min="18" max="19" width="15" style="16" bestFit="1" customWidth="1"/>
    <col min="20" max="20" width="16.1640625" style="16" bestFit="1" customWidth="1"/>
    <col min="21" max="21" width="17.33203125" style="16" bestFit="1" customWidth="1"/>
    <col min="22" max="22" width="18.33203125" style="16" bestFit="1" customWidth="1"/>
    <col min="23" max="23" width="2.33203125" style="16" bestFit="1" customWidth="1"/>
    <col min="24" max="34" width="10.83203125" style="16" customWidth="1"/>
    <col min="35" max="16384" width="10.1640625" style="16"/>
  </cols>
  <sheetData>
    <row r="1" spans="1:34" s="8" customFormat="1" ht="13.5" thickBot="1" x14ac:dyDescent="0.25">
      <c r="A1" s="96" t="s">
        <v>16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8"/>
    </row>
    <row r="2" spans="1:34" s="8" customFormat="1" ht="13.5" thickBot="1" x14ac:dyDescent="0.25">
      <c r="A2" s="33" t="s">
        <v>12</v>
      </c>
      <c r="B2" s="33" t="s">
        <v>20</v>
      </c>
      <c r="C2" s="33" t="s">
        <v>2</v>
      </c>
      <c r="D2" s="33" t="s">
        <v>21</v>
      </c>
      <c r="E2" s="33" t="s">
        <v>22</v>
      </c>
      <c r="F2" s="34" t="s">
        <v>23</v>
      </c>
      <c r="G2" s="34" t="s">
        <v>24</v>
      </c>
      <c r="H2" s="34" t="s">
        <v>25</v>
      </c>
      <c r="I2" s="41"/>
      <c r="J2" s="41" t="s">
        <v>8</v>
      </c>
      <c r="K2" s="41" t="s">
        <v>26</v>
      </c>
      <c r="L2" s="41" t="s">
        <v>27</v>
      </c>
      <c r="M2" s="41" t="s">
        <v>28</v>
      </c>
      <c r="N2" s="42" t="str">
        <f>K$2</f>
        <v>10²</v>
      </c>
      <c r="O2" s="42" t="str">
        <f t="shared" ref="O2:P2" si="0">L$2</f>
        <v>10³</v>
      </c>
      <c r="P2" s="42" t="str">
        <f t="shared" si="0"/>
        <v>10⁴</v>
      </c>
      <c r="Q2" s="43" t="str">
        <f>K$2</f>
        <v>10²</v>
      </c>
      <c r="R2" s="43" t="str">
        <f t="shared" ref="R2:S2" si="1">L$2</f>
        <v>10³</v>
      </c>
      <c r="S2" s="43" t="str">
        <f t="shared" si="1"/>
        <v>10⁴</v>
      </c>
      <c r="T2" s="44" t="str">
        <f>K$2</f>
        <v>10²</v>
      </c>
      <c r="U2" s="44" t="str">
        <f>L$2</f>
        <v>10³</v>
      </c>
      <c r="V2" s="44" t="str">
        <f>M$2</f>
        <v>10⁴</v>
      </c>
      <c r="W2" s="10"/>
      <c r="X2" s="4"/>
      <c r="Y2" s="5"/>
      <c r="Z2" s="5"/>
      <c r="AA2" s="5"/>
      <c r="AB2" s="5"/>
      <c r="AC2" s="41"/>
      <c r="AD2" s="41"/>
      <c r="AE2" s="41"/>
      <c r="AF2" s="41"/>
      <c r="AG2" s="41"/>
      <c r="AH2" s="7"/>
    </row>
    <row r="3" spans="1:34" x14ac:dyDescent="0.2">
      <c r="A3" s="16">
        <v>1000</v>
      </c>
      <c r="B3" s="16" t="s">
        <v>4</v>
      </c>
      <c r="C3" s="16">
        <v>1</v>
      </c>
      <c r="D3" s="37">
        <v>0.44278074866310158</v>
      </c>
      <c r="E3" s="50">
        <v>0</v>
      </c>
      <c r="F3" s="50">
        <v>0</v>
      </c>
      <c r="G3" s="50">
        <v>0.44278074866310158</v>
      </c>
      <c r="H3" s="50">
        <v>0.44278074866310158</v>
      </c>
      <c r="I3" s="17"/>
      <c r="J3" s="9"/>
      <c r="K3" s="17"/>
      <c r="L3" s="17"/>
      <c r="M3" s="17"/>
      <c r="N3" s="17"/>
      <c r="O3" s="17"/>
      <c r="P3" s="17"/>
      <c r="Q3" s="17"/>
      <c r="R3" s="17"/>
      <c r="S3" s="17"/>
      <c r="T3" s="38">
        <f>$D$3</f>
        <v>0.44278074866310158</v>
      </c>
      <c r="U3" s="38">
        <f>$D$8</f>
        <v>4.9646931015752314E-2</v>
      </c>
      <c r="V3" s="38">
        <f>$D$13</f>
        <v>2.5523751720550145E-2</v>
      </c>
      <c r="W3" s="18"/>
      <c r="X3" s="19"/>
      <c r="Y3" s="20"/>
      <c r="Z3" s="20"/>
      <c r="AA3" s="20"/>
      <c r="AB3" s="20"/>
      <c r="AC3" s="17"/>
      <c r="AD3" s="17"/>
      <c r="AE3" s="17"/>
      <c r="AF3" s="17"/>
      <c r="AG3" s="17"/>
      <c r="AH3" s="18"/>
    </row>
    <row r="4" spans="1:34" x14ac:dyDescent="0.2">
      <c r="A4" s="16">
        <v>1000</v>
      </c>
      <c r="B4" s="16" t="s">
        <v>3</v>
      </c>
      <c r="C4" s="16">
        <v>1</v>
      </c>
      <c r="D4" s="37">
        <v>0.42245989304812837</v>
      </c>
      <c r="E4" s="50">
        <v>0</v>
      </c>
      <c r="F4" s="50">
        <v>0</v>
      </c>
      <c r="G4" s="50">
        <v>0.42245989304812837</v>
      </c>
      <c r="H4" s="50">
        <v>0.42245989304812837</v>
      </c>
      <c r="I4" s="17"/>
      <c r="J4" s="9" t="s">
        <v>0</v>
      </c>
      <c r="K4" s="38">
        <f>$D4</f>
        <v>0.42245989304812837</v>
      </c>
      <c r="L4" s="38">
        <f>$D9</f>
        <v>4.4541010320477997E-2</v>
      </c>
      <c r="M4" s="38">
        <f>$D14</f>
        <v>1.201946524759665E-2</v>
      </c>
      <c r="N4" s="39">
        <f>$D4-$G4</f>
        <v>0</v>
      </c>
      <c r="O4" s="39">
        <f>$D9-$G9</f>
        <v>0</v>
      </c>
      <c r="P4" s="39">
        <f>$D14-$G14</f>
        <v>0</v>
      </c>
      <c r="Q4" s="39">
        <f>-$D4+$H4</f>
        <v>0</v>
      </c>
      <c r="R4" s="39">
        <f>-$D9+$H9</f>
        <v>0</v>
      </c>
      <c r="S4" s="39">
        <f>-$D14+$H14</f>
        <v>0</v>
      </c>
      <c r="T4" s="38">
        <f t="shared" ref="T4:T8" si="2">$D$3</f>
        <v>0.44278074866310158</v>
      </c>
      <c r="U4" s="38">
        <f t="shared" ref="U4:U8" si="3">$D$8</f>
        <v>4.9646931015752314E-2</v>
      </c>
      <c r="V4" s="38">
        <f t="shared" ref="V4:V8" si="4">$D$13</f>
        <v>2.5523751720550145E-2</v>
      </c>
      <c r="W4" s="18"/>
      <c r="X4" s="19"/>
      <c r="Y4" s="20"/>
      <c r="Z4" s="20"/>
      <c r="AA4" s="20"/>
      <c r="AB4" s="20"/>
      <c r="AC4" s="17"/>
      <c r="AD4" s="17"/>
      <c r="AE4" s="17"/>
      <c r="AF4" s="17"/>
      <c r="AG4" s="17"/>
      <c r="AH4" s="18"/>
    </row>
    <row r="5" spans="1:34" x14ac:dyDescent="0.2">
      <c r="A5" s="16">
        <v>1000</v>
      </c>
      <c r="B5" s="16" t="s">
        <v>5</v>
      </c>
      <c r="C5" s="16">
        <v>50</v>
      </c>
      <c r="D5" s="37">
        <v>0.39505882352941168</v>
      </c>
      <c r="E5" s="50">
        <v>8.3877624510875319E-3</v>
      </c>
      <c r="F5" s="50">
        <v>1.1862087416291782E-3</v>
      </c>
      <c r="G5" s="50">
        <v>0.39187984107114354</v>
      </c>
      <c r="H5" s="50">
        <v>0.39823780598767983</v>
      </c>
      <c r="I5" s="17"/>
      <c r="J5" s="9" t="s">
        <v>10</v>
      </c>
      <c r="K5" s="38">
        <f t="shared" ref="K5:K7" si="5">$D5</f>
        <v>0.39505882352941168</v>
      </c>
      <c r="L5" s="38">
        <f t="shared" ref="L5:L7" si="6">$D10</f>
        <v>5.0922324823465523E-2</v>
      </c>
      <c r="M5" s="38">
        <f t="shared" ref="M5:M7" si="7">$D15</f>
        <v>1.7378044154464759E-2</v>
      </c>
      <c r="N5" s="39">
        <f t="shared" ref="N5:N7" si="8">$D5-$G5</f>
        <v>3.1789824582681425E-3</v>
      </c>
      <c r="O5" s="39">
        <f t="shared" ref="O5:O7" si="9">$D10-$G10</f>
        <v>4.5407695424601324E-4</v>
      </c>
      <c r="P5" s="39">
        <f t="shared" ref="P5:P7" si="10">$D15-$G15</f>
        <v>1.4746594644783964E-4</v>
      </c>
      <c r="Q5" s="39">
        <f t="shared" ref="Q5:Q7" si="11">-$D5+$H5</f>
        <v>3.1789824582681425E-3</v>
      </c>
      <c r="R5" s="39">
        <f t="shared" ref="R5:R7" si="12">-$D10+$H10</f>
        <v>4.5407695424601324E-4</v>
      </c>
      <c r="S5" s="39">
        <f t="shared" ref="S5:S7" si="13">-$D15+$H15</f>
        <v>1.4746594644783964E-4</v>
      </c>
      <c r="T5" s="38">
        <f t="shared" si="2"/>
        <v>0.44278074866310158</v>
      </c>
      <c r="U5" s="38">
        <f t="shared" si="3"/>
        <v>4.9646931015752314E-2</v>
      </c>
      <c r="V5" s="38">
        <f t="shared" si="4"/>
        <v>2.5523751720550145E-2</v>
      </c>
      <c r="W5" s="18"/>
      <c r="X5" s="19"/>
      <c r="Y5" s="20"/>
      <c r="Z5" s="20"/>
      <c r="AA5" s="20"/>
      <c r="AB5" s="20"/>
      <c r="AC5" s="17"/>
      <c r="AD5" s="17"/>
      <c r="AE5" s="17"/>
      <c r="AF5" s="17"/>
      <c r="AG5" s="17"/>
      <c r="AH5" s="18"/>
    </row>
    <row r="6" spans="1:34" x14ac:dyDescent="0.2">
      <c r="A6" s="16">
        <v>1000</v>
      </c>
      <c r="B6" s="16" t="s">
        <v>6</v>
      </c>
      <c r="C6" s="16">
        <v>100</v>
      </c>
      <c r="D6" s="37">
        <v>0.45164705882352957</v>
      </c>
      <c r="E6" s="50">
        <v>7.7844254367056172E-3</v>
      </c>
      <c r="F6" s="50">
        <v>7.7844254367056176E-4</v>
      </c>
      <c r="G6" s="50">
        <v>0.44960255307865366</v>
      </c>
      <c r="H6" s="50">
        <v>0.45369156456840548</v>
      </c>
      <c r="I6" s="17"/>
      <c r="J6" s="9" t="s">
        <v>1</v>
      </c>
      <c r="K6" s="38">
        <f t="shared" si="5"/>
        <v>0.45164705882352957</v>
      </c>
      <c r="L6" s="38">
        <f t="shared" si="6"/>
        <v>9.3989136338946247E-2</v>
      </c>
      <c r="M6" s="38">
        <f t="shared" si="7"/>
        <v>1.2945690225107567E-2</v>
      </c>
      <c r="N6" s="39">
        <f t="shared" si="8"/>
        <v>2.044505744875913E-3</v>
      </c>
      <c r="O6" s="39">
        <f t="shared" si="9"/>
        <v>1.2121809242730278E-2</v>
      </c>
      <c r="P6" s="39">
        <f t="shared" si="10"/>
        <v>9.7485422630858715E-5</v>
      </c>
      <c r="Q6" s="39">
        <f t="shared" si="11"/>
        <v>2.044505744875913E-3</v>
      </c>
      <c r="R6" s="39">
        <f t="shared" si="12"/>
        <v>1.2121809242730278E-2</v>
      </c>
      <c r="S6" s="39">
        <f t="shared" si="13"/>
        <v>9.7485422630858715E-5</v>
      </c>
      <c r="T6" s="38">
        <f t="shared" si="2"/>
        <v>0.44278074866310158</v>
      </c>
      <c r="U6" s="38">
        <f t="shared" si="3"/>
        <v>4.9646931015752314E-2</v>
      </c>
      <c r="V6" s="38">
        <f t="shared" si="4"/>
        <v>2.5523751720550145E-2</v>
      </c>
      <c r="W6" s="18"/>
      <c r="X6" s="19"/>
      <c r="Y6" s="20"/>
      <c r="Z6" s="20"/>
      <c r="AA6" s="20"/>
      <c r="AB6" s="20"/>
      <c r="AC6" s="17"/>
      <c r="AD6" s="17"/>
      <c r="AE6" s="17"/>
      <c r="AF6" s="17"/>
      <c r="AG6" s="17"/>
      <c r="AH6" s="18"/>
    </row>
    <row r="7" spans="1:34" x14ac:dyDescent="0.2">
      <c r="A7" s="16">
        <v>1000</v>
      </c>
      <c r="B7" s="16" t="s">
        <v>7</v>
      </c>
      <c r="C7" s="16">
        <v>100</v>
      </c>
      <c r="D7" s="37">
        <v>0.45627807486631011</v>
      </c>
      <c r="E7" s="50">
        <v>1.0032721526172092E-2</v>
      </c>
      <c r="F7" s="50">
        <v>1.0032721526172092E-3</v>
      </c>
      <c r="G7" s="50">
        <v>0.45364307540953841</v>
      </c>
      <c r="H7" s="50">
        <v>0.45891307432308182</v>
      </c>
      <c r="I7" s="17"/>
      <c r="J7" s="9" t="s">
        <v>11</v>
      </c>
      <c r="K7" s="38">
        <f t="shared" si="5"/>
        <v>0.45627807486631011</v>
      </c>
      <c r="L7" s="38">
        <f t="shared" si="6"/>
        <v>0.11282781097229767</v>
      </c>
      <c r="M7" s="38">
        <f t="shared" si="7"/>
        <v>2.0267051058341555E-2</v>
      </c>
      <c r="N7" s="39">
        <f t="shared" si="8"/>
        <v>2.6349994567717028E-3</v>
      </c>
      <c r="O7" s="39">
        <f t="shared" si="9"/>
        <v>1.685340906814406E-2</v>
      </c>
      <c r="P7" s="39">
        <f t="shared" si="10"/>
        <v>1.3528356402840724E-4</v>
      </c>
      <c r="Q7" s="39">
        <f t="shared" si="11"/>
        <v>2.6349994567717028E-3</v>
      </c>
      <c r="R7" s="39">
        <f t="shared" si="12"/>
        <v>1.6853409068144073E-2</v>
      </c>
      <c r="S7" s="39">
        <f t="shared" si="13"/>
        <v>1.3528356402840724E-4</v>
      </c>
      <c r="T7" s="38">
        <f t="shared" si="2"/>
        <v>0.44278074866310158</v>
      </c>
      <c r="U7" s="38">
        <f t="shared" si="3"/>
        <v>4.9646931015752314E-2</v>
      </c>
      <c r="V7" s="38">
        <f t="shared" si="4"/>
        <v>2.5523751720550145E-2</v>
      </c>
      <c r="W7" s="18"/>
      <c r="X7" s="19"/>
      <c r="Y7" s="20"/>
      <c r="Z7" s="20"/>
      <c r="AA7" s="20"/>
      <c r="AB7" s="20"/>
      <c r="AC7" s="17"/>
      <c r="AD7" s="17"/>
      <c r="AE7" s="17"/>
      <c r="AF7" s="17"/>
      <c r="AG7" s="17"/>
      <c r="AH7" s="18"/>
    </row>
    <row r="8" spans="1:34" x14ac:dyDescent="0.2">
      <c r="A8" s="16">
        <v>10000</v>
      </c>
      <c r="B8" s="16" t="s">
        <v>4</v>
      </c>
      <c r="C8" s="16">
        <v>1</v>
      </c>
      <c r="D8" s="37">
        <v>4.9646931015752314E-2</v>
      </c>
      <c r="E8" s="50">
        <v>0</v>
      </c>
      <c r="F8" s="50">
        <v>0</v>
      </c>
      <c r="G8" s="50">
        <v>4.9646931015752314E-2</v>
      </c>
      <c r="H8" s="50">
        <v>4.9646931015752314E-2</v>
      </c>
      <c r="I8" s="17"/>
      <c r="J8" s="9"/>
      <c r="K8" s="17"/>
      <c r="L8" s="17"/>
      <c r="M8" s="17"/>
      <c r="N8" s="17"/>
      <c r="O8" s="17"/>
      <c r="P8" s="17"/>
      <c r="T8" s="38">
        <f t="shared" si="2"/>
        <v>0.44278074866310158</v>
      </c>
      <c r="U8" s="38">
        <f t="shared" si="3"/>
        <v>4.9646931015752314E-2</v>
      </c>
      <c r="V8" s="38">
        <f t="shared" si="4"/>
        <v>2.5523751720550145E-2</v>
      </c>
      <c r="W8" s="18"/>
      <c r="X8" s="19"/>
      <c r="Y8" s="20"/>
      <c r="Z8" s="20"/>
      <c r="AA8" s="20"/>
      <c r="AB8" s="20"/>
      <c r="AC8" s="17"/>
      <c r="AD8" s="17"/>
      <c r="AE8" s="17"/>
      <c r="AF8" s="17"/>
      <c r="AG8" s="17"/>
      <c r="AH8" s="18"/>
    </row>
    <row r="9" spans="1:34" x14ac:dyDescent="0.2">
      <c r="A9" s="16">
        <v>10000</v>
      </c>
      <c r="B9" s="16" t="s">
        <v>3</v>
      </c>
      <c r="C9" s="16">
        <v>1</v>
      </c>
      <c r="D9" s="37">
        <v>4.4541010320477997E-2</v>
      </c>
      <c r="E9" s="50">
        <v>0</v>
      </c>
      <c r="F9" s="50">
        <v>0</v>
      </c>
      <c r="G9" s="50">
        <v>4.4541010320477997E-2</v>
      </c>
      <c r="H9" s="50">
        <v>4.4541010320477997E-2</v>
      </c>
      <c r="I9" s="17"/>
      <c r="J9" s="9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8"/>
      <c r="X9" s="19"/>
      <c r="Y9" s="20"/>
      <c r="Z9" s="20"/>
      <c r="AA9" s="20"/>
      <c r="AB9" s="20"/>
      <c r="AC9" s="17"/>
      <c r="AD9" s="17"/>
      <c r="AE9" s="17"/>
      <c r="AF9" s="17"/>
      <c r="AG9" s="17"/>
      <c r="AH9" s="18"/>
    </row>
    <row r="10" spans="1:34" x14ac:dyDescent="0.2">
      <c r="A10" s="16">
        <v>10000</v>
      </c>
      <c r="B10" s="16" t="s">
        <v>5</v>
      </c>
      <c r="C10" s="16">
        <v>50</v>
      </c>
      <c r="D10" s="37">
        <v>5.0922324823465523E-2</v>
      </c>
      <c r="E10" s="50">
        <v>1.1980845055697068E-3</v>
      </c>
      <c r="F10" s="50">
        <v>1.6943473566457433E-4</v>
      </c>
      <c r="G10" s="50">
        <v>5.046824786921951E-2</v>
      </c>
      <c r="H10" s="50">
        <v>5.1376401777711536E-2</v>
      </c>
      <c r="I10" s="17"/>
      <c r="J10" s="9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8"/>
      <c r="X10" s="19"/>
      <c r="Y10" s="20"/>
      <c r="Z10" s="20"/>
      <c r="AA10" s="20"/>
      <c r="AB10" s="20"/>
      <c r="AC10" s="17"/>
      <c r="AD10" s="17"/>
      <c r="AE10" s="17"/>
      <c r="AG10" s="17"/>
      <c r="AH10" s="18"/>
    </row>
    <row r="11" spans="1:34" x14ac:dyDescent="0.2">
      <c r="A11" s="16">
        <v>10000</v>
      </c>
      <c r="B11" s="16" t="s">
        <v>6</v>
      </c>
      <c r="C11" s="16">
        <v>100</v>
      </c>
      <c r="D11" s="37">
        <v>9.3989136338946247E-2</v>
      </c>
      <c r="E11" s="50">
        <v>4.6153609714473562E-2</v>
      </c>
      <c r="F11" s="50">
        <v>4.6153609714473564E-3</v>
      </c>
      <c r="G11" s="50">
        <v>8.1867327096215969E-2</v>
      </c>
      <c r="H11" s="50">
        <v>0.10611094558167652</v>
      </c>
      <c r="I11" s="17"/>
      <c r="J11" s="11"/>
      <c r="K11" s="17"/>
      <c r="L11" s="17"/>
      <c r="M11" s="17"/>
      <c r="N11" s="17"/>
      <c r="O11" s="17"/>
      <c r="P11" s="17"/>
      <c r="Q11" s="17"/>
      <c r="R11" s="22"/>
      <c r="S11" s="17"/>
      <c r="T11" s="17"/>
      <c r="U11" s="17"/>
      <c r="V11" s="17"/>
      <c r="W11" s="18"/>
      <c r="X11" s="19"/>
      <c r="Y11" s="20"/>
      <c r="Z11" s="20"/>
      <c r="AA11" s="20"/>
      <c r="AB11" s="20"/>
      <c r="AC11" s="17"/>
      <c r="AD11" s="17"/>
      <c r="AE11" s="17"/>
      <c r="AF11" s="17"/>
      <c r="AG11" s="17"/>
      <c r="AH11" s="18"/>
    </row>
    <row r="12" spans="1:34" x14ac:dyDescent="0.2">
      <c r="A12" s="16">
        <v>10000</v>
      </c>
      <c r="B12" s="16" t="s">
        <v>7</v>
      </c>
      <c r="C12" s="16">
        <v>100</v>
      </c>
      <c r="D12" s="37">
        <v>0.11282781097229767</v>
      </c>
      <c r="E12" s="50">
        <v>6.4169106188169234E-2</v>
      </c>
      <c r="F12" s="50">
        <v>6.4169106188169235E-3</v>
      </c>
      <c r="G12" s="50">
        <v>9.5974401904153614E-2</v>
      </c>
      <c r="H12" s="50">
        <v>0.12968122004044175</v>
      </c>
      <c r="I12" s="17"/>
      <c r="J12" s="11"/>
      <c r="K12" s="17"/>
      <c r="L12" s="17"/>
      <c r="M12" s="17"/>
      <c r="N12" s="17"/>
      <c r="O12" s="17"/>
      <c r="P12" s="17"/>
      <c r="Q12" s="22"/>
      <c r="R12" s="17"/>
      <c r="S12" s="17"/>
      <c r="T12" s="17"/>
      <c r="U12" s="17"/>
      <c r="V12" s="17"/>
      <c r="W12" s="18"/>
      <c r="X12" s="19"/>
      <c r="Y12" s="20"/>
      <c r="Z12" s="20"/>
      <c r="AA12" s="20"/>
      <c r="AB12" s="20"/>
      <c r="AC12" s="17"/>
      <c r="AD12" s="17"/>
      <c r="AE12" s="17"/>
      <c r="AF12" s="17"/>
      <c r="AG12" s="17"/>
      <c r="AH12" s="18"/>
    </row>
    <row r="13" spans="1:34" x14ac:dyDescent="0.2">
      <c r="A13" s="16">
        <v>100000</v>
      </c>
      <c r="B13" s="16" t="s">
        <v>4</v>
      </c>
      <c r="C13" s="16">
        <v>1</v>
      </c>
      <c r="D13" s="37">
        <v>2.5523751720550145E-2</v>
      </c>
      <c r="E13" s="50">
        <v>0</v>
      </c>
      <c r="F13" s="50">
        <v>0</v>
      </c>
      <c r="G13" s="50">
        <v>2.5523751720550145E-2</v>
      </c>
      <c r="H13" s="50">
        <v>2.5523751720550145E-2</v>
      </c>
      <c r="I13" s="17"/>
      <c r="J13" s="12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8"/>
      <c r="X13" s="19"/>
      <c r="Y13" s="20"/>
      <c r="Z13" s="20"/>
      <c r="AA13" s="20"/>
      <c r="AB13" s="20"/>
      <c r="AC13" s="17"/>
      <c r="AD13" s="17"/>
      <c r="AE13" s="17"/>
      <c r="AF13" s="17"/>
      <c r="AG13" s="17"/>
      <c r="AH13" s="18"/>
    </row>
    <row r="14" spans="1:34" x14ac:dyDescent="0.2">
      <c r="A14" s="16">
        <v>100000</v>
      </c>
      <c r="B14" s="16" t="s">
        <v>3</v>
      </c>
      <c r="C14" s="16">
        <v>1</v>
      </c>
      <c r="D14" s="37">
        <v>1.201946524759665E-2</v>
      </c>
      <c r="E14" s="50">
        <v>0</v>
      </c>
      <c r="F14" s="50">
        <v>0</v>
      </c>
      <c r="G14" s="50">
        <v>1.201946524759665E-2</v>
      </c>
      <c r="H14" s="50">
        <v>1.201946524759665E-2</v>
      </c>
      <c r="I14" s="17"/>
      <c r="J14" s="11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8"/>
      <c r="X14" s="19"/>
      <c r="Y14" s="20"/>
      <c r="Z14" s="20"/>
      <c r="AA14" s="20"/>
      <c r="AB14" s="20"/>
      <c r="AC14" s="17"/>
      <c r="AD14" s="17"/>
      <c r="AE14" s="17"/>
      <c r="AF14" s="17"/>
      <c r="AG14" s="17"/>
      <c r="AH14" s="18"/>
    </row>
    <row r="15" spans="1:34" x14ac:dyDescent="0.2">
      <c r="A15" s="16">
        <v>100000</v>
      </c>
      <c r="B15" s="16" t="s">
        <v>5</v>
      </c>
      <c r="C15" s="16">
        <v>50</v>
      </c>
      <c r="D15" s="37">
        <v>1.7378044154464759E-2</v>
      </c>
      <c r="E15" s="50">
        <v>3.8908969919359914E-4</v>
      </c>
      <c r="F15" s="50">
        <v>5.5025592957925581E-5</v>
      </c>
      <c r="G15" s="50">
        <v>1.723057820801692E-2</v>
      </c>
      <c r="H15" s="50">
        <v>1.7525510100912599E-2</v>
      </c>
      <c r="I15" s="17"/>
      <c r="J15" s="9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8"/>
      <c r="X15" s="19"/>
      <c r="Y15" s="20"/>
      <c r="Z15" s="20"/>
      <c r="AA15" s="20"/>
      <c r="AB15" s="20"/>
      <c r="AC15" s="17"/>
      <c r="AD15" s="17"/>
      <c r="AE15" s="17"/>
      <c r="AF15" s="17"/>
      <c r="AG15" s="17"/>
      <c r="AH15" s="18"/>
    </row>
    <row r="16" spans="1:34" x14ac:dyDescent="0.2">
      <c r="A16" s="16">
        <v>100000</v>
      </c>
      <c r="B16" s="16" t="s">
        <v>6</v>
      </c>
      <c r="C16" s="16">
        <v>50</v>
      </c>
      <c r="D16" s="37">
        <v>1.2945690225107567E-2</v>
      </c>
      <c r="E16" s="50">
        <v>2.5721581613161138E-4</v>
      </c>
      <c r="F16" s="50">
        <v>3.6375809563018913E-5</v>
      </c>
      <c r="G16" s="50">
        <v>1.2848204802476709E-2</v>
      </c>
      <c r="H16" s="50">
        <v>1.3043175647738426E-2</v>
      </c>
      <c r="I16" s="17"/>
      <c r="J16" s="9"/>
      <c r="K16" s="17"/>
      <c r="L16" s="17"/>
      <c r="M16" s="17"/>
      <c r="N16" s="17"/>
      <c r="O16" s="17"/>
      <c r="P16" s="17"/>
      <c r="Q16" s="22"/>
      <c r="R16" s="22"/>
      <c r="S16" s="17"/>
      <c r="T16" s="17"/>
      <c r="U16" s="17"/>
      <c r="V16" s="17"/>
      <c r="W16" s="18"/>
      <c r="X16" s="19"/>
      <c r="Y16" s="20"/>
      <c r="Z16" s="20"/>
      <c r="AA16" s="20"/>
      <c r="AB16" s="20"/>
      <c r="AC16" s="17"/>
      <c r="AD16" s="17"/>
      <c r="AE16" s="17"/>
      <c r="AF16" s="17"/>
      <c r="AG16" s="17"/>
      <c r="AH16" s="18"/>
    </row>
    <row r="17" spans="1:34" x14ac:dyDescent="0.2">
      <c r="A17" s="16">
        <v>100000</v>
      </c>
      <c r="B17" s="16" t="s">
        <v>7</v>
      </c>
      <c r="C17" s="16">
        <v>50</v>
      </c>
      <c r="D17" s="37">
        <v>2.0267051058341555E-2</v>
      </c>
      <c r="E17" s="50">
        <v>3.5694641713278737E-4</v>
      </c>
      <c r="F17" s="50">
        <v>5.0479846414967197E-5</v>
      </c>
      <c r="G17" s="50">
        <v>2.0131767494313148E-2</v>
      </c>
      <c r="H17" s="50">
        <v>2.0402334622369962E-2</v>
      </c>
      <c r="I17" s="17"/>
      <c r="J17" s="9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8"/>
      <c r="X17" s="19"/>
      <c r="Y17" s="20"/>
      <c r="Z17" s="20"/>
      <c r="AA17" s="20"/>
      <c r="AB17" s="20"/>
      <c r="AC17" s="17"/>
      <c r="AD17" s="17"/>
      <c r="AE17" s="17"/>
      <c r="AF17" s="17"/>
      <c r="AG17" s="17"/>
      <c r="AH17" s="18"/>
    </row>
    <row r="18" spans="1:34" ht="13.5" thickBot="1" x14ac:dyDescent="0.25">
      <c r="A18" s="23"/>
      <c r="B18" s="24"/>
      <c r="C18" s="24"/>
      <c r="D18" s="25"/>
      <c r="E18" s="25"/>
      <c r="F18" s="24"/>
      <c r="G18" s="24"/>
      <c r="H18" s="24"/>
      <c r="I18" s="24"/>
      <c r="J18" s="1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6"/>
      <c r="X18" s="27"/>
      <c r="Y18" s="28"/>
      <c r="Z18" s="28"/>
      <c r="AA18" s="28"/>
      <c r="AB18" s="28"/>
      <c r="AC18" s="24"/>
      <c r="AD18" s="24"/>
      <c r="AE18" s="24"/>
      <c r="AF18" s="24"/>
      <c r="AG18" s="24"/>
      <c r="AH18" s="26"/>
    </row>
    <row r="19" spans="1:34" ht="13.5" thickBot="1" x14ac:dyDescent="0.25">
      <c r="I19" s="16" t="s">
        <v>9</v>
      </c>
      <c r="W19" s="16" t="s">
        <v>9</v>
      </c>
      <c r="X19" s="30"/>
      <c r="Y19" s="30"/>
      <c r="Z19" s="30"/>
      <c r="AA19" s="30"/>
      <c r="AB19" s="30"/>
    </row>
    <row r="20" spans="1:34" s="8" customFormat="1" ht="13.5" thickBot="1" x14ac:dyDescent="0.25">
      <c r="A20" s="96" t="s">
        <v>17</v>
      </c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8"/>
    </row>
    <row r="21" spans="1:34" s="8" customFormat="1" ht="13.5" thickBot="1" x14ac:dyDescent="0.25">
      <c r="A21" s="33" t="s">
        <v>12</v>
      </c>
      <c r="B21" s="33" t="s">
        <v>20</v>
      </c>
      <c r="C21" s="33" t="s">
        <v>2</v>
      </c>
      <c r="D21" s="33" t="s">
        <v>21</v>
      </c>
      <c r="E21" s="33" t="s">
        <v>22</v>
      </c>
      <c r="F21" s="34" t="s">
        <v>23</v>
      </c>
      <c r="G21" s="34" t="s">
        <v>24</v>
      </c>
      <c r="H21" s="34" t="s">
        <v>25</v>
      </c>
      <c r="I21" s="41"/>
      <c r="J21" s="41" t="s">
        <v>8</v>
      </c>
      <c r="K21" s="41" t="s">
        <v>26</v>
      </c>
      <c r="L21" s="41" t="s">
        <v>27</v>
      </c>
      <c r="M21" s="41" t="s">
        <v>28</v>
      </c>
      <c r="N21" s="42" t="str">
        <f>K$2</f>
        <v>10²</v>
      </c>
      <c r="O21" s="42" t="str">
        <f t="shared" ref="O21:P21" si="14">L$2</f>
        <v>10³</v>
      </c>
      <c r="P21" s="42" t="str">
        <f t="shared" si="14"/>
        <v>10⁴</v>
      </c>
      <c r="Q21" s="43" t="str">
        <f>K$2</f>
        <v>10²</v>
      </c>
      <c r="R21" s="43" t="str">
        <f t="shared" ref="R21:S21" si="15">L$2</f>
        <v>10³</v>
      </c>
      <c r="S21" s="43" t="str">
        <f t="shared" si="15"/>
        <v>10⁴</v>
      </c>
      <c r="T21" s="44" t="str">
        <f>K$2</f>
        <v>10²</v>
      </c>
      <c r="U21" s="44" t="str">
        <f>L$2</f>
        <v>10³</v>
      </c>
      <c r="V21" s="44" t="str">
        <f>M$2</f>
        <v>10⁴</v>
      </c>
      <c r="W21" s="7"/>
      <c r="X21" s="15"/>
      <c r="Y21" s="15"/>
      <c r="Z21" s="15"/>
      <c r="AA21" s="15"/>
      <c r="AB21" s="15"/>
      <c r="AC21" s="13"/>
      <c r="AD21" s="13"/>
      <c r="AE21" s="13"/>
      <c r="AF21" s="13"/>
      <c r="AG21" s="13"/>
      <c r="AH21" s="14"/>
    </row>
    <row r="22" spans="1:34" x14ac:dyDescent="0.2">
      <c r="A22" s="16">
        <v>1000</v>
      </c>
      <c r="B22" s="16" t="s">
        <v>4</v>
      </c>
      <c r="C22" s="16">
        <v>1</v>
      </c>
      <c r="D22" s="35">
        <v>94.875901999999996</v>
      </c>
      <c r="E22" s="35">
        <v>0</v>
      </c>
      <c r="F22" s="35">
        <v>0</v>
      </c>
      <c r="G22" s="35">
        <v>94.875901999999996</v>
      </c>
      <c r="H22" s="35">
        <v>94.875901999999996</v>
      </c>
      <c r="I22" s="17"/>
      <c r="J22" s="9"/>
      <c r="K22" s="17"/>
      <c r="L22" s="17"/>
      <c r="M22" s="17"/>
      <c r="N22" s="17"/>
      <c r="O22" s="17"/>
      <c r="P22" s="17"/>
      <c r="Q22" s="17"/>
      <c r="R22" s="17"/>
      <c r="S22" s="17"/>
      <c r="T22" s="36">
        <f>$D$22</f>
        <v>94.875901999999996</v>
      </c>
      <c r="U22" s="36">
        <f>$D$27</f>
        <v>655.08153860000004</v>
      </c>
      <c r="V22" s="36">
        <f>$D$32</f>
        <v>3815.1011147999998</v>
      </c>
      <c r="W22" s="18"/>
      <c r="X22" s="20"/>
      <c r="Y22" s="20"/>
      <c r="Z22" s="20"/>
      <c r="AA22" s="20"/>
      <c r="AB22" s="20"/>
      <c r="AC22" s="17"/>
      <c r="AD22" s="17"/>
      <c r="AE22" s="17"/>
      <c r="AF22" s="17"/>
      <c r="AG22" s="17"/>
      <c r="AH22" s="18"/>
    </row>
    <row r="23" spans="1:34" x14ac:dyDescent="0.2">
      <c r="A23" s="16">
        <v>1000</v>
      </c>
      <c r="B23" s="16" t="s">
        <v>3</v>
      </c>
      <c r="C23" s="16">
        <v>1</v>
      </c>
      <c r="D23" s="35">
        <v>2.2702E-3</v>
      </c>
      <c r="E23" s="35">
        <v>0</v>
      </c>
      <c r="F23" s="35">
        <v>0</v>
      </c>
      <c r="G23" s="35">
        <v>2.2702E-3</v>
      </c>
      <c r="H23" s="35">
        <v>2.2702E-3</v>
      </c>
      <c r="I23" s="17"/>
      <c r="J23" s="9" t="s">
        <v>0</v>
      </c>
      <c r="K23" s="36">
        <f>$D23</f>
        <v>2.2702E-3</v>
      </c>
      <c r="L23" s="36">
        <f>$D28</f>
        <v>2.29806E-2</v>
      </c>
      <c r="M23" s="36">
        <f>$D33</f>
        <v>0.21190809999999999</v>
      </c>
      <c r="N23" s="40">
        <f>$D23-$G23</f>
        <v>0</v>
      </c>
      <c r="O23" s="40">
        <f>$D28-$G28</f>
        <v>0</v>
      </c>
      <c r="P23" s="40">
        <f>$D33-$G33</f>
        <v>0</v>
      </c>
      <c r="Q23" s="40">
        <f>-$D23+$H23</f>
        <v>0</v>
      </c>
      <c r="R23" s="40">
        <f>-$D28+$H28</f>
        <v>0</v>
      </c>
      <c r="S23" s="40">
        <f>-$D33+$H33</f>
        <v>0</v>
      </c>
      <c r="T23" s="36">
        <f t="shared" ref="T23:T27" si="16">$D$22</f>
        <v>94.875901999999996</v>
      </c>
      <c r="U23" s="36">
        <f t="shared" ref="U23:U27" si="17">$D$27</f>
        <v>655.08153860000004</v>
      </c>
      <c r="V23" s="36">
        <f t="shared" ref="V23:V27" si="18">$D$32</f>
        <v>3815.1011147999998</v>
      </c>
      <c r="W23" s="18"/>
      <c r="X23" s="20"/>
      <c r="Y23" s="20"/>
      <c r="Z23" s="20"/>
      <c r="AA23" s="20"/>
      <c r="AB23" s="20"/>
      <c r="AC23" s="17"/>
      <c r="AD23" s="17"/>
      <c r="AE23" s="17"/>
      <c r="AF23" s="17"/>
      <c r="AG23" s="17"/>
      <c r="AH23" s="18"/>
    </row>
    <row r="24" spans="1:34" x14ac:dyDescent="0.2">
      <c r="A24" s="16">
        <v>1000</v>
      </c>
      <c r="B24" s="16" t="s">
        <v>5</v>
      </c>
      <c r="C24" s="16">
        <v>50</v>
      </c>
      <c r="D24" s="35">
        <v>1.7123999999999997E-4</v>
      </c>
      <c r="E24" s="35">
        <v>1.7828445512375868E-5</v>
      </c>
      <c r="F24" s="35">
        <v>2.5213229439631694E-6</v>
      </c>
      <c r="G24" s="35">
        <v>1.6448297560016335E-4</v>
      </c>
      <c r="H24" s="35">
        <v>1.7799702439983659E-4</v>
      </c>
      <c r="I24" s="17"/>
      <c r="J24" s="9" t="s">
        <v>10</v>
      </c>
      <c r="K24" s="36">
        <f t="shared" ref="K24:K26" si="19">$D24</f>
        <v>1.7123999999999997E-4</v>
      </c>
      <c r="L24" s="36">
        <f t="shared" ref="L24:L26" si="20">$D29</f>
        <v>1.3865059999999998E-3</v>
      </c>
      <c r="M24" s="36">
        <f t="shared" ref="M24:M26" si="21">$D34</f>
        <v>1.1102568000000005E-2</v>
      </c>
      <c r="N24" s="40">
        <f t="shared" ref="N24:N26" si="22">$D24-$G24</f>
        <v>6.7570243998366195E-6</v>
      </c>
      <c r="O24" s="40">
        <f t="shared" ref="O24:O26" si="23">$D29-$G29</f>
        <v>2.9260554935101914E-5</v>
      </c>
      <c r="P24" s="40">
        <f t="shared" ref="P24:P26" si="24">$D34-$G34</f>
        <v>9.3575172097567355E-5</v>
      </c>
      <c r="Q24" s="40">
        <f t="shared" ref="Q24:Q26" si="25">-$D24+$H24</f>
        <v>6.7570243998366195E-6</v>
      </c>
      <c r="R24" s="40">
        <f t="shared" ref="R24:R26" si="26">-$D29+$H29</f>
        <v>2.9260554935101914E-5</v>
      </c>
      <c r="S24" s="40">
        <f t="shared" ref="S24:S26" si="27">-$D34+$H34</f>
        <v>9.3575172097567355E-5</v>
      </c>
      <c r="T24" s="36">
        <f t="shared" si="16"/>
        <v>94.875901999999996</v>
      </c>
      <c r="U24" s="36">
        <f t="shared" si="17"/>
        <v>655.08153860000004</v>
      </c>
      <c r="V24" s="36">
        <f t="shared" si="18"/>
        <v>3815.1011147999998</v>
      </c>
      <c r="W24" s="18"/>
      <c r="X24" s="20"/>
      <c r="Y24" s="20"/>
      <c r="Z24" s="20"/>
      <c r="AA24" s="20"/>
      <c r="AB24" s="20"/>
      <c r="AC24" s="17"/>
      <c r="AD24" s="17"/>
      <c r="AE24" s="17"/>
      <c r="AF24" s="17"/>
      <c r="AG24" s="17"/>
      <c r="AH24" s="18"/>
    </row>
    <row r="25" spans="1:34" x14ac:dyDescent="0.2">
      <c r="A25" s="16">
        <v>1000</v>
      </c>
      <c r="B25" s="16" t="s">
        <v>6</v>
      </c>
      <c r="C25" s="16">
        <v>100</v>
      </c>
      <c r="D25" s="35">
        <v>0.32818826599999995</v>
      </c>
      <c r="E25" s="35">
        <v>0.26142356647679243</v>
      </c>
      <c r="F25" s="35">
        <v>2.6142356647679242E-2</v>
      </c>
      <c r="G25" s="35">
        <v>0.25952783783435346</v>
      </c>
      <c r="H25" s="35">
        <v>0.39684869416564644</v>
      </c>
      <c r="I25" s="17"/>
      <c r="J25" s="9" t="s">
        <v>1</v>
      </c>
      <c r="K25" s="36">
        <f t="shared" si="19"/>
        <v>0.32818826599999995</v>
      </c>
      <c r="L25" s="36">
        <f t="shared" si="20"/>
        <v>5.1432382090000006</v>
      </c>
      <c r="M25" s="36">
        <f t="shared" si="21"/>
        <v>39.106785873999996</v>
      </c>
      <c r="N25" s="40">
        <f t="shared" si="22"/>
        <v>6.8660428165646492E-2</v>
      </c>
      <c r="O25" s="40">
        <f t="shared" si="23"/>
        <v>1.0952224210669197</v>
      </c>
      <c r="P25" s="40">
        <f t="shared" si="24"/>
        <v>8.9422373266508259E-2</v>
      </c>
      <c r="Q25" s="40">
        <f t="shared" si="25"/>
        <v>6.8660428165646492E-2</v>
      </c>
      <c r="R25" s="40">
        <f t="shared" si="26"/>
        <v>1.0952224210669197</v>
      </c>
      <c r="S25" s="40">
        <f t="shared" si="27"/>
        <v>8.9422373266508259E-2</v>
      </c>
      <c r="T25" s="36">
        <f t="shared" si="16"/>
        <v>94.875901999999996</v>
      </c>
      <c r="U25" s="36">
        <f t="shared" si="17"/>
        <v>655.08153860000004</v>
      </c>
      <c r="V25" s="36">
        <f t="shared" si="18"/>
        <v>3815.1011147999998</v>
      </c>
      <c r="W25" s="18"/>
      <c r="X25" s="20"/>
      <c r="Y25" s="20"/>
      <c r="Z25" s="20"/>
      <c r="AA25" s="20"/>
      <c r="AB25" s="20"/>
      <c r="AC25" s="17"/>
      <c r="AD25" s="17"/>
      <c r="AE25" s="17"/>
      <c r="AF25" s="17"/>
      <c r="AG25" s="17"/>
      <c r="AH25" s="18"/>
    </row>
    <row r="26" spans="1:34" x14ac:dyDescent="0.2">
      <c r="A26" s="16">
        <v>1000</v>
      </c>
      <c r="B26" s="16" t="s">
        <v>7</v>
      </c>
      <c r="C26" s="16">
        <v>100</v>
      </c>
      <c r="D26" s="35">
        <v>0.36770738700000011</v>
      </c>
      <c r="E26" s="35">
        <v>0.2819665748786172</v>
      </c>
      <c r="F26" s="35">
        <v>2.819665748786172E-2</v>
      </c>
      <c r="G26" s="35">
        <v>0.29365153189680177</v>
      </c>
      <c r="H26" s="35">
        <v>0.44176324210319845</v>
      </c>
      <c r="I26" s="17"/>
      <c r="J26" s="9" t="s">
        <v>11</v>
      </c>
      <c r="K26" s="36">
        <f t="shared" si="19"/>
        <v>0.36770738700000011</v>
      </c>
      <c r="L26" s="36">
        <f t="shared" si="20"/>
        <v>8.196249642999998</v>
      </c>
      <c r="M26" s="36">
        <f t="shared" si="21"/>
        <v>67.477600288000005</v>
      </c>
      <c r="N26" s="40">
        <f t="shared" si="22"/>
        <v>7.4055855103198343E-2</v>
      </c>
      <c r="O26" s="40">
        <f t="shared" si="23"/>
        <v>1.6460655950699756</v>
      </c>
      <c r="P26" s="40">
        <f t="shared" si="24"/>
        <v>0.35662252945418516</v>
      </c>
      <c r="Q26" s="40">
        <f t="shared" si="25"/>
        <v>7.4055855103198343E-2</v>
      </c>
      <c r="R26" s="40">
        <f t="shared" si="26"/>
        <v>1.6460655950699756</v>
      </c>
      <c r="S26" s="40">
        <f t="shared" si="27"/>
        <v>0.35662252945418516</v>
      </c>
      <c r="T26" s="36">
        <f t="shared" si="16"/>
        <v>94.875901999999996</v>
      </c>
      <c r="U26" s="36">
        <f t="shared" si="17"/>
        <v>655.08153860000004</v>
      </c>
      <c r="V26" s="36">
        <f t="shared" si="18"/>
        <v>3815.1011147999998</v>
      </c>
      <c r="W26" s="18"/>
      <c r="X26" s="20"/>
      <c r="Y26" s="20"/>
      <c r="Z26" s="20"/>
      <c r="AA26" s="20"/>
      <c r="AB26" s="20"/>
      <c r="AC26" s="17"/>
      <c r="AD26" s="17"/>
      <c r="AE26" s="17"/>
      <c r="AF26" s="17"/>
      <c r="AG26" s="17"/>
      <c r="AH26" s="18"/>
    </row>
    <row r="27" spans="1:34" x14ac:dyDescent="0.2">
      <c r="A27" s="16">
        <v>10000</v>
      </c>
      <c r="B27" s="16" t="s">
        <v>4</v>
      </c>
      <c r="C27" s="16">
        <v>1</v>
      </c>
      <c r="D27" s="35">
        <v>655.08153860000004</v>
      </c>
      <c r="E27" s="35">
        <v>0</v>
      </c>
      <c r="F27" s="35">
        <v>0</v>
      </c>
      <c r="G27" s="35">
        <v>655.08153860000004</v>
      </c>
      <c r="H27" s="35">
        <v>655.08153860000004</v>
      </c>
      <c r="I27" s="17"/>
      <c r="J27" s="9"/>
      <c r="K27" s="17"/>
      <c r="L27" s="17"/>
      <c r="M27" s="17"/>
      <c r="N27" s="17"/>
      <c r="O27" s="17"/>
      <c r="P27" s="17"/>
      <c r="T27" s="36">
        <f t="shared" si="16"/>
        <v>94.875901999999996</v>
      </c>
      <c r="U27" s="36">
        <f t="shared" si="17"/>
        <v>655.08153860000004</v>
      </c>
      <c r="V27" s="36">
        <f t="shared" si="18"/>
        <v>3815.1011147999998</v>
      </c>
      <c r="W27" s="18"/>
      <c r="X27" s="20"/>
      <c r="Y27" s="20"/>
      <c r="Z27" s="20"/>
      <c r="AA27" s="20"/>
      <c r="AB27" s="20"/>
      <c r="AC27" s="17"/>
      <c r="AD27" s="17"/>
      <c r="AE27" s="17"/>
      <c r="AF27" s="17"/>
      <c r="AG27" s="17"/>
      <c r="AH27" s="18"/>
    </row>
    <row r="28" spans="1:34" x14ac:dyDescent="0.2">
      <c r="A28" s="16">
        <v>10000</v>
      </c>
      <c r="B28" s="16" t="s">
        <v>3</v>
      </c>
      <c r="C28" s="16">
        <v>1</v>
      </c>
      <c r="D28" s="35">
        <v>2.29806E-2</v>
      </c>
      <c r="E28" s="35">
        <v>0</v>
      </c>
      <c r="F28" s="35">
        <v>0</v>
      </c>
      <c r="G28" s="35">
        <v>2.29806E-2</v>
      </c>
      <c r="H28" s="35">
        <v>2.29806E-2</v>
      </c>
      <c r="I28" s="17"/>
      <c r="J28" s="9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8"/>
      <c r="X28" s="20"/>
      <c r="Y28" s="20"/>
      <c r="Z28" s="20"/>
      <c r="AA28" s="20"/>
      <c r="AB28" s="20"/>
      <c r="AC28" s="17"/>
      <c r="AD28" s="17"/>
      <c r="AE28" s="17"/>
      <c r="AF28" s="17"/>
      <c r="AG28" s="17"/>
      <c r="AH28" s="18"/>
    </row>
    <row r="29" spans="1:34" x14ac:dyDescent="0.2">
      <c r="A29" s="16">
        <v>10000</v>
      </c>
      <c r="B29" s="16" t="s">
        <v>5</v>
      </c>
      <c r="C29" s="16">
        <v>50</v>
      </c>
      <c r="D29" s="35">
        <v>1.3865059999999998E-3</v>
      </c>
      <c r="E29" s="35">
        <v>7.7204132833227343E-5</v>
      </c>
      <c r="F29" s="35">
        <v>1.0918313172400406E-5</v>
      </c>
      <c r="G29" s="35">
        <v>1.3572454450648979E-3</v>
      </c>
      <c r="H29" s="35">
        <v>1.4157665549351017E-3</v>
      </c>
      <c r="I29" s="17"/>
      <c r="J29" s="9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8"/>
      <c r="X29" s="20"/>
      <c r="Y29" s="20"/>
      <c r="Z29" s="20"/>
      <c r="AA29" s="20"/>
      <c r="AB29" s="20"/>
      <c r="AC29" s="17"/>
      <c r="AD29" s="17"/>
      <c r="AE29" s="17"/>
      <c r="AF29" s="17"/>
      <c r="AG29" s="17"/>
      <c r="AH29" s="18"/>
    </row>
    <row r="30" spans="1:34" x14ac:dyDescent="0.2">
      <c r="A30" s="16">
        <v>10000</v>
      </c>
      <c r="B30" s="16" t="s">
        <v>6</v>
      </c>
      <c r="C30" s="16">
        <v>100</v>
      </c>
      <c r="D30" s="35">
        <v>5.1432382090000006</v>
      </c>
      <c r="E30" s="35">
        <v>4.1700431973699379</v>
      </c>
      <c r="F30" s="35">
        <v>0.41700431973699381</v>
      </c>
      <c r="G30" s="35">
        <v>4.0480157879330809</v>
      </c>
      <c r="H30" s="35">
        <v>6.2384606300669203</v>
      </c>
      <c r="I30" s="17"/>
      <c r="J30" s="9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8"/>
      <c r="X30" s="20"/>
      <c r="Y30" s="20"/>
      <c r="Z30" s="20"/>
      <c r="AA30" s="20"/>
      <c r="AB30" s="20"/>
      <c r="AC30" s="17"/>
      <c r="AD30" s="17"/>
      <c r="AE30" s="17"/>
      <c r="AF30" s="17"/>
      <c r="AG30" s="17"/>
      <c r="AH30" s="18"/>
    </row>
    <row r="31" spans="1:34" x14ac:dyDescent="0.2">
      <c r="A31" s="16">
        <v>10000</v>
      </c>
      <c r="B31" s="16" t="s">
        <v>7</v>
      </c>
      <c r="C31" s="16">
        <v>100</v>
      </c>
      <c r="D31" s="35">
        <v>8.196249642999998</v>
      </c>
      <c r="E31" s="35">
        <v>6.2673704492457984</v>
      </c>
      <c r="F31" s="35">
        <v>0.62673704492457982</v>
      </c>
      <c r="G31" s="35">
        <v>6.5501840479300224</v>
      </c>
      <c r="H31" s="35">
        <v>9.8423152380699737</v>
      </c>
      <c r="I31" s="17"/>
      <c r="J31" s="9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8"/>
      <c r="X31" s="20"/>
      <c r="Y31" s="20"/>
      <c r="Z31" s="20"/>
      <c r="AA31" s="20"/>
      <c r="AB31" s="20"/>
      <c r="AC31" s="17"/>
      <c r="AD31" s="17"/>
      <c r="AE31" s="17"/>
      <c r="AF31" s="17"/>
      <c r="AG31" s="17"/>
      <c r="AH31" s="18"/>
    </row>
    <row r="32" spans="1:34" x14ac:dyDescent="0.2">
      <c r="A32" s="16">
        <v>100000</v>
      </c>
      <c r="B32" s="16" t="s">
        <v>4</v>
      </c>
      <c r="C32" s="16">
        <v>1</v>
      </c>
      <c r="D32" s="35">
        <v>3815.1011147999998</v>
      </c>
      <c r="E32" s="35">
        <v>0</v>
      </c>
      <c r="F32" s="35">
        <v>0</v>
      </c>
      <c r="G32" s="35">
        <v>3815.1011147999998</v>
      </c>
      <c r="H32" s="35">
        <v>3815.1011147999998</v>
      </c>
      <c r="I32" s="17"/>
      <c r="J32" s="9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8"/>
      <c r="X32" s="20"/>
      <c r="Y32" s="20"/>
      <c r="Z32" s="20"/>
      <c r="AA32" s="20"/>
      <c r="AB32" s="20"/>
      <c r="AC32" s="17"/>
      <c r="AD32" s="17"/>
      <c r="AE32" s="17"/>
      <c r="AF32" s="17"/>
      <c r="AG32" s="17"/>
      <c r="AH32" s="18"/>
    </row>
    <row r="33" spans="1:34" x14ac:dyDescent="0.2">
      <c r="A33" s="16">
        <v>100000</v>
      </c>
      <c r="B33" s="16" t="s">
        <v>3</v>
      </c>
      <c r="C33" s="16">
        <v>1</v>
      </c>
      <c r="D33" s="35">
        <v>0.21190809999999999</v>
      </c>
      <c r="E33" s="35">
        <v>0</v>
      </c>
      <c r="F33" s="35">
        <v>0</v>
      </c>
      <c r="G33" s="35">
        <v>0.21190809999999999</v>
      </c>
      <c r="H33" s="35">
        <v>0.21190809999999999</v>
      </c>
      <c r="I33" s="17"/>
      <c r="J33" s="9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8"/>
      <c r="X33" s="20"/>
      <c r="Y33" s="20"/>
      <c r="Z33" s="20"/>
      <c r="AA33" s="20"/>
      <c r="AB33" s="20"/>
      <c r="AC33" s="17"/>
      <c r="AD33" s="17"/>
      <c r="AE33" s="17"/>
      <c r="AF33" s="17"/>
      <c r="AG33" s="17"/>
      <c r="AH33" s="18"/>
    </row>
    <row r="34" spans="1:34" x14ac:dyDescent="0.2">
      <c r="A34" s="16">
        <v>100000</v>
      </c>
      <c r="B34" s="16" t="s">
        <v>5</v>
      </c>
      <c r="C34" s="16">
        <v>50</v>
      </c>
      <c r="D34" s="35">
        <v>1.1102568000000005E-2</v>
      </c>
      <c r="E34" s="35">
        <v>2.4689859889998473E-4</v>
      </c>
      <c r="F34" s="35">
        <v>3.491673470952733E-5</v>
      </c>
      <c r="G34" s="35">
        <v>1.1008992827902438E-2</v>
      </c>
      <c r="H34" s="35">
        <v>1.1196143172097573E-2</v>
      </c>
      <c r="I34" s="17"/>
      <c r="J34" s="9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8"/>
      <c r="X34" s="20"/>
      <c r="Y34" s="20"/>
      <c r="Z34" s="20"/>
      <c r="AA34" s="20"/>
      <c r="AB34" s="20"/>
      <c r="AC34" s="17"/>
      <c r="AD34" s="17"/>
      <c r="AE34" s="17"/>
      <c r="AF34" s="17"/>
      <c r="AG34" s="17"/>
      <c r="AH34" s="18"/>
    </row>
    <row r="35" spans="1:34" x14ac:dyDescent="0.2">
      <c r="A35" s="16">
        <v>100000</v>
      </c>
      <c r="B35" s="16" t="s">
        <v>6</v>
      </c>
      <c r="C35" s="16">
        <v>50</v>
      </c>
      <c r="D35" s="35">
        <v>39.106785873999996</v>
      </c>
      <c r="E35" s="35">
        <v>0.23594141666971782</v>
      </c>
      <c r="F35" s="35">
        <v>3.3367155137983641E-2</v>
      </c>
      <c r="G35" s="35">
        <v>39.017363500733488</v>
      </c>
      <c r="H35" s="35">
        <v>39.196208247266505</v>
      </c>
      <c r="I35" s="17"/>
      <c r="J35" s="9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8"/>
      <c r="X35" s="20"/>
      <c r="Y35" s="20"/>
      <c r="Z35" s="20"/>
      <c r="AA35" s="20"/>
      <c r="AB35" s="20"/>
      <c r="AC35" s="17"/>
      <c r="AD35" s="17"/>
      <c r="AE35" s="17"/>
      <c r="AF35" s="17"/>
      <c r="AG35" s="17"/>
      <c r="AH35" s="18"/>
    </row>
    <row r="36" spans="1:34" x14ac:dyDescent="0.2">
      <c r="A36" s="16">
        <v>100000</v>
      </c>
      <c r="B36" s="16" t="s">
        <v>7</v>
      </c>
      <c r="C36" s="16">
        <v>50</v>
      </c>
      <c r="D36" s="35">
        <v>67.477600288000005</v>
      </c>
      <c r="E36" s="35">
        <v>0.94095047740441806</v>
      </c>
      <c r="F36" s="35">
        <v>0.13307049266667664</v>
      </c>
      <c r="G36" s="35">
        <v>67.12097775854582</v>
      </c>
      <c r="H36" s="35">
        <v>67.83422281745419</v>
      </c>
      <c r="I36" s="17"/>
      <c r="J36" s="9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8"/>
      <c r="X36" s="20"/>
      <c r="Y36" s="20"/>
      <c r="Z36" s="20"/>
      <c r="AA36" s="20"/>
      <c r="AB36" s="20"/>
      <c r="AC36" s="17"/>
      <c r="AD36" s="17"/>
      <c r="AE36" s="17"/>
      <c r="AF36" s="17"/>
      <c r="AG36" s="17"/>
      <c r="AH36" s="18"/>
    </row>
    <row r="37" spans="1:34" ht="13.5" thickBot="1" x14ac:dyDescent="0.25">
      <c r="A37" s="23"/>
      <c r="B37" s="24"/>
      <c r="C37" s="24"/>
      <c r="D37" s="25"/>
      <c r="E37" s="25"/>
      <c r="F37" s="24"/>
      <c r="G37" s="24"/>
      <c r="H37" s="24"/>
      <c r="I37" s="24"/>
      <c r="J37" s="13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6"/>
      <c r="X37" s="28"/>
      <c r="Y37" s="28"/>
      <c r="Z37" s="28"/>
      <c r="AA37" s="28"/>
      <c r="AB37" s="28"/>
      <c r="AC37" s="24"/>
      <c r="AD37" s="24"/>
      <c r="AE37" s="24"/>
      <c r="AF37" s="24"/>
      <c r="AG37" s="24"/>
      <c r="AH37" s="26"/>
    </row>
    <row r="38" spans="1:34" ht="13.5" thickBot="1" x14ac:dyDescent="0.25">
      <c r="X38" s="30"/>
      <c r="Y38" s="30"/>
      <c r="Z38" s="30"/>
      <c r="AA38" s="30"/>
      <c r="AB38" s="30"/>
    </row>
    <row r="39" spans="1:34" s="8" customFormat="1" ht="13.5" thickBot="1" x14ac:dyDescent="0.25">
      <c r="A39" s="96" t="s">
        <v>18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8"/>
    </row>
    <row r="40" spans="1:34" s="8" customFormat="1" ht="13.5" thickBot="1" x14ac:dyDescent="0.25">
      <c r="A40" s="45" t="s">
        <v>12</v>
      </c>
      <c r="B40" s="45" t="s">
        <v>20</v>
      </c>
      <c r="C40" s="45" t="s">
        <v>2</v>
      </c>
      <c r="D40" s="45" t="s">
        <v>21</v>
      </c>
      <c r="E40" s="45" t="s">
        <v>22</v>
      </c>
      <c r="F40" s="46" t="s">
        <v>23</v>
      </c>
      <c r="G40" s="46" t="s">
        <v>24</v>
      </c>
      <c r="H40" s="46" t="s">
        <v>25</v>
      </c>
      <c r="I40" s="41"/>
      <c r="J40" s="41" t="s">
        <v>8</v>
      </c>
      <c r="K40" s="41" t="s">
        <v>26</v>
      </c>
      <c r="L40" s="41" t="s">
        <v>27</v>
      </c>
      <c r="M40" s="41" t="s">
        <v>28</v>
      </c>
      <c r="N40" s="42" t="str">
        <f>K$2</f>
        <v>10²</v>
      </c>
      <c r="O40" s="42" t="str">
        <f t="shared" ref="O40:P40" si="28">L$2</f>
        <v>10³</v>
      </c>
      <c r="P40" s="42" t="str">
        <f t="shared" si="28"/>
        <v>10⁴</v>
      </c>
      <c r="Q40" s="43" t="str">
        <f>K$2</f>
        <v>10²</v>
      </c>
      <c r="R40" s="43" t="str">
        <f t="shared" ref="R40:S40" si="29">L$2</f>
        <v>10³</v>
      </c>
      <c r="S40" s="43" t="str">
        <f t="shared" si="29"/>
        <v>10⁴</v>
      </c>
      <c r="T40" s="44" t="str">
        <f>K$2</f>
        <v>10²</v>
      </c>
      <c r="U40" s="44" t="str">
        <f>L$2</f>
        <v>10³</v>
      </c>
      <c r="V40" s="44" t="str">
        <f>M$2</f>
        <v>10⁴</v>
      </c>
      <c r="W40" s="7"/>
      <c r="X40" s="15"/>
      <c r="Y40" s="15"/>
      <c r="Z40" s="15"/>
      <c r="AA40" s="15"/>
      <c r="AB40" s="15"/>
      <c r="AC40" s="13"/>
      <c r="AD40" s="13"/>
      <c r="AE40" s="13"/>
      <c r="AF40" s="13"/>
      <c r="AG40" s="13"/>
      <c r="AH40" s="14"/>
    </row>
    <row r="41" spans="1:34" x14ac:dyDescent="0.2">
      <c r="A41" s="47">
        <v>1000</v>
      </c>
      <c r="B41" s="47" t="s">
        <v>4</v>
      </c>
      <c r="C41" s="48">
        <v>1</v>
      </c>
      <c r="D41" s="49">
        <v>3504.9152199999999</v>
      </c>
      <c r="E41" s="49">
        <v>0</v>
      </c>
      <c r="F41" s="49">
        <v>0</v>
      </c>
      <c r="G41" s="49">
        <v>3504.9152199999999</v>
      </c>
      <c r="H41" s="49">
        <v>3504.9152199999999</v>
      </c>
      <c r="I41" s="17"/>
      <c r="J41" s="9"/>
      <c r="K41" s="17"/>
      <c r="L41" s="17"/>
      <c r="M41" s="17"/>
      <c r="N41" s="17"/>
      <c r="O41" s="17"/>
      <c r="P41" s="17"/>
      <c r="Q41" s="17"/>
      <c r="R41" s="17"/>
      <c r="S41" s="17"/>
      <c r="T41" s="36">
        <f>$D$41</f>
        <v>3504.9152199999999</v>
      </c>
      <c r="U41" s="36">
        <f>$D$46</f>
        <v>55314.036419999997</v>
      </c>
      <c r="V41" s="36">
        <f>$D$51</f>
        <v>574009.13060999999</v>
      </c>
      <c r="W41" s="18"/>
      <c r="X41" s="20"/>
      <c r="Y41" s="20"/>
      <c r="Z41" s="20"/>
      <c r="AA41" s="20"/>
      <c r="AB41" s="20"/>
      <c r="AC41" s="17"/>
      <c r="AD41" s="17"/>
      <c r="AE41" s="17"/>
      <c r="AF41" s="17"/>
      <c r="AG41" s="17"/>
      <c r="AH41" s="18"/>
    </row>
    <row r="42" spans="1:34" x14ac:dyDescent="0.2">
      <c r="A42" s="47">
        <v>1000</v>
      </c>
      <c r="B42" s="47" t="s">
        <v>3</v>
      </c>
      <c r="C42" s="48">
        <v>1</v>
      </c>
      <c r="D42" s="49">
        <v>3559.3359300000002</v>
      </c>
      <c r="E42" s="49">
        <v>0</v>
      </c>
      <c r="F42" s="49">
        <v>0</v>
      </c>
      <c r="G42" s="49">
        <v>3559.3359300000002</v>
      </c>
      <c r="H42" s="49">
        <v>3559.3359300000002</v>
      </c>
      <c r="I42" s="17"/>
      <c r="J42" s="9" t="s">
        <v>0</v>
      </c>
      <c r="K42" s="36">
        <f>$D42</f>
        <v>3559.3359300000002</v>
      </c>
      <c r="L42" s="36">
        <f>$D47</f>
        <v>55440.238019999997</v>
      </c>
      <c r="M42" s="36">
        <f>$D52</f>
        <v>576696.82782999997</v>
      </c>
      <c r="N42" s="40">
        <f>$D42-$G42</f>
        <v>0</v>
      </c>
      <c r="O42" s="40">
        <f>$D47-$G47</f>
        <v>0</v>
      </c>
      <c r="P42" s="40">
        <f>$D52-$G52</f>
        <v>0</v>
      </c>
      <c r="Q42" s="40">
        <f>-$D42+$H42</f>
        <v>0</v>
      </c>
      <c r="R42" s="40">
        <f>-$D47+$H47</f>
        <v>0</v>
      </c>
      <c r="S42" s="40">
        <f>-$D52+$H52</f>
        <v>0</v>
      </c>
      <c r="T42" s="36">
        <f t="shared" ref="T42:T46" si="30">$D$41</f>
        <v>3504.9152199999999</v>
      </c>
      <c r="U42" s="36">
        <f t="shared" ref="U42:U46" si="31">$D$46</f>
        <v>55314.036419999997</v>
      </c>
      <c r="V42" s="36">
        <f t="shared" ref="V42:V46" si="32">$D$51</f>
        <v>574009.13060999999</v>
      </c>
      <c r="W42" s="18"/>
      <c r="X42" s="20"/>
      <c r="Y42" s="20"/>
      <c r="Z42" s="20"/>
      <c r="AA42" s="20"/>
      <c r="AB42" s="20"/>
      <c r="AC42" s="17"/>
      <c r="AD42" s="17"/>
      <c r="AE42" s="17"/>
      <c r="AF42" s="17"/>
      <c r="AG42" s="17"/>
      <c r="AH42" s="18"/>
    </row>
    <row r="43" spans="1:34" x14ac:dyDescent="0.2">
      <c r="A43" s="47">
        <v>1000</v>
      </c>
      <c r="B43" s="47" t="s">
        <v>5</v>
      </c>
      <c r="C43" s="48">
        <v>50</v>
      </c>
      <c r="D43" s="49">
        <v>3816.9707883999999</v>
      </c>
      <c r="E43" s="49">
        <v>36.046206928955542</v>
      </c>
      <c r="F43" s="49">
        <v>5.0977034711035953</v>
      </c>
      <c r="G43" s="49">
        <v>3803.3091879216277</v>
      </c>
      <c r="H43" s="49">
        <v>3830.6323888783722</v>
      </c>
      <c r="I43" s="17"/>
      <c r="J43" s="9" t="s">
        <v>10</v>
      </c>
      <c r="K43" s="36">
        <f t="shared" ref="K43:K45" si="33">$D43</f>
        <v>3816.9707883999999</v>
      </c>
      <c r="L43" s="36">
        <f t="shared" ref="L43:L45" si="34">$D48</f>
        <v>55353.292138199991</v>
      </c>
      <c r="M43" s="36">
        <f t="shared" ref="M43:M45" si="35">$D53</f>
        <v>575813.63731239992</v>
      </c>
      <c r="N43" s="40">
        <f t="shared" ref="N43:N45" si="36">$D43-$G43</f>
        <v>13.661600478372293</v>
      </c>
      <c r="O43" s="40">
        <f t="shared" ref="O43:O45" si="37">$D48-$G48</f>
        <v>14.502122619582224</v>
      </c>
      <c r="P43" s="40">
        <f t="shared" ref="P43:P45" si="38">$D53-$G53</f>
        <v>48.602366542327218</v>
      </c>
      <c r="Q43" s="40">
        <f t="shared" ref="Q43:Q45" si="39">-$D43+$H43</f>
        <v>13.661600478372293</v>
      </c>
      <c r="R43" s="40">
        <f t="shared" ref="R43:R45" si="40">-$D48+$H48</f>
        <v>14.502122619582224</v>
      </c>
      <c r="S43" s="40">
        <f t="shared" ref="S43:S45" si="41">-$D53+$H53</f>
        <v>48.602366542327218</v>
      </c>
      <c r="T43" s="36">
        <f t="shared" si="30"/>
        <v>3504.9152199999999</v>
      </c>
      <c r="U43" s="36">
        <f t="shared" si="31"/>
        <v>55314.036419999997</v>
      </c>
      <c r="V43" s="36">
        <f t="shared" si="32"/>
        <v>574009.13060999999</v>
      </c>
      <c r="W43" s="18"/>
      <c r="X43" s="20"/>
      <c r="Y43" s="20"/>
      <c r="Z43" s="20"/>
      <c r="AA43" s="20"/>
      <c r="AB43" s="20"/>
      <c r="AC43" s="17"/>
      <c r="AD43" s="17"/>
      <c r="AE43" s="17"/>
      <c r="AF43" s="17"/>
      <c r="AG43" s="17"/>
      <c r="AH43" s="18"/>
    </row>
    <row r="44" spans="1:34" x14ac:dyDescent="0.2">
      <c r="A44" s="47">
        <v>1000</v>
      </c>
      <c r="B44" s="47" t="s">
        <v>6</v>
      </c>
      <c r="C44" s="48">
        <v>100</v>
      </c>
      <c r="D44" s="49">
        <v>3470.8368077999994</v>
      </c>
      <c r="E44" s="49">
        <v>34.466938536855977</v>
      </c>
      <c r="F44" s="49">
        <v>3.4466938536855976</v>
      </c>
      <c r="G44" s="49">
        <v>3461.7843922531033</v>
      </c>
      <c r="H44" s="49">
        <v>3479.8892233468955</v>
      </c>
      <c r="I44" s="17"/>
      <c r="J44" s="9" t="s">
        <v>1</v>
      </c>
      <c r="K44" s="36">
        <f t="shared" si="33"/>
        <v>3470.8368077999994</v>
      </c>
      <c r="L44" s="36">
        <f t="shared" si="34"/>
        <v>53589.225162399998</v>
      </c>
      <c r="M44" s="36">
        <f t="shared" si="35"/>
        <v>576473.6174797999</v>
      </c>
      <c r="N44" s="40">
        <f t="shared" si="36"/>
        <v>9.0524155468960998</v>
      </c>
      <c r="O44" s="40">
        <f t="shared" si="37"/>
        <v>466.4743544657249</v>
      </c>
      <c r="P44" s="40">
        <f t="shared" si="38"/>
        <v>28.95539769961033</v>
      </c>
      <c r="Q44" s="40">
        <f t="shared" si="39"/>
        <v>9.0524155468960998</v>
      </c>
      <c r="R44" s="40">
        <f t="shared" si="40"/>
        <v>466.4743544657249</v>
      </c>
      <c r="S44" s="40">
        <f t="shared" si="41"/>
        <v>28.95539769961033</v>
      </c>
      <c r="T44" s="36">
        <f t="shared" si="30"/>
        <v>3504.9152199999999</v>
      </c>
      <c r="U44" s="36">
        <f t="shared" si="31"/>
        <v>55314.036419999997</v>
      </c>
      <c r="V44" s="36">
        <f t="shared" si="32"/>
        <v>574009.13060999999</v>
      </c>
      <c r="W44" s="32"/>
      <c r="X44" s="20"/>
      <c r="Y44" s="20"/>
      <c r="Z44" s="20"/>
      <c r="AA44" s="20"/>
      <c r="AB44" s="20"/>
      <c r="AC44" s="17"/>
      <c r="AD44" s="17"/>
      <c r="AE44" s="17"/>
      <c r="AF44" s="17"/>
      <c r="AG44" s="17"/>
      <c r="AH44" s="18"/>
    </row>
    <row r="45" spans="1:34" x14ac:dyDescent="0.2">
      <c r="A45" s="47">
        <v>1000</v>
      </c>
      <c r="B45" s="47" t="s">
        <v>7</v>
      </c>
      <c r="C45" s="48">
        <v>100</v>
      </c>
      <c r="D45" s="49">
        <v>3465.2804402999991</v>
      </c>
      <c r="E45" s="49">
        <v>35.544298574563825</v>
      </c>
      <c r="F45" s="49">
        <v>3.5544298574563826</v>
      </c>
      <c r="G45" s="49">
        <v>3455.9450663248535</v>
      </c>
      <c r="H45" s="49">
        <v>3474.6158142751447</v>
      </c>
      <c r="I45" s="17"/>
      <c r="J45" s="9" t="s">
        <v>11</v>
      </c>
      <c r="K45" s="36">
        <f t="shared" si="33"/>
        <v>3465.2804402999991</v>
      </c>
      <c r="L45" s="36">
        <f t="shared" si="34"/>
        <v>53268.453663</v>
      </c>
      <c r="M45" s="36">
        <f t="shared" si="35"/>
        <v>575179.31335640012</v>
      </c>
      <c r="N45" s="40">
        <f t="shared" si="36"/>
        <v>9.3353739751455578</v>
      </c>
      <c r="O45" s="40">
        <f t="shared" si="37"/>
        <v>547.81264010963787</v>
      </c>
      <c r="P45" s="40">
        <f t="shared" si="38"/>
        <v>34.744359118980356</v>
      </c>
      <c r="Q45" s="40">
        <f t="shared" si="39"/>
        <v>9.3353739751455578</v>
      </c>
      <c r="R45" s="40">
        <f t="shared" si="40"/>
        <v>547.81264010963787</v>
      </c>
      <c r="S45" s="40">
        <f t="shared" si="41"/>
        <v>34.744359118980356</v>
      </c>
      <c r="T45" s="36">
        <f t="shared" si="30"/>
        <v>3504.9152199999999</v>
      </c>
      <c r="U45" s="36">
        <f t="shared" si="31"/>
        <v>55314.036419999997</v>
      </c>
      <c r="V45" s="36">
        <f t="shared" si="32"/>
        <v>574009.13060999999</v>
      </c>
      <c r="W45" s="32"/>
      <c r="X45" s="20"/>
      <c r="Y45" s="20"/>
      <c r="Z45" s="20"/>
      <c r="AA45" s="20"/>
      <c r="AB45" s="20"/>
      <c r="AC45" s="17"/>
      <c r="AD45" s="17"/>
      <c r="AE45" s="17"/>
      <c r="AF45" s="17"/>
      <c r="AG45" s="17"/>
      <c r="AH45" s="18"/>
    </row>
    <row r="46" spans="1:34" x14ac:dyDescent="0.2">
      <c r="A46" s="47">
        <v>10000</v>
      </c>
      <c r="B46" s="47" t="s">
        <v>4</v>
      </c>
      <c r="C46" s="48">
        <v>1</v>
      </c>
      <c r="D46" s="49">
        <v>55314.036419999997</v>
      </c>
      <c r="E46" s="49">
        <v>0</v>
      </c>
      <c r="F46" s="49">
        <v>0</v>
      </c>
      <c r="G46" s="49">
        <v>55314.036419999997</v>
      </c>
      <c r="H46" s="49">
        <v>55314.036419999997</v>
      </c>
      <c r="I46" s="17"/>
      <c r="J46" s="9"/>
      <c r="K46" s="17"/>
      <c r="L46" s="17"/>
      <c r="M46" s="17"/>
      <c r="N46" s="17"/>
      <c r="O46" s="17"/>
      <c r="P46" s="17"/>
      <c r="T46" s="36">
        <f t="shared" si="30"/>
        <v>3504.9152199999999</v>
      </c>
      <c r="U46" s="36">
        <f t="shared" si="31"/>
        <v>55314.036419999997</v>
      </c>
      <c r="V46" s="36">
        <f t="shared" si="32"/>
        <v>574009.13060999999</v>
      </c>
      <c r="W46" s="18"/>
      <c r="X46" s="20"/>
      <c r="Y46" s="20"/>
      <c r="Z46" s="20"/>
      <c r="AA46" s="20"/>
      <c r="AB46" s="20"/>
      <c r="AC46" s="17"/>
      <c r="AD46" s="17"/>
      <c r="AE46" s="17"/>
      <c r="AF46" s="17"/>
      <c r="AG46" s="17"/>
      <c r="AH46" s="18"/>
    </row>
    <row r="47" spans="1:34" x14ac:dyDescent="0.2">
      <c r="A47" s="47">
        <v>10000</v>
      </c>
      <c r="B47" s="47" t="s">
        <v>3</v>
      </c>
      <c r="C47" s="48">
        <v>1</v>
      </c>
      <c r="D47" s="49">
        <v>55440.238019999997</v>
      </c>
      <c r="E47" s="49">
        <v>0</v>
      </c>
      <c r="F47" s="49">
        <v>0</v>
      </c>
      <c r="G47" s="49">
        <v>55440.238019999997</v>
      </c>
      <c r="H47" s="49">
        <v>55440.238019999997</v>
      </c>
      <c r="I47" s="17"/>
      <c r="J47" s="9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8"/>
      <c r="X47" s="20"/>
      <c r="Y47" s="20"/>
      <c r="Z47" s="20"/>
      <c r="AA47" s="20"/>
      <c r="AB47" s="20"/>
      <c r="AC47" s="17"/>
      <c r="AD47" s="17"/>
      <c r="AE47" s="17"/>
      <c r="AF47" s="17"/>
      <c r="AG47" s="17"/>
      <c r="AH47" s="18"/>
    </row>
    <row r="48" spans="1:34" x14ac:dyDescent="0.2">
      <c r="A48" s="47">
        <v>10000</v>
      </c>
      <c r="B48" s="47" t="s">
        <v>5</v>
      </c>
      <c r="C48" s="48">
        <v>50</v>
      </c>
      <c r="D48" s="49">
        <v>55353.292138199991</v>
      </c>
      <c r="E48" s="49">
        <v>38.26392915545884</v>
      </c>
      <c r="F48" s="49">
        <v>5.4113367561333181</v>
      </c>
      <c r="G48" s="49">
        <v>55338.790015580409</v>
      </c>
      <c r="H48" s="49">
        <v>55367.794260819574</v>
      </c>
      <c r="I48" s="17"/>
      <c r="J48" s="9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8"/>
      <c r="X48" s="20"/>
      <c r="Y48" s="20"/>
      <c r="Z48" s="20"/>
      <c r="AA48" s="20"/>
      <c r="AB48" s="20"/>
      <c r="AC48" s="17"/>
      <c r="AD48" s="17"/>
      <c r="AE48" s="17"/>
      <c r="AF48" s="17"/>
      <c r="AG48" s="17"/>
      <c r="AH48" s="18"/>
    </row>
    <row r="49" spans="1:34" x14ac:dyDescent="0.2">
      <c r="A49" s="47">
        <v>10000</v>
      </c>
      <c r="B49" s="47" t="s">
        <v>6</v>
      </c>
      <c r="C49" s="48">
        <v>100</v>
      </c>
      <c r="D49" s="49">
        <v>53589.225162399998</v>
      </c>
      <c r="E49" s="49">
        <v>1776.0942171841095</v>
      </c>
      <c r="F49" s="49">
        <v>177.60942171841094</v>
      </c>
      <c r="G49" s="49">
        <v>53122.750807934273</v>
      </c>
      <c r="H49" s="49">
        <v>54055.699516865723</v>
      </c>
      <c r="I49" s="17"/>
      <c r="J49" s="9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8"/>
      <c r="X49" s="20"/>
      <c r="Y49" s="20"/>
      <c r="Z49" s="20"/>
      <c r="AA49" s="20"/>
      <c r="AB49" s="20"/>
      <c r="AC49" s="17"/>
      <c r="AD49" s="17"/>
      <c r="AE49" s="17"/>
      <c r="AF49" s="17"/>
      <c r="AG49" s="17"/>
      <c r="AH49" s="18"/>
    </row>
    <row r="50" spans="1:34" x14ac:dyDescent="0.2">
      <c r="A50" s="47">
        <v>10000</v>
      </c>
      <c r="B50" s="47" t="s">
        <v>7</v>
      </c>
      <c r="C50" s="48">
        <v>100</v>
      </c>
      <c r="D50" s="49">
        <v>53268.453663</v>
      </c>
      <c r="E50" s="49">
        <v>2085.7885388221812</v>
      </c>
      <c r="F50" s="49">
        <v>208.57885388221811</v>
      </c>
      <c r="G50" s="49">
        <v>52720.641022890362</v>
      </c>
      <c r="H50" s="49">
        <v>53816.266303109638</v>
      </c>
      <c r="I50" s="17"/>
      <c r="J50" s="9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8"/>
      <c r="X50" s="20"/>
      <c r="Y50" s="20"/>
      <c r="Z50" s="20"/>
      <c r="AA50" s="20"/>
      <c r="AB50" s="20"/>
      <c r="AC50" s="17"/>
      <c r="AD50" s="17"/>
      <c r="AE50" s="17"/>
      <c r="AF50" s="17"/>
      <c r="AG50" s="17"/>
      <c r="AH50" s="18"/>
    </row>
    <row r="51" spans="1:34" x14ac:dyDescent="0.2">
      <c r="A51" s="47">
        <v>100000</v>
      </c>
      <c r="B51" s="47" t="s">
        <v>4</v>
      </c>
      <c r="C51" s="48">
        <v>1</v>
      </c>
      <c r="D51" s="49">
        <v>574009.13060999999</v>
      </c>
      <c r="E51" s="49">
        <v>0</v>
      </c>
      <c r="F51" s="49">
        <v>0</v>
      </c>
      <c r="G51" s="49">
        <v>574009.13060999999</v>
      </c>
      <c r="H51" s="49">
        <v>574009.13060999999</v>
      </c>
      <c r="I51" s="17"/>
      <c r="J51" s="9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8"/>
      <c r="X51" s="20"/>
      <c r="Y51" s="20"/>
      <c r="Z51" s="20"/>
      <c r="AA51" s="20"/>
      <c r="AB51" s="20"/>
      <c r="AC51" s="17"/>
      <c r="AD51" s="17"/>
      <c r="AE51" s="17"/>
      <c r="AF51" s="17"/>
      <c r="AG51" s="17"/>
      <c r="AH51" s="18"/>
    </row>
    <row r="52" spans="1:34" x14ac:dyDescent="0.2">
      <c r="A52" s="47">
        <v>100000</v>
      </c>
      <c r="B52" s="47" t="s">
        <v>3</v>
      </c>
      <c r="C52" s="48">
        <v>1</v>
      </c>
      <c r="D52" s="49">
        <v>576696.82782999997</v>
      </c>
      <c r="E52" s="49">
        <v>0</v>
      </c>
      <c r="F52" s="49">
        <v>0</v>
      </c>
      <c r="G52" s="49">
        <v>576696.82782999997</v>
      </c>
      <c r="H52" s="49">
        <v>576696.82782999997</v>
      </c>
      <c r="I52" s="17"/>
      <c r="J52" s="9"/>
      <c r="K52" s="17"/>
      <c r="L52" s="17"/>
      <c r="M52" s="17"/>
      <c r="N52" s="17"/>
      <c r="O52" s="22"/>
      <c r="P52" s="17"/>
      <c r="Q52" s="17"/>
      <c r="R52" s="17"/>
      <c r="S52" s="17"/>
      <c r="T52" s="17"/>
      <c r="U52" s="17"/>
      <c r="V52" s="17"/>
      <c r="W52" s="18"/>
      <c r="X52" s="20"/>
      <c r="Y52" s="20"/>
      <c r="Z52" s="20"/>
      <c r="AA52" s="20"/>
      <c r="AB52" s="20"/>
      <c r="AC52" s="17"/>
      <c r="AD52" s="17"/>
      <c r="AE52" s="17"/>
      <c r="AF52" s="17"/>
      <c r="AG52" s="17"/>
      <c r="AH52" s="18"/>
    </row>
    <row r="53" spans="1:34" x14ac:dyDescent="0.2">
      <c r="A53" s="47">
        <v>100000</v>
      </c>
      <c r="B53" s="47" t="s">
        <v>5</v>
      </c>
      <c r="C53" s="48">
        <v>50</v>
      </c>
      <c r="D53" s="49">
        <v>575813.63731239992</v>
      </c>
      <c r="E53" s="49">
        <v>128.23760762096052</v>
      </c>
      <c r="F53" s="49">
        <v>18.135536390384171</v>
      </c>
      <c r="G53" s="49">
        <v>575765.03494585759</v>
      </c>
      <c r="H53" s="49">
        <v>575862.23967894225</v>
      </c>
      <c r="I53" s="17"/>
      <c r="J53" s="9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8"/>
      <c r="X53" s="20"/>
      <c r="Y53" s="20"/>
      <c r="Z53" s="20"/>
      <c r="AA53" s="20"/>
      <c r="AB53" s="20"/>
      <c r="AC53" s="17"/>
      <c r="AD53" s="17"/>
      <c r="AE53" s="17"/>
      <c r="AF53" s="17"/>
      <c r="AG53" s="17"/>
      <c r="AH53" s="18"/>
    </row>
    <row r="54" spans="1:34" x14ac:dyDescent="0.2">
      <c r="A54" s="47">
        <v>100000</v>
      </c>
      <c r="B54" s="47" t="s">
        <v>6</v>
      </c>
      <c r="C54" s="48">
        <v>50</v>
      </c>
      <c r="D54" s="49">
        <v>576473.6174797999</v>
      </c>
      <c r="E54" s="49">
        <v>76.398973812960506</v>
      </c>
      <c r="F54" s="49">
        <v>10.804446491767568</v>
      </c>
      <c r="G54" s="49">
        <v>576444.66208210029</v>
      </c>
      <c r="H54" s="49">
        <v>576502.57287749951</v>
      </c>
      <c r="I54" s="17"/>
      <c r="J54" s="9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8"/>
      <c r="X54" s="20"/>
      <c r="Y54" s="20"/>
      <c r="Z54" s="20"/>
      <c r="AA54" s="20"/>
      <c r="AB54" s="20"/>
      <c r="AC54" s="17"/>
      <c r="AD54" s="17"/>
      <c r="AE54" s="17"/>
      <c r="AF54" s="17"/>
      <c r="AG54" s="17"/>
      <c r="AH54" s="18"/>
    </row>
    <row r="55" spans="1:34" x14ac:dyDescent="0.2">
      <c r="A55" s="47">
        <v>100000</v>
      </c>
      <c r="B55" s="47" t="s">
        <v>7</v>
      </c>
      <c r="C55" s="48">
        <v>50</v>
      </c>
      <c r="D55" s="49">
        <v>575179.31335640012</v>
      </c>
      <c r="E55" s="49">
        <v>91.673179902935999</v>
      </c>
      <c r="F55" s="49">
        <v>12.964545432460074</v>
      </c>
      <c r="G55" s="49">
        <v>575144.56899728114</v>
      </c>
      <c r="H55" s="49">
        <v>575214.0577155191</v>
      </c>
      <c r="I55" s="17"/>
      <c r="J55" s="9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8"/>
      <c r="X55" s="20"/>
      <c r="Y55" s="20"/>
      <c r="Z55" s="20"/>
      <c r="AA55" s="20"/>
      <c r="AB55" s="20"/>
      <c r="AC55" s="17"/>
      <c r="AD55" s="17"/>
      <c r="AE55" s="17"/>
      <c r="AF55" s="17"/>
      <c r="AG55" s="17"/>
      <c r="AH55" s="18"/>
    </row>
    <row r="56" spans="1:34" ht="13.5" thickBot="1" x14ac:dyDescent="0.25">
      <c r="A56" s="23"/>
      <c r="B56" s="24"/>
      <c r="C56" s="24"/>
      <c r="D56" s="24"/>
      <c r="E56" s="24"/>
      <c r="F56" s="24"/>
      <c r="G56" s="24"/>
      <c r="H56" s="24"/>
      <c r="I56" s="24"/>
      <c r="J56" s="13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6"/>
      <c r="X56" s="28"/>
      <c r="Y56" s="28"/>
      <c r="Z56" s="28"/>
      <c r="AA56" s="28"/>
      <c r="AB56" s="28"/>
      <c r="AC56" s="24"/>
      <c r="AD56" s="24"/>
      <c r="AE56" s="24"/>
      <c r="AF56" s="24"/>
      <c r="AG56" s="24"/>
      <c r="AH56" s="26"/>
    </row>
    <row r="57" spans="1:34" ht="13.5" thickBot="1" x14ac:dyDescent="0.25">
      <c r="A57" s="17"/>
      <c r="B57" s="17"/>
      <c r="C57" s="17"/>
      <c r="D57" s="21"/>
      <c r="E57" s="21"/>
      <c r="F57" s="17"/>
      <c r="G57" s="17"/>
      <c r="H57" s="17"/>
      <c r="I57" s="17"/>
      <c r="J57" s="9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20"/>
      <c r="Y57" s="20"/>
      <c r="Z57" s="20"/>
      <c r="AA57" s="20"/>
      <c r="AB57" s="20"/>
      <c r="AC57" s="17"/>
      <c r="AD57" s="17"/>
      <c r="AE57" s="17"/>
      <c r="AF57" s="17"/>
      <c r="AG57" s="17"/>
      <c r="AH57" s="17"/>
    </row>
    <row r="58" spans="1:34" s="8" customFormat="1" ht="13.5" thickBot="1" x14ac:dyDescent="0.25">
      <c r="A58" s="96" t="s">
        <v>19</v>
      </c>
      <c r="B58" s="97"/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8"/>
    </row>
    <row r="59" spans="1:34" s="8" customFormat="1" ht="13.5" thickBot="1" x14ac:dyDescent="0.25">
      <c r="A59" s="4" t="s">
        <v>12</v>
      </c>
      <c r="B59" s="5" t="s">
        <v>20</v>
      </c>
      <c r="C59" s="5" t="s">
        <v>2</v>
      </c>
      <c r="D59" s="5" t="s">
        <v>21</v>
      </c>
      <c r="E59" s="5" t="s">
        <v>22</v>
      </c>
      <c r="F59" s="5" t="s">
        <v>23</v>
      </c>
      <c r="G59" s="5" t="s">
        <v>24</v>
      </c>
      <c r="H59" s="5" t="s">
        <v>25</v>
      </c>
      <c r="I59" s="41"/>
      <c r="J59" s="41" t="s">
        <v>8</v>
      </c>
      <c r="K59" s="41" t="s">
        <v>26</v>
      </c>
      <c r="L59" s="41" t="s">
        <v>27</v>
      </c>
      <c r="M59" s="41" t="s">
        <v>28</v>
      </c>
      <c r="N59" s="42" t="str">
        <f>K$2</f>
        <v>10²</v>
      </c>
      <c r="O59" s="42" t="str">
        <f t="shared" ref="O59:P59" si="42">L$2</f>
        <v>10³</v>
      </c>
      <c r="P59" s="42" t="str">
        <f t="shared" si="42"/>
        <v>10⁴</v>
      </c>
      <c r="Q59" s="43" t="str">
        <f>K$2</f>
        <v>10²</v>
      </c>
      <c r="R59" s="43" t="str">
        <f t="shared" ref="R59:S59" si="43">L$2</f>
        <v>10³</v>
      </c>
      <c r="S59" s="43" t="str">
        <f t="shared" si="43"/>
        <v>10⁴</v>
      </c>
      <c r="T59" s="44" t="str">
        <f>K$2</f>
        <v>10²</v>
      </c>
      <c r="U59" s="44" t="str">
        <f>L$2</f>
        <v>10³</v>
      </c>
      <c r="V59" s="44" t="str">
        <f>M$2</f>
        <v>10⁴</v>
      </c>
      <c r="W59" s="7"/>
      <c r="X59" s="15"/>
      <c r="Y59" s="15"/>
      <c r="Z59" s="15"/>
      <c r="AA59" s="15"/>
      <c r="AB59" s="15"/>
      <c r="AC59" s="13"/>
      <c r="AD59" s="13"/>
      <c r="AE59" s="13"/>
      <c r="AF59" s="13"/>
      <c r="AG59" s="13"/>
      <c r="AH59" s="14"/>
    </row>
    <row r="60" spans="1:34" x14ac:dyDescent="0.2">
      <c r="A60" s="31">
        <v>1000</v>
      </c>
      <c r="B60" s="17" t="s">
        <v>4</v>
      </c>
      <c r="C60" s="17">
        <v>1</v>
      </c>
      <c r="D60" s="36">
        <v>168.152759</v>
      </c>
      <c r="E60" s="36">
        <v>0</v>
      </c>
      <c r="F60" s="36">
        <v>0</v>
      </c>
      <c r="G60" s="36">
        <v>168.152759</v>
      </c>
      <c r="H60" s="36">
        <v>168.152759</v>
      </c>
      <c r="I60" s="17"/>
      <c r="J60" s="9"/>
      <c r="K60" s="17"/>
      <c r="L60" s="17"/>
      <c r="M60" s="17"/>
      <c r="N60" s="17"/>
      <c r="O60" s="17"/>
      <c r="P60" s="17"/>
      <c r="Q60" s="17"/>
      <c r="R60" s="17"/>
      <c r="S60" s="17"/>
      <c r="T60" s="36">
        <f>$D$60</f>
        <v>168.152759</v>
      </c>
      <c r="U60" s="36">
        <f>$D$65</f>
        <v>152.76427699999999</v>
      </c>
      <c r="V60" s="36">
        <f>$D$70</f>
        <v>112.676382</v>
      </c>
      <c r="W60" s="18"/>
      <c r="X60" s="20"/>
      <c r="Y60" s="20"/>
      <c r="Z60" s="20"/>
      <c r="AA60" s="20"/>
      <c r="AB60" s="20"/>
      <c r="AC60" s="17"/>
      <c r="AD60" s="17"/>
      <c r="AE60" s="17"/>
      <c r="AF60" s="17"/>
      <c r="AG60" s="17"/>
      <c r="AH60" s="18"/>
    </row>
    <row r="61" spans="1:34" x14ac:dyDescent="0.2">
      <c r="A61" s="31">
        <v>1000</v>
      </c>
      <c r="B61" s="17" t="s">
        <v>3</v>
      </c>
      <c r="C61" s="17">
        <v>1</v>
      </c>
      <c r="D61" s="36">
        <v>214.81287499999999</v>
      </c>
      <c r="E61" s="36">
        <v>0</v>
      </c>
      <c r="F61" s="36">
        <v>0</v>
      </c>
      <c r="G61" s="36">
        <v>214.81287499999999</v>
      </c>
      <c r="H61" s="36">
        <v>214.81287499999999</v>
      </c>
      <c r="I61" s="17"/>
      <c r="J61" s="9" t="s">
        <v>0</v>
      </c>
      <c r="K61" s="36">
        <f>$D61</f>
        <v>214.81287499999999</v>
      </c>
      <c r="L61" s="36">
        <f>$D66</f>
        <v>203.406711</v>
      </c>
      <c r="M61" s="36">
        <f>$D71</f>
        <v>203.10889499999999</v>
      </c>
      <c r="N61" s="40">
        <f>$D61-$G61</f>
        <v>0</v>
      </c>
      <c r="O61" s="40">
        <f>$D66-$G66</f>
        <v>0</v>
      </c>
      <c r="P61" s="40">
        <f>$D71-$G71</f>
        <v>0</v>
      </c>
      <c r="Q61" s="40">
        <f>-$D61+$H61</f>
        <v>0</v>
      </c>
      <c r="R61" s="40">
        <f>-$D66+$H66</f>
        <v>0</v>
      </c>
      <c r="S61" s="40">
        <f>-$D71+$H71</f>
        <v>0</v>
      </c>
      <c r="T61" s="36">
        <f t="shared" ref="T61:T65" si="44">$D$60</f>
        <v>168.152759</v>
      </c>
      <c r="U61" s="36">
        <f t="shared" ref="U61:U65" si="45">$D$65</f>
        <v>152.76427699999999</v>
      </c>
      <c r="V61" s="36">
        <f t="shared" ref="V61:V65" si="46">$D$70</f>
        <v>112.676382</v>
      </c>
      <c r="W61" s="18"/>
      <c r="X61" s="20"/>
      <c r="Y61" s="20"/>
      <c r="Z61" s="20"/>
      <c r="AA61" s="20"/>
      <c r="AB61" s="20"/>
      <c r="AC61" s="17"/>
      <c r="AD61" s="17"/>
      <c r="AE61" s="17"/>
      <c r="AF61" s="17"/>
      <c r="AG61" s="17"/>
      <c r="AH61" s="18"/>
    </row>
    <row r="62" spans="1:34" x14ac:dyDescent="0.2">
      <c r="A62" s="31">
        <v>1000</v>
      </c>
      <c r="B62" s="17" t="s">
        <v>5</v>
      </c>
      <c r="C62" s="17">
        <v>50</v>
      </c>
      <c r="D62" s="36">
        <v>213.66835075999995</v>
      </c>
      <c r="E62" s="36">
        <v>4.5862346827890272</v>
      </c>
      <c r="F62" s="36">
        <v>0.64859152886261118</v>
      </c>
      <c r="G62" s="36">
        <v>211.93015661214389</v>
      </c>
      <c r="H62" s="36">
        <v>215.40654490785602</v>
      </c>
      <c r="I62" s="17"/>
      <c r="J62" s="9" t="s">
        <v>10</v>
      </c>
      <c r="K62" s="36">
        <f t="shared" ref="K62:K64" si="47">$D62</f>
        <v>213.66835075999995</v>
      </c>
      <c r="L62" s="36">
        <f t="shared" ref="L62:L64" si="48">$D67</f>
        <v>194.55707678000002</v>
      </c>
      <c r="M62" s="36">
        <f t="shared" ref="M62:M64" si="49">$D72</f>
        <v>172.57158922000002</v>
      </c>
      <c r="N62" s="40">
        <f t="shared" ref="N62:N64" si="50">$D62-$G62</f>
        <v>1.7381941478560634</v>
      </c>
      <c r="O62" s="40">
        <f t="shared" ref="O62:O64" si="51">$D67-$G67</f>
        <v>1.4089423104390733</v>
      </c>
      <c r="P62" s="40">
        <f t="shared" ref="P62:P64" si="52">$D72-$G72</f>
        <v>0.91434252956941009</v>
      </c>
      <c r="Q62" s="40">
        <f t="shared" ref="Q62:Q64" si="53">-$D62+$H62</f>
        <v>1.7381941478560634</v>
      </c>
      <c r="R62" s="40">
        <f t="shared" ref="R62:R64" si="54">-$D67+$H67</f>
        <v>1.4089423104390733</v>
      </c>
      <c r="S62" s="40">
        <f t="shared" ref="S62:S64" si="55">-$D72+$H72</f>
        <v>0.91434252956941009</v>
      </c>
      <c r="T62" s="36">
        <f t="shared" si="44"/>
        <v>168.152759</v>
      </c>
      <c r="U62" s="36">
        <f t="shared" si="45"/>
        <v>152.76427699999999</v>
      </c>
      <c r="V62" s="36">
        <f t="shared" si="46"/>
        <v>112.676382</v>
      </c>
      <c r="W62" s="18"/>
      <c r="X62" s="20"/>
      <c r="Y62" s="20"/>
      <c r="Z62" s="20"/>
      <c r="AA62" s="20"/>
      <c r="AB62" s="20"/>
      <c r="AC62" s="17"/>
      <c r="AD62" s="17"/>
      <c r="AE62" s="17"/>
      <c r="AF62" s="17"/>
      <c r="AG62" s="17"/>
      <c r="AH62" s="18"/>
    </row>
    <row r="63" spans="1:34" x14ac:dyDescent="0.2">
      <c r="A63" s="31">
        <v>1000</v>
      </c>
      <c r="B63" s="17" t="s">
        <v>6</v>
      </c>
      <c r="C63" s="17">
        <v>100</v>
      </c>
      <c r="D63" s="36">
        <v>184.04933973000004</v>
      </c>
      <c r="E63" s="36">
        <v>4.8111852029615942</v>
      </c>
      <c r="F63" s="36">
        <v>0.48111852029615942</v>
      </c>
      <c r="G63" s="36">
        <v>182.78572742269535</v>
      </c>
      <c r="H63" s="36">
        <v>185.31295203730474</v>
      </c>
      <c r="I63" s="17"/>
      <c r="J63" s="9" t="s">
        <v>1</v>
      </c>
      <c r="K63" s="36">
        <f t="shared" si="47"/>
        <v>184.04933973000004</v>
      </c>
      <c r="L63" s="36">
        <f t="shared" si="48"/>
        <v>173.86866466999999</v>
      </c>
      <c r="M63" s="36">
        <f t="shared" si="49"/>
        <v>195.17000895999993</v>
      </c>
      <c r="N63" s="40">
        <f t="shared" si="50"/>
        <v>1.2636123073046974</v>
      </c>
      <c r="O63" s="40">
        <f t="shared" si="51"/>
        <v>2.5409224332914846</v>
      </c>
      <c r="P63" s="40">
        <f t="shared" si="52"/>
        <v>1.4339677011606113</v>
      </c>
      <c r="Q63" s="40">
        <f t="shared" si="53"/>
        <v>1.2636123073046974</v>
      </c>
      <c r="R63" s="40">
        <f t="shared" si="54"/>
        <v>2.5409224332914846</v>
      </c>
      <c r="S63" s="40">
        <f t="shared" si="55"/>
        <v>1.4339677011606113</v>
      </c>
      <c r="T63" s="36">
        <f t="shared" si="44"/>
        <v>168.152759</v>
      </c>
      <c r="U63" s="36">
        <f t="shared" si="45"/>
        <v>152.76427699999999</v>
      </c>
      <c r="V63" s="36">
        <f t="shared" si="46"/>
        <v>112.676382</v>
      </c>
      <c r="W63" s="18"/>
      <c r="X63" s="20"/>
      <c r="Y63" s="20"/>
      <c r="Z63" s="20"/>
      <c r="AA63" s="20"/>
      <c r="AB63" s="20"/>
      <c r="AC63" s="17"/>
      <c r="AD63" s="17"/>
      <c r="AE63" s="17"/>
      <c r="AF63" s="17"/>
      <c r="AG63" s="17"/>
      <c r="AH63" s="18"/>
    </row>
    <row r="64" spans="1:34" x14ac:dyDescent="0.2">
      <c r="A64" s="31">
        <v>1000</v>
      </c>
      <c r="B64" s="17" t="s">
        <v>7</v>
      </c>
      <c r="C64" s="17">
        <v>100</v>
      </c>
      <c r="D64" s="36">
        <v>208.29263733000005</v>
      </c>
      <c r="E64" s="36">
        <v>6.6149747919586126</v>
      </c>
      <c r="F64" s="36">
        <v>0.66149747919586122</v>
      </c>
      <c r="G64" s="36">
        <v>206.55527674066252</v>
      </c>
      <c r="H64" s="36">
        <v>210.02999791933757</v>
      </c>
      <c r="I64" s="17"/>
      <c r="J64" s="9" t="s">
        <v>11</v>
      </c>
      <c r="K64" s="36">
        <f t="shared" si="47"/>
        <v>208.29263733000005</v>
      </c>
      <c r="L64" s="36">
        <f t="shared" si="48"/>
        <v>183.10107070999999</v>
      </c>
      <c r="M64" s="36">
        <f t="shared" si="49"/>
        <v>169.70836320000001</v>
      </c>
      <c r="N64" s="40">
        <f t="shared" si="50"/>
        <v>1.737360589337527</v>
      </c>
      <c r="O64" s="40">
        <f t="shared" si="51"/>
        <v>5.3885601914245456</v>
      </c>
      <c r="P64" s="40">
        <f t="shared" si="52"/>
        <v>1.2411661910578289</v>
      </c>
      <c r="Q64" s="40">
        <f t="shared" si="53"/>
        <v>1.737360589337527</v>
      </c>
      <c r="R64" s="40">
        <f t="shared" si="54"/>
        <v>5.3885601914245456</v>
      </c>
      <c r="S64" s="40">
        <f t="shared" si="55"/>
        <v>1.2411661910578289</v>
      </c>
      <c r="T64" s="36">
        <f t="shared" si="44"/>
        <v>168.152759</v>
      </c>
      <c r="U64" s="36">
        <f t="shared" si="45"/>
        <v>152.76427699999999</v>
      </c>
      <c r="V64" s="36">
        <f t="shared" si="46"/>
        <v>112.676382</v>
      </c>
      <c r="W64" s="18"/>
      <c r="X64" s="20"/>
      <c r="Y64" s="20"/>
      <c r="Z64" s="20"/>
      <c r="AA64" s="20"/>
      <c r="AB64" s="20"/>
      <c r="AC64" s="17"/>
      <c r="AD64" s="17"/>
      <c r="AE64" s="17"/>
      <c r="AF64" s="17"/>
      <c r="AG64" s="17"/>
      <c r="AH64" s="18"/>
    </row>
    <row r="65" spans="1:34" x14ac:dyDescent="0.2">
      <c r="A65" s="31">
        <v>10000</v>
      </c>
      <c r="B65" s="17" t="s">
        <v>4</v>
      </c>
      <c r="C65" s="17">
        <v>1</v>
      </c>
      <c r="D65" s="36">
        <v>152.76427699999999</v>
      </c>
      <c r="E65" s="36">
        <v>0</v>
      </c>
      <c r="F65" s="36">
        <v>0</v>
      </c>
      <c r="G65" s="36">
        <v>152.76427699999999</v>
      </c>
      <c r="H65" s="36">
        <v>152.76427699999999</v>
      </c>
      <c r="I65" s="17"/>
      <c r="J65" s="9"/>
      <c r="K65" s="17"/>
      <c r="L65" s="17"/>
      <c r="M65" s="17"/>
      <c r="N65" s="17"/>
      <c r="O65" s="17"/>
      <c r="P65" s="17"/>
      <c r="T65" s="36">
        <f t="shared" si="44"/>
        <v>168.152759</v>
      </c>
      <c r="U65" s="36">
        <f t="shared" si="45"/>
        <v>152.76427699999999</v>
      </c>
      <c r="V65" s="36">
        <f t="shared" si="46"/>
        <v>112.676382</v>
      </c>
      <c r="W65" s="18"/>
      <c r="X65" s="20"/>
      <c r="Y65" s="20"/>
      <c r="Z65" s="20"/>
      <c r="AA65" s="20"/>
      <c r="AB65" s="20"/>
      <c r="AC65" s="17"/>
      <c r="AD65" s="17"/>
      <c r="AE65" s="17"/>
      <c r="AF65" s="17"/>
      <c r="AG65" s="17"/>
      <c r="AH65" s="18"/>
    </row>
    <row r="66" spans="1:34" x14ac:dyDescent="0.2">
      <c r="A66" s="31">
        <v>10000</v>
      </c>
      <c r="B66" s="17" t="s">
        <v>3</v>
      </c>
      <c r="C66" s="17">
        <v>1</v>
      </c>
      <c r="D66" s="36">
        <v>203.406711</v>
      </c>
      <c r="E66" s="36">
        <v>0</v>
      </c>
      <c r="F66" s="36">
        <v>0</v>
      </c>
      <c r="G66" s="36">
        <v>203.406711</v>
      </c>
      <c r="H66" s="36">
        <v>203.406711</v>
      </c>
      <c r="I66" s="17"/>
      <c r="J66" s="9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8"/>
      <c r="X66" s="20"/>
      <c r="Y66" s="20"/>
      <c r="Z66" s="20"/>
      <c r="AA66" s="20"/>
      <c r="AB66" s="20"/>
      <c r="AC66" s="17"/>
      <c r="AD66" s="17"/>
      <c r="AE66" s="17"/>
      <c r="AF66" s="17"/>
      <c r="AG66" s="17"/>
      <c r="AH66" s="18"/>
    </row>
    <row r="67" spans="1:34" x14ac:dyDescent="0.2">
      <c r="A67" s="31">
        <v>10000</v>
      </c>
      <c r="B67" s="17" t="s">
        <v>5</v>
      </c>
      <c r="C67" s="17">
        <v>50</v>
      </c>
      <c r="D67" s="36">
        <v>194.55707678000002</v>
      </c>
      <c r="E67" s="36">
        <v>3.7175019247157679</v>
      </c>
      <c r="F67" s="36">
        <v>0.52573416400811235</v>
      </c>
      <c r="G67" s="36">
        <v>193.14813446956094</v>
      </c>
      <c r="H67" s="36">
        <v>195.96601909043909</v>
      </c>
      <c r="I67" s="17"/>
      <c r="J67" s="9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8"/>
      <c r="X67" s="20"/>
      <c r="Y67" s="20"/>
      <c r="Z67" s="20"/>
      <c r="AA67" s="20"/>
      <c r="AB67" s="20"/>
      <c r="AC67" s="17"/>
      <c r="AD67" s="17"/>
      <c r="AE67" s="17"/>
      <c r="AF67" s="17"/>
      <c r="AG67" s="17"/>
      <c r="AH67" s="18"/>
    </row>
    <row r="68" spans="1:34" x14ac:dyDescent="0.2">
      <c r="A68" s="31">
        <v>10000</v>
      </c>
      <c r="B68" s="17" t="s">
        <v>6</v>
      </c>
      <c r="C68" s="17">
        <v>100</v>
      </c>
      <c r="D68" s="36">
        <v>173.86866466999999</v>
      </c>
      <c r="E68" s="36">
        <v>9.6745246483082958</v>
      </c>
      <c r="F68" s="36">
        <v>0.96745246483082958</v>
      </c>
      <c r="G68" s="36">
        <v>171.3277422367085</v>
      </c>
      <c r="H68" s="36">
        <v>176.40958710329147</v>
      </c>
      <c r="I68" s="17"/>
      <c r="J68" s="9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8"/>
      <c r="X68" s="20"/>
      <c r="Y68" s="20"/>
      <c r="Z68" s="20"/>
      <c r="AA68" s="20"/>
      <c r="AB68" s="20"/>
      <c r="AC68" s="17"/>
      <c r="AD68" s="17"/>
      <c r="AE68" s="17"/>
      <c r="AF68" s="17"/>
      <c r="AG68" s="17"/>
      <c r="AH68" s="18"/>
    </row>
    <row r="69" spans="1:34" x14ac:dyDescent="0.2">
      <c r="A69" s="31">
        <v>10000</v>
      </c>
      <c r="B69" s="17" t="s">
        <v>7</v>
      </c>
      <c r="C69" s="17">
        <v>100</v>
      </c>
      <c r="D69" s="36">
        <v>183.10107070999999</v>
      </c>
      <c r="E69" s="36">
        <v>20.516863367331791</v>
      </c>
      <c r="F69" s="36">
        <v>2.0516863367331792</v>
      </c>
      <c r="G69" s="36">
        <v>177.71251051857544</v>
      </c>
      <c r="H69" s="36">
        <v>188.48963090142453</v>
      </c>
      <c r="I69" s="17"/>
      <c r="J69" s="9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8"/>
      <c r="X69" s="20"/>
      <c r="Y69" s="20"/>
      <c r="Z69" s="20"/>
      <c r="AA69" s="20"/>
      <c r="AB69" s="20"/>
      <c r="AC69" s="17"/>
      <c r="AD69" s="17"/>
      <c r="AE69" s="17"/>
      <c r="AF69" s="17"/>
      <c r="AG69" s="17"/>
      <c r="AH69" s="18"/>
    </row>
    <row r="70" spans="1:34" x14ac:dyDescent="0.2">
      <c r="A70" s="31">
        <v>100000</v>
      </c>
      <c r="B70" s="17" t="s">
        <v>4</v>
      </c>
      <c r="C70" s="17">
        <v>1</v>
      </c>
      <c r="D70" s="36">
        <v>112.676382</v>
      </c>
      <c r="E70" s="36">
        <v>0</v>
      </c>
      <c r="F70" s="36">
        <v>0</v>
      </c>
      <c r="G70" s="36">
        <v>112.676382</v>
      </c>
      <c r="H70" s="36">
        <v>112.676382</v>
      </c>
      <c r="I70" s="17"/>
      <c r="J70" s="9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8"/>
      <c r="X70" s="20"/>
      <c r="Y70" s="20"/>
      <c r="Z70" s="20"/>
      <c r="AA70" s="20"/>
      <c r="AB70" s="20"/>
      <c r="AC70" s="17"/>
      <c r="AD70" s="17"/>
      <c r="AE70" s="17"/>
      <c r="AF70" s="17"/>
      <c r="AG70" s="17"/>
      <c r="AH70" s="18"/>
    </row>
    <row r="71" spans="1:34" x14ac:dyDescent="0.2">
      <c r="A71" s="31">
        <v>100000</v>
      </c>
      <c r="B71" s="17" t="s">
        <v>3</v>
      </c>
      <c r="C71" s="17">
        <v>1</v>
      </c>
      <c r="D71" s="36">
        <v>203.10889499999999</v>
      </c>
      <c r="E71" s="36">
        <v>0</v>
      </c>
      <c r="F71" s="36">
        <v>0</v>
      </c>
      <c r="G71" s="36">
        <v>203.10889499999999</v>
      </c>
      <c r="H71" s="36">
        <v>203.10889499999999</v>
      </c>
      <c r="I71" s="17"/>
      <c r="J71" s="9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8"/>
      <c r="X71" s="20"/>
      <c r="Y71" s="20"/>
      <c r="Z71" s="20"/>
      <c r="AA71" s="20"/>
      <c r="AB71" s="20"/>
      <c r="AC71" s="17"/>
      <c r="AD71" s="17"/>
      <c r="AE71" s="17"/>
      <c r="AF71" s="17"/>
      <c r="AG71" s="17"/>
      <c r="AH71" s="18"/>
    </row>
    <row r="72" spans="1:34" x14ac:dyDescent="0.2">
      <c r="A72" s="31">
        <v>100000</v>
      </c>
      <c r="B72" s="17" t="s">
        <v>5</v>
      </c>
      <c r="C72" s="17">
        <v>50</v>
      </c>
      <c r="D72" s="36">
        <v>172.57158922000002</v>
      </c>
      <c r="E72" s="36">
        <v>2.4124977214038852</v>
      </c>
      <c r="F72" s="36">
        <v>0.3411786996803563</v>
      </c>
      <c r="G72" s="36">
        <v>171.65724669043061</v>
      </c>
      <c r="H72" s="36">
        <v>173.48593174956943</v>
      </c>
      <c r="I72" s="17"/>
      <c r="J72" s="9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8"/>
      <c r="X72" s="20"/>
      <c r="Y72" s="20"/>
      <c r="Z72" s="20"/>
      <c r="AA72" s="20"/>
      <c r="AB72" s="20"/>
      <c r="AC72" s="17"/>
      <c r="AD72" s="17"/>
      <c r="AE72" s="17"/>
      <c r="AF72" s="17"/>
      <c r="AG72" s="17"/>
      <c r="AH72" s="18"/>
    </row>
    <row r="73" spans="1:34" x14ac:dyDescent="0.2">
      <c r="A73" s="31">
        <v>100000</v>
      </c>
      <c r="B73" s="17" t="s">
        <v>6</v>
      </c>
      <c r="C73" s="17">
        <v>50</v>
      </c>
      <c r="D73" s="36">
        <v>195.17000895999993</v>
      </c>
      <c r="E73" s="36">
        <v>3.7835315538104406</v>
      </c>
      <c r="F73" s="36">
        <v>0.53507216370652744</v>
      </c>
      <c r="G73" s="36">
        <v>193.73604125883932</v>
      </c>
      <c r="H73" s="36">
        <v>196.60397666116054</v>
      </c>
      <c r="I73" s="17"/>
      <c r="J73" s="9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8"/>
      <c r="X73" s="20"/>
      <c r="Y73" s="20"/>
      <c r="Z73" s="20"/>
      <c r="AA73" s="20"/>
      <c r="AB73" s="20"/>
      <c r="AC73" s="17"/>
      <c r="AD73" s="17"/>
      <c r="AE73" s="17"/>
      <c r="AF73" s="17"/>
      <c r="AG73" s="17"/>
      <c r="AH73" s="18"/>
    </row>
    <row r="74" spans="1:34" x14ac:dyDescent="0.2">
      <c r="A74" s="31">
        <v>100000</v>
      </c>
      <c r="B74" s="17" t="s">
        <v>7</v>
      </c>
      <c r="C74" s="17">
        <v>50</v>
      </c>
      <c r="D74" s="36">
        <v>169.70836320000001</v>
      </c>
      <c r="E74" s="36">
        <v>3.2748237241251918</v>
      </c>
      <c r="F74" s="36">
        <v>0.46313001250390134</v>
      </c>
      <c r="G74" s="36">
        <v>168.46719700894218</v>
      </c>
      <c r="H74" s="36">
        <v>170.94952939105784</v>
      </c>
      <c r="I74" s="17"/>
      <c r="J74" s="9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8"/>
      <c r="X74" s="20"/>
      <c r="Y74" s="20"/>
      <c r="Z74" s="20"/>
      <c r="AA74" s="20"/>
      <c r="AB74" s="20"/>
      <c r="AC74" s="17"/>
      <c r="AD74" s="17"/>
      <c r="AE74" s="17"/>
      <c r="AF74" s="17"/>
      <c r="AG74" s="17"/>
      <c r="AH74" s="18"/>
    </row>
    <row r="75" spans="1:34" ht="13.5" thickBot="1" x14ac:dyDescent="0.25">
      <c r="A75" s="23"/>
      <c r="B75" s="24"/>
      <c r="C75" s="24"/>
      <c r="D75" s="24"/>
      <c r="E75" s="24"/>
      <c r="F75" s="24"/>
      <c r="G75" s="24"/>
      <c r="H75" s="24"/>
      <c r="I75" s="24"/>
      <c r="J75" s="13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6"/>
      <c r="X75" s="28"/>
      <c r="Y75" s="28"/>
      <c r="Z75" s="28"/>
      <c r="AA75" s="28"/>
      <c r="AB75" s="28"/>
      <c r="AC75" s="24"/>
      <c r="AD75" s="24"/>
      <c r="AE75" s="24"/>
      <c r="AF75" s="24"/>
      <c r="AG75" s="24"/>
      <c r="AH75" s="26"/>
    </row>
    <row r="76" spans="1:34" x14ac:dyDescent="0.2">
      <c r="X76" s="30"/>
      <c r="Y76" s="30"/>
      <c r="Z76" s="30"/>
      <c r="AA76" s="30"/>
      <c r="AB76" s="30"/>
    </row>
    <row r="77" spans="1:34" x14ac:dyDescent="0.2">
      <c r="X77" s="30"/>
      <c r="Y77" s="30"/>
      <c r="Z77" s="30"/>
      <c r="AA77" s="30"/>
      <c r="AB77" s="30"/>
    </row>
    <row r="78" spans="1:34" x14ac:dyDescent="0.2">
      <c r="X78" s="30"/>
      <c r="Y78" s="30"/>
      <c r="Z78" s="30"/>
      <c r="AA78" s="30"/>
      <c r="AB78" s="30"/>
    </row>
    <row r="79" spans="1:34" x14ac:dyDescent="0.2">
      <c r="X79" s="30"/>
      <c r="Y79" s="30"/>
      <c r="Z79" s="30"/>
      <c r="AA79" s="30"/>
      <c r="AB79" s="30"/>
    </row>
    <row r="80" spans="1:34" x14ac:dyDescent="0.2">
      <c r="X80" s="30"/>
      <c r="Y80" s="30"/>
      <c r="Z80" s="30"/>
      <c r="AA80" s="30"/>
      <c r="AB80" s="30"/>
    </row>
    <row r="81" spans="24:28" x14ac:dyDescent="0.2">
      <c r="X81" s="30"/>
      <c r="Y81" s="30"/>
      <c r="Z81" s="30"/>
      <c r="AA81" s="30"/>
      <c r="AB81" s="30"/>
    </row>
    <row r="82" spans="24:28" x14ac:dyDescent="0.2">
      <c r="X82" s="30"/>
      <c r="Y82" s="30"/>
      <c r="Z82" s="30"/>
      <c r="AA82" s="30"/>
      <c r="AB82" s="30"/>
    </row>
    <row r="83" spans="24:28" x14ac:dyDescent="0.2">
      <c r="X83" s="30"/>
      <c r="Y83" s="30"/>
      <c r="Z83" s="30"/>
      <c r="AA83" s="30"/>
      <c r="AB83" s="30"/>
    </row>
    <row r="84" spans="24:28" x14ac:dyDescent="0.2">
      <c r="X84" s="30"/>
      <c r="Y84" s="30"/>
      <c r="Z84" s="30"/>
      <c r="AA84" s="30"/>
      <c r="AB84" s="30"/>
    </row>
    <row r="85" spans="24:28" x14ac:dyDescent="0.2">
      <c r="X85" s="30"/>
      <c r="Y85" s="30"/>
      <c r="Z85" s="30"/>
      <c r="AA85" s="30"/>
      <c r="AB85" s="30"/>
    </row>
    <row r="86" spans="24:28" x14ac:dyDescent="0.2">
      <c r="X86" s="30"/>
      <c r="Y86" s="30"/>
      <c r="Z86" s="30"/>
      <c r="AA86" s="30"/>
      <c r="AB86" s="30"/>
    </row>
    <row r="87" spans="24:28" x14ac:dyDescent="0.2">
      <c r="X87" s="30"/>
      <c r="Y87" s="30"/>
      <c r="Z87" s="30"/>
      <c r="AA87" s="30"/>
      <c r="AB87" s="30"/>
    </row>
    <row r="88" spans="24:28" x14ac:dyDescent="0.2">
      <c r="X88" s="30"/>
      <c r="Y88" s="30"/>
      <c r="Z88" s="30"/>
      <c r="AA88" s="30"/>
      <c r="AB88" s="30"/>
    </row>
    <row r="89" spans="24:28" x14ac:dyDescent="0.2">
      <c r="X89" s="30"/>
      <c r="Y89" s="30"/>
      <c r="Z89" s="30"/>
      <c r="AA89" s="30"/>
      <c r="AB89" s="30"/>
    </row>
    <row r="90" spans="24:28" x14ac:dyDescent="0.2">
      <c r="X90" s="30"/>
      <c r="Y90" s="30"/>
      <c r="Z90" s="30"/>
      <c r="AA90" s="30"/>
      <c r="AB90" s="30"/>
    </row>
    <row r="91" spans="24:28" x14ac:dyDescent="0.2">
      <c r="X91" s="30"/>
      <c r="Y91" s="30"/>
      <c r="Z91" s="30"/>
      <c r="AA91" s="30"/>
      <c r="AB91" s="30"/>
    </row>
    <row r="92" spans="24:28" x14ac:dyDescent="0.2">
      <c r="X92" s="30"/>
      <c r="Y92" s="30"/>
      <c r="Z92" s="30"/>
      <c r="AA92" s="30"/>
      <c r="AB92" s="30"/>
    </row>
    <row r="93" spans="24:28" x14ac:dyDescent="0.2">
      <c r="X93" s="30"/>
      <c r="Y93" s="30"/>
      <c r="Z93" s="30"/>
      <c r="AA93" s="30"/>
      <c r="AB93" s="30"/>
    </row>
    <row r="94" spans="24:28" x14ac:dyDescent="0.2">
      <c r="X94" s="30"/>
      <c r="Y94" s="30"/>
      <c r="Z94" s="30"/>
      <c r="AA94" s="30"/>
      <c r="AB94" s="30"/>
    </row>
    <row r="95" spans="24:28" x14ac:dyDescent="0.2">
      <c r="X95" s="30"/>
      <c r="Y95" s="30"/>
      <c r="Z95" s="30"/>
      <c r="AA95" s="30"/>
      <c r="AB95" s="30"/>
    </row>
    <row r="96" spans="24:28" x14ac:dyDescent="0.2">
      <c r="X96" s="30"/>
      <c r="Y96" s="30"/>
      <c r="Z96" s="30"/>
      <c r="AA96" s="30"/>
      <c r="AB96" s="30"/>
    </row>
    <row r="97" spans="24:28" x14ac:dyDescent="0.2">
      <c r="X97" s="30"/>
      <c r="Y97" s="30"/>
      <c r="Z97" s="30"/>
      <c r="AA97" s="30"/>
      <c r="AB97" s="30"/>
    </row>
    <row r="98" spans="24:28" x14ac:dyDescent="0.2">
      <c r="X98" s="30"/>
      <c r="Y98" s="30"/>
      <c r="Z98" s="30"/>
      <c r="AA98" s="30"/>
      <c r="AB98" s="30"/>
    </row>
    <row r="99" spans="24:28" x14ac:dyDescent="0.2">
      <c r="X99" s="30"/>
      <c r="Y99" s="30"/>
      <c r="Z99" s="30"/>
      <c r="AA99" s="30"/>
      <c r="AB99" s="30"/>
    </row>
    <row r="100" spans="24:28" x14ac:dyDescent="0.2">
      <c r="X100" s="30"/>
      <c r="Y100" s="30"/>
      <c r="Z100" s="30"/>
      <c r="AA100" s="30"/>
      <c r="AB100" s="30"/>
    </row>
    <row r="101" spans="24:28" x14ac:dyDescent="0.2">
      <c r="X101" s="30"/>
      <c r="Y101" s="30"/>
      <c r="Z101" s="30"/>
      <c r="AA101" s="30"/>
      <c r="AB101" s="30"/>
    </row>
    <row r="102" spans="24:28" x14ac:dyDescent="0.2">
      <c r="X102" s="30"/>
      <c r="Y102" s="30"/>
      <c r="Z102" s="30"/>
      <c r="AA102" s="30"/>
      <c r="AB102" s="30"/>
    </row>
    <row r="103" spans="24:28" x14ac:dyDescent="0.2">
      <c r="X103" s="30"/>
      <c r="Y103" s="30"/>
      <c r="Z103" s="30"/>
      <c r="AA103" s="30"/>
      <c r="AB103" s="30"/>
    </row>
    <row r="104" spans="24:28" x14ac:dyDescent="0.2">
      <c r="X104" s="30"/>
      <c r="Y104" s="30"/>
      <c r="Z104" s="30"/>
      <c r="AA104" s="30"/>
      <c r="AB104" s="30"/>
    </row>
    <row r="105" spans="24:28" x14ac:dyDescent="0.2">
      <c r="X105" s="30"/>
      <c r="Y105" s="30"/>
      <c r="Z105" s="30"/>
      <c r="AA105" s="30"/>
      <c r="AB105" s="30"/>
    </row>
    <row r="106" spans="24:28" x14ac:dyDescent="0.2">
      <c r="X106" s="30"/>
      <c r="Y106" s="30"/>
      <c r="Z106" s="30"/>
      <c r="AA106" s="30"/>
      <c r="AB106" s="30"/>
    </row>
    <row r="107" spans="24:28" x14ac:dyDescent="0.2">
      <c r="X107" s="30"/>
      <c r="Y107" s="30"/>
      <c r="Z107" s="30"/>
      <c r="AA107" s="30"/>
      <c r="AB107" s="30"/>
    </row>
    <row r="108" spans="24:28" x14ac:dyDescent="0.2">
      <c r="X108" s="30"/>
      <c r="Y108" s="30"/>
      <c r="Z108" s="30"/>
      <c r="AA108" s="30"/>
      <c r="AB108" s="30"/>
    </row>
    <row r="109" spans="24:28" x14ac:dyDescent="0.2">
      <c r="X109" s="30"/>
      <c r="Y109" s="30"/>
      <c r="Z109" s="30"/>
      <c r="AA109" s="30"/>
      <c r="AB109" s="30"/>
    </row>
    <row r="110" spans="24:28" x14ac:dyDescent="0.2">
      <c r="X110" s="30"/>
      <c r="Y110" s="30"/>
      <c r="Z110" s="30"/>
      <c r="AA110" s="30"/>
      <c r="AB110" s="30"/>
    </row>
    <row r="111" spans="24:28" x14ac:dyDescent="0.2">
      <c r="X111" s="30"/>
      <c r="Y111" s="30"/>
      <c r="Z111" s="30"/>
      <c r="AA111" s="30"/>
      <c r="AB111" s="30"/>
    </row>
    <row r="112" spans="24:28" x14ac:dyDescent="0.2">
      <c r="X112" s="30"/>
      <c r="Y112" s="30"/>
      <c r="Z112" s="30"/>
      <c r="AA112" s="30"/>
      <c r="AB112" s="30"/>
    </row>
    <row r="113" spans="24:28" x14ac:dyDescent="0.2">
      <c r="X113" s="30"/>
      <c r="Y113" s="30"/>
      <c r="Z113" s="30"/>
      <c r="AA113" s="30"/>
      <c r="AB113" s="30"/>
    </row>
    <row r="114" spans="24:28" x14ac:dyDescent="0.2">
      <c r="X114" s="30"/>
      <c r="Y114" s="30"/>
      <c r="Z114" s="30"/>
      <c r="AA114" s="30"/>
      <c r="AB114" s="30"/>
    </row>
    <row r="115" spans="24:28" x14ac:dyDescent="0.2">
      <c r="X115" s="30"/>
      <c r="Y115" s="30"/>
      <c r="Z115" s="30"/>
      <c r="AA115" s="30"/>
      <c r="AB115" s="30"/>
    </row>
    <row r="116" spans="24:28" x14ac:dyDescent="0.2">
      <c r="X116" s="30"/>
      <c r="Y116" s="30"/>
      <c r="Z116" s="30"/>
      <c r="AA116" s="30"/>
      <c r="AB116" s="30"/>
    </row>
    <row r="117" spans="24:28" x14ac:dyDescent="0.2">
      <c r="X117" s="30"/>
      <c r="Y117" s="30"/>
      <c r="Z117" s="30"/>
      <c r="AA117" s="30"/>
      <c r="AB117" s="30"/>
    </row>
    <row r="118" spans="24:28" x14ac:dyDescent="0.2">
      <c r="X118" s="30"/>
      <c r="Y118" s="30"/>
      <c r="Z118" s="30"/>
      <c r="AA118" s="30"/>
      <c r="AB118" s="30"/>
    </row>
    <row r="119" spans="24:28" x14ac:dyDescent="0.2">
      <c r="X119" s="30"/>
      <c r="Y119" s="30"/>
      <c r="Z119" s="30"/>
      <c r="AA119" s="30"/>
      <c r="AB119" s="30"/>
    </row>
    <row r="120" spans="24:28" x14ac:dyDescent="0.2">
      <c r="X120" s="30"/>
      <c r="Y120" s="30"/>
      <c r="Z120" s="30"/>
      <c r="AA120" s="30"/>
      <c r="AB120" s="30"/>
    </row>
    <row r="121" spans="24:28" x14ac:dyDescent="0.2">
      <c r="X121" s="30"/>
      <c r="Y121" s="30"/>
      <c r="Z121" s="30"/>
      <c r="AA121" s="30"/>
      <c r="AB121" s="30"/>
    </row>
    <row r="122" spans="24:28" x14ac:dyDescent="0.2">
      <c r="X122" s="30"/>
      <c r="Y122" s="30"/>
      <c r="Z122" s="30"/>
      <c r="AA122" s="30"/>
      <c r="AB122" s="30"/>
    </row>
    <row r="123" spans="24:28" x14ac:dyDescent="0.2">
      <c r="X123" s="30"/>
      <c r="Y123" s="30"/>
      <c r="Z123" s="30"/>
      <c r="AA123" s="30"/>
      <c r="AB123" s="30"/>
    </row>
    <row r="124" spans="24:28" x14ac:dyDescent="0.2">
      <c r="X124" s="30"/>
      <c r="Y124" s="30"/>
      <c r="Z124" s="30"/>
      <c r="AA124" s="30"/>
      <c r="AB124" s="30"/>
    </row>
    <row r="125" spans="24:28" x14ac:dyDescent="0.2">
      <c r="X125" s="30"/>
      <c r="Y125" s="30"/>
      <c r="Z125" s="30"/>
      <c r="AA125" s="30"/>
      <c r="AB125" s="30"/>
    </row>
    <row r="126" spans="24:28" x14ac:dyDescent="0.2">
      <c r="X126" s="30"/>
      <c r="Y126" s="30"/>
      <c r="Z126" s="30"/>
      <c r="AA126" s="30"/>
      <c r="AB126" s="30"/>
    </row>
    <row r="127" spans="24:28" x14ac:dyDescent="0.2">
      <c r="X127" s="30"/>
      <c r="Y127" s="30"/>
      <c r="Z127" s="30"/>
      <c r="AA127" s="30"/>
      <c r="AB127" s="30"/>
    </row>
    <row r="128" spans="24:28" x14ac:dyDescent="0.2">
      <c r="X128" s="30"/>
      <c r="Y128" s="30"/>
      <c r="Z128" s="30"/>
      <c r="AA128" s="30"/>
      <c r="AB128" s="30"/>
    </row>
    <row r="129" spans="24:28" x14ac:dyDescent="0.2">
      <c r="X129" s="30"/>
      <c r="Y129" s="30"/>
      <c r="Z129" s="30"/>
      <c r="AA129" s="30"/>
      <c r="AB129" s="30"/>
    </row>
    <row r="130" spans="24:28" x14ac:dyDescent="0.2">
      <c r="X130" s="30"/>
      <c r="Y130" s="30"/>
      <c r="Z130" s="30"/>
      <c r="AA130" s="30"/>
      <c r="AB130" s="30"/>
    </row>
    <row r="131" spans="24:28" x14ac:dyDescent="0.2">
      <c r="X131" s="30"/>
      <c r="Y131" s="30"/>
      <c r="Z131" s="30"/>
      <c r="AA131" s="30"/>
      <c r="AB131" s="30"/>
    </row>
    <row r="132" spans="24:28" x14ac:dyDescent="0.2">
      <c r="X132" s="30"/>
      <c r="Y132" s="30"/>
      <c r="Z132" s="30"/>
      <c r="AA132" s="30"/>
      <c r="AB132" s="30"/>
    </row>
    <row r="133" spans="24:28" x14ac:dyDescent="0.2">
      <c r="X133" s="30"/>
      <c r="Y133" s="30"/>
      <c r="Z133" s="30"/>
      <c r="AA133" s="30"/>
      <c r="AB133" s="30"/>
    </row>
    <row r="134" spans="24:28" x14ac:dyDescent="0.2">
      <c r="X134" s="30"/>
      <c r="Y134" s="30"/>
      <c r="Z134" s="30"/>
      <c r="AA134" s="30"/>
      <c r="AB134" s="30"/>
    </row>
    <row r="135" spans="24:28" x14ac:dyDescent="0.2">
      <c r="X135" s="30"/>
      <c r="Y135" s="30"/>
      <c r="Z135" s="30"/>
      <c r="AA135" s="30"/>
      <c r="AB135" s="30"/>
    </row>
    <row r="136" spans="24:28" x14ac:dyDescent="0.2">
      <c r="X136" s="30"/>
      <c r="Y136" s="30"/>
      <c r="Z136" s="30"/>
      <c r="AA136" s="30"/>
      <c r="AB136" s="30"/>
    </row>
    <row r="137" spans="24:28" x14ac:dyDescent="0.2">
      <c r="X137" s="30"/>
      <c r="Y137" s="30"/>
      <c r="Z137" s="30"/>
      <c r="AA137" s="30"/>
      <c r="AB137" s="30"/>
    </row>
    <row r="138" spans="24:28" x14ac:dyDescent="0.2">
      <c r="X138" s="30"/>
      <c r="Y138" s="30"/>
      <c r="Z138" s="30"/>
      <c r="AA138" s="30"/>
      <c r="AB138" s="30"/>
    </row>
    <row r="139" spans="24:28" x14ac:dyDescent="0.2">
      <c r="X139" s="30"/>
      <c r="Y139" s="30"/>
      <c r="Z139" s="30"/>
      <c r="AA139" s="30"/>
      <c r="AB139" s="30"/>
    </row>
    <row r="140" spans="24:28" x14ac:dyDescent="0.2">
      <c r="X140" s="30"/>
      <c r="Y140" s="30"/>
      <c r="Z140" s="30"/>
      <c r="AA140" s="30"/>
      <c r="AB140" s="30"/>
    </row>
    <row r="141" spans="24:28" x14ac:dyDescent="0.2">
      <c r="X141" s="30"/>
      <c r="Y141" s="30"/>
      <c r="Z141" s="30"/>
      <c r="AA141" s="30"/>
      <c r="AB141" s="30"/>
    </row>
    <row r="142" spans="24:28" x14ac:dyDescent="0.2">
      <c r="X142" s="30"/>
      <c r="Y142" s="30"/>
      <c r="Z142" s="30"/>
      <c r="AA142" s="30"/>
      <c r="AB142" s="30"/>
    </row>
    <row r="143" spans="24:28" x14ac:dyDescent="0.2">
      <c r="X143" s="30"/>
      <c r="Y143" s="30"/>
      <c r="Z143" s="30"/>
      <c r="AA143" s="30"/>
      <c r="AB143" s="30"/>
    </row>
    <row r="144" spans="24:28" x14ac:dyDescent="0.2">
      <c r="X144" s="30"/>
      <c r="Y144" s="30"/>
      <c r="Z144" s="30"/>
      <c r="AA144" s="30"/>
      <c r="AB144" s="30"/>
    </row>
    <row r="145" spans="24:28" x14ac:dyDescent="0.2">
      <c r="X145" s="30"/>
      <c r="Y145" s="30"/>
      <c r="Z145" s="30"/>
      <c r="AA145" s="30"/>
      <c r="AB145" s="30"/>
    </row>
    <row r="146" spans="24:28" x14ac:dyDescent="0.2">
      <c r="X146" s="30"/>
      <c r="Y146" s="30"/>
      <c r="Z146" s="30"/>
      <c r="AA146" s="30"/>
      <c r="AB146" s="30"/>
    </row>
    <row r="147" spans="24:28" x14ac:dyDescent="0.2">
      <c r="X147" s="30"/>
      <c r="Y147" s="30"/>
      <c r="Z147" s="30"/>
      <c r="AA147" s="30"/>
      <c r="AB147" s="30"/>
    </row>
    <row r="148" spans="24:28" x14ac:dyDescent="0.2">
      <c r="X148" s="30"/>
      <c r="Y148" s="30"/>
      <c r="Z148" s="30"/>
      <c r="AA148" s="30"/>
      <c r="AB148" s="30"/>
    </row>
    <row r="149" spans="24:28" x14ac:dyDescent="0.2">
      <c r="X149" s="30"/>
      <c r="Y149" s="30"/>
      <c r="Z149" s="30"/>
      <c r="AA149" s="30"/>
      <c r="AB149" s="30"/>
    </row>
    <row r="150" spans="24:28" x14ac:dyDescent="0.2">
      <c r="X150" s="30"/>
      <c r="Y150" s="30"/>
      <c r="Z150" s="30"/>
      <c r="AA150" s="30"/>
      <c r="AB150" s="30"/>
    </row>
    <row r="151" spans="24:28" x14ac:dyDescent="0.2">
      <c r="X151" s="30"/>
      <c r="Y151" s="30"/>
      <c r="Z151" s="30"/>
      <c r="AA151" s="30"/>
      <c r="AB151" s="30"/>
    </row>
    <row r="152" spans="24:28" x14ac:dyDescent="0.2">
      <c r="X152" s="30"/>
      <c r="Y152" s="30"/>
      <c r="Z152" s="30"/>
      <c r="AA152" s="30"/>
      <c r="AB152" s="30"/>
    </row>
    <row r="153" spans="24:28" x14ac:dyDescent="0.2">
      <c r="X153" s="30"/>
      <c r="Y153" s="30"/>
      <c r="Z153" s="30"/>
      <c r="AA153" s="30"/>
      <c r="AB153" s="30"/>
    </row>
    <row r="154" spans="24:28" x14ac:dyDescent="0.2">
      <c r="X154" s="30"/>
      <c r="Y154" s="30"/>
      <c r="Z154" s="30"/>
      <c r="AA154" s="30"/>
      <c r="AB154" s="30"/>
    </row>
    <row r="155" spans="24:28" x14ac:dyDescent="0.2">
      <c r="X155" s="30"/>
      <c r="Y155" s="30"/>
      <c r="Z155" s="30"/>
      <c r="AA155" s="30"/>
      <c r="AB155" s="30"/>
    </row>
    <row r="156" spans="24:28" x14ac:dyDescent="0.2">
      <c r="X156" s="30"/>
      <c r="Y156" s="30"/>
      <c r="Z156" s="30"/>
      <c r="AA156" s="30"/>
      <c r="AB156" s="30"/>
    </row>
    <row r="157" spans="24:28" x14ac:dyDescent="0.2">
      <c r="X157" s="30"/>
      <c r="Y157" s="30"/>
      <c r="Z157" s="30"/>
      <c r="AA157" s="30"/>
      <c r="AB157" s="30"/>
    </row>
    <row r="158" spans="24:28" x14ac:dyDescent="0.2">
      <c r="X158" s="30"/>
      <c r="Y158" s="30"/>
      <c r="Z158" s="30"/>
      <c r="AA158" s="30"/>
      <c r="AB158" s="30"/>
    </row>
    <row r="159" spans="24:28" x14ac:dyDescent="0.2">
      <c r="X159" s="30"/>
      <c r="Y159" s="30"/>
      <c r="Z159" s="30"/>
      <c r="AA159" s="30"/>
      <c r="AB159" s="30"/>
    </row>
    <row r="160" spans="24:28" x14ac:dyDescent="0.2">
      <c r="X160" s="30"/>
      <c r="Y160" s="30"/>
      <c r="Z160" s="30"/>
      <c r="AA160" s="30"/>
      <c r="AB160" s="30"/>
    </row>
    <row r="161" spans="24:28" x14ac:dyDescent="0.2">
      <c r="X161" s="30"/>
      <c r="Y161" s="30"/>
      <c r="Z161" s="30"/>
      <c r="AA161" s="30"/>
      <c r="AB161" s="30"/>
    </row>
    <row r="162" spans="24:28" x14ac:dyDescent="0.2">
      <c r="X162" s="30"/>
      <c r="Y162" s="30"/>
      <c r="Z162" s="30"/>
      <c r="AA162" s="30"/>
      <c r="AB162" s="30"/>
    </row>
    <row r="163" spans="24:28" x14ac:dyDescent="0.2">
      <c r="X163" s="30"/>
      <c r="Y163" s="30"/>
      <c r="Z163" s="30"/>
      <c r="AA163" s="30"/>
      <c r="AB163" s="30"/>
    </row>
    <row r="164" spans="24:28" x14ac:dyDescent="0.2">
      <c r="X164" s="30"/>
      <c r="Y164" s="30"/>
      <c r="Z164" s="30"/>
      <c r="AA164" s="30"/>
      <c r="AB164" s="30"/>
    </row>
    <row r="165" spans="24:28" x14ac:dyDescent="0.2">
      <c r="X165" s="30"/>
      <c r="Y165" s="30"/>
      <c r="Z165" s="30"/>
      <c r="AA165" s="30"/>
      <c r="AB165" s="30"/>
    </row>
    <row r="166" spans="24:28" x14ac:dyDescent="0.2">
      <c r="X166" s="30"/>
      <c r="Y166" s="30"/>
      <c r="Z166" s="30"/>
      <c r="AA166" s="30"/>
      <c r="AB166" s="30"/>
    </row>
    <row r="167" spans="24:28" x14ac:dyDescent="0.2">
      <c r="X167" s="30"/>
      <c r="Y167" s="30"/>
      <c r="Z167" s="30"/>
      <c r="AA167" s="30"/>
      <c r="AB167" s="30"/>
    </row>
    <row r="168" spans="24:28" x14ac:dyDescent="0.2">
      <c r="X168" s="30"/>
      <c r="Y168" s="30"/>
      <c r="Z168" s="30"/>
      <c r="AA168" s="30"/>
      <c r="AB168" s="30"/>
    </row>
    <row r="169" spans="24:28" x14ac:dyDescent="0.2">
      <c r="X169" s="30"/>
      <c r="Y169" s="30"/>
      <c r="Z169" s="30"/>
      <c r="AA169" s="30"/>
      <c r="AB169" s="30"/>
    </row>
    <row r="170" spans="24:28" x14ac:dyDescent="0.2">
      <c r="X170" s="30"/>
      <c r="Y170" s="30"/>
      <c r="Z170" s="30"/>
      <c r="AA170" s="30"/>
      <c r="AB170" s="30"/>
    </row>
    <row r="171" spans="24:28" x14ac:dyDescent="0.2">
      <c r="X171" s="30"/>
      <c r="Y171" s="30"/>
      <c r="Z171" s="30"/>
      <c r="AA171" s="30"/>
      <c r="AB171" s="30"/>
    </row>
    <row r="172" spans="24:28" x14ac:dyDescent="0.2">
      <c r="X172" s="30"/>
      <c r="Y172" s="30"/>
      <c r="Z172" s="30"/>
      <c r="AA172" s="30"/>
      <c r="AB172" s="30"/>
    </row>
    <row r="173" spans="24:28" x14ac:dyDescent="0.2">
      <c r="X173" s="30"/>
      <c r="Y173" s="30"/>
      <c r="Z173" s="30"/>
      <c r="AA173" s="30"/>
      <c r="AB173" s="30"/>
    </row>
    <row r="174" spans="24:28" x14ac:dyDescent="0.2">
      <c r="X174" s="30"/>
      <c r="Y174" s="30"/>
      <c r="Z174" s="30"/>
      <c r="AA174" s="30"/>
      <c r="AB174" s="30"/>
    </row>
    <row r="175" spans="24:28" x14ac:dyDescent="0.2">
      <c r="X175" s="30"/>
      <c r="Y175" s="30"/>
      <c r="Z175" s="30"/>
      <c r="AA175" s="30"/>
      <c r="AB175" s="30"/>
    </row>
    <row r="176" spans="24:28" x14ac:dyDescent="0.2">
      <c r="X176" s="30"/>
      <c r="Y176" s="30"/>
      <c r="Z176" s="30"/>
      <c r="AA176" s="30"/>
      <c r="AB176" s="30"/>
    </row>
    <row r="177" spans="24:28" x14ac:dyDescent="0.2">
      <c r="X177" s="30"/>
      <c r="Y177" s="30"/>
      <c r="Z177" s="30"/>
      <c r="AA177" s="30"/>
      <c r="AB177" s="30"/>
    </row>
    <row r="178" spans="24:28" x14ac:dyDescent="0.2">
      <c r="X178" s="30"/>
      <c r="Y178" s="30"/>
      <c r="Z178" s="30"/>
      <c r="AA178" s="30"/>
      <c r="AB178" s="30"/>
    </row>
    <row r="179" spans="24:28" x14ac:dyDescent="0.2">
      <c r="X179" s="30"/>
      <c r="Y179" s="30"/>
      <c r="Z179" s="30"/>
      <c r="AA179" s="30"/>
      <c r="AB179" s="30"/>
    </row>
    <row r="180" spans="24:28" x14ac:dyDescent="0.2">
      <c r="X180" s="30"/>
      <c r="Y180" s="30"/>
      <c r="Z180" s="30"/>
      <c r="AA180" s="30"/>
      <c r="AB180" s="30"/>
    </row>
    <row r="181" spans="24:28" x14ac:dyDescent="0.2">
      <c r="X181" s="30"/>
      <c r="Y181" s="30"/>
      <c r="Z181" s="30"/>
      <c r="AA181" s="30"/>
      <c r="AB181" s="30"/>
    </row>
    <row r="182" spans="24:28" x14ac:dyDescent="0.2">
      <c r="X182" s="30"/>
      <c r="Y182" s="30"/>
      <c r="Z182" s="30"/>
      <c r="AA182" s="30"/>
      <c r="AB182" s="30"/>
    </row>
    <row r="183" spans="24:28" x14ac:dyDescent="0.2">
      <c r="X183" s="30"/>
      <c r="Y183" s="30"/>
      <c r="Z183" s="30"/>
      <c r="AA183" s="30"/>
      <c r="AB183" s="30"/>
    </row>
    <row r="184" spans="24:28" x14ac:dyDescent="0.2">
      <c r="X184" s="30"/>
      <c r="Y184" s="30"/>
      <c r="Z184" s="30"/>
      <c r="AA184" s="30"/>
      <c r="AB184" s="30"/>
    </row>
    <row r="185" spans="24:28" x14ac:dyDescent="0.2">
      <c r="X185" s="30"/>
      <c r="Y185" s="30"/>
      <c r="Z185" s="30"/>
      <c r="AA185" s="30"/>
      <c r="AB185" s="30"/>
    </row>
    <row r="186" spans="24:28" x14ac:dyDescent="0.2">
      <c r="X186" s="30"/>
      <c r="Y186" s="30"/>
      <c r="Z186" s="30"/>
      <c r="AA186" s="30"/>
      <c r="AB186" s="30"/>
    </row>
    <row r="187" spans="24:28" x14ac:dyDescent="0.2">
      <c r="X187" s="30"/>
      <c r="Y187" s="30"/>
      <c r="Z187" s="30"/>
      <c r="AA187" s="30"/>
      <c r="AB187" s="30"/>
    </row>
    <row r="188" spans="24:28" x14ac:dyDescent="0.2">
      <c r="X188" s="30"/>
      <c r="Y188" s="30"/>
      <c r="Z188" s="30"/>
      <c r="AA188" s="30"/>
      <c r="AB188" s="30"/>
    </row>
    <row r="189" spans="24:28" x14ac:dyDescent="0.2">
      <c r="X189" s="30"/>
      <c r="Y189" s="30"/>
      <c r="Z189" s="30"/>
      <c r="AA189" s="30"/>
      <c r="AB189" s="30"/>
    </row>
    <row r="190" spans="24:28" x14ac:dyDescent="0.2">
      <c r="X190" s="30"/>
      <c r="Y190" s="30"/>
      <c r="Z190" s="30"/>
      <c r="AA190" s="30"/>
      <c r="AB190" s="30"/>
    </row>
    <row r="191" spans="24:28" x14ac:dyDescent="0.2">
      <c r="X191" s="30"/>
      <c r="Y191" s="30"/>
      <c r="Z191" s="30"/>
      <c r="AA191" s="30"/>
      <c r="AB191" s="30"/>
    </row>
    <row r="192" spans="24:28" x14ac:dyDescent="0.2">
      <c r="X192" s="30"/>
      <c r="Y192" s="30"/>
      <c r="Z192" s="30"/>
      <c r="AA192" s="30"/>
      <c r="AB192" s="30"/>
    </row>
    <row r="193" spans="24:28" x14ac:dyDescent="0.2">
      <c r="X193" s="30"/>
      <c r="Y193" s="30"/>
      <c r="Z193" s="30"/>
      <c r="AA193" s="30"/>
      <c r="AB193" s="30"/>
    </row>
    <row r="194" spans="24:28" x14ac:dyDescent="0.2">
      <c r="X194" s="30"/>
      <c r="Y194" s="30"/>
      <c r="Z194" s="30"/>
      <c r="AA194" s="30"/>
      <c r="AB194" s="30"/>
    </row>
    <row r="195" spans="24:28" x14ac:dyDescent="0.2">
      <c r="X195" s="30"/>
      <c r="Y195" s="30"/>
      <c r="Z195" s="30"/>
      <c r="AA195" s="30"/>
      <c r="AB195" s="30"/>
    </row>
    <row r="196" spans="24:28" x14ac:dyDescent="0.2">
      <c r="X196" s="30"/>
      <c r="Y196" s="30"/>
      <c r="Z196" s="30"/>
      <c r="AA196" s="30"/>
      <c r="AB196" s="30"/>
    </row>
    <row r="197" spans="24:28" x14ac:dyDescent="0.2">
      <c r="X197" s="30"/>
      <c r="Y197" s="30"/>
      <c r="Z197" s="30"/>
      <c r="AA197" s="30"/>
      <c r="AB197" s="30"/>
    </row>
    <row r="198" spans="24:28" x14ac:dyDescent="0.2">
      <c r="X198" s="30"/>
      <c r="Y198" s="30"/>
      <c r="Z198" s="30"/>
      <c r="AA198" s="30"/>
      <c r="AB198" s="30"/>
    </row>
    <row r="199" spans="24:28" x14ac:dyDescent="0.2">
      <c r="X199" s="30"/>
      <c r="Y199" s="30"/>
      <c r="Z199" s="30"/>
      <c r="AA199" s="30"/>
      <c r="AB199" s="30"/>
    </row>
    <row r="200" spans="24:28" x14ac:dyDescent="0.2">
      <c r="X200" s="30"/>
      <c r="Y200" s="30"/>
      <c r="Z200" s="30"/>
      <c r="AA200" s="30"/>
      <c r="AB200" s="30"/>
    </row>
    <row r="201" spans="24:28" x14ac:dyDescent="0.2">
      <c r="X201" s="30"/>
      <c r="Y201" s="30"/>
      <c r="Z201" s="30"/>
      <c r="AA201" s="30"/>
      <c r="AB201" s="30"/>
    </row>
    <row r="202" spans="24:28" x14ac:dyDescent="0.2">
      <c r="X202" s="30"/>
      <c r="Y202" s="30"/>
      <c r="Z202" s="30"/>
      <c r="AA202" s="30"/>
      <c r="AB202" s="30"/>
    </row>
    <row r="203" spans="24:28" x14ac:dyDescent="0.2">
      <c r="X203" s="30"/>
      <c r="Y203" s="30"/>
      <c r="Z203" s="30"/>
      <c r="AA203" s="30"/>
      <c r="AB203" s="30"/>
    </row>
    <row r="204" spans="24:28" x14ac:dyDescent="0.2">
      <c r="X204" s="30"/>
      <c r="Y204" s="30"/>
      <c r="Z204" s="30"/>
      <c r="AA204" s="30"/>
      <c r="AB204" s="30"/>
    </row>
    <row r="205" spans="24:28" x14ac:dyDescent="0.2">
      <c r="X205" s="30"/>
      <c r="Y205" s="30"/>
      <c r="Z205" s="30"/>
      <c r="AA205" s="30"/>
      <c r="AB205" s="30"/>
    </row>
  </sheetData>
  <mergeCells count="4">
    <mergeCell ref="A1:AH1"/>
    <mergeCell ref="A20:AH20"/>
    <mergeCell ref="A39:AH39"/>
    <mergeCell ref="A58:AH5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A1DC1E-88AE-479E-A044-24B06D5044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Exact</vt:lpstr>
      <vt:lpstr>Heuristic</vt:lpstr>
      <vt:lpstr>Metaheuristic</vt:lpstr>
      <vt:lpstr>Controle</vt:lpstr>
      <vt:lpstr>Resume</vt:lpstr>
      <vt:lpstr>Resume Graph</vt:lpstr>
      <vt:lpstr>Resume Graph Fixed</vt:lpstr>
      <vt:lpstr>Resume Graph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Bruninm</dc:creator>
  <cp:lastModifiedBy>Bruno Luiz Rodrigues e Silva</cp:lastModifiedBy>
  <dcterms:created xsi:type="dcterms:W3CDTF">2026-03-30T20:00:03Z</dcterms:created>
  <dcterms:modified xsi:type="dcterms:W3CDTF">2026-10-20T06:28:53Z</dcterms:modified>
</cp:coreProperties>
</file>